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ndco\Accounts 2026\Landco Accounts 2026\04 APRIL ACCOUNTS\"/>
    </mc:Choice>
  </mc:AlternateContent>
  <xr:revisionPtr revIDLastSave="0" documentId="13_ncr:1_{D200E034-F2BC-48EE-84B4-C98C54671AF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INCOME" sheetId="28" r:id="rId1"/>
    <sheet name="RECON" sheetId="22" r:id="rId2"/>
    <sheet name=" EXPENSES" sheetId="26" r:id="rId3"/>
    <sheet name=" EXPENSES HOUSE" sheetId="27" r:id="rId4"/>
    <sheet name="MONTHLY FOR THE YEAR" sheetId="2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Print_Area" localSheetId="2">' EXPENSES'!#REF!</definedName>
    <definedName name="_xlnm.Print_Area" localSheetId="3">' EXPENSES HOUSE'!#REF!</definedName>
    <definedName name="_xlnm.Print_Area" localSheetId="0">INCOME!#REF!</definedName>
    <definedName name="_xlnm.Print_Area" localSheetId="4">'MONTHLY FOR THE YEAR'!#REF!</definedName>
    <definedName name="_xlnm.Print_Area" localSheetId="1">RECON!$B$1:$J$29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22" l="1"/>
  <c r="D4" i="22"/>
  <c r="E11" i="28"/>
  <c r="E10" i="28"/>
  <c r="D11" i="28"/>
  <c r="D10" i="28"/>
  <c r="D9" i="28"/>
  <c r="H9" i="28" s="1"/>
  <c r="J11" i="28" l="1"/>
  <c r="J8" i="28"/>
  <c r="G8" i="28"/>
  <c r="J7" i="28"/>
  <c r="C7" i="22" l="1"/>
  <c r="C6" i="22"/>
  <c r="C5" i="22"/>
  <c r="C4" i="22"/>
  <c r="H61" i="26" l="1"/>
  <c r="G21" i="22"/>
  <c r="D25" i="22"/>
  <c r="C23" i="22" l="1"/>
  <c r="H10" i="26" l="1"/>
  <c r="Z10" i="26" s="1"/>
  <c r="AB10" i="26" s="1"/>
  <c r="J17" i="22"/>
  <c r="H17" i="22" l="1"/>
  <c r="H16" i="22"/>
  <c r="G12" i="22"/>
  <c r="D62" i="26" l="1"/>
  <c r="Y13" i="26"/>
  <c r="Y62" i="26" l="1"/>
  <c r="D2" i="26"/>
  <c r="J16" i="22" s="1"/>
  <c r="F8" i="22"/>
  <c r="G22" i="22" l="1"/>
  <c r="K14" i="22"/>
  <c r="I12" i="22" l="1"/>
  <c r="C22" i="22" l="1"/>
  <c r="E6" i="27" l="1"/>
  <c r="E7" i="27"/>
  <c r="E5" i="27"/>
  <c r="P19" i="27"/>
  <c r="P20" i="27"/>
  <c r="P24" i="27"/>
  <c r="G23" i="22" l="1"/>
  <c r="D79" i="26" l="1"/>
  <c r="X79" i="26" s="1"/>
  <c r="J20" i="26" l="1"/>
  <c r="D76" i="26"/>
  <c r="V76" i="26" s="1"/>
  <c r="Z76" i="26" l="1"/>
  <c r="AB76" i="26" s="1"/>
  <c r="H5" i="27"/>
  <c r="P54" i="26"/>
  <c r="Z54" i="26" s="1"/>
  <c r="AB54" i="26" s="1"/>
  <c r="E51" i="26"/>
  <c r="P53" i="26"/>
  <c r="P29" i="26"/>
  <c r="P28" i="26"/>
  <c r="G51" i="26"/>
  <c r="X51" i="26"/>
  <c r="D7" i="27" s="1"/>
  <c r="W51" i="26"/>
  <c r="D6" i="27" s="1"/>
  <c r="U51" i="26"/>
  <c r="V51" i="26"/>
  <c r="D5" i="27" s="1"/>
  <c r="Y65" i="26" l="1"/>
  <c r="E78" i="26"/>
  <c r="Q77" i="26"/>
  <c r="K74" i="26"/>
  <c r="F73" i="26"/>
  <c r="F72" i="26"/>
  <c r="R69" i="26"/>
  <c r="W68" i="26"/>
  <c r="F64" i="26"/>
  <c r="H63" i="26"/>
  <c r="D70" i="26"/>
  <c r="S70" i="26" s="1"/>
  <c r="D67" i="26"/>
  <c r="R67" i="26" s="1"/>
  <c r="D3" i="26" l="1"/>
  <c r="G60" i="26" l="1"/>
  <c r="Z60" i="26" s="1"/>
  <c r="AB60" i="26" s="1"/>
  <c r="K59" i="26"/>
  <c r="Z59" i="26" s="1"/>
  <c r="AB59" i="26" s="1"/>
  <c r="J58" i="26"/>
  <c r="Z58" i="26" s="1"/>
  <c r="AB58" i="26" s="1"/>
  <c r="P56" i="26"/>
  <c r="H57" i="26"/>
  <c r="Z57" i="26" s="1"/>
  <c r="AB57" i="26" s="1"/>
  <c r="H55" i="26"/>
  <c r="Z55" i="26" s="1"/>
  <c r="AB55" i="26" s="1"/>
  <c r="X50" i="26"/>
  <c r="Q49" i="26"/>
  <c r="K48" i="26"/>
  <c r="J47" i="26"/>
  <c r="S46" i="26"/>
  <c r="S45" i="26"/>
  <c r="R43" i="26"/>
  <c r="G42" i="26"/>
  <c r="K41" i="26"/>
  <c r="I39" i="26"/>
  <c r="H38" i="26"/>
  <c r="W33" i="26"/>
  <c r="Y36" i="26"/>
  <c r="H34" i="26"/>
  <c r="X32" i="26"/>
  <c r="R31" i="26"/>
  <c r="K30" i="26"/>
  <c r="H27" i="26"/>
  <c r="I26" i="26"/>
  <c r="H25" i="26"/>
  <c r="R24" i="26"/>
  <c r="L23" i="26"/>
  <c r="G22" i="26"/>
  <c r="H21" i="26"/>
  <c r="H19" i="26"/>
  <c r="R18" i="26"/>
  <c r="Q17" i="26"/>
  <c r="K16" i="26"/>
  <c r="H15" i="26"/>
  <c r="G14" i="26"/>
  <c r="H12" i="26"/>
  <c r="G11" i="26"/>
  <c r="Z11" i="26" s="1"/>
  <c r="AB11" i="26" s="1"/>
  <c r="H9" i="26"/>
  <c r="G8" i="26"/>
  <c r="I6" i="27" l="1"/>
  <c r="D4" i="27"/>
  <c r="K7" i="27"/>
  <c r="Z56" i="26"/>
  <c r="AB56" i="26" s="1"/>
  <c r="AC37" i="26"/>
  <c r="Z51" i="26"/>
  <c r="C24" i="22" l="1"/>
  <c r="C21" i="22" l="1"/>
  <c r="H21" i="22" l="1"/>
  <c r="Z17" i="26" l="1"/>
  <c r="AB17" i="26" s="1"/>
  <c r="Z44" i="26"/>
  <c r="AB44" i="26" s="1"/>
  <c r="Z45" i="26" l="1"/>
  <c r="Z18" i="26" l="1"/>
  <c r="AB18" i="26" s="1"/>
  <c r="Z43" i="26" l="1"/>
  <c r="AB43" i="26" s="1"/>
  <c r="C12" i="22"/>
  <c r="AB45" i="26" l="1"/>
  <c r="Z46" i="26"/>
  <c r="AB46" i="26" s="1"/>
  <c r="Z47" i="26"/>
  <c r="AB47" i="26" s="1"/>
  <c r="Z48" i="26"/>
  <c r="AB48" i="26" s="1"/>
  <c r="Z42" i="26" l="1"/>
  <c r="AB42" i="26" s="1"/>
  <c r="J18" i="22" l="1"/>
  <c r="P13" i="27" l="1"/>
  <c r="L5" i="27" l="1"/>
  <c r="P25" i="27"/>
  <c r="L4" i="27" l="1"/>
  <c r="Z73" i="26"/>
  <c r="AB73" i="26" s="1"/>
  <c r="Z74" i="26"/>
  <c r="AB74" i="26" s="1"/>
  <c r="Z75" i="26"/>
  <c r="AB75" i="26" s="1"/>
  <c r="Z77" i="26"/>
  <c r="AB77" i="26" s="1"/>
  <c r="Z79" i="26"/>
  <c r="AB79" i="26" l="1"/>
  <c r="P12" i="27" l="1"/>
  <c r="Z78" i="26"/>
  <c r="AB78" i="26" s="1"/>
  <c r="L7" i="27" l="1"/>
  <c r="P26" i="27"/>
  <c r="K15" i="22"/>
  <c r="O30" i="27" l="1"/>
  <c r="C4" i="24"/>
  <c r="L6" i="27"/>
  <c r="Z15" i="26" l="1"/>
  <c r="AB15" i="26" s="1"/>
  <c r="Z29" i="26"/>
  <c r="AB29" i="26" s="1"/>
  <c r="Z37" i="26"/>
  <c r="AB37" i="26" s="1"/>
  <c r="Z50" i="26"/>
  <c r="AB50" i="26" s="1"/>
  <c r="AB51" i="26"/>
  <c r="Z52" i="26"/>
  <c r="AB52" i="26" s="1"/>
  <c r="Z53" i="26"/>
  <c r="AB53" i="26" s="1"/>
  <c r="Z63" i="26"/>
  <c r="AB63" i="26" s="1"/>
  <c r="Z64" i="26"/>
  <c r="AB64" i="26" s="1"/>
  <c r="Z65" i="26"/>
  <c r="Z66" i="26"/>
  <c r="AB66" i="26" s="1"/>
  <c r="Z67" i="26"/>
  <c r="AB67" i="26" s="1"/>
  <c r="Z68" i="26"/>
  <c r="AB68" i="26" s="1"/>
  <c r="Z69" i="26"/>
  <c r="AB69" i="26" s="1"/>
  <c r="Z70" i="26"/>
  <c r="AB70" i="26" s="1"/>
  <c r="Z71" i="26"/>
  <c r="AB71" i="26" s="1"/>
  <c r="Z72" i="26"/>
  <c r="AB72" i="26" s="1"/>
  <c r="Z49" i="26"/>
  <c r="AB49" i="26" s="1"/>
  <c r="Z41" i="26"/>
  <c r="AB41" i="26" s="1"/>
  <c r="Z36" i="26"/>
  <c r="AB36" i="26" s="1"/>
  <c r="Z34" i="26"/>
  <c r="AB34" i="26" s="1"/>
  <c r="Z33" i="26"/>
  <c r="AB33" i="26" s="1"/>
  <c r="Z32" i="26"/>
  <c r="AB32" i="26" s="1"/>
  <c r="Z28" i="26"/>
  <c r="AB28" i="26" s="1"/>
  <c r="Z27" i="26"/>
  <c r="AB27" i="26" s="1"/>
  <c r="Z25" i="26"/>
  <c r="AB25" i="26" s="1"/>
  <c r="Z24" i="26"/>
  <c r="AB24" i="26" s="1"/>
  <c r="Z22" i="26"/>
  <c r="AB22" i="26" s="1"/>
  <c r="Z20" i="26"/>
  <c r="AB20" i="26" s="1"/>
  <c r="Z16" i="26"/>
  <c r="AB16" i="26" s="1"/>
  <c r="Z40" i="26"/>
  <c r="AB40" i="26" s="1"/>
  <c r="Z38" i="26"/>
  <c r="AB38" i="26" s="1"/>
  <c r="Z35" i="26"/>
  <c r="AB35" i="26" s="1"/>
  <c r="Z31" i="26"/>
  <c r="AB31" i="26" s="1"/>
  <c r="Z26" i="26"/>
  <c r="AB26" i="26" s="1"/>
  <c r="Z23" i="26"/>
  <c r="AB23" i="26" s="1"/>
  <c r="Z21" i="26"/>
  <c r="AB21" i="26" s="1"/>
  <c r="Z19" i="26"/>
  <c r="AB19" i="26" s="1"/>
  <c r="Z12" i="26"/>
  <c r="AB12" i="26" s="1"/>
  <c r="AB65" i="26" l="1"/>
  <c r="P27" i="27"/>
  <c r="P30" i="27" s="1"/>
  <c r="Z39" i="26"/>
  <c r="AB39" i="26" s="1"/>
  <c r="Z14" i="26"/>
  <c r="AB14" i="26" s="1"/>
  <c r="Z8" i="26"/>
  <c r="Z30" i="26"/>
  <c r="AB30" i="26" s="1"/>
  <c r="Z13" i="26"/>
  <c r="AB13" i="26" s="1"/>
  <c r="Z9" i="26"/>
  <c r="AB9" i="26" s="1"/>
  <c r="P5" i="27" l="1"/>
  <c r="P6" i="27"/>
  <c r="P29" i="27" s="1"/>
  <c r="P7" i="27"/>
  <c r="P8" i="27"/>
  <c r="P9" i="27"/>
  <c r="P10" i="27"/>
  <c r="P11" i="27"/>
  <c r="P14" i="27"/>
  <c r="P15" i="27"/>
  <c r="P16" i="27"/>
  <c r="P17" i="27"/>
  <c r="P18" i="27"/>
  <c r="P4" i="27"/>
  <c r="C4" i="27" l="1"/>
  <c r="M4" i="27"/>
  <c r="E4" i="22" s="1"/>
  <c r="C5" i="27" l="1"/>
  <c r="M5" i="27" s="1"/>
  <c r="E5" i="22" l="1"/>
  <c r="F5" i="22" s="1"/>
  <c r="C6" i="27"/>
  <c r="M6" i="27" s="1"/>
  <c r="E6" i="22" l="1"/>
  <c r="F6" i="22" s="1"/>
  <c r="C7" i="27"/>
  <c r="M7" i="27" s="1"/>
  <c r="E7" i="22" s="1"/>
  <c r="F7" i="22" s="1"/>
  <c r="M8" i="27" l="1"/>
  <c r="E3" i="28" l="1"/>
  <c r="F3" i="28" s="1"/>
  <c r="E2" i="28"/>
  <c r="F2" i="28" s="1"/>
  <c r="E4" i="28"/>
  <c r="F4" i="28" s="1"/>
  <c r="E1" i="28" l="1"/>
  <c r="F1" i="28"/>
  <c r="G5" i="28" s="1"/>
  <c r="E5" i="28"/>
  <c r="F5" i="28" s="1"/>
  <c r="D21" i="22" l="1"/>
  <c r="AB8" i="26" l="1"/>
  <c r="D4" i="26" l="1"/>
  <c r="F4" i="26" l="1"/>
  <c r="M9" i="27"/>
  <c r="D5" i="24" l="1"/>
  <c r="D6" i="24"/>
  <c r="D7" i="24"/>
  <c r="D8" i="24"/>
  <c r="D9" i="24"/>
  <c r="D10" i="24"/>
  <c r="D12" i="24"/>
  <c r="D13" i="24"/>
  <c r="D14" i="24"/>
  <c r="D15" i="24"/>
  <c r="D4" i="24"/>
  <c r="D9" i="22" l="1"/>
  <c r="C13" i="22" l="1"/>
  <c r="I13" i="22"/>
  <c r="I18" i="22" s="1"/>
  <c r="C18" i="22"/>
  <c r="K13" i="22" l="1"/>
  <c r="E18" i="22"/>
  <c r="D18" i="22"/>
  <c r="J19" i="22" l="1"/>
  <c r="C16" i="24" l="1"/>
  <c r="C18" i="24" s="1"/>
  <c r="D11" i="24"/>
  <c r="D16" i="24" s="1"/>
  <c r="D18" i="24" s="1"/>
  <c r="D22" i="22" l="1"/>
  <c r="H5" i="22"/>
  <c r="D23" i="22" l="1"/>
  <c r="H6" i="22"/>
  <c r="M10" i="27" l="1"/>
  <c r="O31" i="27"/>
  <c r="E9" i="22" l="1"/>
  <c r="B16" i="22" l="1"/>
  <c r="F4" i="22"/>
  <c r="F9" i="22" s="1"/>
  <c r="H4" i="22" l="1"/>
  <c r="B17" i="22"/>
  <c r="B18" i="22" l="1"/>
  <c r="C19" i="22" s="1"/>
  <c r="K12" i="22" l="1"/>
  <c r="G18" i="22"/>
  <c r="K16" i="22" l="1"/>
  <c r="H7" i="22" l="1"/>
  <c r="D24" i="22"/>
  <c r="D26" i="22" s="1"/>
  <c r="C26" i="22"/>
  <c r="K17" i="22" l="1"/>
  <c r="K19" i="22" s="1"/>
  <c r="H18" i="22"/>
  <c r="H19" i="22" s="1"/>
  <c r="G26" i="22"/>
  <c r="G29" i="22" s="1"/>
</calcChain>
</file>

<file path=xl/sharedStrings.xml><?xml version="1.0" encoding="utf-8"?>
<sst xmlns="http://schemas.openxmlformats.org/spreadsheetml/2006/main" count="329" uniqueCount="168">
  <si>
    <t>LANDCO INCOME</t>
  </si>
  <si>
    <t>DATE</t>
  </si>
  <si>
    <t>NAME</t>
  </si>
  <si>
    <t>ACCOMODATION</t>
  </si>
  <si>
    <t>BANK</t>
  </si>
  <si>
    <t>H1</t>
  </si>
  <si>
    <t>H2</t>
  </si>
  <si>
    <t>H3</t>
  </si>
  <si>
    <t>H4</t>
  </si>
  <si>
    <t>Total</t>
  </si>
  <si>
    <t>PAYMENTS</t>
  </si>
  <si>
    <t>BALANCE</t>
  </si>
  <si>
    <t>CASH</t>
  </si>
  <si>
    <t>HOUSE</t>
  </si>
  <si>
    <t>DOLLARS</t>
  </si>
  <si>
    <t>TOTAL MTS</t>
  </si>
  <si>
    <t>TOTAL PER MONTH</t>
  </si>
  <si>
    <t>ADD INCOME</t>
  </si>
  <si>
    <t>SHAREHOLDERS</t>
  </si>
  <si>
    <t>PETTY CASH</t>
  </si>
  <si>
    <t>OPEN BALANCE</t>
  </si>
  <si>
    <t>INCOME</t>
  </si>
  <si>
    <t>MONTH</t>
  </si>
  <si>
    <t>EXPENSES</t>
  </si>
  <si>
    <t>AVERAGE</t>
  </si>
  <si>
    <t>CASA LUZ</t>
  </si>
  <si>
    <t>CASA CAJU</t>
  </si>
  <si>
    <t>CASA COCO</t>
  </si>
  <si>
    <t>CASA AURORA</t>
  </si>
  <si>
    <t>LANDCO EXPENSES</t>
  </si>
  <si>
    <t>LANDCO BANK EXPENSES</t>
  </si>
  <si>
    <t>BANK PAYMENTS</t>
  </si>
  <si>
    <t>CASH PAYMENTS</t>
  </si>
  <si>
    <t>TOTAL</t>
  </si>
  <si>
    <t>SHARED EXPENSES</t>
  </si>
  <si>
    <t>SUPPLER</t>
  </si>
  <si>
    <t>DISCRIPTION</t>
  </si>
  <si>
    <t>LC SALARIES &amp; WAGES</t>
  </si>
  <si>
    <t>CASUAL WORKERS AND FOOD ALLOWANCE</t>
  </si>
  <si>
    <t>ADVANCE SALARIES INCLUDED IN TOTAL SALRIES</t>
  </si>
  <si>
    <t>OFFICE AND BANK CHARGES</t>
  </si>
  <si>
    <t>ADMIN CHARGES (BDO &amp; ANDRISA )</t>
  </si>
  <si>
    <t>GAS AND ELECTRISITY</t>
  </si>
  <si>
    <t>MAINTENANCE GENERAL</t>
  </si>
  <si>
    <t>MAINTENANCE GARDEN &amp; POOL</t>
  </si>
  <si>
    <t>SMALL TOOLS</t>
  </si>
  <si>
    <t>MAINTENANCE VEHICLES</t>
  </si>
  <si>
    <t>INSURANCE &amp; LICENSE</t>
  </si>
  <si>
    <t>DIESEL AND PETROL</t>
  </si>
  <si>
    <t>HOUSE KEEPING</t>
  </si>
  <si>
    <t>MARINTINE &amp; MUNICIPAL TAXES IPRA &amp;TAE</t>
  </si>
  <si>
    <t>EXPENSES LUZ</t>
  </si>
  <si>
    <t>EXPENSES AURORA</t>
  </si>
  <si>
    <t>EXPENSES CAJU</t>
  </si>
  <si>
    <t>EXPENSES COCO</t>
  </si>
  <si>
    <t>SUSPENCE</t>
  </si>
  <si>
    <t>Bank expenses</t>
  </si>
  <si>
    <t>SALARIES &amp; WAGES</t>
  </si>
  <si>
    <t>ADMIN CHARGES (BDO &amp; ANDRISA ENS )</t>
  </si>
  <si>
    <t>LANDCO BANK EXPENSES PER HOUSE</t>
  </si>
  <si>
    <t>SHARED</t>
  </si>
  <si>
    <t>SUSPENSE</t>
  </si>
  <si>
    <t>CASUAL WORKERS AND ALLOWANCE</t>
  </si>
  <si>
    <t xml:space="preserve">SALARIES </t>
  </si>
  <si>
    <t>BANK/PRE-PAID &amp; $</t>
  </si>
  <si>
    <t>EQUIPMENT</t>
  </si>
  <si>
    <t>IRPS</t>
  </si>
  <si>
    <t>INSS</t>
  </si>
  <si>
    <t xml:space="preserve">EQUIPMENT PRESSURE PUMP X 2 </t>
  </si>
  <si>
    <t>TOTAL PERSONAL</t>
  </si>
  <si>
    <t>PETROL  &amp; BATTERY</t>
  </si>
  <si>
    <t>COMMUNITY</t>
  </si>
  <si>
    <t>COMMUNITY DONATION</t>
  </si>
  <si>
    <t xml:space="preserve">TAFY </t>
  </si>
  <si>
    <t>STARLINK FOR FEB</t>
  </si>
  <si>
    <t>BOAT SKIPPERS CLEANING</t>
  </si>
  <si>
    <t>SHAREHOLDERS ACCOUNTS END  MARCH</t>
  </si>
  <si>
    <t>TAFY ELIANA</t>
  </si>
  <si>
    <t>JELSON</t>
  </si>
  <si>
    <t xml:space="preserve">BANK CHARGES </t>
  </si>
  <si>
    <t>BANK CHARGES</t>
  </si>
  <si>
    <t>EMILIO ADVANCE</t>
  </si>
  <si>
    <t>TAFY ACCOMMODATION</t>
  </si>
  <si>
    <t>SALES</t>
  </si>
  <si>
    <t>CALDERON ADVANCE</t>
  </si>
  <si>
    <t>VARNISH</t>
  </si>
  <si>
    <t>GENERAL EXPENSES</t>
  </si>
  <si>
    <t>DIESEL MMR0998</t>
  </si>
  <si>
    <t>MOTOR VEHICLE LANDCO</t>
  </si>
  <si>
    <t>TOILET PAPER</t>
  </si>
  <si>
    <t>BANK CHARGES SINDICATO BEB</t>
  </si>
  <si>
    <t>ELECTRICITY</t>
  </si>
  <si>
    <t>GAS &amp; ELECTRISITY</t>
  </si>
  <si>
    <t>IRPS DIFFERENCE</t>
  </si>
  <si>
    <t>CHLOOR</t>
  </si>
  <si>
    <t>SWIMMING POOL CHEMICALS</t>
  </si>
  <si>
    <t>PLASTIC DE LUXO</t>
  </si>
  <si>
    <t>CARTO DEBITO</t>
  </si>
  <si>
    <t>ACCOUNTING</t>
  </si>
  <si>
    <t>ADMIN AND ACCOUNTING</t>
  </si>
  <si>
    <t>INSURANCE</t>
  </si>
  <si>
    <t>BALDE PARA CONSTRUTOR</t>
  </si>
  <si>
    <t>CLEANING MATERIAL</t>
  </si>
  <si>
    <t>BATTERY PRADO H4</t>
  </si>
  <si>
    <t>MOTOR VEHICLES EXPENSES</t>
  </si>
  <si>
    <t>SEALER H3</t>
  </si>
  <si>
    <t>TRANSFER DOLLARS TO METICAIS</t>
  </si>
  <si>
    <t>SALARY MARCH</t>
  </si>
  <si>
    <t>ADMIN FEE</t>
  </si>
  <si>
    <t>ACCOUNTING AND ADMIN</t>
  </si>
  <si>
    <t>ACCOMMODATION ADVANCE APRIL</t>
  </si>
  <si>
    <t>LIGHTS OUTSIDE</t>
  </si>
  <si>
    <t>GENERAL MAITENANCE</t>
  </si>
  <si>
    <t>SINDICATO</t>
  </si>
  <si>
    <t xml:space="preserve">SOAP, JAVEL </t>
  </si>
  <si>
    <t>IPRA 2026</t>
  </si>
  <si>
    <t>LAND TAX</t>
  </si>
  <si>
    <t xml:space="preserve">TAE </t>
  </si>
  <si>
    <t>DIESEL GENERATOR</t>
  </si>
  <si>
    <t>ELECTRISITY</t>
  </si>
  <si>
    <t>Q20 OIL ANTI RUST</t>
  </si>
  <si>
    <t>GENERAL MAINTRENANCE</t>
  </si>
  <si>
    <t>DIESEL TOYOTA AKL491MP</t>
  </si>
  <si>
    <t>DIESEL PRADO HOUSE 4</t>
  </si>
  <si>
    <t>INSURANCE VEHICLES</t>
  </si>
  <si>
    <t>WORKMENS COMPENSATIO</t>
  </si>
  <si>
    <t>GAS FEBRUARY</t>
  </si>
  <si>
    <t>GLOBES</t>
  </si>
  <si>
    <t>\</t>
  </si>
  <si>
    <t xml:space="preserve">IMPRA </t>
  </si>
  <si>
    <t>INSURANCE JETSKI</t>
  </si>
  <si>
    <t>INSURANCE TRAILER</t>
  </si>
  <si>
    <t>COLLECT BUDGIE AT AIRPORT 25 FEB</t>
  </si>
  <si>
    <t>DEPOSIT IN0095</t>
  </si>
  <si>
    <t>HANDY ANDY, SUNLIGHT DOVE SOAP GUEST</t>
  </si>
  <si>
    <t>FIX INTERNET OF CASA CAJU</t>
  </si>
  <si>
    <t>Geraldo rubish Landco</t>
  </si>
  <si>
    <t>2 X ROAD CERTIFICATES @ 3000 EACH</t>
  </si>
  <si>
    <t>FOOD WORKERS</t>
  </si>
  <si>
    <t>CASUALS GARDEN ABLUTION PLUS PLANTS</t>
  </si>
  <si>
    <t>PAVERS ABLUTION BLOCK</t>
  </si>
  <si>
    <t>INSPECTION FEE MARINTINE BOATS</t>
  </si>
  <si>
    <t>PETROL ALLOWANCE</t>
  </si>
  <si>
    <t>PUBLIC LIABILITY</t>
  </si>
  <si>
    <t>ITRANSMAR LICENSE ROCKSTEADY</t>
  </si>
  <si>
    <t>INSURANCE &amp; LICENSE VEHICLES</t>
  </si>
  <si>
    <t>INSURANCE PUBLIC LIBILITY</t>
  </si>
  <si>
    <t>WORKMENS COMPENSATION</t>
  </si>
  <si>
    <t>WARREN COHEN BOUGHT 4 TABLES 4 DUSTBINS</t>
  </si>
  <si>
    <t>HOUSE EXPENSES</t>
  </si>
  <si>
    <t>TABELS AND DUSTBIN</t>
  </si>
  <si>
    <t>SEALER</t>
  </si>
  <si>
    <t>MAINTENANCE FIX WIFI</t>
  </si>
  <si>
    <t>BOAT LICENSE</t>
  </si>
  <si>
    <t xml:space="preserve">BANK MTS </t>
  </si>
  <si>
    <t>NEGU</t>
  </si>
  <si>
    <t>PETTY CASH CHEQUE</t>
  </si>
  <si>
    <t>Bank Charges Dollar bank</t>
  </si>
  <si>
    <t>DOLLAR BANK</t>
  </si>
  <si>
    <t>END MARCH</t>
  </si>
  <si>
    <t>PORTADOR MAPUTO</t>
  </si>
  <si>
    <t>BALANCE END MARCH</t>
  </si>
  <si>
    <t>INCOME APRIL</t>
  </si>
  <si>
    <t>EXPENSES APRIL</t>
  </si>
  <si>
    <t>TOTAL END APRIL</t>
  </si>
  <si>
    <t>ALEX DEP BANK</t>
  </si>
  <si>
    <t>GAVIN FOR H4</t>
  </si>
  <si>
    <t xml:space="preserve">ROBIN FOR TAFY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</si>
</sst>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5" formatCode="_(* #,##0.00_);_(* \(#,##0.00\);_(* \-??_);_(@_)"/>
    <numFmt numFmtId="166" formatCode="_ * #,##0.00_ ;_ * \-#,##0.00_ ;_ * \-??_ ;_ @_ "/>
    <numFmt numFmtId="167" formatCode="_-* #,##0.00\ _€_-;\-* #,##0.00\ _€_-;_-* \-??\ _€_-;_-@_-"/>
    <numFmt numFmtId="168" formatCode="_-* #,##0.00_-;\-* #,##0.00_-;_-* \-??_-;_-@_-"/>
    <numFmt numFmtId="169" formatCode="_-* #,##0.00_-;\-* #,##0.00_-;_-* \-??_-;_-@"/>
    <numFmt numFmtId="170" formatCode="[$-3009]dd\-mmm\-yy"/>
    <numFmt numFmtId="172" formatCode="[$MZN]\ #,##0.00"/>
    <numFmt numFmtId="173" formatCode="&quot;$&quot;#,##0.00"/>
    <numFmt numFmtId="174" formatCode="[$-409]mmm\-yy;@"/>
    <numFmt numFmtId="175" formatCode="[$-409]dd\-mmm\-yy;@"/>
    <numFmt numFmtId="178" formatCode="_-* #,##0.00_-;\-* #,##0.00_-;_-* &quot;-&quot;??_-;_-@"/>
    <numFmt numFmtId="180" formatCode="[$$-409]#,##0.00"/>
    <numFmt numFmtId="182" formatCode="yyyy\-mm\-dd;@"/>
  </numFmts>
  <fonts count="73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Gill Sans MT"/>
      <family val="2"/>
      <charset val="1"/>
    </font>
    <font>
      <b/>
      <u/>
      <sz val="24"/>
      <name val="Gill Sans MT"/>
      <family val="2"/>
      <charset val="1"/>
    </font>
    <font>
      <b/>
      <u/>
      <sz val="10"/>
      <name val="Gill Sans MT"/>
      <family val="2"/>
      <charset val="1"/>
    </font>
    <font>
      <b/>
      <sz val="10"/>
      <name val="Gill Sans MT"/>
      <family val="2"/>
      <charset val="1"/>
    </font>
    <font>
      <sz val="11"/>
      <color rgb="FF000000"/>
      <name val="Gill Sans MT"/>
      <family val="2"/>
      <charset val="1"/>
    </font>
    <font>
      <b/>
      <u/>
      <sz val="18"/>
      <color rgb="FF000000"/>
      <name val="Arial"/>
      <family val="2"/>
      <charset val="1"/>
    </font>
    <font>
      <sz val="10"/>
      <color rgb="FF000000"/>
      <name val="Gill Sans MT"/>
      <family val="2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Gill Sans MT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3" tint="0.3999755851924192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Gill Sans MT"/>
      <family val="2"/>
      <charset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0"/>
      <color rgb="FF000000"/>
      <name val="Aptos Display"/>
      <family val="2"/>
    </font>
    <font>
      <b/>
      <sz val="10"/>
      <color rgb="FF000000"/>
      <name val="Aptos Display"/>
      <family val="2"/>
    </font>
    <font>
      <sz val="10"/>
      <name val="Aptos Display"/>
      <family val="2"/>
    </font>
    <font>
      <sz val="10"/>
      <color rgb="FF000000"/>
      <name val="Calibri"/>
      <family val="2"/>
    </font>
    <font>
      <sz val="10"/>
      <name val="Aptos"/>
      <family val="2"/>
    </font>
    <font>
      <sz val="11"/>
      <name val="Aptos"/>
      <family val="2"/>
    </font>
    <font>
      <sz val="11"/>
      <name val="Calibri"/>
      <family val="2"/>
    </font>
    <font>
      <sz val="10"/>
      <color theme="1"/>
      <name val="Aptos Display"/>
      <family val="2"/>
      <scheme val="major"/>
    </font>
    <font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  <charset val="1"/>
    </font>
    <font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theme="8" tint="-0.24994659260841701"/>
      </left>
      <right/>
      <top/>
      <bottom/>
      <diagonal/>
    </border>
    <border>
      <left/>
      <right style="medium">
        <color theme="8" tint="-0.24994659260841701"/>
      </right>
      <top/>
      <bottom/>
      <diagonal/>
    </border>
    <border>
      <left style="medium">
        <color rgb="FFFF0000"/>
      </left>
      <right/>
      <top/>
      <bottom style="dotted">
        <color rgb="FF000000"/>
      </bottom>
      <diagonal/>
    </border>
    <border>
      <left/>
      <right style="medium">
        <color theme="8" tint="-0.24994659260841701"/>
      </right>
      <top/>
      <bottom style="dotted">
        <color rgb="FF000000"/>
      </bottom>
      <diagonal/>
    </border>
    <border>
      <left style="medium">
        <color theme="8" tint="-0.24994659260841701"/>
      </left>
      <right/>
      <top/>
      <bottom style="thin">
        <color indexed="64"/>
      </bottom>
      <diagonal/>
    </border>
    <border>
      <left/>
      <right style="medium">
        <color theme="8" tint="-0.24994659260841701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theme="8" tint="-0.2499465926084170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47">
    <xf numFmtId="0" fontId="0" fillId="0" borderId="0"/>
    <xf numFmtId="165" fontId="28" fillId="0" borderId="0" applyBorder="0" applyProtection="0"/>
    <xf numFmtId="166" fontId="28" fillId="0" borderId="0" applyBorder="0" applyProtection="0"/>
    <xf numFmtId="167" fontId="28" fillId="0" borderId="0" applyBorder="0" applyProtection="0"/>
    <xf numFmtId="165" fontId="28" fillId="0" borderId="0" applyBorder="0" applyProtection="0"/>
    <xf numFmtId="167" fontId="28" fillId="0" borderId="0" applyBorder="0" applyProtection="0"/>
    <xf numFmtId="168" fontId="28" fillId="0" borderId="0" applyBorder="0" applyProtection="0"/>
    <xf numFmtId="167" fontId="28" fillId="0" borderId="0" applyBorder="0" applyProtection="0"/>
    <xf numFmtId="167" fontId="28" fillId="0" borderId="0" applyBorder="0" applyProtection="0"/>
    <xf numFmtId="165" fontId="28" fillId="0" borderId="0" applyBorder="0" applyProtection="0"/>
    <xf numFmtId="165" fontId="28" fillId="0" borderId="0" applyBorder="0" applyProtection="0"/>
    <xf numFmtId="0" fontId="17" fillId="0" borderId="0"/>
    <xf numFmtId="0" fontId="17" fillId="0" borderId="0"/>
    <xf numFmtId="0" fontId="28" fillId="0" borderId="0"/>
    <xf numFmtId="0" fontId="17" fillId="0" borderId="0"/>
    <xf numFmtId="0" fontId="2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9" fillId="0" borderId="0"/>
    <xf numFmtId="0" fontId="18" fillId="0" borderId="0"/>
    <xf numFmtId="9" fontId="28" fillId="0" borderId="0" applyBorder="0" applyProtection="0"/>
    <xf numFmtId="0" fontId="30" fillId="0" borderId="0"/>
    <xf numFmtId="0" fontId="16" fillId="0" borderId="0"/>
    <xf numFmtId="0" fontId="35" fillId="0" borderId="0"/>
    <xf numFmtId="0" fontId="15" fillId="0" borderId="0"/>
    <xf numFmtId="0" fontId="34" fillId="0" borderId="0"/>
    <xf numFmtId="165" fontId="34" fillId="0" borderId="0" applyBorder="0" applyAlignment="0" applyProtection="0"/>
    <xf numFmtId="165" fontId="34" fillId="0" borderId="0" applyBorder="0" applyAlignment="0" applyProtection="0"/>
    <xf numFmtId="0" fontId="34" fillId="0" borderId="0"/>
    <xf numFmtId="0" fontId="36" fillId="0" borderId="0"/>
    <xf numFmtId="0" fontId="37" fillId="0" borderId="0"/>
    <xf numFmtId="0" fontId="14" fillId="0" borderId="0"/>
    <xf numFmtId="0" fontId="38" fillId="0" borderId="0"/>
    <xf numFmtId="168" fontId="34" fillId="0" borderId="0" applyBorder="0" applyAlignment="0" applyProtection="0"/>
    <xf numFmtId="0" fontId="13" fillId="0" borderId="0"/>
    <xf numFmtId="0" fontId="40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</cellStyleXfs>
  <cellXfs count="245">
    <xf numFmtId="0" fontId="0" fillId="0" borderId="0" xfId="0"/>
    <xf numFmtId="0" fontId="20" fillId="0" borderId="0" xfId="0" applyFont="1"/>
    <xf numFmtId="4" fontId="20" fillId="0" borderId="0" xfId="0" applyNumberFormat="1" applyFont="1"/>
    <xf numFmtId="0" fontId="21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4" fontId="22" fillId="0" borderId="0" xfId="0" applyNumberFormat="1" applyFont="1"/>
    <xf numFmtId="0" fontId="22" fillId="2" borderId="0" xfId="0" applyFont="1" applyFill="1"/>
    <xf numFmtId="0" fontId="20" fillId="2" borderId="0" xfId="0" applyFont="1" applyFill="1"/>
    <xf numFmtId="0" fontId="23" fillId="2" borderId="0" xfId="0" applyFont="1" applyFill="1" applyAlignment="1">
      <alignment horizontal="left"/>
    </xf>
    <xf numFmtId="0" fontId="23" fillId="2" borderId="0" xfId="0" applyFont="1" applyFill="1"/>
    <xf numFmtId="0" fontId="23" fillId="0" borderId="0" xfId="0" applyFont="1" applyAlignment="1">
      <alignment horizontal="left"/>
    </xf>
    <xf numFmtId="0" fontId="23" fillId="2" borderId="0" xfId="0" applyFont="1" applyFill="1" applyAlignment="1">
      <alignment horizontal="center"/>
    </xf>
    <xf numFmtId="4" fontId="23" fillId="0" borderId="0" xfId="0" applyNumberFormat="1" applyFont="1"/>
    <xf numFmtId="4" fontId="23" fillId="0" borderId="1" xfId="0" applyNumberFormat="1" applyFont="1" applyBorder="1"/>
    <xf numFmtId="169" fontId="23" fillId="2" borderId="0" xfId="0" applyNumberFormat="1" applyFont="1" applyFill="1"/>
    <xf numFmtId="0" fontId="23" fillId="3" borderId="2" xfId="0" applyFont="1" applyFill="1" applyBorder="1" applyAlignment="1">
      <alignment horizontal="center"/>
    </xf>
    <xf numFmtId="0" fontId="23" fillId="3" borderId="2" xfId="0" applyFont="1" applyFill="1" applyBorder="1"/>
    <xf numFmtId="170" fontId="20" fillId="2" borderId="2" xfId="0" applyNumberFormat="1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0" borderId="2" xfId="0" applyFont="1" applyBorder="1"/>
    <xf numFmtId="4" fontId="20" fillId="0" borderId="2" xfId="0" applyNumberFormat="1" applyFont="1" applyBorder="1"/>
    <xf numFmtId="0" fontId="23" fillId="0" borderId="0" xfId="0" applyFont="1"/>
    <xf numFmtId="172" fontId="0" fillId="0" borderId="0" xfId="0" applyNumberFormat="1"/>
    <xf numFmtId="0" fontId="24" fillId="0" borderId="0" xfId="0" applyFont="1"/>
    <xf numFmtId="169" fontId="18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0" xfId="0" applyNumberFormat="1"/>
    <xf numFmtId="0" fontId="26" fillId="0" borderId="0" xfId="0" applyFont="1" applyAlignment="1">
      <alignment horizontal="center"/>
    </xf>
    <xf numFmtId="1" fontId="21" fillId="0" borderId="0" xfId="0" applyNumberFormat="1" applyFont="1"/>
    <xf numFmtId="1" fontId="20" fillId="0" borderId="0" xfId="0" applyNumberFormat="1" applyFont="1" applyAlignment="1">
      <alignment horizontal="left"/>
    </xf>
    <xf numFmtId="1" fontId="20" fillId="2" borderId="0" xfId="0" applyNumberFormat="1" applyFont="1" applyFill="1"/>
    <xf numFmtId="1" fontId="23" fillId="0" borderId="0" xfId="0" applyNumberFormat="1" applyFont="1" applyAlignment="1">
      <alignment horizontal="left"/>
    </xf>
    <xf numFmtId="1" fontId="23" fillId="3" borderId="2" xfId="0" applyNumberFormat="1" applyFont="1" applyFill="1" applyBorder="1" applyAlignment="1">
      <alignment horizontal="center"/>
    </xf>
    <xf numFmtId="1" fontId="20" fillId="0" borderId="0" xfId="0" applyNumberFormat="1" applyFont="1"/>
    <xf numFmtId="0" fontId="25" fillId="0" borderId="0" xfId="0" applyFont="1"/>
    <xf numFmtId="173" fontId="20" fillId="0" borderId="0" xfId="0" applyNumberFormat="1" applyFont="1"/>
    <xf numFmtId="173" fontId="23" fillId="3" borderId="3" xfId="0" applyNumberFormat="1" applyFont="1" applyFill="1" applyBorder="1"/>
    <xf numFmtId="173" fontId="20" fillId="0" borderId="2" xfId="0" applyNumberFormat="1" applyFont="1" applyBorder="1"/>
    <xf numFmtId="0" fontId="39" fillId="5" borderId="0" xfId="0" applyFont="1" applyFill="1"/>
    <xf numFmtId="0" fontId="10" fillId="0" borderId="0" xfId="41"/>
    <xf numFmtId="0" fontId="10" fillId="4" borderId="0" xfId="41" applyFill="1"/>
    <xf numFmtId="0" fontId="41" fillId="0" borderId="0" xfId="41" applyFont="1"/>
    <xf numFmtId="4" fontId="10" fillId="0" borderId="0" xfId="41" applyNumberFormat="1"/>
    <xf numFmtId="0" fontId="10" fillId="4" borderId="6" xfId="41" applyFill="1" applyBorder="1" applyAlignment="1">
      <alignment horizontal="center"/>
    </xf>
    <xf numFmtId="0" fontId="10" fillId="4" borderId="7" xfId="41" applyFill="1" applyBorder="1" applyAlignment="1">
      <alignment horizontal="center"/>
    </xf>
    <xf numFmtId="0" fontId="10" fillId="4" borderId="0" xfId="41" applyFill="1" applyAlignment="1">
      <alignment horizontal="center"/>
    </xf>
    <xf numFmtId="4" fontId="10" fillId="0" borderId="10" xfId="41" applyNumberFormat="1" applyBorder="1"/>
    <xf numFmtId="4" fontId="42" fillId="0" borderId="0" xfId="41" applyNumberFormat="1" applyFont="1"/>
    <xf numFmtId="4" fontId="10" fillId="0" borderId="11" xfId="41" applyNumberFormat="1" applyBorder="1"/>
    <xf numFmtId="4" fontId="42" fillId="0" borderId="12" xfId="41" applyNumberFormat="1" applyFont="1" applyBorder="1"/>
    <xf numFmtId="4" fontId="10" fillId="0" borderId="13" xfId="41" applyNumberFormat="1" applyBorder="1"/>
    <xf numFmtId="4" fontId="43" fillId="4" borderId="10" xfId="41" applyNumberFormat="1" applyFont="1" applyFill="1" applyBorder="1"/>
    <xf numFmtId="4" fontId="44" fillId="4" borderId="0" xfId="41" applyNumberFormat="1" applyFont="1" applyFill="1"/>
    <xf numFmtId="4" fontId="10" fillId="4" borderId="0" xfId="41" applyNumberFormat="1" applyFill="1"/>
    <xf numFmtId="4" fontId="10" fillId="4" borderId="11" xfId="41" applyNumberFormat="1" applyFill="1" applyBorder="1"/>
    <xf numFmtId="4" fontId="44" fillId="0" borderId="13" xfId="41" applyNumberFormat="1" applyFont="1" applyBorder="1"/>
    <xf numFmtId="4" fontId="44" fillId="0" borderId="12" xfId="41" applyNumberFormat="1" applyFont="1" applyBorder="1"/>
    <xf numFmtId="4" fontId="10" fillId="4" borderId="10" xfId="41" applyNumberFormat="1" applyFill="1" applyBorder="1"/>
    <xf numFmtId="4" fontId="45" fillId="0" borderId="12" xfId="41" applyNumberFormat="1" applyFont="1" applyBorder="1"/>
    <xf numFmtId="4" fontId="10" fillId="0" borderId="12" xfId="41" applyNumberFormat="1" applyBorder="1"/>
    <xf numFmtId="4" fontId="46" fillId="0" borderId="12" xfId="41" applyNumberFormat="1" applyFont="1" applyBorder="1"/>
    <xf numFmtId="4" fontId="47" fillId="0" borderId="12" xfId="41" applyNumberFormat="1" applyFont="1" applyBorder="1"/>
    <xf numFmtId="4" fontId="32" fillId="6" borderId="14" xfId="41" applyNumberFormat="1" applyFont="1" applyFill="1" applyBorder="1" applyAlignment="1">
      <alignment horizontal="right" vertical="center"/>
    </xf>
    <xf numFmtId="4" fontId="32" fillId="6" borderId="15" xfId="41" applyNumberFormat="1" applyFont="1" applyFill="1" applyBorder="1" applyAlignment="1">
      <alignment horizontal="right" vertical="center"/>
    </xf>
    <xf numFmtId="4" fontId="10" fillId="7" borderId="13" xfId="41" applyNumberFormat="1" applyFill="1" applyBorder="1"/>
    <xf numFmtId="4" fontId="10" fillId="0" borderId="16" xfId="41" applyNumberFormat="1" applyBorder="1"/>
    <xf numFmtId="4" fontId="10" fillId="4" borderId="18" xfId="41" applyNumberFormat="1" applyFill="1" applyBorder="1"/>
    <xf numFmtId="4" fontId="10" fillId="4" borderId="19" xfId="41" applyNumberFormat="1" applyFill="1" applyBorder="1"/>
    <xf numFmtId="4" fontId="46" fillId="4" borderId="20" xfId="41" applyNumberFormat="1" applyFont="1" applyFill="1" applyBorder="1"/>
    <xf numFmtId="4" fontId="46" fillId="4" borderId="19" xfId="41" applyNumberFormat="1" applyFont="1" applyFill="1" applyBorder="1"/>
    <xf numFmtId="4" fontId="10" fillId="4" borderId="21" xfId="41" applyNumberFormat="1" applyFill="1" applyBorder="1"/>
    <xf numFmtId="0" fontId="41" fillId="0" borderId="0" xfId="41" applyFont="1" applyAlignment="1">
      <alignment wrapText="1"/>
    </xf>
    <xf numFmtId="4" fontId="44" fillId="4" borderId="12" xfId="41" applyNumberFormat="1" applyFont="1" applyFill="1" applyBorder="1"/>
    <xf numFmtId="4" fontId="0" fillId="0" borderId="2" xfId="0" applyNumberFormat="1" applyBorder="1" applyAlignment="1">
      <alignment horizontal="center"/>
    </xf>
    <xf numFmtId="4" fontId="10" fillId="9" borderId="10" xfId="41" applyNumberFormat="1" applyFill="1" applyBorder="1"/>
    <xf numFmtId="4" fontId="10" fillId="9" borderId="17" xfId="41" applyNumberFormat="1" applyFill="1" applyBorder="1"/>
    <xf numFmtId="0" fontId="8" fillId="0" borderId="0" xfId="41" applyFont="1"/>
    <xf numFmtId="4" fontId="10" fillId="0" borderId="22" xfId="41" applyNumberFormat="1" applyBorder="1"/>
    <xf numFmtId="173" fontId="10" fillId="0" borderId="0" xfId="41" applyNumberFormat="1"/>
    <xf numFmtId="173" fontId="10" fillId="0" borderId="22" xfId="41" applyNumberFormat="1" applyBorder="1"/>
    <xf numFmtId="174" fontId="25" fillId="0" borderId="0" xfId="0" applyNumberFormat="1" applyFont="1" applyAlignment="1">
      <alignment horizontal="center"/>
    </xf>
    <xf numFmtId="174" fontId="18" fillId="0" borderId="2" xfId="0" applyNumberFormat="1" applyFont="1" applyBorder="1" applyAlignment="1">
      <alignment horizontal="center"/>
    </xf>
    <xf numFmtId="174" fontId="29" fillId="0" borderId="2" xfId="0" applyNumberFormat="1" applyFont="1" applyBorder="1" applyAlignment="1">
      <alignment horizontal="center" vertical="center"/>
    </xf>
    <xf numFmtId="174" fontId="0" fillId="0" borderId="2" xfId="0" applyNumberFormat="1" applyBorder="1" applyAlignment="1">
      <alignment horizontal="center"/>
    </xf>
    <xf numFmtId="174" fontId="26" fillId="0" borderId="0" xfId="0" applyNumberFormat="1" applyFont="1" applyAlignment="1">
      <alignment horizontal="center"/>
    </xf>
    <xf numFmtId="174" fontId="24" fillId="0" borderId="0" xfId="0" applyNumberFormat="1" applyFont="1" applyAlignment="1">
      <alignment horizontal="center"/>
    </xf>
    <xf numFmtId="172" fontId="18" fillId="0" borderId="0" xfId="0" applyNumberFormat="1" applyFont="1" applyAlignment="1">
      <alignment horizontal="right"/>
    </xf>
    <xf numFmtId="172" fontId="27" fillId="0" borderId="2" xfId="0" applyNumberFormat="1" applyFont="1" applyBorder="1" applyAlignment="1">
      <alignment horizontal="right"/>
    </xf>
    <xf numFmtId="172" fontId="29" fillId="4" borderId="2" xfId="0" applyNumberFormat="1" applyFont="1" applyFill="1" applyBorder="1" applyAlignment="1">
      <alignment horizontal="right"/>
    </xf>
    <xf numFmtId="172" fontId="29" fillId="2" borderId="2" xfId="0" applyNumberFormat="1" applyFont="1" applyFill="1" applyBorder="1" applyAlignment="1">
      <alignment horizontal="right"/>
    </xf>
    <xf numFmtId="172" fontId="29" fillId="0" borderId="2" xfId="0" applyNumberFormat="1" applyFont="1" applyBorder="1" applyAlignment="1">
      <alignment horizontal="right"/>
    </xf>
    <xf numFmtId="172" fontId="29" fillId="8" borderId="2" xfId="0" applyNumberFormat="1" applyFont="1" applyFill="1" applyBorder="1" applyAlignment="1">
      <alignment horizontal="right"/>
    </xf>
    <xf numFmtId="172" fontId="31" fillId="0" borderId="4" xfId="43" applyNumberFormat="1" applyFont="1" applyBorder="1" applyAlignment="1">
      <alignment horizontal="center"/>
    </xf>
    <xf numFmtId="172" fontId="31" fillId="0" borderId="23" xfId="43" applyNumberFormat="1" applyFont="1" applyBorder="1" applyAlignment="1">
      <alignment horizontal="center"/>
    </xf>
    <xf numFmtId="172" fontId="0" fillId="0" borderId="2" xfId="0" applyNumberFormat="1" applyBorder="1" applyAlignment="1">
      <alignment horizontal="right"/>
    </xf>
    <xf numFmtId="172" fontId="26" fillId="0" borderId="0" xfId="0" applyNumberFormat="1" applyFont="1" applyAlignment="1">
      <alignment horizontal="right"/>
    </xf>
    <xf numFmtId="172" fontId="24" fillId="0" borderId="0" xfId="0" applyNumberFormat="1" applyFont="1" applyAlignment="1">
      <alignment horizontal="right"/>
    </xf>
    <xf numFmtId="173" fontId="24" fillId="0" borderId="2" xfId="0" applyNumberFormat="1" applyFont="1" applyBorder="1"/>
    <xf numFmtId="173" fontId="24" fillId="0" borderId="24" xfId="0" applyNumberFormat="1" applyFont="1" applyBorder="1"/>
    <xf numFmtId="173" fontId="0" fillId="0" borderId="2" xfId="0" applyNumberFormat="1" applyBorder="1"/>
    <xf numFmtId="0" fontId="7" fillId="0" borderId="0" xfId="41" applyFont="1"/>
    <xf numFmtId="0" fontId="5" fillId="0" borderId="0" xfId="41" applyFont="1"/>
    <xf numFmtId="0" fontId="33" fillId="0" borderId="0" xfId="41" applyFont="1"/>
    <xf numFmtId="0" fontId="17" fillId="0" borderId="0" xfId="0" applyFont="1"/>
    <xf numFmtId="4" fontId="18" fillId="0" borderId="0" xfId="0" applyNumberFormat="1" applyFont="1" applyAlignment="1">
      <alignment horizontal="right"/>
    </xf>
    <xf numFmtId="4" fontId="26" fillId="0" borderId="0" xfId="0" applyNumberFormat="1" applyFont="1"/>
    <xf numFmtId="4" fontId="24" fillId="0" borderId="0" xfId="0" applyNumberFormat="1" applyFont="1"/>
    <xf numFmtId="4" fontId="4" fillId="0" borderId="0" xfId="45" applyNumberFormat="1"/>
    <xf numFmtId="0" fontId="18" fillId="0" borderId="0" xfId="0" applyFont="1" applyAlignment="1">
      <alignment horizontal="center"/>
    </xf>
    <xf numFmtId="4" fontId="49" fillId="0" borderId="0" xfId="0" applyNumberFormat="1" applyFont="1" applyAlignment="1">
      <alignment horizontal="right"/>
    </xf>
    <xf numFmtId="0" fontId="27" fillId="2" borderId="2" xfId="0" applyFont="1" applyFill="1" applyBorder="1" applyAlignment="1">
      <alignment horizontal="center"/>
    </xf>
    <xf numFmtId="4" fontId="27" fillId="0" borderId="2" xfId="0" applyNumberFormat="1" applyFont="1" applyBorder="1" applyAlignment="1">
      <alignment horizontal="right"/>
    </xf>
    <xf numFmtId="4" fontId="26" fillId="0" borderId="2" xfId="0" applyNumberFormat="1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51" fillId="0" borderId="2" xfId="0" applyFont="1" applyBorder="1" applyAlignment="1">
      <alignment horizontal="center" wrapText="1"/>
    </xf>
    <xf numFmtId="4" fontId="52" fillId="0" borderId="2" xfId="0" applyNumberFormat="1" applyFont="1" applyBorder="1" applyAlignment="1">
      <alignment wrapText="1"/>
    </xf>
    <xf numFmtId="4" fontId="0" fillId="0" borderId="2" xfId="0" applyNumberFormat="1" applyBorder="1" applyAlignment="1">
      <alignment horizontal="left" wrapText="1"/>
    </xf>
    <xf numFmtId="4" fontId="24" fillId="0" borderId="2" xfId="0" applyNumberFormat="1" applyFont="1" applyBorder="1" applyAlignment="1">
      <alignment wrapText="1"/>
    </xf>
    <xf numFmtId="0" fontId="27" fillId="0" borderId="2" xfId="0" applyFont="1" applyBorder="1" applyAlignment="1">
      <alignment horizontal="center" wrapText="1"/>
    </xf>
    <xf numFmtId="4" fontId="24" fillId="0" borderId="2" xfId="0" applyNumberFormat="1" applyFont="1" applyBorder="1"/>
    <xf numFmtId="175" fontId="26" fillId="0" borderId="0" xfId="0" applyNumberFormat="1" applyFont="1" applyAlignment="1">
      <alignment horizontal="center"/>
    </xf>
    <xf numFmtId="0" fontId="26" fillId="2" borderId="0" xfId="0" applyFont="1" applyFill="1"/>
    <xf numFmtId="4" fontId="26" fillId="0" borderId="0" xfId="0" applyNumberFormat="1" applyFont="1" applyAlignment="1">
      <alignment horizontal="right"/>
    </xf>
    <xf numFmtId="175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center"/>
    </xf>
    <xf numFmtId="4" fontId="26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80" fontId="20" fillId="0" borderId="0" xfId="0" applyNumberFormat="1" applyFont="1"/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53" fillId="2" borderId="2" xfId="0" applyFont="1" applyFill="1" applyBorder="1"/>
    <xf numFmtId="4" fontId="0" fillId="0" borderId="2" xfId="0" applyNumberFormat="1" applyBorder="1" applyAlignment="1">
      <alignment horizontal="right"/>
    </xf>
    <xf numFmtId="4" fontId="24" fillId="0" borderId="0" xfId="0" applyNumberFormat="1" applyFont="1" applyAlignment="1">
      <alignment wrapText="1"/>
    </xf>
    <xf numFmtId="0" fontId="54" fillId="0" borderId="0" xfId="41" applyFont="1"/>
    <xf numFmtId="0" fontId="55" fillId="0" borderId="0" xfId="0" applyFont="1"/>
    <xf numFmtId="169" fontId="56" fillId="0" borderId="2" xfId="0" applyNumberFormat="1" applyFont="1" applyBorder="1" applyAlignment="1">
      <alignment horizontal="center"/>
    </xf>
    <xf numFmtId="0" fontId="57" fillId="2" borderId="2" xfId="0" applyFont="1" applyFill="1" applyBorder="1" applyAlignment="1">
      <alignment horizontal="center"/>
    </xf>
    <xf numFmtId="4" fontId="57" fillId="0" borderId="2" xfId="0" applyNumberFormat="1" applyFont="1" applyBorder="1" applyAlignment="1">
      <alignment horizontal="right"/>
    </xf>
    <xf numFmtId="4" fontId="56" fillId="0" borderId="2" xfId="0" applyNumberFormat="1" applyFont="1" applyBorder="1" applyAlignment="1">
      <alignment wrapText="1"/>
    </xf>
    <xf numFmtId="0" fontId="57" fillId="0" borderId="2" xfId="0" applyFont="1" applyBorder="1" applyAlignment="1">
      <alignment horizontal="center" wrapText="1"/>
    </xf>
    <xf numFmtId="4" fontId="56" fillId="4" borderId="2" xfId="0" applyNumberFormat="1" applyFont="1" applyFill="1" applyBorder="1" applyAlignment="1">
      <alignment vertical="center"/>
    </xf>
    <xf numFmtId="4" fontId="58" fillId="8" borderId="2" xfId="0" applyNumberFormat="1" applyFont="1" applyFill="1" applyBorder="1" applyAlignment="1">
      <alignment horizontal="right"/>
    </xf>
    <xf numFmtId="0" fontId="56" fillId="0" borderId="0" xfId="0" applyFont="1" applyAlignment="1">
      <alignment horizontal="center"/>
    </xf>
    <xf numFmtId="0" fontId="56" fillId="2" borderId="0" xfId="0" applyFont="1" applyFill="1"/>
    <xf numFmtId="4" fontId="56" fillId="0" borderId="0" xfId="0" applyNumberFormat="1" applyFont="1" applyAlignment="1">
      <alignment horizontal="right"/>
    </xf>
    <xf numFmtId="4" fontId="56" fillId="0" borderId="0" xfId="0" applyNumberFormat="1" applyFont="1"/>
    <xf numFmtId="0" fontId="56" fillId="2" borderId="2" xfId="0" applyFont="1" applyFill="1" applyBorder="1" applyAlignment="1">
      <alignment wrapText="1"/>
    </xf>
    <xf numFmtId="0" fontId="56" fillId="0" borderId="2" xfId="0" applyFont="1" applyBorder="1" applyAlignment="1">
      <alignment horizontal="center" wrapText="1"/>
    </xf>
    <xf numFmtId="4" fontId="56" fillId="0" borderId="2" xfId="0" applyNumberFormat="1" applyFont="1" applyBorder="1" applyAlignment="1">
      <alignment horizontal="left" wrapText="1"/>
    </xf>
    <xf numFmtId="0" fontId="56" fillId="0" borderId="0" xfId="0" applyFont="1"/>
    <xf numFmtId="4" fontId="56" fillId="4" borderId="2" xfId="0" applyNumberFormat="1" applyFont="1" applyFill="1" applyBorder="1" applyAlignment="1">
      <alignment wrapText="1"/>
    </xf>
    <xf numFmtId="4" fontId="56" fillId="8" borderId="2" xfId="0" applyNumberFormat="1" applyFont="1" applyFill="1" applyBorder="1" applyAlignment="1">
      <alignment wrapText="1"/>
    </xf>
    <xf numFmtId="4" fontId="56" fillId="4" borderId="2" xfId="0" applyNumberFormat="1" applyFont="1" applyFill="1" applyBorder="1" applyAlignment="1">
      <alignment horizontal="left" wrapText="1"/>
    </xf>
    <xf numFmtId="0" fontId="56" fillId="8" borderId="2" xfId="0" applyFont="1" applyFill="1" applyBorder="1" applyAlignment="1">
      <alignment wrapText="1"/>
    </xf>
    <xf numFmtId="0" fontId="56" fillId="4" borderId="2" xfId="0" applyFont="1" applyFill="1" applyBorder="1" applyAlignment="1">
      <alignment horizontal="center" wrapText="1"/>
    </xf>
    <xf numFmtId="4" fontId="56" fillId="4" borderId="2" xfId="0" applyNumberFormat="1" applyFont="1" applyFill="1" applyBorder="1" applyAlignment="1">
      <alignment horizontal="center" wrapText="1"/>
    </xf>
    <xf numFmtId="4" fontId="56" fillId="0" borderId="2" xfId="0" applyNumberFormat="1" applyFont="1" applyBorder="1"/>
    <xf numFmtId="169" fontId="56" fillId="2" borderId="2" xfId="0" applyNumberFormat="1" applyFont="1" applyFill="1" applyBorder="1" applyAlignment="1">
      <alignment horizontal="center"/>
    </xf>
    <xf numFmtId="4" fontId="56" fillId="4" borderId="2" xfId="29" applyNumberFormat="1" applyFont="1" applyFill="1" applyBorder="1" applyAlignment="1" applyProtection="1">
      <alignment horizontal="right"/>
    </xf>
    <xf numFmtId="4" fontId="56" fillId="4" borderId="2" xfId="0" applyNumberFormat="1" applyFont="1" applyFill="1" applyBorder="1"/>
    <xf numFmtId="4" fontId="56" fillId="4" borderId="0" xfId="0" applyNumberFormat="1" applyFont="1" applyFill="1"/>
    <xf numFmtId="0" fontId="56" fillId="4" borderId="0" xfId="0" applyFont="1" applyFill="1"/>
    <xf numFmtId="0" fontId="56" fillId="2" borderId="2" xfId="0" applyFont="1" applyFill="1" applyBorder="1"/>
    <xf numFmtId="4" fontId="56" fillId="0" borderId="2" xfId="0" applyNumberFormat="1" applyFont="1" applyBorder="1" applyAlignment="1">
      <alignment horizontal="right"/>
    </xf>
    <xf numFmtId="0" fontId="56" fillId="2" borderId="2" xfId="0" applyFont="1" applyFill="1" applyBorder="1" applyAlignment="1">
      <alignment horizontal="left" vertical="center" wrapText="1"/>
    </xf>
    <xf numFmtId="0" fontId="29" fillId="0" borderId="2" xfId="0" applyFont="1" applyBorder="1" applyAlignment="1">
      <alignment vertical="center"/>
    </xf>
    <xf numFmtId="4" fontId="59" fillId="0" borderId="2" xfId="0" applyNumberFormat="1" applyFont="1" applyBorder="1" applyAlignment="1">
      <alignment vertical="center"/>
    </xf>
    <xf numFmtId="4" fontId="59" fillId="4" borderId="2" xfId="0" applyNumberFormat="1" applyFont="1" applyFill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4" fontId="29" fillId="2" borderId="2" xfId="0" applyNumberFormat="1" applyFont="1" applyFill="1" applyBorder="1" applyAlignment="1">
      <alignment vertical="center"/>
    </xf>
    <xf numFmtId="0" fontId="60" fillId="0" borderId="3" xfId="0" applyFont="1" applyBorder="1" applyAlignment="1">
      <alignment horizontal="left" vertical="center"/>
    </xf>
    <xf numFmtId="0" fontId="60" fillId="0" borderId="2" xfId="0" applyFont="1" applyBorder="1"/>
    <xf numFmtId="4" fontId="60" fillId="4" borderId="3" xfId="0" applyNumberFormat="1" applyFont="1" applyFill="1" applyBorder="1" applyAlignment="1">
      <alignment horizontal="right" vertical="center"/>
    </xf>
    <xf numFmtId="168" fontId="61" fillId="4" borderId="2" xfId="35" applyFont="1" applyFill="1" applyBorder="1" applyAlignment="1" applyProtection="1">
      <alignment horizontal="center"/>
    </xf>
    <xf numFmtId="4" fontId="29" fillId="4" borderId="2" xfId="0" applyNumberFormat="1" applyFont="1" applyFill="1" applyBorder="1" applyAlignment="1">
      <alignment horizontal="right"/>
    </xf>
    <xf numFmtId="4" fontId="29" fillId="2" borderId="2" xfId="0" applyNumberFormat="1" applyFont="1" applyFill="1" applyBorder="1" applyAlignment="1">
      <alignment horizontal="right"/>
    </xf>
    <xf numFmtId="4" fontId="29" fillId="8" borderId="2" xfId="0" applyNumberFormat="1" applyFont="1" applyFill="1" applyBorder="1" applyAlignment="1">
      <alignment horizontal="right"/>
    </xf>
    <xf numFmtId="4" fontId="59" fillId="4" borderId="2" xfId="0" applyNumberFormat="1" applyFont="1" applyFill="1" applyBorder="1" applyAlignment="1">
      <alignment horizontal="right"/>
    </xf>
    <xf numFmtId="4" fontId="62" fillId="0" borderId="2" xfId="0" applyNumberFormat="1" applyFont="1" applyBorder="1" applyAlignment="1">
      <alignment horizontal="right"/>
    </xf>
    <xf numFmtId="4" fontId="56" fillId="4" borderId="2" xfId="0" applyNumberFormat="1" applyFont="1" applyFill="1" applyBorder="1" applyAlignment="1">
      <alignment horizontal="right" wrapText="1"/>
    </xf>
    <xf numFmtId="0" fontId="32" fillId="0" borderId="29" xfId="19" applyFont="1" applyBorder="1" applyAlignment="1">
      <alignment horizontal="left" vertical="center"/>
    </xf>
    <xf numFmtId="0" fontId="32" fillId="0" borderId="2" xfId="19" applyFont="1" applyBorder="1" applyAlignment="1">
      <alignment horizontal="left" vertical="center"/>
    </xf>
    <xf numFmtId="4" fontId="59" fillId="0" borderId="28" xfId="0" applyNumberFormat="1" applyFont="1" applyBorder="1" applyAlignment="1">
      <alignment vertical="center"/>
    </xf>
    <xf numFmtId="43" fontId="56" fillId="0" borderId="0" xfId="0" applyNumberFormat="1" applyFont="1"/>
    <xf numFmtId="4" fontId="67" fillId="0" borderId="0" xfId="0" applyNumberFormat="1" applyFont="1"/>
    <xf numFmtId="172" fontId="67" fillId="0" borderId="0" xfId="0" applyNumberFormat="1" applyFont="1"/>
    <xf numFmtId="180" fontId="67" fillId="0" borderId="0" xfId="0" applyNumberFormat="1" applyFont="1"/>
    <xf numFmtId="172" fontId="68" fillId="0" borderId="0" xfId="0" applyNumberFormat="1" applyFont="1"/>
    <xf numFmtId="172" fontId="68" fillId="0" borderId="0" xfId="0" applyNumberFormat="1" applyFont="1" applyAlignment="1">
      <alignment wrapText="1"/>
    </xf>
    <xf numFmtId="4" fontId="69" fillId="0" borderId="0" xfId="0" applyNumberFormat="1" applyFont="1"/>
    <xf numFmtId="4" fontId="70" fillId="0" borderId="0" xfId="0" applyNumberFormat="1" applyFont="1"/>
    <xf numFmtId="180" fontId="69" fillId="0" borderId="0" xfId="0" applyNumberFormat="1" applyFont="1"/>
    <xf numFmtId="168" fontId="61" fillId="0" borderId="2" xfId="35" applyFont="1" applyBorder="1" applyAlignment="1" applyProtection="1">
      <alignment horizontal="center"/>
    </xf>
    <xf numFmtId="4" fontId="59" fillId="4" borderId="28" xfId="0" applyNumberFormat="1" applyFont="1" applyFill="1" applyBorder="1" applyAlignment="1">
      <alignment horizontal="right"/>
    </xf>
    <xf numFmtId="4" fontId="59" fillId="4" borderId="30" xfId="0" applyNumberFormat="1" applyFont="1" applyFill="1" applyBorder="1" applyAlignment="1">
      <alignment vertical="center"/>
    </xf>
    <xf numFmtId="0" fontId="72" fillId="0" borderId="29" xfId="0" applyFont="1" applyBorder="1" applyAlignment="1">
      <alignment horizontal="left" vertical="center"/>
    </xf>
    <xf numFmtId="0" fontId="34" fillId="0" borderId="2" xfId="0" applyFont="1" applyBorder="1" applyAlignment="1">
      <alignment vertical="center"/>
    </xf>
    <xf numFmtId="4" fontId="56" fillId="4" borderId="27" xfId="29" applyNumberFormat="1" applyFont="1" applyFill="1" applyBorder="1" applyAlignment="1" applyProtection="1">
      <alignment horizontal="right"/>
    </xf>
    <xf numFmtId="0" fontId="63" fillId="0" borderId="2" xfId="0" applyFont="1" applyBorder="1" applyAlignment="1">
      <alignment horizontal="left"/>
    </xf>
    <xf numFmtId="4" fontId="63" fillId="0" borderId="2" xfId="0" applyNumberFormat="1" applyFont="1" applyBorder="1" applyAlignment="1">
      <alignment horizontal="right"/>
    </xf>
    <xf numFmtId="0" fontId="54" fillId="0" borderId="2" xfId="0" applyFont="1" applyBorder="1"/>
    <xf numFmtId="178" fontId="54" fillId="4" borderId="2" xfId="0" applyNumberFormat="1" applyFont="1" applyFill="1" applyBorder="1" applyAlignment="1">
      <alignment horizontal="center"/>
    </xf>
    <xf numFmtId="0" fontId="54" fillId="0" borderId="2" xfId="0" applyFont="1" applyBorder="1" applyAlignment="1">
      <alignment horizontal="left" wrapText="1"/>
    </xf>
    <xf numFmtId="178" fontId="54" fillId="0" borderId="2" xfId="0" applyNumberFormat="1" applyFont="1" applyBorder="1" applyAlignment="1">
      <alignment horizontal="center"/>
    </xf>
    <xf numFmtId="0" fontId="54" fillId="0" borderId="2" xfId="0" applyFont="1" applyBorder="1" applyAlignment="1">
      <alignment horizontal="left"/>
    </xf>
    <xf numFmtId="178" fontId="64" fillId="0" borderId="2" xfId="0" applyNumberFormat="1" applyFont="1" applyBorder="1" applyAlignment="1">
      <alignment horizontal="center"/>
    </xf>
    <xf numFmtId="0" fontId="33" fillId="0" borderId="2" xfId="21" applyFont="1" applyBorder="1" applyAlignment="1">
      <alignment horizontal="left" vertical="center"/>
    </xf>
    <xf numFmtId="4" fontId="60" fillId="4" borderId="2" xfId="0" applyNumberFormat="1" applyFont="1" applyFill="1" applyBorder="1" applyAlignment="1">
      <alignment horizontal="right" vertical="center"/>
    </xf>
    <xf numFmtId="178" fontId="56" fillId="0" borderId="0" xfId="0" applyNumberFormat="1" applyFont="1"/>
    <xf numFmtId="178" fontId="54" fillId="0" borderId="31" xfId="0" applyNumberFormat="1" applyFont="1" applyBorder="1" applyAlignment="1">
      <alignment horizontal="center"/>
    </xf>
    <xf numFmtId="180" fontId="0" fillId="0" borderId="0" xfId="0" applyNumberFormat="1"/>
    <xf numFmtId="0" fontId="2" fillId="0" borderId="0" xfId="41" applyFont="1"/>
    <xf numFmtId="4" fontId="48" fillId="0" borderId="0" xfId="41" applyNumberFormat="1" applyFont="1"/>
    <xf numFmtId="0" fontId="57" fillId="2" borderId="2" xfId="0" applyFont="1" applyFill="1" applyBorder="1" applyAlignment="1">
      <alignment horizontal="left"/>
    </xf>
    <xf numFmtId="4" fontId="56" fillId="0" borderId="2" xfId="0" applyNumberFormat="1" applyFont="1" applyBorder="1" applyAlignment="1">
      <alignment horizontal="right" wrapText="1"/>
    </xf>
    <xf numFmtId="0" fontId="1" fillId="0" borderId="0" xfId="41" applyFont="1"/>
    <xf numFmtId="17" fontId="65" fillId="0" borderId="0" xfId="41" applyNumberFormat="1" applyFont="1" applyAlignment="1">
      <alignment horizontal="center"/>
    </xf>
    <xf numFmtId="17" fontId="66" fillId="0" borderId="0" xfId="0" applyNumberFormat="1" applyFont="1" applyAlignment="1">
      <alignment horizontal="center"/>
    </xf>
    <xf numFmtId="180" fontId="69" fillId="0" borderId="0" xfId="0" applyNumberFormat="1" applyFont="1"/>
    <xf numFmtId="180" fontId="0" fillId="0" borderId="0" xfId="0" applyNumberFormat="1"/>
    <xf numFmtId="0" fontId="6" fillId="0" borderId="0" xfId="41" applyFont="1"/>
    <xf numFmtId="0" fontId="0" fillId="0" borderId="0" xfId="0"/>
    <xf numFmtId="0" fontId="10" fillId="4" borderId="5" xfId="4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8" xfId="4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41" applyFont="1" applyBorder="1" applyAlignment="1">
      <alignment horizontal="center"/>
    </xf>
    <xf numFmtId="4" fontId="50" fillId="0" borderId="25" xfId="0" applyNumberFormat="1" applyFont="1" applyBorder="1" applyAlignment="1">
      <alignment horizontal="center"/>
    </xf>
    <xf numFmtId="0" fontId="0" fillId="0" borderId="26" xfId="0" applyBorder="1"/>
    <xf numFmtId="1" fontId="25" fillId="0" borderId="0" xfId="0" applyNumberFormat="1" applyFont="1"/>
    <xf numFmtId="4" fontId="2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82" fontId="25" fillId="0" borderId="0" xfId="0" applyNumberFormat="1" applyFont="1"/>
    <xf numFmtId="182" fontId="25" fillId="0" borderId="0" xfId="0" applyNumberFormat="1" applyFont="1" applyAlignment="1">
      <alignment horizontal="center"/>
    </xf>
    <xf numFmtId="182" fontId="18" fillId="0" borderId="0" xfId="0" applyNumberFormat="1" applyFont="1" applyAlignment="1">
      <alignment horizontal="center"/>
    </xf>
    <xf numFmtId="182" fontId="18" fillId="0" borderId="2" xfId="0" applyNumberFormat="1" applyFont="1" applyBorder="1" applyAlignment="1">
      <alignment horizontal="center"/>
    </xf>
    <xf numFmtId="182" fontId="56" fillId="0" borderId="2" xfId="0" applyNumberFormat="1" applyFont="1" applyBorder="1" applyAlignment="1">
      <alignment horizontal="center"/>
    </xf>
    <xf numFmtId="182" fontId="34" fillId="0" borderId="0" xfId="0" applyNumberFormat="1" applyFont="1" applyAlignment="1">
      <alignment horizontal="center" vertical="center"/>
    </xf>
    <xf numFmtId="182" fontId="71" fillId="0" borderId="2" xfId="0" applyNumberFormat="1" applyFont="1" applyBorder="1" applyAlignment="1">
      <alignment horizontal="center" vertical="center"/>
    </xf>
    <xf numFmtId="182" fontId="56" fillId="0" borderId="0" xfId="0" applyNumberFormat="1" applyFont="1" applyAlignment="1">
      <alignment horizontal="center"/>
    </xf>
    <xf numFmtId="182" fontId="59" fillId="4" borderId="2" xfId="0" applyNumberFormat="1" applyFont="1" applyFill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182" fontId="24" fillId="0" borderId="0" xfId="0" applyNumberFormat="1" applyFont="1" applyAlignment="1">
      <alignment horizontal="center"/>
    </xf>
  </cellXfs>
  <cellStyles count="47">
    <cellStyle name="Comma 2" xfId="1" xr:uid="{00000000-0005-0000-0000-000006000000}"/>
    <cellStyle name="Comma 2 2" xfId="2" xr:uid="{00000000-0005-0000-0000-000007000000}"/>
    <cellStyle name="Comma 2 3" xfId="3" xr:uid="{00000000-0005-0000-0000-000008000000}"/>
    <cellStyle name="Comma 2 4" xfId="29" xr:uid="{07EF113F-07A7-48BC-ADB3-104F4A83C521}"/>
    <cellStyle name="Comma 3" xfId="4" xr:uid="{00000000-0005-0000-0000-000009000000}"/>
    <cellStyle name="Comma 3 2" xfId="5" xr:uid="{00000000-0005-0000-0000-00000A000000}"/>
    <cellStyle name="Comma 4" xfId="6" xr:uid="{00000000-0005-0000-0000-00000B000000}"/>
    <cellStyle name="Comma 4 2" xfId="7" xr:uid="{00000000-0005-0000-0000-00000C000000}"/>
    <cellStyle name="Comma 5" xfId="8" xr:uid="{00000000-0005-0000-0000-00000D000000}"/>
    <cellStyle name="Comma 5 2" xfId="35" xr:uid="{866CE058-B6B7-4938-B602-B3BF5FA73F82}"/>
    <cellStyle name="Comma 6" xfId="9" xr:uid="{00000000-0005-0000-0000-00000E000000}"/>
    <cellStyle name="Comma 7" xfId="10" xr:uid="{00000000-0005-0000-0000-00000F000000}"/>
    <cellStyle name="Comma 8" xfId="28" xr:uid="{3538516B-3834-4A1C-8299-5D771E1AD3C0}"/>
    <cellStyle name="Normal" xfId="0" builtinId="0"/>
    <cellStyle name="Normal 10" xfId="11" xr:uid="{00000000-0005-0000-0000-000010000000}"/>
    <cellStyle name="Normal 11" xfId="12" xr:uid="{00000000-0005-0000-0000-000011000000}"/>
    <cellStyle name="Normal 12" xfId="13" xr:uid="{00000000-0005-0000-0000-000012000000}"/>
    <cellStyle name="Normal 13" xfId="23" xr:uid="{E50A081D-5049-4415-887B-C17EC3413B64}"/>
    <cellStyle name="Normal 13 2" xfId="36" xr:uid="{87F7F1FD-E6F9-4F8D-807A-E72CC09B162C}"/>
    <cellStyle name="Normal 13 3" xfId="42" xr:uid="{C6309EB8-06E7-4920-AD43-0635017193AA}"/>
    <cellStyle name="Normal 14" xfId="24" xr:uid="{381B2477-9F4B-44A4-A742-FA65687BBD7B}"/>
    <cellStyle name="Normal 14 2" xfId="26" xr:uid="{4ECF812A-84C9-45F8-8B60-7BE8C4841EF4}"/>
    <cellStyle name="Normal 14 3" xfId="38" xr:uid="{B8A59692-5254-4F0E-B470-F333F46EAD0E}"/>
    <cellStyle name="Normal 15" xfId="25" xr:uid="{D2BEBD13-C178-41E0-94AD-3CAE325521F1}"/>
    <cellStyle name="Normal 16" xfId="27" xr:uid="{45D0E471-E6E6-4DD9-898F-CC22C8DF1D51}"/>
    <cellStyle name="Normal 17" xfId="31" xr:uid="{4AAE57D5-27EC-499D-ADDB-F4C34DB7994D}"/>
    <cellStyle name="Normal 18" xfId="34" xr:uid="{9D52FAE8-1404-4BD6-A3E9-48A8B76D5DCB}"/>
    <cellStyle name="Normal 19" xfId="37" xr:uid="{44E7E691-E3F7-4861-83CA-10849FEFAA0D}"/>
    <cellStyle name="Normal 2" xfId="14" xr:uid="{00000000-0005-0000-0000-000013000000}"/>
    <cellStyle name="Normal 2 2" xfId="30" xr:uid="{FDAFA270-CB00-42EA-9A7E-E6E555B0CB86}"/>
    <cellStyle name="Normal 2 3" xfId="32" xr:uid="{803B524A-4E64-42D9-9276-0DEB68E2E206}"/>
    <cellStyle name="Normal 2 3 2" xfId="33" xr:uid="{01D58E1E-2EA9-4F1E-8609-13954A3DDB6D}"/>
    <cellStyle name="Normal 2 3 2 2" xfId="44" xr:uid="{D483A482-E7F8-4632-9AA5-8347AD88EE74}"/>
    <cellStyle name="Normal 2 3 3" xfId="43" xr:uid="{3DFD120F-18EA-416F-A65E-36DD1198DE39}"/>
    <cellStyle name="Normal 2 3 3 2" xfId="46" xr:uid="{0DA256B4-7742-4892-A288-A8D3E8DCABBD}"/>
    <cellStyle name="Normal 2 4" xfId="40" xr:uid="{4A3B0F94-D93F-48AF-9542-34C99B0DAEA7}"/>
    <cellStyle name="Normal 20" xfId="39" xr:uid="{81860F1A-2172-4E0C-AB93-851569FB38AD}"/>
    <cellStyle name="Normal 20 2" xfId="41" xr:uid="{3148B996-8867-48F8-BDC5-4CCE4A8523E2}"/>
    <cellStyle name="Normal 20 2 2" xfId="45" xr:uid="{567FC6EC-AA8A-4C4C-9406-859BFBC37AD9}"/>
    <cellStyle name="Normal 3" xfId="15" xr:uid="{00000000-0005-0000-0000-000014000000}"/>
    <cellStyle name="Normal 4" xfId="16" xr:uid="{00000000-0005-0000-0000-000015000000}"/>
    <cellStyle name="Normal 5" xfId="17" xr:uid="{00000000-0005-0000-0000-000016000000}"/>
    <cellStyle name="Normal 6" xfId="18" xr:uid="{00000000-0005-0000-0000-000017000000}"/>
    <cellStyle name="Normal 7" xfId="19" xr:uid="{00000000-0005-0000-0000-000018000000}"/>
    <cellStyle name="Normal 8" xfId="20" xr:uid="{00000000-0005-0000-0000-000019000000}"/>
    <cellStyle name="Normal 9" xfId="21" xr:uid="{00000000-0005-0000-0000-00001A000000}"/>
    <cellStyle name="Percent 2" xfId="22" xr:uid="{00000000-0005-0000-0000-00001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7CAA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Shareholders%202026\03%20Shareholders\03%20LUZ%20TAFY%202026.xlsx" TargetMode="External"/><Relationship Id="rId1" Type="http://schemas.openxmlformats.org/officeDocument/2006/relationships/externalLinkPath" Target="file:///C:\Users\Andrisa\Dropbox\Andrisa\Landco\Accounts%202026\Shareholders%202026\03%20Shareholders\03%20LUZ%20TAFY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Shareholders%202026\04%20Shareholders\04%20AURORA%20STEAD%202026.xlsx" TargetMode="External"/><Relationship Id="rId1" Type="http://schemas.openxmlformats.org/officeDocument/2006/relationships/externalLinkPath" Target="file:///C:\Users\Andrisa\Dropbox\Andrisa\Landco\Accounts%202026\Shareholders%202026\04%20Shareholders\04%20AURORA%20STEAD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Shareholders%202026\04%20Shareholders\04%20CAJU%20KEVIN%202026.xlsx" TargetMode="External"/><Relationship Id="rId1" Type="http://schemas.openxmlformats.org/officeDocument/2006/relationships/externalLinkPath" Target="file:///C:\Users\Andrisa\Dropbox\Andrisa\Landco\Accounts%202026\Shareholders%202026\04%20Shareholders\04%20CAJU%20KEVIN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Shareholders%202026\03%20Shareholders\03%20COCO%20COHEN2026.xlsx" TargetMode="External"/><Relationship Id="rId1" Type="http://schemas.openxmlformats.org/officeDocument/2006/relationships/externalLinkPath" Target="file:///C:\Users\Andrisa\Dropbox\Andrisa\Landco\Accounts%202026\Shareholders%202026\03%20Shareholders\03%20COCO%20COHEN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Landco%20Accounts%202026\02%20FEB%20ACCOUNTS\02%20Petty%20Cash%20PETTY%20CASH%202026.xlsx" TargetMode="External"/><Relationship Id="rId1" Type="http://schemas.openxmlformats.org/officeDocument/2006/relationships/externalLinkPath" Target="file:///C:\Users\Andrisa\Dropbox\Andrisa\Landco\Accounts%202026\Landco%20Accounts%202026\02%20FEB%20ACCOUNTS\02%20Petty%20Cash%20PETTY%20CASH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BDO%20Accounts%202026\03%20BDO%20Bank%20Control%202026.xlsx" TargetMode="External"/><Relationship Id="rId1" Type="http://schemas.openxmlformats.org/officeDocument/2006/relationships/externalLinkPath" Target="file:///C:\Users\Andrisa\Dropbox\Andrisa\Landco\Accounts%202026\BDO%20Accounts%202026\03%20BDO%20Bank%20Control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Landco%20Accounts%202026\03%20MARCH%20ACCOUNTS\03%20Petty%20Cash%20PETTY%20CASH%202026.xlsx" TargetMode="External"/><Relationship Id="rId1" Type="http://schemas.openxmlformats.org/officeDocument/2006/relationships/externalLinkPath" Target="file:///C:\Users\Andrisa\Dropbox\Andrisa\Landco\Accounts%202026\Landco%20Accounts%202026\03%20MARCH%20ACCOUNTS\03%20Petty%20Cash%20PETTY%20CAS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Y"/>
      <sheetName val="Breakdown of Income"/>
      <sheetName val="INCOME VS EXPENSES"/>
      <sheetName val=" Expenses "/>
      <sheetName val="Sheet1"/>
    </sheetNames>
    <sheetDataSet>
      <sheetData sheetId="0">
        <row r="19">
          <cell r="E19">
            <v>99370.135750000016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SUMMERY "/>
      <sheetName val="INCOME "/>
      <sheetName val=" Expenses "/>
      <sheetName val="INCOME VS EXPENSES"/>
    </sheetNames>
    <sheetDataSet>
      <sheetData sheetId="0">
        <row r="19">
          <cell r="F19">
            <v>197931.38249999995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Y"/>
      <sheetName val="Breakdown of Income"/>
      <sheetName val="INCOME VS EXPENSES"/>
      <sheetName val=" Expenses "/>
    </sheetNames>
    <sheetDataSet>
      <sheetData sheetId="0">
        <row r="3">
          <cell r="C3">
            <v>724450.72484999988</v>
          </cell>
        </row>
        <row r="19">
          <cell r="F19">
            <v>773264.78484999994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Y "/>
      <sheetName val=" INCOME"/>
      <sheetName val=" Expenses "/>
      <sheetName val="INCOME VS EXPENSES"/>
    </sheetNames>
    <sheetDataSet>
      <sheetData sheetId="0">
        <row r="19">
          <cell r="F19">
            <v>878066.80249999999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/>
      <sheetData sheetId="3">
        <row r="9">
          <cell r="F9">
            <v>353506.96250000002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J3">
            <v>227192.10249999998</v>
          </cell>
        </row>
        <row r="7">
          <cell r="J7">
            <v>606105.77500000002</v>
          </cell>
        </row>
      </sheetData>
      <sheetData sheetId="5">
        <row r="2">
          <cell r="J2">
            <v>258025.81000000017</v>
          </cell>
        </row>
        <row r="6">
          <cell r="J6">
            <v>272491.83999999985</v>
          </cell>
        </row>
      </sheetData>
      <sheetData sheetId="6">
        <row r="4">
          <cell r="G4">
            <v>-18889.39</v>
          </cell>
        </row>
        <row r="8">
          <cell r="G8">
            <v>-495</v>
          </cell>
        </row>
      </sheetData>
      <sheetData sheetId="7">
        <row r="4">
          <cell r="G4">
            <v>32537.27</v>
          </cell>
        </row>
        <row r="8">
          <cell r="G8">
            <v>32537.27</v>
          </cell>
        </row>
      </sheetData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el 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Warren Stead"/>
      <sheetName val="Brendon"/>
      <sheetName val="Robin Bouckaert"/>
    </sheetNames>
    <sheetDataSet>
      <sheetData sheetId="0"/>
      <sheetData sheetId="1"/>
      <sheetData sheetId="2">
        <row r="8">
          <cell r="F8">
            <v>213314</v>
          </cell>
        </row>
        <row r="9">
          <cell r="F9">
            <v>140192.96250000002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8FA2-4315-4C64-836B-01A381D91B9E}">
  <sheetPr>
    <pageSetUpPr fitToPage="1"/>
  </sheetPr>
  <dimension ref="A1:M746"/>
  <sheetViews>
    <sheetView tabSelected="1" zoomScale="80" zoomScaleNormal="8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B11" sqref="B11"/>
    </sheetView>
  </sheetViews>
  <sheetFormatPr defaultColWidth="14.42578125" defaultRowHeight="15" x14ac:dyDescent="0.3"/>
  <cols>
    <col min="1" max="1" width="11" style="1" customWidth="1"/>
    <col min="2" max="2" width="11" style="34" customWidth="1"/>
    <col min="3" max="3" width="51.5703125" style="1" customWidth="1"/>
    <col min="4" max="4" width="20.7109375" style="2" customWidth="1"/>
    <col min="5" max="6" width="15.7109375" style="1" customWidth="1"/>
    <col min="7" max="7" width="15.7109375" style="2" customWidth="1"/>
    <col min="8" max="9" width="15.7109375" style="1" customWidth="1"/>
    <col min="10" max="10" width="15.7109375" style="36" customWidth="1"/>
    <col min="11" max="11" width="15.7109375" style="1" customWidth="1"/>
    <col min="12" max="12" width="14.42578125" style="2"/>
    <col min="13" max="13" width="17" style="2" customWidth="1"/>
    <col min="14" max="16384" width="14.42578125" style="1"/>
  </cols>
  <sheetData>
    <row r="1" spans="1:11" ht="39" customHeight="1" x14ac:dyDescent="0.7">
      <c r="A1" s="3" t="s">
        <v>0</v>
      </c>
      <c r="B1" s="29"/>
      <c r="C1" s="4"/>
      <c r="D1" s="4" t="s">
        <v>5</v>
      </c>
      <c r="E1" s="2" t="e">
        <f>+#REF!</f>
        <v>#REF!</v>
      </c>
      <c r="F1" s="129" t="e">
        <f>+E1/63.25</f>
        <v>#REF!</v>
      </c>
    </row>
    <row r="2" spans="1:11" ht="15.75" customHeight="1" x14ac:dyDescent="0.3">
      <c r="A2" s="5"/>
      <c r="B2" s="30"/>
      <c r="D2" s="4" t="s">
        <v>6</v>
      </c>
      <c r="E2" s="2" t="e">
        <f>+#REF!</f>
        <v>#REF!</v>
      </c>
      <c r="F2" s="129" t="e">
        <f t="shared" ref="F2:F4" si="0">+E2/63.25</f>
        <v>#REF!</v>
      </c>
      <c r="G2" s="6"/>
      <c r="H2" s="7"/>
      <c r="I2" s="7"/>
    </row>
    <row r="3" spans="1:11" x14ac:dyDescent="0.3">
      <c r="A3" s="8"/>
      <c r="B3" s="31"/>
      <c r="C3" s="9"/>
      <c r="D3" s="4" t="s">
        <v>7</v>
      </c>
      <c r="E3" s="2" t="e">
        <f>+#REF!</f>
        <v>#REF!</v>
      </c>
      <c r="F3" s="129" t="e">
        <f t="shared" si="0"/>
        <v>#REF!</v>
      </c>
      <c r="G3" s="6"/>
      <c r="H3" s="10"/>
      <c r="I3" s="10"/>
    </row>
    <row r="4" spans="1:11" x14ac:dyDescent="0.3">
      <c r="A4" s="8"/>
      <c r="B4" s="31"/>
      <c r="C4" s="9"/>
      <c r="D4" s="4" t="s">
        <v>8</v>
      </c>
      <c r="E4" s="2" t="e">
        <f>+#REF!</f>
        <v>#REF!</v>
      </c>
      <c r="F4" s="129" t="e">
        <f t="shared" si="0"/>
        <v>#REF!</v>
      </c>
      <c r="G4" s="6"/>
      <c r="H4" s="10"/>
      <c r="I4" s="10"/>
    </row>
    <row r="5" spans="1:11" x14ac:dyDescent="0.3">
      <c r="A5" s="11"/>
      <c r="B5" s="32"/>
      <c r="C5" s="12"/>
      <c r="D5" s="4"/>
      <c r="E5" s="13" t="e">
        <f>SUM(E1:E4)</f>
        <v>#REF!</v>
      </c>
      <c r="F5" s="129" t="e">
        <f>+E5/63.25</f>
        <v>#REF!</v>
      </c>
      <c r="G5" s="14" t="e">
        <f>SUM(F1:F4)</f>
        <v>#REF!</v>
      </c>
      <c r="H5" s="15"/>
      <c r="I5" s="15"/>
    </row>
    <row r="6" spans="1:11" ht="17.25" customHeight="1" x14ac:dyDescent="0.3">
      <c r="A6" s="16" t="s">
        <v>1</v>
      </c>
      <c r="B6" s="33" t="s">
        <v>13</v>
      </c>
      <c r="C6" s="16" t="s">
        <v>2</v>
      </c>
      <c r="D6" s="17" t="s">
        <v>3</v>
      </c>
      <c r="E6" s="16" t="s">
        <v>5</v>
      </c>
      <c r="F6" s="17" t="s">
        <v>6</v>
      </c>
      <c r="G6" s="17" t="s">
        <v>7</v>
      </c>
      <c r="H6" s="17" t="s">
        <v>8</v>
      </c>
      <c r="I6" s="17" t="s">
        <v>15</v>
      </c>
      <c r="J6" s="37" t="s">
        <v>14</v>
      </c>
      <c r="K6" s="39" t="s">
        <v>16</v>
      </c>
    </row>
    <row r="7" spans="1:11" ht="15.75" customHeight="1" x14ac:dyDescent="0.3">
      <c r="A7" s="18">
        <v>46113</v>
      </c>
      <c r="B7" s="130">
        <v>1</v>
      </c>
      <c r="C7" s="131" t="s">
        <v>77</v>
      </c>
      <c r="D7" s="21">
        <v>38400</v>
      </c>
      <c r="E7" s="21">
        <v>38400</v>
      </c>
      <c r="F7" s="21"/>
      <c r="G7" s="21"/>
      <c r="H7" s="21"/>
      <c r="I7" s="20"/>
      <c r="J7" s="38">
        <f>+D7/63.25</f>
        <v>607.11462450592887</v>
      </c>
      <c r="K7" s="21"/>
    </row>
    <row r="8" spans="1:11" ht="15.75" customHeight="1" x14ac:dyDescent="0.3">
      <c r="A8" s="18">
        <v>46120</v>
      </c>
      <c r="B8" s="130">
        <v>3</v>
      </c>
      <c r="C8" s="19" t="s">
        <v>165</v>
      </c>
      <c r="D8" s="21">
        <v>733700</v>
      </c>
      <c r="E8" s="21"/>
      <c r="F8" s="21"/>
      <c r="G8" s="21">
        <f>+D8</f>
        <v>733700</v>
      </c>
      <c r="H8" s="21"/>
      <c r="I8" s="20"/>
      <c r="J8" s="38">
        <f>+D8/63.25</f>
        <v>11600</v>
      </c>
      <c r="K8" s="21"/>
    </row>
    <row r="9" spans="1:11" ht="15.75" customHeight="1" x14ac:dyDescent="0.3">
      <c r="A9" s="18">
        <v>46134</v>
      </c>
      <c r="B9" s="130">
        <v>4</v>
      </c>
      <c r="C9" s="19" t="s">
        <v>166</v>
      </c>
      <c r="D9" s="21">
        <f>5500*68</f>
        <v>374000</v>
      </c>
      <c r="E9" s="21"/>
      <c r="F9" s="21"/>
      <c r="G9" s="21"/>
      <c r="H9" s="21">
        <f>+D9</f>
        <v>374000</v>
      </c>
      <c r="I9" s="20"/>
      <c r="J9" s="38">
        <v>5500</v>
      </c>
      <c r="K9" s="21"/>
    </row>
    <row r="10" spans="1:11" ht="15.75" customHeight="1" x14ac:dyDescent="0.3">
      <c r="A10" s="18">
        <v>46140</v>
      </c>
      <c r="B10" s="130">
        <v>1</v>
      </c>
      <c r="C10" s="19" t="s">
        <v>73</v>
      </c>
      <c r="D10" s="21">
        <f>10000*68</f>
        <v>680000</v>
      </c>
      <c r="E10" s="21">
        <f>+D10</f>
        <v>680000</v>
      </c>
      <c r="F10" s="21"/>
      <c r="G10" s="21"/>
      <c r="H10" s="21"/>
      <c r="I10" s="20"/>
      <c r="J10" s="38">
        <v>10000</v>
      </c>
      <c r="K10" s="21"/>
    </row>
    <row r="11" spans="1:11" ht="15.75" customHeight="1" x14ac:dyDescent="0.3">
      <c r="A11" s="18">
        <v>46140</v>
      </c>
      <c r="B11" s="130">
        <v>1</v>
      </c>
      <c r="C11" s="19" t="s">
        <v>167</v>
      </c>
      <c r="D11" s="21">
        <f>3000*68</f>
        <v>204000</v>
      </c>
      <c r="E11" s="21">
        <f>+D11</f>
        <v>204000</v>
      </c>
      <c r="F11" s="21"/>
      <c r="G11" s="21"/>
      <c r="H11" s="21"/>
      <c r="I11" s="20"/>
      <c r="J11" s="38">
        <f>+D11/63.25</f>
        <v>3225.296442687747</v>
      </c>
      <c r="K11" s="21"/>
    </row>
    <row r="12" spans="1:11" ht="15.75" customHeight="1" x14ac:dyDescent="0.3">
      <c r="E12" s="2"/>
    </row>
    <row r="13" spans="1:11" ht="15.75" customHeight="1" x14ac:dyDescent="0.3"/>
    <row r="14" spans="1:11" ht="15.75" customHeight="1" x14ac:dyDescent="0.3"/>
    <row r="15" spans="1:11" ht="15.75" customHeight="1" x14ac:dyDescent="0.3"/>
    <row r="16" spans="1:11" ht="15.75" customHeight="1" x14ac:dyDescent="0.3"/>
    <row r="17" spans="1:9" ht="15.75" customHeight="1" x14ac:dyDescent="0.3"/>
    <row r="18" spans="1:9" ht="15.75" customHeight="1" x14ac:dyDescent="0.3">
      <c r="A18" s="5"/>
      <c r="B18" s="30"/>
      <c r="C18" s="4"/>
      <c r="I18" s="22"/>
    </row>
    <row r="19" spans="1:9" ht="15.75" customHeight="1" x14ac:dyDescent="0.3">
      <c r="A19" s="5"/>
      <c r="B19" s="30"/>
      <c r="C19" s="4"/>
      <c r="I19" s="22"/>
    </row>
    <row r="20" spans="1:9" ht="15.75" customHeight="1" x14ac:dyDescent="0.3">
      <c r="A20" s="5"/>
      <c r="B20" s="30"/>
      <c r="C20" s="4"/>
      <c r="I20" s="22"/>
    </row>
    <row r="21" spans="1:9" ht="15.75" customHeight="1" x14ac:dyDescent="0.3">
      <c r="A21" s="5"/>
      <c r="B21" s="30"/>
      <c r="C21" s="4"/>
      <c r="I21" s="22"/>
    </row>
    <row r="22" spans="1:9" ht="15.75" customHeight="1" x14ac:dyDescent="0.3">
      <c r="A22" s="5"/>
      <c r="B22" s="30"/>
      <c r="C22" s="4"/>
      <c r="I22" s="22"/>
    </row>
    <row r="23" spans="1:9" ht="15.75" customHeight="1" x14ac:dyDescent="0.3">
      <c r="A23" s="5"/>
      <c r="B23" s="30"/>
      <c r="C23" s="4"/>
      <c r="I23" s="22"/>
    </row>
    <row r="24" spans="1:9" ht="15.75" customHeight="1" x14ac:dyDescent="0.3">
      <c r="A24" s="5"/>
      <c r="B24" s="30"/>
      <c r="C24" s="4"/>
      <c r="I24" s="22"/>
    </row>
    <row r="25" spans="1:9" ht="15.75" customHeight="1" x14ac:dyDescent="0.3">
      <c r="A25" s="5"/>
      <c r="B25" s="30"/>
      <c r="C25" s="4"/>
      <c r="I25" s="22"/>
    </row>
    <row r="26" spans="1:9" ht="15.75" customHeight="1" x14ac:dyDescent="0.3">
      <c r="A26" s="5"/>
      <c r="B26" s="30"/>
      <c r="C26" s="4"/>
      <c r="I26" s="22"/>
    </row>
    <row r="27" spans="1:9" ht="15.75" customHeight="1" x14ac:dyDescent="0.3">
      <c r="A27" s="5"/>
      <c r="B27" s="30"/>
      <c r="C27" s="4"/>
      <c r="I27" s="22"/>
    </row>
    <row r="28" spans="1:9" ht="15.75" customHeight="1" x14ac:dyDescent="0.3">
      <c r="A28" s="5"/>
      <c r="B28" s="30"/>
      <c r="C28" s="4"/>
      <c r="I28" s="22"/>
    </row>
    <row r="29" spans="1:9" ht="15.75" customHeight="1" x14ac:dyDescent="0.3">
      <c r="A29" s="5"/>
      <c r="B29" s="30"/>
      <c r="C29" s="4"/>
      <c r="I29" s="22"/>
    </row>
    <row r="30" spans="1:9" ht="15.75" customHeight="1" x14ac:dyDescent="0.3">
      <c r="A30" s="5"/>
      <c r="B30" s="30"/>
      <c r="C30" s="4"/>
      <c r="I30" s="22"/>
    </row>
    <row r="31" spans="1:9" ht="15.75" customHeight="1" x14ac:dyDescent="0.3">
      <c r="A31" s="5"/>
      <c r="B31" s="30"/>
      <c r="C31" s="4"/>
      <c r="I31" s="22"/>
    </row>
    <row r="32" spans="1:9" ht="15.75" customHeight="1" x14ac:dyDescent="0.3">
      <c r="A32" s="5"/>
      <c r="B32" s="30"/>
      <c r="C32" s="4"/>
      <c r="I32" s="22"/>
    </row>
    <row r="33" spans="1:9" ht="15.75" customHeight="1" x14ac:dyDescent="0.3">
      <c r="A33" s="5"/>
      <c r="B33" s="30"/>
      <c r="C33" s="4"/>
      <c r="I33" s="22"/>
    </row>
    <row r="34" spans="1:9" ht="15.75" customHeight="1" x14ac:dyDescent="0.3">
      <c r="A34" s="5"/>
      <c r="B34" s="30"/>
      <c r="C34" s="4"/>
      <c r="I34" s="22"/>
    </row>
    <row r="35" spans="1:9" ht="15.75" customHeight="1" x14ac:dyDescent="0.3">
      <c r="A35" s="5"/>
      <c r="B35" s="30"/>
      <c r="C35" s="4"/>
      <c r="I35" s="22"/>
    </row>
    <row r="36" spans="1:9" ht="15.75" customHeight="1" x14ac:dyDescent="0.3">
      <c r="A36" s="5"/>
      <c r="B36" s="30"/>
      <c r="C36" s="4"/>
      <c r="I36" s="22"/>
    </row>
    <row r="37" spans="1:9" ht="15.75" customHeight="1" x14ac:dyDescent="0.3">
      <c r="A37" s="5"/>
      <c r="B37" s="30"/>
      <c r="C37" s="4"/>
      <c r="I37" s="22"/>
    </row>
    <row r="38" spans="1:9" ht="15.75" customHeight="1" x14ac:dyDescent="0.3">
      <c r="A38" s="5"/>
      <c r="B38" s="30"/>
      <c r="C38" s="4"/>
      <c r="I38" s="22"/>
    </row>
    <row r="39" spans="1:9" ht="15.75" customHeight="1" x14ac:dyDescent="0.3">
      <c r="A39" s="5"/>
      <c r="B39" s="30"/>
      <c r="C39" s="4"/>
      <c r="I39" s="22"/>
    </row>
    <row r="40" spans="1:9" ht="15.75" customHeight="1" x14ac:dyDescent="0.3">
      <c r="A40" s="5"/>
      <c r="B40" s="30"/>
      <c r="C40" s="4"/>
      <c r="I40" s="22"/>
    </row>
    <row r="41" spans="1:9" ht="15.75" customHeight="1" x14ac:dyDescent="0.3">
      <c r="A41" s="5"/>
      <c r="B41" s="30"/>
      <c r="C41" s="4"/>
      <c r="I41" s="22"/>
    </row>
    <row r="42" spans="1:9" ht="15.75" customHeight="1" x14ac:dyDescent="0.3">
      <c r="A42" s="5"/>
      <c r="B42" s="30"/>
      <c r="C42" s="4"/>
      <c r="I42" s="22"/>
    </row>
    <row r="43" spans="1:9" ht="15.75" customHeight="1" x14ac:dyDescent="0.3">
      <c r="A43" s="5"/>
      <c r="B43" s="30"/>
      <c r="C43" s="4"/>
      <c r="I43" s="22"/>
    </row>
    <row r="44" spans="1:9" ht="15.75" customHeight="1" x14ac:dyDescent="0.3">
      <c r="A44" s="5"/>
      <c r="B44" s="30"/>
      <c r="C44" s="4"/>
      <c r="I44" s="22"/>
    </row>
    <row r="45" spans="1:9" ht="15.75" customHeight="1" x14ac:dyDescent="0.3">
      <c r="A45" s="5"/>
      <c r="B45" s="30"/>
      <c r="C45" s="4"/>
      <c r="I45" s="22"/>
    </row>
    <row r="46" spans="1:9" ht="15.75" customHeight="1" x14ac:dyDescent="0.3">
      <c r="A46" s="5"/>
      <c r="B46" s="30"/>
      <c r="C46" s="4"/>
      <c r="I46" s="22"/>
    </row>
    <row r="47" spans="1:9" ht="15.75" customHeight="1" x14ac:dyDescent="0.3">
      <c r="A47" s="5"/>
      <c r="B47" s="30"/>
      <c r="C47" s="4"/>
      <c r="I47" s="22"/>
    </row>
    <row r="48" spans="1:9" ht="15.75" customHeight="1" x14ac:dyDescent="0.3">
      <c r="A48" s="5"/>
      <c r="B48" s="30"/>
      <c r="C48" s="4"/>
      <c r="I48" s="22"/>
    </row>
    <row r="49" spans="1:9" ht="15.75" customHeight="1" x14ac:dyDescent="0.3">
      <c r="A49" s="5"/>
      <c r="B49" s="30"/>
      <c r="C49" s="4"/>
      <c r="I49" s="22"/>
    </row>
    <row r="50" spans="1:9" ht="15.75" customHeight="1" x14ac:dyDescent="0.3">
      <c r="A50" s="5"/>
      <c r="B50" s="30"/>
      <c r="C50" s="4"/>
      <c r="I50" s="22"/>
    </row>
    <row r="51" spans="1:9" ht="15.75" customHeight="1" x14ac:dyDescent="0.3">
      <c r="A51" s="5"/>
      <c r="B51" s="30"/>
      <c r="C51" s="4"/>
      <c r="I51" s="22"/>
    </row>
    <row r="52" spans="1:9" ht="15.75" customHeight="1" x14ac:dyDescent="0.3">
      <c r="A52" s="5"/>
      <c r="B52" s="30"/>
      <c r="C52" s="4"/>
      <c r="I52" s="22"/>
    </row>
    <row r="53" spans="1:9" ht="15.75" customHeight="1" x14ac:dyDescent="0.3">
      <c r="A53" s="5"/>
      <c r="B53" s="30"/>
      <c r="C53" s="4"/>
      <c r="I53" s="22"/>
    </row>
    <row r="54" spans="1:9" ht="15.75" customHeight="1" x14ac:dyDescent="0.3">
      <c r="A54" s="5"/>
      <c r="B54" s="30"/>
      <c r="C54" s="4"/>
      <c r="I54" s="22"/>
    </row>
    <row r="55" spans="1:9" ht="15.75" customHeight="1" x14ac:dyDescent="0.3">
      <c r="A55" s="5"/>
      <c r="B55" s="30"/>
      <c r="C55" s="4"/>
      <c r="I55" s="22"/>
    </row>
    <row r="56" spans="1:9" ht="15.75" customHeight="1" x14ac:dyDescent="0.3">
      <c r="A56" s="5"/>
      <c r="B56" s="30"/>
      <c r="C56" s="4"/>
      <c r="I56" s="22"/>
    </row>
    <row r="57" spans="1:9" ht="15.75" customHeight="1" x14ac:dyDescent="0.3">
      <c r="A57" s="5"/>
      <c r="B57" s="30"/>
      <c r="C57" s="4"/>
      <c r="I57" s="22"/>
    </row>
    <row r="58" spans="1:9" ht="15.75" customHeight="1" x14ac:dyDescent="0.3">
      <c r="A58" s="5"/>
      <c r="B58" s="30"/>
      <c r="C58" s="4"/>
      <c r="I58" s="22"/>
    </row>
    <row r="59" spans="1:9" ht="15.75" customHeight="1" x14ac:dyDescent="0.3">
      <c r="A59" s="5"/>
      <c r="B59" s="30"/>
      <c r="C59" s="4"/>
      <c r="I59" s="22"/>
    </row>
    <row r="60" spans="1:9" ht="15.75" customHeight="1" x14ac:dyDescent="0.3">
      <c r="A60" s="5"/>
      <c r="B60" s="30"/>
      <c r="C60" s="4"/>
      <c r="I60" s="22"/>
    </row>
    <row r="61" spans="1:9" ht="15.75" customHeight="1" x14ac:dyDescent="0.3">
      <c r="A61" s="5"/>
      <c r="B61" s="30"/>
      <c r="C61" s="4"/>
      <c r="I61" s="22"/>
    </row>
    <row r="62" spans="1:9" ht="15.75" customHeight="1" x14ac:dyDescent="0.3">
      <c r="A62" s="5"/>
      <c r="B62" s="30"/>
      <c r="C62" s="4"/>
      <c r="I62" s="22"/>
    </row>
    <row r="63" spans="1:9" ht="15.75" customHeight="1" x14ac:dyDescent="0.3">
      <c r="A63" s="5"/>
      <c r="B63" s="30"/>
      <c r="C63" s="4"/>
      <c r="I63" s="22"/>
    </row>
    <row r="64" spans="1:9" ht="15.75" customHeight="1" x14ac:dyDescent="0.3">
      <c r="A64" s="5"/>
      <c r="B64" s="30"/>
      <c r="C64" s="4"/>
      <c r="I64" s="22"/>
    </row>
    <row r="65" spans="1:9" ht="15.75" customHeight="1" x14ac:dyDescent="0.3">
      <c r="A65" s="5"/>
      <c r="B65" s="30"/>
      <c r="C65" s="4"/>
      <c r="I65" s="22"/>
    </row>
    <row r="66" spans="1:9" ht="15.75" customHeight="1" x14ac:dyDescent="0.3">
      <c r="A66" s="5"/>
      <c r="B66" s="30"/>
      <c r="C66" s="4"/>
      <c r="I66" s="22"/>
    </row>
    <row r="67" spans="1:9" ht="15.75" customHeight="1" x14ac:dyDescent="0.3">
      <c r="A67" s="5"/>
      <c r="B67" s="30"/>
      <c r="C67" s="4"/>
      <c r="I67" s="22"/>
    </row>
    <row r="68" spans="1:9" ht="15.75" customHeight="1" x14ac:dyDescent="0.3">
      <c r="A68" s="5"/>
      <c r="B68" s="30"/>
      <c r="C68" s="4"/>
      <c r="I68" s="22"/>
    </row>
    <row r="69" spans="1:9" ht="15.75" customHeight="1" x14ac:dyDescent="0.3">
      <c r="A69" s="5"/>
      <c r="B69" s="30"/>
      <c r="C69" s="4"/>
      <c r="I69" s="22"/>
    </row>
    <row r="70" spans="1:9" ht="15.75" customHeight="1" x14ac:dyDescent="0.3">
      <c r="A70" s="5"/>
      <c r="B70" s="30"/>
      <c r="C70" s="4"/>
      <c r="I70" s="22"/>
    </row>
    <row r="71" spans="1:9" ht="15.75" customHeight="1" x14ac:dyDescent="0.3">
      <c r="A71" s="5"/>
      <c r="B71" s="30"/>
      <c r="C71" s="4"/>
      <c r="I71" s="22"/>
    </row>
    <row r="72" spans="1:9" ht="15.75" customHeight="1" x14ac:dyDescent="0.3">
      <c r="A72" s="5"/>
      <c r="B72" s="30"/>
      <c r="C72" s="4"/>
      <c r="I72" s="22"/>
    </row>
    <row r="73" spans="1:9" ht="15.75" customHeight="1" x14ac:dyDescent="0.3">
      <c r="A73" s="5"/>
      <c r="B73" s="30"/>
      <c r="C73" s="4"/>
      <c r="I73" s="22"/>
    </row>
    <row r="74" spans="1:9" ht="15.75" customHeight="1" x14ac:dyDescent="0.3">
      <c r="A74" s="5"/>
      <c r="B74" s="30"/>
      <c r="C74" s="4"/>
      <c r="I74" s="22"/>
    </row>
    <row r="75" spans="1:9" ht="15.75" customHeight="1" x14ac:dyDescent="0.3">
      <c r="A75" s="5"/>
      <c r="B75" s="30"/>
      <c r="C75" s="4"/>
      <c r="I75" s="22"/>
    </row>
    <row r="76" spans="1:9" ht="15.75" customHeight="1" x14ac:dyDescent="0.3">
      <c r="A76" s="5"/>
      <c r="B76" s="30"/>
      <c r="C76" s="4"/>
      <c r="I76" s="22"/>
    </row>
    <row r="77" spans="1:9" ht="15.75" customHeight="1" x14ac:dyDescent="0.3">
      <c r="A77" s="5"/>
      <c r="B77" s="30"/>
      <c r="C77" s="4"/>
      <c r="I77" s="22"/>
    </row>
    <row r="78" spans="1:9" ht="15.75" customHeight="1" x14ac:dyDescent="0.3">
      <c r="A78" s="5"/>
      <c r="B78" s="30"/>
      <c r="C78" s="4"/>
      <c r="I78" s="22"/>
    </row>
    <row r="79" spans="1:9" ht="15.75" customHeight="1" x14ac:dyDescent="0.3">
      <c r="A79" s="5"/>
      <c r="B79" s="30"/>
      <c r="C79" s="4"/>
      <c r="I79" s="22"/>
    </row>
    <row r="80" spans="1:9" ht="15.75" customHeight="1" x14ac:dyDescent="0.3">
      <c r="A80" s="5"/>
      <c r="B80" s="30"/>
      <c r="C80" s="4"/>
      <c r="I80" s="22"/>
    </row>
    <row r="81" spans="1:9" ht="15.75" customHeight="1" x14ac:dyDescent="0.3">
      <c r="A81" s="5"/>
      <c r="B81" s="30"/>
      <c r="C81" s="4"/>
      <c r="I81" s="22"/>
    </row>
    <row r="82" spans="1:9" ht="15.75" customHeight="1" x14ac:dyDescent="0.3">
      <c r="A82" s="5"/>
      <c r="B82" s="30"/>
      <c r="C82" s="4"/>
      <c r="I82" s="22"/>
    </row>
    <row r="83" spans="1:9" ht="15.75" customHeight="1" x14ac:dyDescent="0.3">
      <c r="A83" s="5"/>
      <c r="B83" s="30"/>
      <c r="C83" s="4"/>
      <c r="I83" s="22"/>
    </row>
    <row r="84" spans="1:9" ht="15.75" customHeight="1" x14ac:dyDescent="0.3">
      <c r="A84" s="5"/>
      <c r="B84" s="30"/>
      <c r="C84" s="4"/>
      <c r="I84" s="22"/>
    </row>
    <row r="85" spans="1:9" ht="15.75" customHeight="1" x14ac:dyDescent="0.3">
      <c r="A85" s="5"/>
      <c r="B85" s="30"/>
      <c r="C85" s="4"/>
      <c r="I85" s="22"/>
    </row>
    <row r="86" spans="1:9" ht="15.75" customHeight="1" x14ac:dyDescent="0.3">
      <c r="A86" s="5"/>
      <c r="B86" s="30"/>
      <c r="C86" s="4"/>
      <c r="I86" s="22"/>
    </row>
    <row r="87" spans="1:9" ht="15.75" customHeight="1" x14ac:dyDescent="0.3">
      <c r="A87" s="5"/>
      <c r="B87" s="30"/>
      <c r="C87" s="4"/>
      <c r="I87" s="22"/>
    </row>
    <row r="88" spans="1:9" ht="15.75" customHeight="1" x14ac:dyDescent="0.3">
      <c r="A88" s="5"/>
      <c r="B88" s="30"/>
      <c r="C88" s="4"/>
      <c r="I88" s="22"/>
    </row>
    <row r="89" spans="1:9" ht="15.75" customHeight="1" x14ac:dyDescent="0.3">
      <c r="A89" s="5"/>
      <c r="B89" s="30"/>
      <c r="C89" s="4"/>
      <c r="I89" s="22"/>
    </row>
    <row r="90" spans="1:9" ht="15.75" customHeight="1" x14ac:dyDescent="0.3">
      <c r="A90" s="5"/>
      <c r="B90" s="30"/>
      <c r="C90" s="4"/>
      <c r="I90" s="22"/>
    </row>
    <row r="91" spans="1:9" ht="15.75" customHeight="1" x14ac:dyDescent="0.3">
      <c r="A91" s="5"/>
      <c r="B91" s="30"/>
      <c r="C91" s="4"/>
      <c r="I91" s="22"/>
    </row>
    <row r="92" spans="1:9" ht="15.75" customHeight="1" x14ac:dyDescent="0.3">
      <c r="A92" s="5"/>
      <c r="B92" s="30"/>
      <c r="C92" s="4"/>
      <c r="I92" s="22"/>
    </row>
    <row r="93" spans="1:9" ht="15.75" customHeight="1" x14ac:dyDescent="0.3">
      <c r="A93" s="5"/>
      <c r="B93" s="30"/>
      <c r="C93" s="4"/>
      <c r="I93" s="22"/>
    </row>
    <row r="94" spans="1:9" ht="15.75" customHeight="1" x14ac:dyDescent="0.3">
      <c r="A94" s="5"/>
      <c r="B94" s="30"/>
      <c r="C94" s="4"/>
      <c r="I94" s="22"/>
    </row>
    <row r="95" spans="1:9" ht="15.75" customHeight="1" x14ac:dyDescent="0.3">
      <c r="A95" s="5"/>
      <c r="B95" s="30"/>
      <c r="C95" s="4"/>
      <c r="I95" s="22"/>
    </row>
    <row r="96" spans="1:9" ht="15.75" customHeight="1" x14ac:dyDescent="0.3">
      <c r="A96" s="5"/>
      <c r="B96" s="30"/>
      <c r="C96" s="4"/>
      <c r="I96" s="22"/>
    </row>
    <row r="97" spans="1:9" ht="15.75" customHeight="1" x14ac:dyDescent="0.3">
      <c r="A97" s="5"/>
      <c r="B97" s="30"/>
      <c r="C97" s="4"/>
      <c r="I97" s="22"/>
    </row>
    <row r="98" spans="1:9" ht="15.75" customHeight="1" x14ac:dyDescent="0.3">
      <c r="A98" s="5"/>
      <c r="B98" s="30"/>
      <c r="C98" s="4"/>
      <c r="I98" s="22"/>
    </row>
    <row r="99" spans="1:9" ht="15.75" customHeight="1" x14ac:dyDescent="0.3">
      <c r="A99" s="5"/>
      <c r="B99" s="30"/>
      <c r="C99" s="4"/>
      <c r="I99" s="22"/>
    </row>
    <row r="100" spans="1:9" ht="15.75" customHeight="1" x14ac:dyDescent="0.3">
      <c r="A100" s="5"/>
      <c r="B100" s="30"/>
      <c r="C100" s="4"/>
      <c r="I100" s="22"/>
    </row>
    <row r="101" spans="1:9" ht="15.75" customHeight="1" x14ac:dyDescent="0.3">
      <c r="A101" s="5"/>
      <c r="B101" s="30"/>
      <c r="C101" s="4"/>
      <c r="I101" s="22"/>
    </row>
    <row r="102" spans="1:9" ht="15.75" customHeight="1" x14ac:dyDescent="0.3">
      <c r="A102" s="5"/>
      <c r="B102" s="30"/>
      <c r="C102" s="4"/>
      <c r="I102" s="22"/>
    </row>
    <row r="103" spans="1:9" ht="15.75" customHeight="1" x14ac:dyDescent="0.3">
      <c r="A103" s="5"/>
      <c r="B103" s="30"/>
      <c r="C103" s="4"/>
      <c r="I103" s="22"/>
    </row>
    <row r="104" spans="1:9" ht="15.75" customHeight="1" x14ac:dyDescent="0.3">
      <c r="A104" s="5"/>
      <c r="B104" s="30"/>
      <c r="C104" s="4"/>
      <c r="I104" s="22"/>
    </row>
    <row r="105" spans="1:9" ht="15.75" customHeight="1" x14ac:dyDescent="0.3">
      <c r="A105" s="5"/>
      <c r="B105" s="30"/>
      <c r="C105" s="4"/>
      <c r="I105" s="22"/>
    </row>
    <row r="106" spans="1:9" ht="15.75" customHeight="1" x14ac:dyDescent="0.3">
      <c r="A106" s="5"/>
      <c r="B106" s="30"/>
      <c r="C106" s="4"/>
      <c r="I106" s="22"/>
    </row>
    <row r="107" spans="1:9" ht="15.75" customHeight="1" x14ac:dyDescent="0.3">
      <c r="A107" s="5"/>
      <c r="B107" s="30"/>
      <c r="C107" s="4"/>
      <c r="I107" s="22"/>
    </row>
    <row r="108" spans="1:9" ht="15.75" customHeight="1" x14ac:dyDescent="0.3">
      <c r="A108" s="5"/>
      <c r="B108" s="30"/>
      <c r="C108" s="4"/>
      <c r="I108" s="22"/>
    </row>
    <row r="109" spans="1:9" ht="15.75" customHeight="1" x14ac:dyDescent="0.3">
      <c r="A109" s="5"/>
      <c r="B109" s="30"/>
      <c r="C109" s="4"/>
      <c r="I109" s="22"/>
    </row>
    <row r="110" spans="1:9" ht="15.75" customHeight="1" x14ac:dyDescent="0.3">
      <c r="A110" s="5"/>
      <c r="B110" s="30"/>
      <c r="C110" s="4"/>
      <c r="I110" s="22"/>
    </row>
    <row r="111" spans="1:9" ht="15.75" customHeight="1" x14ac:dyDescent="0.3">
      <c r="A111" s="5"/>
      <c r="B111" s="30"/>
      <c r="C111" s="4"/>
      <c r="I111" s="22"/>
    </row>
    <row r="112" spans="1:9" ht="15.75" customHeight="1" x14ac:dyDescent="0.3">
      <c r="A112" s="5"/>
      <c r="B112" s="30"/>
      <c r="C112" s="4"/>
      <c r="I112" s="22"/>
    </row>
    <row r="113" spans="1:9" ht="15.75" customHeight="1" x14ac:dyDescent="0.3">
      <c r="A113" s="5"/>
      <c r="B113" s="30"/>
      <c r="C113" s="4"/>
      <c r="I113" s="22"/>
    </row>
    <row r="114" spans="1:9" ht="15.75" customHeight="1" x14ac:dyDescent="0.3">
      <c r="A114" s="5"/>
      <c r="B114" s="30"/>
      <c r="C114" s="4"/>
      <c r="I114" s="22"/>
    </row>
    <row r="115" spans="1:9" ht="15.75" customHeight="1" x14ac:dyDescent="0.3">
      <c r="A115" s="5"/>
      <c r="B115" s="30"/>
      <c r="C115" s="4"/>
      <c r="I115" s="22"/>
    </row>
    <row r="116" spans="1:9" ht="15.75" customHeight="1" x14ac:dyDescent="0.3">
      <c r="A116" s="5"/>
      <c r="B116" s="30"/>
      <c r="C116" s="4"/>
      <c r="I116" s="22"/>
    </row>
    <row r="117" spans="1:9" ht="15.75" customHeight="1" x14ac:dyDescent="0.3">
      <c r="A117" s="5"/>
      <c r="B117" s="30"/>
      <c r="C117" s="4"/>
      <c r="I117" s="22"/>
    </row>
    <row r="118" spans="1:9" ht="15.75" customHeight="1" x14ac:dyDescent="0.3">
      <c r="A118" s="5"/>
      <c r="B118" s="30"/>
      <c r="C118" s="4"/>
      <c r="I118" s="22"/>
    </row>
    <row r="119" spans="1:9" ht="15.75" customHeight="1" x14ac:dyDescent="0.3">
      <c r="A119" s="5"/>
      <c r="B119" s="30"/>
      <c r="C119" s="4"/>
      <c r="I119" s="22"/>
    </row>
    <row r="120" spans="1:9" ht="15.75" customHeight="1" x14ac:dyDescent="0.3">
      <c r="A120" s="5"/>
      <c r="B120" s="30"/>
      <c r="C120" s="4"/>
      <c r="I120" s="22"/>
    </row>
    <row r="121" spans="1:9" ht="15.75" customHeight="1" x14ac:dyDescent="0.3">
      <c r="A121" s="5"/>
      <c r="B121" s="30"/>
      <c r="C121" s="4"/>
      <c r="I121" s="22"/>
    </row>
    <row r="122" spans="1:9" ht="15.75" customHeight="1" x14ac:dyDescent="0.3">
      <c r="A122" s="5"/>
      <c r="B122" s="30"/>
      <c r="C122" s="4"/>
      <c r="I122" s="22"/>
    </row>
    <row r="123" spans="1:9" ht="15.75" customHeight="1" x14ac:dyDescent="0.3">
      <c r="A123" s="5"/>
      <c r="B123" s="30"/>
      <c r="C123" s="4"/>
      <c r="I123" s="22"/>
    </row>
    <row r="124" spans="1:9" ht="15.75" customHeight="1" x14ac:dyDescent="0.3">
      <c r="A124" s="5"/>
      <c r="B124" s="30"/>
      <c r="C124" s="4"/>
      <c r="I124" s="22"/>
    </row>
    <row r="125" spans="1:9" ht="15.75" customHeight="1" x14ac:dyDescent="0.3">
      <c r="A125" s="5"/>
      <c r="B125" s="30"/>
      <c r="C125" s="4"/>
      <c r="I125" s="22"/>
    </row>
    <row r="126" spans="1:9" ht="15.75" customHeight="1" x14ac:dyDescent="0.3">
      <c r="A126" s="5"/>
      <c r="B126" s="30"/>
      <c r="C126" s="4"/>
      <c r="I126" s="22"/>
    </row>
    <row r="127" spans="1:9" ht="15.75" customHeight="1" x14ac:dyDescent="0.3">
      <c r="A127" s="5"/>
      <c r="B127" s="30"/>
      <c r="C127" s="4"/>
      <c r="I127" s="22"/>
    </row>
    <row r="128" spans="1:9" ht="15.75" customHeight="1" x14ac:dyDescent="0.3">
      <c r="A128" s="5"/>
      <c r="B128" s="30"/>
      <c r="C128" s="4"/>
      <c r="I128" s="22"/>
    </row>
    <row r="129" spans="1:9" ht="15.75" customHeight="1" x14ac:dyDescent="0.3">
      <c r="A129" s="5"/>
      <c r="B129" s="30"/>
      <c r="C129" s="4"/>
      <c r="I129" s="22"/>
    </row>
    <row r="130" spans="1:9" ht="15.75" customHeight="1" x14ac:dyDescent="0.3">
      <c r="A130" s="5"/>
      <c r="B130" s="30"/>
      <c r="C130" s="4"/>
      <c r="I130" s="22"/>
    </row>
    <row r="131" spans="1:9" ht="15.75" customHeight="1" x14ac:dyDescent="0.3">
      <c r="A131" s="5"/>
      <c r="B131" s="30"/>
      <c r="C131" s="4"/>
      <c r="I131" s="22"/>
    </row>
    <row r="132" spans="1:9" ht="15.75" customHeight="1" x14ac:dyDescent="0.3">
      <c r="A132" s="5"/>
      <c r="B132" s="30"/>
      <c r="C132" s="4"/>
      <c r="I132" s="22"/>
    </row>
    <row r="133" spans="1:9" ht="15.75" customHeight="1" x14ac:dyDescent="0.3">
      <c r="A133" s="5"/>
      <c r="B133" s="30"/>
      <c r="C133" s="4"/>
      <c r="I133" s="22"/>
    </row>
    <row r="134" spans="1:9" ht="15.75" customHeight="1" x14ac:dyDescent="0.3">
      <c r="A134" s="5"/>
      <c r="B134" s="30"/>
      <c r="C134" s="4"/>
      <c r="I134" s="22"/>
    </row>
    <row r="135" spans="1:9" ht="15.75" customHeight="1" x14ac:dyDescent="0.3">
      <c r="A135" s="5"/>
      <c r="B135" s="30"/>
      <c r="C135" s="4"/>
      <c r="I135" s="22"/>
    </row>
    <row r="136" spans="1:9" ht="15.75" customHeight="1" x14ac:dyDescent="0.3">
      <c r="A136" s="5"/>
      <c r="B136" s="30"/>
      <c r="C136" s="4"/>
      <c r="I136" s="22"/>
    </row>
    <row r="137" spans="1:9" ht="15.75" customHeight="1" x14ac:dyDescent="0.3">
      <c r="A137" s="5"/>
      <c r="B137" s="30"/>
      <c r="C137" s="4"/>
      <c r="I137" s="22"/>
    </row>
    <row r="138" spans="1:9" ht="15.75" customHeight="1" x14ac:dyDescent="0.3">
      <c r="A138" s="5"/>
      <c r="B138" s="30"/>
      <c r="C138" s="4"/>
      <c r="I138" s="22"/>
    </row>
    <row r="139" spans="1:9" ht="15.75" customHeight="1" x14ac:dyDescent="0.3">
      <c r="A139" s="5"/>
      <c r="B139" s="30"/>
      <c r="C139" s="4"/>
      <c r="I139" s="22"/>
    </row>
    <row r="140" spans="1:9" ht="15.75" customHeight="1" x14ac:dyDescent="0.3">
      <c r="A140" s="5"/>
      <c r="B140" s="30"/>
      <c r="C140" s="4"/>
      <c r="I140" s="22"/>
    </row>
    <row r="141" spans="1:9" ht="15.75" customHeight="1" x14ac:dyDescent="0.3">
      <c r="A141" s="5"/>
      <c r="B141" s="30"/>
      <c r="C141" s="4"/>
      <c r="I141" s="22"/>
    </row>
    <row r="142" spans="1:9" ht="15.75" customHeight="1" x14ac:dyDescent="0.3">
      <c r="A142" s="5"/>
      <c r="B142" s="30"/>
      <c r="C142" s="4"/>
      <c r="I142" s="22"/>
    </row>
    <row r="143" spans="1:9" ht="15.75" customHeight="1" x14ac:dyDescent="0.3">
      <c r="A143" s="5"/>
      <c r="B143" s="30"/>
      <c r="C143" s="4"/>
      <c r="I143" s="22"/>
    </row>
    <row r="144" spans="1:9" ht="15.75" customHeight="1" x14ac:dyDescent="0.3">
      <c r="A144" s="5"/>
      <c r="B144" s="30"/>
      <c r="C144" s="4"/>
      <c r="I144" s="22"/>
    </row>
    <row r="145" spans="1:9" ht="15.75" customHeight="1" x14ac:dyDescent="0.3">
      <c r="A145" s="5"/>
      <c r="B145" s="30"/>
      <c r="C145" s="4"/>
      <c r="I145" s="22"/>
    </row>
    <row r="146" spans="1:9" ht="15.75" customHeight="1" x14ac:dyDescent="0.3">
      <c r="A146" s="5"/>
      <c r="B146" s="30"/>
      <c r="C146" s="4"/>
      <c r="I146" s="22"/>
    </row>
    <row r="147" spans="1:9" ht="15.75" customHeight="1" x14ac:dyDescent="0.3">
      <c r="A147" s="5"/>
      <c r="B147" s="30"/>
      <c r="C147" s="4"/>
      <c r="I147" s="22"/>
    </row>
    <row r="148" spans="1:9" ht="15.75" customHeight="1" x14ac:dyDescent="0.3">
      <c r="A148" s="5"/>
      <c r="B148" s="30"/>
      <c r="C148" s="4"/>
      <c r="I148" s="22"/>
    </row>
    <row r="149" spans="1:9" ht="15.75" customHeight="1" x14ac:dyDescent="0.3">
      <c r="A149" s="5"/>
      <c r="B149" s="30"/>
      <c r="C149" s="4"/>
      <c r="I149" s="22"/>
    </row>
    <row r="150" spans="1:9" ht="15.75" customHeight="1" x14ac:dyDescent="0.3">
      <c r="A150" s="5"/>
      <c r="B150" s="30"/>
      <c r="C150" s="4"/>
      <c r="I150" s="22"/>
    </row>
    <row r="151" spans="1:9" ht="15.75" customHeight="1" x14ac:dyDescent="0.3">
      <c r="A151" s="5"/>
      <c r="B151" s="30"/>
      <c r="C151" s="4"/>
      <c r="I151" s="22"/>
    </row>
    <row r="152" spans="1:9" ht="15.75" customHeight="1" x14ac:dyDescent="0.3">
      <c r="A152" s="5"/>
      <c r="B152" s="30"/>
      <c r="C152" s="4"/>
      <c r="I152" s="22"/>
    </row>
    <row r="153" spans="1:9" ht="15.75" customHeight="1" x14ac:dyDescent="0.3">
      <c r="A153" s="5"/>
      <c r="B153" s="30"/>
      <c r="C153" s="4"/>
      <c r="I153" s="22"/>
    </row>
    <row r="154" spans="1:9" ht="15.75" customHeight="1" x14ac:dyDescent="0.3">
      <c r="A154" s="5"/>
      <c r="B154" s="30"/>
      <c r="C154" s="4"/>
      <c r="I154" s="22"/>
    </row>
    <row r="155" spans="1:9" ht="15.75" customHeight="1" x14ac:dyDescent="0.3">
      <c r="A155" s="5"/>
      <c r="B155" s="30"/>
      <c r="C155" s="4"/>
      <c r="I155" s="22"/>
    </row>
    <row r="156" spans="1:9" ht="15.75" customHeight="1" x14ac:dyDescent="0.3">
      <c r="A156" s="5"/>
      <c r="B156" s="30"/>
      <c r="C156" s="4"/>
      <c r="I156" s="22"/>
    </row>
    <row r="157" spans="1:9" ht="15.75" customHeight="1" x14ac:dyDescent="0.3">
      <c r="A157" s="5"/>
      <c r="B157" s="30"/>
      <c r="C157" s="4"/>
      <c r="I157" s="22"/>
    </row>
    <row r="158" spans="1:9" ht="15.75" customHeight="1" x14ac:dyDescent="0.3">
      <c r="A158" s="5"/>
      <c r="B158" s="30"/>
      <c r="C158" s="4"/>
      <c r="I158" s="22"/>
    </row>
    <row r="159" spans="1:9" ht="15.75" customHeight="1" x14ac:dyDescent="0.3">
      <c r="A159" s="5"/>
      <c r="B159" s="30"/>
      <c r="C159" s="4"/>
      <c r="I159" s="22"/>
    </row>
    <row r="160" spans="1:9" ht="15.75" customHeight="1" x14ac:dyDescent="0.3">
      <c r="A160" s="5"/>
      <c r="B160" s="30"/>
      <c r="C160" s="4"/>
      <c r="I160" s="22"/>
    </row>
    <row r="161" spans="1:9" ht="15.75" customHeight="1" x14ac:dyDescent="0.3">
      <c r="A161" s="5"/>
      <c r="B161" s="30"/>
      <c r="C161" s="4"/>
      <c r="I161" s="22"/>
    </row>
    <row r="162" spans="1:9" ht="15.75" customHeight="1" x14ac:dyDescent="0.3">
      <c r="A162" s="5"/>
      <c r="B162" s="30"/>
      <c r="C162" s="4"/>
      <c r="I162" s="22"/>
    </row>
    <row r="163" spans="1:9" ht="15.75" customHeight="1" x14ac:dyDescent="0.3">
      <c r="A163" s="5"/>
      <c r="B163" s="30"/>
      <c r="C163" s="4"/>
      <c r="I163" s="22"/>
    </row>
    <row r="164" spans="1:9" ht="15.75" customHeight="1" x14ac:dyDescent="0.3">
      <c r="A164" s="5"/>
      <c r="B164" s="30"/>
      <c r="C164" s="4"/>
      <c r="I164" s="22"/>
    </row>
    <row r="165" spans="1:9" ht="15.75" customHeight="1" x14ac:dyDescent="0.3">
      <c r="A165" s="5"/>
      <c r="B165" s="30"/>
      <c r="C165" s="4"/>
      <c r="I165" s="22"/>
    </row>
    <row r="166" spans="1:9" ht="15.75" customHeight="1" x14ac:dyDescent="0.3">
      <c r="A166" s="5"/>
      <c r="B166" s="30"/>
      <c r="C166" s="4"/>
      <c r="I166" s="22"/>
    </row>
    <row r="167" spans="1:9" ht="15.75" customHeight="1" x14ac:dyDescent="0.3">
      <c r="A167" s="5"/>
      <c r="B167" s="30"/>
      <c r="C167" s="4"/>
      <c r="I167" s="22"/>
    </row>
    <row r="168" spans="1:9" ht="15.75" customHeight="1" x14ac:dyDescent="0.3">
      <c r="A168" s="5"/>
      <c r="B168" s="30"/>
      <c r="C168" s="4"/>
      <c r="I168" s="22"/>
    </row>
    <row r="169" spans="1:9" ht="15.75" customHeight="1" x14ac:dyDescent="0.3">
      <c r="A169" s="5"/>
      <c r="B169" s="30"/>
      <c r="C169" s="4"/>
      <c r="I169" s="22"/>
    </row>
    <row r="170" spans="1:9" ht="15.75" customHeight="1" x14ac:dyDescent="0.3">
      <c r="A170" s="5"/>
      <c r="B170" s="30"/>
      <c r="C170" s="4"/>
      <c r="I170" s="22"/>
    </row>
    <row r="171" spans="1:9" ht="15.75" customHeight="1" x14ac:dyDescent="0.3">
      <c r="A171" s="5"/>
      <c r="B171" s="30"/>
      <c r="C171" s="4"/>
      <c r="I171" s="22"/>
    </row>
    <row r="172" spans="1:9" ht="15.75" customHeight="1" x14ac:dyDescent="0.3">
      <c r="A172" s="5"/>
      <c r="B172" s="30"/>
      <c r="C172" s="4"/>
      <c r="I172" s="22"/>
    </row>
    <row r="173" spans="1:9" ht="15.75" customHeight="1" x14ac:dyDescent="0.3">
      <c r="A173" s="5"/>
      <c r="B173" s="30"/>
      <c r="C173" s="4"/>
      <c r="I173" s="22"/>
    </row>
    <row r="174" spans="1:9" ht="15.75" customHeight="1" x14ac:dyDescent="0.3">
      <c r="A174" s="5"/>
      <c r="B174" s="30"/>
      <c r="C174" s="4"/>
      <c r="I174" s="22"/>
    </row>
    <row r="175" spans="1:9" ht="15.75" customHeight="1" x14ac:dyDescent="0.3">
      <c r="A175" s="5"/>
      <c r="B175" s="30"/>
      <c r="C175" s="4"/>
      <c r="I175" s="22"/>
    </row>
    <row r="176" spans="1:9" ht="15.75" customHeight="1" x14ac:dyDescent="0.3">
      <c r="A176" s="5"/>
      <c r="B176" s="30"/>
      <c r="C176" s="4"/>
      <c r="I176" s="22"/>
    </row>
    <row r="177" spans="1:9" ht="15.75" customHeight="1" x14ac:dyDescent="0.3">
      <c r="A177" s="5"/>
      <c r="B177" s="30"/>
      <c r="C177" s="4"/>
      <c r="I177" s="22"/>
    </row>
    <row r="178" spans="1:9" ht="15.75" customHeight="1" x14ac:dyDescent="0.3">
      <c r="A178" s="5"/>
      <c r="B178" s="30"/>
      <c r="C178" s="4"/>
      <c r="I178" s="22"/>
    </row>
    <row r="179" spans="1:9" ht="15.75" customHeight="1" x14ac:dyDescent="0.3">
      <c r="A179" s="5"/>
      <c r="B179" s="30"/>
      <c r="C179" s="4"/>
      <c r="I179" s="22"/>
    </row>
    <row r="180" spans="1:9" ht="15.75" customHeight="1" x14ac:dyDescent="0.3">
      <c r="A180" s="5"/>
      <c r="B180" s="30"/>
      <c r="C180" s="4"/>
      <c r="I180" s="22"/>
    </row>
    <row r="181" spans="1:9" ht="15.75" customHeight="1" x14ac:dyDescent="0.3">
      <c r="A181" s="5"/>
      <c r="B181" s="30"/>
      <c r="C181" s="4"/>
      <c r="I181" s="22"/>
    </row>
    <row r="182" spans="1:9" ht="15.75" customHeight="1" x14ac:dyDescent="0.3">
      <c r="A182" s="5"/>
      <c r="B182" s="30"/>
      <c r="C182" s="4"/>
      <c r="I182" s="22"/>
    </row>
    <row r="183" spans="1:9" ht="15.75" customHeight="1" x14ac:dyDescent="0.3">
      <c r="A183" s="5"/>
      <c r="B183" s="30"/>
      <c r="C183" s="4"/>
      <c r="I183" s="22"/>
    </row>
    <row r="184" spans="1:9" ht="15.75" customHeight="1" x14ac:dyDescent="0.3">
      <c r="A184" s="5"/>
      <c r="B184" s="30"/>
      <c r="C184" s="4"/>
      <c r="I184" s="22"/>
    </row>
    <row r="185" spans="1:9" ht="15.75" customHeight="1" x14ac:dyDescent="0.3">
      <c r="A185" s="5"/>
      <c r="B185" s="30"/>
      <c r="C185" s="4"/>
      <c r="I185" s="22"/>
    </row>
    <row r="186" spans="1:9" ht="15.75" customHeight="1" x14ac:dyDescent="0.3">
      <c r="A186" s="5"/>
      <c r="B186" s="30"/>
      <c r="C186" s="4"/>
      <c r="I186" s="22"/>
    </row>
    <row r="187" spans="1:9" ht="15.75" customHeight="1" x14ac:dyDescent="0.3">
      <c r="A187" s="5"/>
      <c r="B187" s="30"/>
      <c r="C187" s="4"/>
      <c r="I187" s="22"/>
    </row>
    <row r="188" spans="1:9" ht="15.75" customHeight="1" x14ac:dyDescent="0.3">
      <c r="A188" s="5"/>
      <c r="B188" s="30"/>
      <c r="C188" s="4"/>
      <c r="I188" s="22"/>
    </row>
    <row r="189" spans="1:9" ht="15.75" customHeight="1" x14ac:dyDescent="0.3">
      <c r="A189" s="5"/>
      <c r="B189" s="30"/>
      <c r="C189" s="4"/>
      <c r="I189" s="22"/>
    </row>
    <row r="190" spans="1:9" ht="15.75" customHeight="1" x14ac:dyDescent="0.3">
      <c r="A190" s="5"/>
      <c r="B190" s="30"/>
      <c r="C190" s="4"/>
      <c r="I190" s="22"/>
    </row>
    <row r="191" spans="1:9" ht="15.75" customHeight="1" x14ac:dyDescent="0.3">
      <c r="A191" s="5"/>
      <c r="B191" s="30"/>
      <c r="C191" s="4"/>
      <c r="I191" s="22"/>
    </row>
    <row r="192" spans="1:9" ht="15.75" customHeight="1" x14ac:dyDescent="0.3">
      <c r="A192" s="5"/>
      <c r="B192" s="30"/>
      <c r="C192" s="4"/>
      <c r="I192" s="22"/>
    </row>
    <row r="193" spans="1:9" ht="15.75" customHeight="1" x14ac:dyDescent="0.3">
      <c r="A193" s="5"/>
      <c r="B193" s="30"/>
      <c r="C193" s="4"/>
      <c r="I193" s="22"/>
    </row>
    <row r="194" spans="1:9" ht="15.75" customHeight="1" x14ac:dyDescent="0.3">
      <c r="A194" s="5"/>
      <c r="B194" s="30"/>
      <c r="C194" s="4"/>
      <c r="I194" s="22"/>
    </row>
    <row r="195" spans="1:9" ht="15.75" customHeight="1" x14ac:dyDescent="0.3">
      <c r="A195" s="5"/>
      <c r="B195" s="30"/>
      <c r="C195" s="4"/>
      <c r="I195" s="22"/>
    </row>
    <row r="196" spans="1:9" ht="15.75" customHeight="1" x14ac:dyDescent="0.3">
      <c r="A196" s="5"/>
      <c r="B196" s="30"/>
      <c r="C196" s="4"/>
      <c r="I196" s="22"/>
    </row>
    <row r="197" spans="1:9" ht="15.75" customHeight="1" x14ac:dyDescent="0.3">
      <c r="A197" s="5"/>
      <c r="B197" s="30"/>
      <c r="C197" s="4"/>
      <c r="I197" s="22"/>
    </row>
    <row r="198" spans="1:9" ht="15.75" customHeight="1" x14ac:dyDescent="0.3">
      <c r="A198" s="5"/>
      <c r="B198" s="30"/>
      <c r="C198" s="4"/>
      <c r="I198" s="22"/>
    </row>
    <row r="199" spans="1:9" ht="15.75" customHeight="1" x14ac:dyDescent="0.3">
      <c r="A199" s="5"/>
      <c r="B199" s="30"/>
      <c r="C199" s="4"/>
      <c r="I199" s="22"/>
    </row>
    <row r="200" spans="1:9" ht="15.75" customHeight="1" x14ac:dyDescent="0.3">
      <c r="A200" s="5"/>
      <c r="B200" s="30"/>
      <c r="C200" s="4"/>
      <c r="I200" s="22"/>
    </row>
    <row r="201" spans="1:9" ht="15.75" customHeight="1" x14ac:dyDescent="0.3">
      <c r="A201" s="5"/>
      <c r="B201" s="30"/>
      <c r="C201" s="4"/>
      <c r="I201" s="22"/>
    </row>
    <row r="202" spans="1:9" ht="15.75" customHeight="1" x14ac:dyDescent="0.3">
      <c r="A202" s="5"/>
      <c r="B202" s="30"/>
      <c r="C202" s="4"/>
      <c r="I202" s="22"/>
    </row>
    <row r="203" spans="1:9" ht="15.75" customHeight="1" x14ac:dyDescent="0.3">
      <c r="A203" s="5"/>
      <c r="B203" s="30"/>
      <c r="C203" s="4"/>
      <c r="I203" s="22"/>
    </row>
    <row r="204" spans="1:9" ht="15.75" customHeight="1" x14ac:dyDescent="0.3">
      <c r="A204" s="5"/>
      <c r="B204" s="30"/>
      <c r="C204" s="4"/>
      <c r="I204" s="22"/>
    </row>
    <row r="205" spans="1:9" ht="15.75" customHeight="1" x14ac:dyDescent="0.3">
      <c r="A205" s="5"/>
      <c r="B205" s="30"/>
      <c r="C205" s="4"/>
      <c r="I205" s="22"/>
    </row>
    <row r="206" spans="1:9" ht="15.75" customHeight="1" x14ac:dyDescent="0.3">
      <c r="A206" s="5"/>
      <c r="B206" s="30"/>
      <c r="C206" s="4"/>
      <c r="I206" s="22"/>
    </row>
    <row r="207" spans="1:9" ht="15.75" customHeight="1" x14ac:dyDescent="0.3">
      <c r="A207" s="5"/>
      <c r="B207" s="30"/>
      <c r="C207" s="4"/>
      <c r="I207" s="22"/>
    </row>
    <row r="208" spans="1:9" ht="15.75" customHeight="1" x14ac:dyDescent="0.3">
      <c r="A208" s="5"/>
      <c r="B208" s="30"/>
      <c r="C208" s="4"/>
      <c r="I208" s="22"/>
    </row>
    <row r="209" spans="1:9" ht="15.75" customHeight="1" x14ac:dyDescent="0.3">
      <c r="A209" s="5"/>
      <c r="B209" s="30"/>
      <c r="C209" s="4"/>
      <c r="I209" s="22"/>
    </row>
    <row r="210" spans="1:9" ht="15.75" customHeight="1" x14ac:dyDescent="0.3">
      <c r="A210" s="5"/>
      <c r="B210" s="30"/>
      <c r="C210" s="4"/>
      <c r="I210" s="22"/>
    </row>
    <row r="211" spans="1:9" ht="15.75" customHeight="1" x14ac:dyDescent="0.3">
      <c r="A211" s="5"/>
      <c r="B211" s="30"/>
      <c r="C211" s="4"/>
      <c r="I211" s="22"/>
    </row>
    <row r="212" spans="1:9" ht="15.75" customHeight="1" x14ac:dyDescent="0.3">
      <c r="A212" s="5"/>
      <c r="B212" s="30"/>
      <c r="C212" s="4"/>
      <c r="I212" s="22"/>
    </row>
    <row r="213" spans="1:9" ht="15.75" customHeight="1" x14ac:dyDescent="0.3">
      <c r="A213" s="5"/>
      <c r="B213" s="30"/>
      <c r="C213" s="4"/>
      <c r="I213" s="22"/>
    </row>
    <row r="214" spans="1:9" ht="15.75" customHeight="1" x14ac:dyDescent="0.3">
      <c r="A214" s="5"/>
      <c r="B214" s="30"/>
      <c r="C214" s="4"/>
      <c r="I214" s="22"/>
    </row>
    <row r="215" spans="1:9" ht="15.75" customHeight="1" x14ac:dyDescent="0.3">
      <c r="A215" s="5"/>
      <c r="B215" s="30"/>
      <c r="C215" s="4"/>
      <c r="I215" s="22"/>
    </row>
    <row r="216" spans="1:9" ht="15.75" customHeight="1" x14ac:dyDescent="0.3">
      <c r="A216" s="5"/>
      <c r="B216" s="30"/>
      <c r="C216" s="4"/>
      <c r="I216" s="22"/>
    </row>
    <row r="217" spans="1:9" ht="15.75" customHeight="1" x14ac:dyDescent="0.3">
      <c r="A217" s="5"/>
      <c r="B217" s="30"/>
      <c r="C217" s="4"/>
      <c r="I217" s="22"/>
    </row>
    <row r="218" spans="1:9" ht="15.75" customHeight="1" x14ac:dyDescent="0.3">
      <c r="A218" s="5"/>
      <c r="B218" s="30"/>
      <c r="C218" s="4"/>
      <c r="I218" s="22"/>
    </row>
    <row r="219" spans="1:9" ht="15.75" customHeight="1" x14ac:dyDescent="0.3">
      <c r="A219" s="5"/>
      <c r="B219" s="30"/>
      <c r="C219" s="4"/>
      <c r="I219" s="22"/>
    </row>
    <row r="220" spans="1:9" ht="15.75" customHeight="1" x14ac:dyDescent="0.3">
      <c r="A220" s="5"/>
      <c r="B220" s="30"/>
      <c r="C220" s="4"/>
      <c r="I220" s="22"/>
    </row>
    <row r="221" spans="1:9" ht="15.75" customHeight="1" x14ac:dyDescent="0.3">
      <c r="A221" s="5"/>
      <c r="B221" s="30"/>
      <c r="C221" s="4"/>
      <c r="I221" s="22"/>
    </row>
    <row r="222" spans="1:9" ht="15.75" customHeight="1" x14ac:dyDescent="0.3">
      <c r="A222" s="5"/>
      <c r="B222" s="30"/>
      <c r="C222" s="4"/>
      <c r="I222" s="22"/>
    </row>
    <row r="223" spans="1:9" ht="15.75" customHeight="1" x14ac:dyDescent="0.3">
      <c r="A223" s="5"/>
      <c r="B223" s="30"/>
      <c r="C223" s="4"/>
      <c r="I223" s="22"/>
    </row>
    <row r="224" spans="1:9" ht="15.75" customHeight="1" x14ac:dyDescent="0.3">
      <c r="A224" s="5"/>
      <c r="B224" s="30"/>
      <c r="C224" s="4"/>
      <c r="I224" s="22"/>
    </row>
    <row r="225" spans="1:9" ht="15.75" customHeight="1" x14ac:dyDescent="0.3">
      <c r="A225" s="5"/>
      <c r="B225" s="30"/>
      <c r="C225" s="4"/>
      <c r="I225" s="22"/>
    </row>
    <row r="226" spans="1:9" ht="15.75" customHeight="1" x14ac:dyDescent="0.3">
      <c r="A226" s="5"/>
      <c r="B226" s="30"/>
      <c r="C226" s="4"/>
      <c r="I226" s="22"/>
    </row>
    <row r="227" spans="1:9" ht="15.75" customHeight="1" x14ac:dyDescent="0.3">
      <c r="A227" s="5"/>
      <c r="B227" s="30"/>
      <c r="C227" s="4"/>
      <c r="I227" s="22"/>
    </row>
    <row r="228" spans="1:9" ht="15.75" customHeight="1" x14ac:dyDescent="0.3">
      <c r="A228" s="5"/>
      <c r="B228" s="30"/>
      <c r="C228" s="4"/>
      <c r="I228" s="22"/>
    </row>
    <row r="229" spans="1:9" ht="15.75" customHeight="1" x14ac:dyDescent="0.3">
      <c r="A229" s="5"/>
      <c r="B229" s="30"/>
      <c r="C229" s="4"/>
      <c r="I229" s="22"/>
    </row>
    <row r="230" spans="1:9" ht="15.75" customHeight="1" x14ac:dyDescent="0.3">
      <c r="A230" s="5"/>
      <c r="B230" s="30"/>
      <c r="C230" s="4"/>
      <c r="I230" s="22"/>
    </row>
    <row r="231" spans="1:9" ht="15.75" customHeight="1" x14ac:dyDescent="0.3">
      <c r="A231" s="5"/>
      <c r="B231" s="30"/>
      <c r="C231" s="4"/>
      <c r="I231" s="22"/>
    </row>
    <row r="232" spans="1:9" ht="15.75" customHeight="1" x14ac:dyDescent="0.3">
      <c r="A232" s="5"/>
      <c r="B232" s="30"/>
      <c r="C232" s="4"/>
      <c r="I232" s="22"/>
    </row>
    <row r="233" spans="1:9" ht="15.75" customHeight="1" x14ac:dyDescent="0.3">
      <c r="A233" s="5"/>
      <c r="B233" s="30"/>
      <c r="C233" s="4"/>
      <c r="I233" s="22"/>
    </row>
    <row r="234" spans="1:9" ht="15.75" customHeight="1" x14ac:dyDescent="0.3">
      <c r="A234" s="5"/>
      <c r="B234" s="30"/>
      <c r="C234" s="4"/>
      <c r="I234" s="22"/>
    </row>
    <row r="235" spans="1:9" ht="15.75" customHeight="1" x14ac:dyDescent="0.3">
      <c r="A235" s="5"/>
      <c r="B235" s="30"/>
      <c r="C235" s="4"/>
      <c r="I235" s="22"/>
    </row>
    <row r="236" spans="1:9" ht="15.75" customHeight="1" x14ac:dyDescent="0.3">
      <c r="A236" s="5"/>
      <c r="B236" s="30"/>
      <c r="C236" s="4"/>
      <c r="I236" s="22"/>
    </row>
    <row r="237" spans="1:9" ht="15.75" customHeight="1" x14ac:dyDescent="0.3">
      <c r="A237" s="5"/>
      <c r="B237" s="30"/>
      <c r="C237" s="4"/>
      <c r="I237" s="22"/>
    </row>
    <row r="238" spans="1:9" ht="15.75" customHeight="1" x14ac:dyDescent="0.3">
      <c r="A238" s="5"/>
      <c r="B238" s="30"/>
      <c r="C238" s="4"/>
      <c r="I238" s="22"/>
    </row>
    <row r="239" spans="1:9" ht="15.75" customHeight="1" x14ac:dyDescent="0.3">
      <c r="A239" s="5"/>
      <c r="B239" s="30"/>
      <c r="C239" s="4"/>
      <c r="I239" s="22"/>
    </row>
    <row r="240" spans="1:9" ht="15.75" customHeight="1" x14ac:dyDescent="0.3">
      <c r="A240" s="5"/>
      <c r="B240" s="30"/>
      <c r="C240" s="4"/>
      <c r="I240" s="22"/>
    </row>
    <row r="241" spans="1:9" ht="15.75" customHeight="1" x14ac:dyDescent="0.3">
      <c r="A241" s="5"/>
      <c r="B241" s="30"/>
      <c r="C241" s="4"/>
      <c r="I241" s="22"/>
    </row>
    <row r="242" spans="1:9" ht="15.75" customHeight="1" x14ac:dyDescent="0.3">
      <c r="A242" s="5"/>
      <c r="B242" s="30"/>
      <c r="C242" s="4"/>
      <c r="I242" s="22"/>
    </row>
    <row r="243" spans="1:9" ht="15.75" customHeight="1" x14ac:dyDescent="0.3">
      <c r="A243" s="5"/>
      <c r="B243" s="30"/>
      <c r="C243" s="4"/>
      <c r="I243" s="22"/>
    </row>
    <row r="244" spans="1:9" ht="15.75" customHeight="1" x14ac:dyDescent="0.3">
      <c r="A244" s="5"/>
      <c r="B244" s="30"/>
      <c r="C244" s="4"/>
      <c r="I244" s="22"/>
    </row>
    <row r="245" spans="1:9" ht="15.75" customHeight="1" x14ac:dyDescent="0.3">
      <c r="A245" s="5"/>
      <c r="B245" s="30"/>
      <c r="C245" s="4"/>
      <c r="I245" s="22"/>
    </row>
    <row r="246" spans="1:9" ht="15.75" customHeight="1" x14ac:dyDescent="0.3">
      <c r="A246" s="5"/>
      <c r="B246" s="30"/>
      <c r="C246" s="4"/>
      <c r="I246" s="22"/>
    </row>
    <row r="247" spans="1:9" ht="15.75" customHeight="1" x14ac:dyDescent="0.3">
      <c r="A247" s="5"/>
      <c r="B247" s="30"/>
      <c r="C247" s="4"/>
      <c r="I247" s="22"/>
    </row>
    <row r="248" spans="1:9" ht="15.75" customHeight="1" x14ac:dyDescent="0.3">
      <c r="A248" s="5"/>
      <c r="B248" s="30"/>
      <c r="C248" s="4"/>
      <c r="I248" s="22"/>
    </row>
    <row r="249" spans="1:9" ht="15.75" customHeight="1" x14ac:dyDescent="0.3">
      <c r="A249" s="5"/>
      <c r="B249" s="30"/>
      <c r="C249" s="4"/>
      <c r="I249" s="22"/>
    </row>
    <row r="250" spans="1:9" ht="15.75" customHeight="1" x14ac:dyDescent="0.3">
      <c r="A250" s="5"/>
      <c r="B250" s="30"/>
      <c r="C250" s="4"/>
      <c r="I250" s="22"/>
    </row>
    <row r="251" spans="1:9" ht="15.75" customHeight="1" x14ac:dyDescent="0.3">
      <c r="A251" s="5"/>
      <c r="B251" s="30"/>
      <c r="C251" s="4"/>
      <c r="I251" s="22"/>
    </row>
    <row r="252" spans="1:9" ht="15.75" customHeight="1" x14ac:dyDescent="0.3">
      <c r="A252" s="5"/>
      <c r="B252" s="30"/>
      <c r="C252" s="4"/>
      <c r="I252" s="22"/>
    </row>
    <row r="253" spans="1:9" ht="15.75" customHeight="1" x14ac:dyDescent="0.3">
      <c r="A253" s="5"/>
      <c r="B253" s="30"/>
      <c r="C253" s="4"/>
      <c r="I253" s="22"/>
    </row>
    <row r="254" spans="1:9" ht="15.75" customHeight="1" x14ac:dyDescent="0.3">
      <c r="A254" s="5"/>
      <c r="B254" s="30"/>
      <c r="C254" s="4"/>
      <c r="I254" s="22"/>
    </row>
    <row r="255" spans="1:9" ht="15.75" customHeight="1" x14ac:dyDescent="0.3">
      <c r="A255" s="5"/>
      <c r="B255" s="30"/>
      <c r="C255" s="4"/>
      <c r="I255" s="22"/>
    </row>
    <row r="256" spans="1:9" ht="15.75" customHeight="1" x14ac:dyDescent="0.3">
      <c r="A256" s="5"/>
      <c r="B256" s="30"/>
      <c r="C256" s="4"/>
      <c r="I256" s="22"/>
    </row>
    <row r="257" spans="1:9" ht="15.75" customHeight="1" x14ac:dyDescent="0.3">
      <c r="A257" s="5"/>
      <c r="B257" s="30"/>
      <c r="C257" s="4"/>
      <c r="I257" s="22"/>
    </row>
    <row r="258" spans="1:9" ht="15.75" customHeight="1" x14ac:dyDescent="0.3">
      <c r="A258" s="5"/>
      <c r="B258" s="30"/>
      <c r="C258" s="4"/>
      <c r="I258" s="22"/>
    </row>
    <row r="259" spans="1:9" ht="15.75" customHeight="1" x14ac:dyDescent="0.3">
      <c r="A259" s="5"/>
      <c r="B259" s="30"/>
      <c r="C259" s="4"/>
      <c r="I259" s="22"/>
    </row>
    <row r="260" spans="1:9" ht="15.75" customHeight="1" x14ac:dyDescent="0.3">
      <c r="A260" s="5"/>
      <c r="B260" s="30"/>
      <c r="C260" s="4"/>
      <c r="I260" s="22"/>
    </row>
    <row r="261" spans="1:9" ht="15.75" customHeight="1" x14ac:dyDescent="0.3">
      <c r="A261" s="5"/>
      <c r="B261" s="30"/>
      <c r="C261" s="4"/>
      <c r="I261" s="22"/>
    </row>
    <row r="262" spans="1:9" ht="15.75" customHeight="1" x14ac:dyDescent="0.3">
      <c r="A262" s="5"/>
      <c r="B262" s="30"/>
      <c r="C262" s="4"/>
      <c r="I262" s="22"/>
    </row>
    <row r="263" spans="1:9" ht="15.75" customHeight="1" x14ac:dyDescent="0.3">
      <c r="A263" s="5"/>
      <c r="B263" s="30"/>
      <c r="C263" s="4"/>
      <c r="I263" s="22"/>
    </row>
    <row r="264" spans="1:9" ht="15.75" customHeight="1" x14ac:dyDescent="0.3">
      <c r="A264" s="5"/>
      <c r="B264" s="30"/>
      <c r="C264" s="4"/>
      <c r="I264" s="22"/>
    </row>
    <row r="265" spans="1:9" ht="15.75" customHeight="1" x14ac:dyDescent="0.3">
      <c r="A265" s="5"/>
      <c r="B265" s="30"/>
      <c r="C265" s="4"/>
      <c r="I265" s="22"/>
    </row>
    <row r="266" spans="1:9" ht="15.75" customHeight="1" x14ac:dyDescent="0.3">
      <c r="A266" s="5"/>
      <c r="B266" s="30"/>
      <c r="C266" s="4"/>
      <c r="I266" s="22"/>
    </row>
    <row r="267" spans="1:9" ht="15.75" customHeight="1" x14ac:dyDescent="0.3">
      <c r="A267" s="5"/>
      <c r="B267" s="30"/>
      <c r="C267" s="4"/>
      <c r="I267" s="22"/>
    </row>
    <row r="268" spans="1:9" ht="15.75" customHeight="1" x14ac:dyDescent="0.3">
      <c r="A268" s="5"/>
      <c r="B268" s="30"/>
      <c r="C268" s="4"/>
      <c r="I268" s="22"/>
    </row>
    <row r="269" spans="1:9" ht="15.75" customHeight="1" x14ac:dyDescent="0.3">
      <c r="A269" s="5"/>
      <c r="B269" s="30"/>
      <c r="C269" s="4"/>
      <c r="I269" s="22"/>
    </row>
    <row r="270" spans="1:9" ht="15.75" customHeight="1" x14ac:dyDescent="0.3">
      <c r="A270" s="5"/>
      <c r="B270" s="30"/>
      <c r="C270" s="4"/>
      <c r="I270" s="22"/>
    </row>
    <row r="271" spans="1:9" ht="15.75" customHeight="1" x14ac:dyDescent="0.3">
      <c r="A271" s="5"/>
      <c r="B271" s="30"/>
      <c r="C271" s="4"/>
      <c r="I271" s="22"/>
    </row>
    <row r="272" spans="1:9" ht="15.75" customHeight="1" x14ac:dyDescent="0.3">
      <c r="A272" s="5"/>
      <c r="B272" s="30"/>
      <c r="C272" s="4"/>
      <c r="I272" s="22"/>
    </row>
    <row r="273" spans="1:9" ht="15.75" customHeight="1" x14ac:dyDescent="0.3">
      <c r="A273" s="5"/>
      <c r="B273" s="30"/>
      <c r="C273" s="4"/>
      <c r="I273" s="22"/>
    </row>
    <row r="274" spans="1:9" ht="15.75" customHeight="1" x14ac:dyDescent="0.3">
      <c r="A274" s="5"/>
      <c r="B274" s="30"/>
      <c r="C274" s="4"/>
      <c r="I274" s="22"/>
    </row>
    <row r="275" spans="1:9" ht="15.75" customHeight="1" x14ac:dyDescent="0.3">
      <c r="A275" s="5"/>
      <c r="B275" s="30"/>
      <c r="C275" s="4"/>
      <c r="I275" s="22"/>
    </row>
    <row r="276" spans="1:9" ht="15.75" customHeight="1" x14ac:dyDescent="0.3">
      <c r="A276" s="5"/>
      <c r="B276" s="30"/>
      <c r="C276" s="4"/>
      <c r="I276" s="22"/>
    </row>
    <row r="277" spans="1:9" ht="15.75" customHeight="1" x14ac:dyDescent="0.3">
      <c r="A277" s="5"/>
      <c r="B277" s="30"/>
      <c r="C277" s="4"/>
      <c r="I277" s="22"/>
    </row>
    <row r="278" spans="1:9" ht="15.75" customHeight="1" x14ac:dyDescent="0.3">
      <c r="A278" s="5"/>
      <c r="B278" s="30"/>
      <c r="C278" s="4"/>
      <c r="I278" s="22"/>
    </row>
    <row r="279" spans="1:9" ht="15.75" customHeight="1" x14ac:dyDescent="0.3">
      <c r="A279" s="5"/>
      <c r="B279" s="30"/>
      <c r="C279" s="4"/>
      <c r="I279" s="22"/>
    </row>
    <row r="280" spans="1:9" ht="15.75" customHeight="1" x14ac:dyDescent="0.3">
      <c r="A280" s="5"/>
      <c r="B280" s="30"/>
      <c r="C280" s="4"/>
      <c r="I280" s="22"/>
    </row>
    <row r="281" spans="1:9" ht="15.75" customHeight="1" x14ac:dyDescent="0.3">
      <c r="A281" s="5"/>
      <c r="B281" s="30"/>
      <c r="C281" s="4"/>
      <c r="I281" s="22"/>
    </row>
    <row r="282" spans="1:9" ht="15.75" customHeight="1" x14ac:dyDescent="0.3">
      <c r="A282" s="5"/>
      <c r="B282" s="30"/>
      <c r="C282" s="4"/>
      <c r="I282" s="22"/>
    </row>
    <row r="283" spans="1:9" ht="15.75" customHeight="1" x14ac:dyDescent="0.3">
      <c r="A283" s="5"/>
      <c r="B283" s="30"/>
      <c r="C283" s="4"/>
      <c r="I283" s="22"/>
    </row>
    <row r="284" spans="1:9" ht="15.75" customHeight="1" x14ac:dyDescent="0.3">
      <c r="A284" s="5"/>
      <c r="B284" s="30"/>
      <c r="C284" s="4"/>
      <c r="I284" s="22"/>
    </row>
    <row r="285" spans="1:9" ht="15.75" customHeight="1" x14ac:dyDescent="0.3">
      <c r="A285" s="5"/>
      <c r="B285" s="30"/>
      <c r="C285" s="4"/>
      <c r="I285" s="22"/>
    </row>
    <row r="286" spans="1:9" ht="15.75" customHeight="1" x14ac:dyDescent="0.3">
      <c r="A286" s="5"/>
      <c r="B286" s="30"/>
      <c r="C286" s="4"/>
      <c r="I286" s="22"/>
    </row>
    <row r="287" spans="1:9" ht="15.75" customHeight="1" x14ac:dyDescent="0.3">
      <c r="A287" s="5"/>
      <c r="B287" s="30"/>
      <c r="C287" s="4"/>
      <c r="I287" s="22"/>
    </row>
    <row r="288" spans="1:9" ht="15.75" customHeight="1" x14ac:dyDescent="0.3">
      <c r="A288" s="5"/>
      <c r="B288" s="30"/>
      <c r="C288" s="4"/>
      <c r="I288" s="22"/>
    </row>
    <row r="289" spans="1:9" ht="15.75" customHeight="1" x14ac:dyDescent="0.3">
      <c r="A289" s="5"/>
      <c r="B289" s="30"/>
      <c r="C289" s="4"/>
      <c r="I289" s="22"/>
    </row>
    <row r="290" spans="1:9" ht="15.75" customHeight="1" x14ac:dyDescent="0.3">
      <c r="A290" s="5"/>
      <c r="B290" s="30"/>
      <c r="C290" s="4"/>
      <c r="I290" s="22"/>
    </row>
    <row r="291" spans="1:9" ht="15.75" customHeight="1" x14ac:dyDescent="0.3">
      <c r="A291" s="5"/>
      <c r="B291" s="30"/>
      <c r="C291" s="4"/>
      <c r="I291" s="22"/>
    </row>
    <row r="292" spans="1:9" ht="15.75" customHeight="1" x14ac:dyDescent="0.3">
      <c r="A292" s="5"/>
      <c r="B292" s="30"/>
      <c r="C292" s="4"/>
      <c r="I292" s="22"/>
    </row>
    <row r="293" spans="1:9" ht="15.75" customHeight="1" x14ac:dyDescent="0.3">
      <c r="A293" s="5"/>
      <c r="B293" s="30"/>
      <c r="C293" s="4"/>
      <c r="I293" s="22"/>
    </row>
    <row r="294" spans="1:9" ht="15.75" customHeight="1" x14ac:dyDescent="0.3">
      <c r="A294" s="5"/>
      <c r="B294" s="30"/>
      <c r="C294" s="4"/>
      <c r="I294" s="22"/>
    </row>
    <row r="295" spans="1:9" ht="15.75" customHeight="1" x14ac:dyDescent="0.3">
      <c r="A295" s="5"/>
      <c r="B295" s="30"/>
      <c r="C295" s="4"/>
      <c r="I295" s="22"/>
    </row>
    <row r="296" spans="1:9" ht="15.75" customHeight="1" x14ac:dyDescent="0.3">
      <c r="A296" s="5"/>
      <c r="B296" s="30"/>
      <c r="C296" s="4"/>
      <c r="I296" s="22"/>
    </row>
    <row r="297" spans="1:9" ht="15.75" customHeight="1" x14ac:dyDescent="0.3">
      <c r="A297" s="5"/>
      <c r="B297" s="30"/>
      <c r="C297" s="4"/>
      <c r="I297" s="22"/>
    </row>
    <row r="298" spans="1:9" ht="15.75" customHeight="1" x14ac:dyDescent="0.3">
      <c r="A298" s="5"/>
      <c r="B298" s="30"/>
      <c r="C298" s="4"/>
      <c r="I298" s="22"/>
    </row>
    <row r="299" spans="1:9" ht="15.75" customHeight="1" x14ac:dyDescent="0.3">
      <c r="A299" s="5"/>
      <c r="B299" s="30"/>
      <c r="C299" s="4"/>
      <c r="I299" s="22"/>
    </row>
    <row r="300" spans="1:9" ht="15.75" customHeight="1" x14ac:dyDescent="0.3">
      <c r="A300" s="5"/>
      <c r="B300" s="30"/>
      <c r="C300" s="4"/>
      <c r="I300" s="22"/>
    </row>
    <row r="301" spans="1:9" ht="15.75" customHeight="1" x14ac:dyDescent="0.3">
      <c r="A301" s="5"/>
      <c r="B301" s="30"/>
      <c r="C301" s="4"/>
      <c r="I301" s="22"/>
    </row>
    <row r="302" spans="1:9" ht="15.75" customHeight="1" x14ac:dyDescent="0.3">
      <c r="A302" s="5"/>
      <c r="B302" s="30"/>
      <c r="C302" s="4"/>
      <c r="I302" s="22"/>
    </row>
    <row r="303" spans="1:9" ht="15.75" customHeight="1" x14ac:dyDescent="0.3">
      <c r="A303" s="5"/>
      <c r="B303" s="30"/>
      <c r="C303" s="4"/>
      <c r="I303" s="22"/>
    </row>
    <row r="304" spans="1:9" ht="15.75" customHeight="1" x14ac:dyDescent="0.3">
      <c r="A304" s="5"/>
      <c r="B304" s="30"/>
      <c r="C304" s="4"/>
      <c r="I304" s="22"/>
    </row>
    <row r="305" spans="1:9" ht="15.75" customHeight="1" x14ac:dyDescent="0.3">
      <c r="A305" s="5"/>
      <c r="B305" s="30"/>
      <c r="C305" s="4"/>
      <c r="I305" s="22"/>
    </row>
    <row r="306" spans="1:9" ht="15.75" customHeight="1" x14ac:dyDescent="0.3">
      <c r="A306" s="5"/>
      <c r="B306" s="30"/>
      <c r="C306" s="4"/>
      <c r="I306" s="22"/>
    </row>
    <row r="307" spans="1:9" ht="15.75" customHeight="1" x14ac:dyDescent="0.3">
      <c r="A307" s="5"/>
      <c r="B307" s="30"/>
      <c r="C307" s="4"/>
      <c r="I307" s="22"/>
    </row>
    <row r="308" spans="1:9" ht="15.75" customHeight="1" x14ac:dyDescent="0.3">
      <c r="A308" s="5"/>
      <c r="B308" s="30"/>
      <c r="C308" s="4"/>
      <c r="I308" s="22"/>
    </row>
    <row r="309" spans="1:9" ht="15.75" customHeight="1" x14ac:dyDescent="0.3">
      <c r="A309" s="5"/>
      <c r="B309" s="30"/>
      <c r="C309" s="4"/>
      <c r="I309" s="22"/>
    </row>
    <row r="310" spans="1:9" ht="15.75" customHeight="1" x14ac:dyDescent="0.3">
      <c r="A310" s="5"/>
      <c r="B310" s="30"/>
      <c r="C310" s="4"/>
      <c r="I310" s="22"/>
    </row>
    <row r="311" spans="1:9" ht="15.75" customHeight="1" x14ac:dyDescent="0.3">
      <c r="A311" s="5"/>
      <c r="B311" s="30"/>
      <c r="C311" s="4"/>
      <c r="I311" s="22"/>
    </row>
    <row r="312" spans="1:9" ht="15.75" customHeight="1" x14ac:dyDescent="0.3">
      <c r="A312" s="5"/>
      <c r="B312" s="30"/>
      <c r="C312" s="4"/>
      <c r="I312" s="22"/>
    </row>
    <row r="313" spans="1:9" ht="15.75" customHeight="1" x14ac:dyDescent="0.3">
      <c r="A313" s="5"/>
      <c r="B313" s="30"/>
      <c r="C313" s="4"/>
      <c r="I313" s="22"/>
    </row>
    <row r="314" spans="1:9" ht="15.75" customHeight="1" x14ac:dyDescent="0.3">
      <c r="A314" s="5"/>
      <c r="B314" s="30"/>
      <c r="C314" s="4"/>
      <c r="I314" s="22"/>
    </row>
    <row r="315" spans="1:9" ht="15.75" customHeight="1" x14ac:dyDescent="0.3">
      <c r="A315" s="5"/>
      <c r="B315" s="30"/>
      <c r="C315" s="4"/>
      <c r="I315" s="22"/>
    </row>
    <row r="316" spans="1:9" ht="15.75" customHeight="1" x14ac:dyDescent="0.3">
      <c r="A316" s="5"/>
      <c r="B316" s="30"/>
      <c r="C316" s="4"/>
      <c r="I316" s="22"/>
    </row>
    <row r="317" spans="1:9" ht="15.75" customHeight="1" x14ac:dyDescent="0.3">
      <c r="A317" s="5"/>
      <c r="B317" s="30"/>
      <c r="C317" s="4"/>
      <c r="I317" s="22"/>
    </row>
    <row r="318" spans="1:9" ht="15.75" customHeight="1" x14ac:dyDescent="0.3">
      <c r="A318" s="5"/>
      <c r="B318" s="30"/>
      <c r="C318" s="4"/>
      <c r="I318" s="22"/>
    </row>
    <row r="319" spans="1:9" ht="15.75" customHeight="1" x14ac:dyDescent="0.3">
      <c r="A319" s="5"/>
      <c r="B319" s="30"/>
      <c r="C319" s="4"/>
      <c r="I319" s="22"/>
    </row>
    <row r="320" spans="1:9" ht="15.75" customHeight="1" x14ac:dyDescent="0.3">
      <c r="A320" s="5"/>
      <c r="B320" s="30"/>
      <c r="C320" s="4"/>
      <c r="I320" s="22"/>
    </row>
    <row r="321" spans="1:9" ht="15.75" customHeight="1" x14ac:dyDescent="0.3">
      <c r="A321" s="5"/>
      <c r="B321" s="30"/>
      <c r="C321" s="4"/>
      <c r="I321" s="22"/>
    </row>
    <row r="322" spans="1:9" ht="15.75" customHeight="1" x14ac:dyDescent="0.3">
      <c r="A322" s="5"/>
      <c r="B322" s="30"/>
      <c r="C322" s="4"/>
      <c r="I322" s="22"/>
    </row>
    <row r="323" spans="1:9" ht="15.75" customHeight="1" x14ac:dyDescent="0.3">
      <c r="A323" s="5"/>
      <c r="B323" s="30"/>
      <c r="C323" s="4"/>
      <c r="I323" s="22"/>
    </row>
    <row r="324" spans="1:9" ht="15.75" customHeight="1" x14ac:dyDescent="0.3">
      <c r="A324" s="5"/>
      <c r="B324" s="30"/>
      <c r="C324" s="4"/>
      <c r="I324" s="22"/>
    </row>
    <row r="325" spans="1:9" ht="15.75" customHeight="1" x14ac:dyDescent="0.3">
      <c r="A325" s="5"/>
      <c r="B325" s="30"/>
      <c r="C325" s="4"/>
      <c r="I325" s="22"/>
    </row>
    <row r="326" spans="1:9" ht="15.75" customHeight="1" x14ac:dyDescent="0.3">
      <c r="A326" s="5"/>
      <c r="B326" s="30"/>
      <c r="C326" s="4"/>
      <c r="I326" s="22"/>
    </row>
    <row r="327" spans="1:9" ht="15.75" customHeight="1" x14ac:dyDescent="0.3">
      <c r="A327" s="5"/>
      <c r="B327" s="30"/>
      <c r="C327" s="4"/>
      <c r="I327" s="22"/>
    </row>
    <row r="328" spans="1:9" ht="15.75" customHeight="1" x14ac:dyDescent="0.3">
      <c r="A328" s="5"/>
      <c r="B328" s="30"/>
      <c r="C328" s="4"/>
      <c r="I328" s="22"/>
    </row>
    <row r="329" spans="1:9" ht="15.75" customHeight="1" x14ac:dyDescent="0.3">
      <c r="A329" s="5"/>
      <c r="B329" s="30"/>
      <c r="C329" s="4"/>
      <c r="I329" s="22"/>
    </row>
    <row r="330" spans="1:9" ht="15.75" customHeight="1" x14ac:dyDescent="0.3">
      <c r="A330" s="5"/>
      <c r="B330" s="30"/>
      <c r="C330" s="4"/>
      <c r="I330" s="22"/>
    </row>
    <row r="331" spans="1:9" ht="15.75" customHeight="1" x14ac:dyDescent="0.3">
      <c r="A331" s="5"/>
      <c r="B331" s="30"/>
      <c r="C331" s="4"/>
      <c r="I331" s="22"/>
    </row>
    <row r="332" spans="1:9" ht="15.75" customHeight="1" x14ac:dyDescent="0.3">
      <c r="A332" s="5"/>
      <c r="B332" s="30"/>
      <c r="C332" s="4"/>
      <c r="I332" s="22"/>
    </row>
    <row r="333" spans="1:9" ht="15.75" customHeight="1" x14ac:dyDescent="0.3">
      <c r="A333" s="5"/>
      <c r="B333" s="30"/>
      <c r="C333" s="4"/>
      <c r="I333" s="22"/>
    </row>
    <row r="334" spans="1:9" ht="15.75" customHeight="1" x14ac:dyDescent="0.3">
      <c r="A334" s="5"/>
      <c r="B334" s="30"/>
      <c r="C334" s="4"/>
      <c r="I334" s="22"/>
    </row>
    <row r="335" spans="1:9" ht="15.75" customHeight="1" x14ac:dyDescent="0.3">
      <c r="A335" s="5"/>
      <c r="B335" s="30"/>
      <c r="C335" s="4"/>
      <c r="I335" s="22"/>
    </row>
    <row r="336" spans="1:9" ht="15.75" customHeight="1" x14ac:dyDescent="0.3">
      <c r="A336" s="5"/>
      <c r="B336" s="30"/>
      <c r="C336" s="4"/>
      <c r="I336" s="22"/>
    </row>
    <row r="337" spans="1:9" ht="15.75" customHeight="1" x14ac:dyDescent="0.3">
      <c r="A337" s="5"/>
      <c r="B337" s="30"/>
      <c r="C337" s="4"/>
      <c r="I337" s="22"/>
    </row>
    <row r="338" spans="1:9" ht="15.75" customHeight="1" x14ac:dyDescent="0.3">
      <c r="A338" s="5"/>
      <c r="B338" s="30"/>
      <c r="C338" s="4"/>
      <c r="I338" s="22"/>
    </row>
    <row r="339" spans="1:9" ht="15.75" customHeight="1" x14ac:dyDescent="0.3">
      <c r="A339" s="5"/>
      <c r="B339" s="30"/>
      <c r="C339" s="4"/>
      <c r="I339" s="22"/>
    </row>
    <row r="340" spans="1:9" ht="15.75" customHeight="1" x14ac:dyDescent="0.3">
      <c r="A340" s="5"/>
      <c r="B340" s="30"/>
      <c r="C340" s="4"/>
      <c r="I340" s="22"/>
    </row>
    <row r="341" spans="1:9" ht="15.75" customHeight="1" x14ac:dyDescent="0.3">
      <c r="A341" s="5"/>
      <c r="B341" s="30"/>
      <c r="C341" s="4"/>
      <c r="I341" s="22"/>
    </row>
    <row r="342" spans="1:9" ht="15.75" customHeight="1" x14ac:dyDescent="0.3">
      <c r="A342" s="5"/>
      <c r="B342" s="30"/>
      <c r="C342" s="4"/>
      <c r="I342" s="22"/>
    </row>
    <row r="343" spans="1:9" ht="15.75" customHeight="1" x14ac:dyDescent="0.3">
      <c r="A343" s="5"/>
      <c r="B343" s="30"/>
      <c r="C343" s="4"/>
      <c r="I343" s="22"/>
    </row>
    <row r="344" spans="1:9" ht="15.75" customHeight="1" x14ac:dyDescent="0.3">
      <c r="A344" s="5"/>
      <c r="B344" s="30"/>
      <c r="C344" s="4"/>
      <c r="I344" s="22"/>
    </row>
    <row r="345" spans="1:9" ht="15.75" customHeight="1" x14ac:dyDescent="0.3">
      <c r="A345" s="5"/>
      <c r="B345" s="30"/>
      <c r="C345" s="4"/>
      <c r="I345" s="22"/>
    </row>
    <row r="346" spans="1:9" ht="15.75" customHeight="1" x14ac:dyDescent="0.3">
      <c r="A346" s="5"/>
      <c r="B346" s="30"/>
      <c r="C346" s="4"/>
      <c r="I346" s="22"/>
    </row>
    <row r="347" spans="1:9" ht="15.75" customHeight="1" x14ac:dyDescent="0.3">
      <c r="A347" s="5"/>
      <c r="B347" s="30"/>
      <c r="C347" s="4"/>
      <c r="I347" s="22"/>
    </row>
    <row r="348" spans="1:9" ht="15.75" customHeight="1" x14ac:dyDescent="0.3">
      <c r="A348" s="5"/>
      <c r="B348" s="30"/>
      <c r="C348" s="4"/>
      <c r="I348" s="22"/>
    </row>
    <row r="349" spans="1:9" ht="15.75" customHeight="1" x14ac:dyDescent="0.3">
      <c r="A349" s="5"/>
      <c r="B349" s="30"/>
      <c r="C349" s="4"/>
      <c r="I349" s="22"/>
    </row>
    <row r="350" spans="1:9" ht="15.75" customHeight="1" x14ac:dyDescent="0.3">
      <c r="A350" s="5"/>
      <c r="B350" s="30"/>
      <c r="C350" s="4"/>
      <c r="I350" s="22"/>
    </row>
    <row r="351" spans="1:9" ht="15.75" customHeight="1" x14ac:dyDescent="0.3">
      <c r="A351" s="5"/>
      <c r="B351" s="30"/>
      <c r="C351" s="4"/>
      <c r="I351" s="22"/>
    </row>
    <row r="352" spans="1:9" ht="15.75" customHeight="1" x14ac:dyDescent="0.3">
      <c r="A352" s="5"/>
      <c r="B352" s="30"/>
      <c r="C352" s="4"/>
      <c r="I352" s="22"/>
    </row>
    <row r="353" spans="1:9" ht="15.75" customHeight="1" x14ac:dyDescent="0.3">
      <c r="A353" s="5"/>
      <c r="B353" s="30"/>
      <c r="C353" s="4"/>
      <c r="I353" s="22"/>
    </row>
    <row r="354" spans="1:9" ht="15.75" customHeight="1" x14ac:dyDescent="0.3">
      <c r="A354" s="5"/>
      <c r="B354" s="30"/>
      <c r="C354" s="4"/>
      <c r="I354" s="22"/>
    </row>
    <row r="355" spans="1:9" ht="15.75" customHeight="1" x14ac:dyDescent="0.3">
      <c r="A355" s="5"/>
      <c r="B355" s="30"/>
      <c r="C355" s="4"/>
      <c r="I355" s="22"/>
    </row>
    <row r="356" spans="1:9" ht="15.75" customHeight="1" x14ac:dyDescent="0.3">
      <c r="A356" s="5"/>
      <c r="B356" s="30"/>
      <c r="C356" s="4"/>
      <c r="I356" s="22"/>
    </row>
    <row r="357" spans="1:9" ht="15.75" customHeight="1" x14ac:dyDescent="0.3">
      <c r="A357" s="5"/>
      <c r="B357" s="30"/>
      <c r="C357" s="4"/>
      <c r="I357" s="22"/>
    </row>
    <row r="358" spans="1:9" ht="15.75" customHeight="1" x14ac:dyDescent="0.3">
      <c r="A358" s="5"/>
      <c r="B358" s="30"/>
      <c r="C358" s="4"/>
      <c r="I358" s="22"/>
    </row>
    <row r="359" spans="1:9" ht="15.75" customHeight="1" x14ac:dyDescent="0.3">
      <c r="A359" s="5"/>
      <c r="B359" s="30"/>
      <c r="C359" s="4"/>
      <c r="I359" s="22"/>
    </row>
    <row r="360" spans="1:9" ht="15.75" customHeight="1" x14ac:dyDescent="0.3">
      <c r="A360" s="5"/>
      <c r="B360" s="30"/>
      <c r="C360" s="4"/>
      <c r="I360" s="22"/>
    </row>
    <row r="361" spans="1:9" ht="15.75" customHeight="1" x14ac:dyDescent="0.3">
      <c r="A361" s="5"/>
      <c r="B361" s="30"/>
      <c r="C361" s="4"/>
      <c r="I361" s="22"/>
    </row>
    <row r="362" spans="1:9" ht="15.75" customHeight="1" x14ac:dyDescent="0.3">
      <c r="A362" s="5"/>
      <c r="B362" s="30"/>
      <c r="C362" s="4"/>
      <c r="I362" s="22"/>
    </row>
    <row r="363" spans="1:9" ht="15.75" customHeight="1" x14ac:dyDescent="0.3">
      <c r="A363" s="5"/>
      <c r="B363" s="30"/>
      <c r="C363" s="4"/>
      <c r="I363" s="22"/>
    </row>
    <row r="364" spans="1:9" ht="15.75" customHeight="1" x14ac:dyDescent="0.3">
      <c r="A364" s="5"/>
      <c r="B364" s="30"/>
      <c r="C364" s="4"/>
      <c r="I364" s="22"/>
    </row>
    <row r="365" spans="1:9" ht="15.75" customHeight="1" x14ac:dyDescent="0.3">
      <c r="A365" s="5"/>
      <c r="B365" s="30"/>
      <c r="C365" s="4"/>
      <c r="I365" s="22"/>
    </row>
    <row r="366" spans="1:9" ht="15.75" customHeight="1" x14ac:dyDescent="0.3">
      <c r="A366" s="5"/>
      <c r="B366" s="30"/>
      <c r="C366" s="4"/>
      <c r="I366" s="22"/>
    </row>
    <row r="367" spans="1:9" ht="15.75" customHeight="1" x14ac:dyDescent="0.3">
      <c r="A367" s="5"/>
      <c r="B367" s="30"/>
      <c r="C367" s="4"/>
      <c r="I367" s="22"/>
    </row>
    <row r="368" spans="1:9" ht="15.75" customHeight="1" x14ac:dyDescent="0.3">
      <c r="A368" s="5"/>
      <c r="B368" s="30"/>
      <c r="C368" s="4"/>
      <c r="I368" s="22"/>
    </row>
    <row r="369" spans="1:9" ht="15.75" customHeight="1" x14ac:dyDescent="0.3">
      <c r="A369" s="5"/>
      <c r="B369" s="30"/>
      <c r="C369" s="4"/>
      <c r="I369" s="22"/>
    </row>
    <row r="370" spans="1:9" ht="15.75" customHeight="1" x14ac:dyDescent="0.3">
      <c r="A370" s="5"/>
      <c r="B370" s="30"/>
      <c r="C370" s="4"/>
      <c r="I370" s="22"/>
    </row>
    <row r="371" spans="1:9" ht="15.75" customHeight="1" x14ac:dyDescent="0.3">
      <c r="A371" s="5"/>
      <c r="B371" s="30"/>
      <c r="C371" s="4"/>
      <c r="I371" s="22"/>
    </row>
    <row r="372" spans="1:9" ht="15.75" customHeight="1" x14ac:dyDescent="0.3">
      <c r="A372" s="5"/>
      <c r="B372" s="30"/>
      <c r="C372" s="4"/>
      <c r="I372" s="22"/>
    </row>
    <row r="373" spans="1:9" ht="15.75" customHeight="1" x14ac:dyDescent="0.3">
      <c r="A373" s="5"/>
      <c r="B373" s="30"/>
      <c r="C373" s="4"/>
      <c r="I373" s="22"/>
    </row>
    <row r="374" spans="1:9" ht="15.75" customHeight="1" x14ac:dyDescent="0.3">
      <c r="A374" s="5"/>
      <c r="B374" s="30"/>
      <c r="C374" s="4"/>
      <c r="I374" s="22"/>
    </row>
    <row r="375" spans="1:9" ht="15.75" customHeight="1" x14ac:dyDescent="0.3">
      <c r="A375" s="5"/>
      <c r="B375" s="30"/>
      <c r="C375" s="4"/>
      <c r="I375" s="22"/>
    </row>
    <row r="376" spans="1:9" ht="15.75" customHeight="1" x14ac:dyDescent="0.3">
      <c r="A376" s="5"/>
      <c r="B376" s="30"/>
      <c r="C376" s="4"/>
      <c r="I376" s="22"/>
    </row>
    <row r="377" spans="1:9" ht="15.75" customHeight="1" x14ac:dyDescent="0.3">
      <c r="A377" s="5"/>
      <c r="B377" s="30"/>
      <c r="C377" s="4"/>
      <c r="I377" s="22"/>
    </row>
    <row r="378" spans="1:9" ht="15.75" customHeight="1" x14ac:dyDescent="0.3">
      <c r="A378" s="5"/>
      <c r="B378" s="30"/>
      <c r="C378" s="4"/>
      <c r="I378" s="22"/>
    </row>
    <row r="379" spans="1:9" ht="15.75" customHeight="1" x14ac:dyDescent="0.3">
      <c r="A379" s="5"/>
      <c r="B379" s="30"/>
      <c r="C379" s="4"/>
      <c r="I379" s="22"/>
    </row>
    <row r="380" spans="1:9" ht="15.75" customHeight="1" x14ac:dyDescent="0.3">
      <c r="A380" s="5"/>
      <c r="B380" s="30"/>
      <c r="C380" s="4"/>
      <c r="I380" s="22"/>
    </row>
    <row r="381" spans="1:9" ht="15.75" customHeight="1" x14ac:dyDescent="0.3">
      <c r="A381" s="5"/>
      <c r="B381" s="30"/>
      <c r="C381" s="4"/>
      <c r="I381" s="22"/>
    </row>
    <row r="382" spans="1:9" ht="15.75" customHeight="1" x14ac:dyDescent="0.3">
      <c r="A382" s="5"/>
      <c r="B382" s="30"/>
      <c r="C382" s="4"/>
      <c r="I382" s="22"/>
    </row>
    <row r="383" spans="1:9" ht="15.75" customHeight="1" x14ac:dyDescent="0.3">
      <c r="A383" s="5"/>
      <c r="B383" s="30"/>
      <c r="C383" s="4"/>
      <c r="I383" s="22"/>
    </row>
    <row r="384" spans="1:9" ht="15.75" customHeight="1" x14ac:dyDescent="0.3">
      <c r="A384" s="5"/>
      <c r="B384" s="30"/>
      <c r="C384" s="4"/>
      <c r="I384" s="22"/>
    </row>
    <row r="385" spans="1:9" ht="15.75" customHeight="1" x14ac:dyDescent="0.3">
      <c r="A385" s="5"/>
      <c r="B385" s="30"/>
      <c r="C385" s="4"/>
      <c r="I385" s="22"/>
    </row>
    <row r="386" spans="1:9" ht="15.75" customHeight="1" x14ac:dyDescent="0.3">
      <c r="A386" s="5"/>
      <c r="B386" s="30"/>
      <c r="C386" s="4"/>
      <c r="I386" s="22"/>
    </row>
    <row r="387" spans="1:9" ht="15.75" customHeight="1" x14ac:dyDescent="0.3">
      <c r="A387" s="5"/>
      <c r="B387" s="30"/>
      <c r="C387" s="4"/>
      <c r="I387" s="22"/>
    </row>
    <row r="388" spans="1:9" ht="15.75" customHeight="1" x14ac:dyDescent="0.3">
      <c r="A388" s="5"/>
      <c r="B388" s="30"/>
      <c r="C388" s="4"/>
      <c r="I388" s="22"/>
    </row>
    <row r="389" spans="1:9" ht="15.75" customHeight="1" x14ac:dyDescent="0.3">
      <c r="A389" s="5"/>
      <c r="B389" s="30"/>
      <c r="C389" s="4"/>
      <c r="I389" s="22"/>
    </row>
    <row r="390" spans="1:9" ht="15.75" customHeight="1" x14ac:dyDescent="0.3">
      <c r="A390" s="5"/>
      <c r="B390" s="30"/>
      <c r="C390" s="4"/>
      <c r="I390" s="22"/>
    </row>
    <row r="391" spans="1:9" ht="15.75" customHeight="1" x14ac:dyDescent="0.3">
      <c r="A391" s="5"/>
      <c r="B391" s="30"/>
      <c r="C391" s="4"/>
      <c r="I391" s="22"/>
    </row>
    <row r="392" spans="1:9" ht="15.75" customHeight="1" x14ac:dyDescent="0.3">
      <c r="A392" s="5"/>
      <c r="B392" s="30"/>
      <c r="C392" s="4"/>
      <c r="I392" s="22"/>
    </row>
    <row r="393" spans="1:9" ht="15.75" customHeight="1" x14ac:dyDescent="0.3">
      <c r="A393" s="5"/>
      <c r="B393" s="30"/>
      <c r="C393" s="4"/>
      <c r="I393" s="22"/>
    </row>
    <row r="394" spans="1:9" ht="15.75" customHeight="1" x14ac:dyDescent="0.3">
      <c r="A394" s="5"/>
      <c r="B394" s="30"/>
      <c r="C394" s="4"/>
      <c r="I394" s="22"/>
    </row>
    <row r="395" spans="1:9" ht="15.75" customHeight="1" x14ac:dyDescent="0.3">
      <c r="A395" s="5"/>
      <c r="B395" s="30"/>
      <c r="C395" s="4"/>
      <c r="I395" s="22"/>
    </row>
    <row r="396" spans="1:9" ht="15.75" customHeight="1" x14ac:dyDescent="0.3">
      <c r="A396" s="5"/>
      <c r="B396" s="30"/>
      <c r="C396" s="4"/>
      <c r="I396" s="22"/>
    </row>
    <row r="397" spans="1:9" ht="15.75" customHeight="1" x14ac:dyDescent="0.3">
      <c r="A397" s="5"/>
      <c r="B397" s="30"/>
      <c r="C397" s="4"/>
      <c r="I397" s="22"/>
    </row>
    <row r="398" spans="1:9" ht="15.75" customHeight="1" x14ac:dyDescent="0.3">
      <c r="A398" s="5"/>
      <c r="B398" s="30"/>
      <c r="C398" s="4"/>
      <c r="I398" s="22"/>
    </row>
    <row r="399" spans="1:9" ht="15.75" customHeight="1" x14ac:dyDescent="0.3">
      <c r="A399" s="5"/>
      <c r="B399" s="30"/>
      <c r="C399" s="4"/>
      <c r="I399" s="22"/>
    </row>
    <row r="400" spans="1:9" ht="15.75" customHeight="1" x14ac:dyDescent="0.3">
      <c r="A400" s="5"/>
      <c r="B400" s="30"/>
      <c r="C400" s="4"/>
      <c r="I400" s="22"/>
    </row>
    <row r="401" spans="1:9" ht="15.75" customHeight="1" x14ac:dyDescent="0.3">
      <c r="A401" s="5"/>
      <c r="B401" s="30"/>
      <c r="C401" s="4"/>
      <c r="I401" s="22"/>
    </row>
    <row r="402" spans="1:9" ht="15.75" customHeight="1" x14ac:dyDescent="0.3">
      <c r="A402" s="5"/>
      <c r="B402" s="30"/>
      <c r="C402" s="4"/>
      <c r="I402" s="22"/>
    </row>
    <row r="403" spans="1:9" ht="15.75" customHeight="1" x14ac:dyDescent="0.3">
      <c r="A403" s="5"/>
      <c r="B403" s="30"/>
      <c r="C403" s="4"/>
      <c r="I403" s="22"/>
    </row>
    <row r="404" spans="1:9" ht="15.75" customHeight="1" x14ac:dyDescent="0.3">
      <c r="A404" s="5"/>
      <c r="B404" s="30"/>
      <c r="C404" s="4"/>
      <c r="I404" s="22"/>
    </row>
    <row r="405" spans="1:9" ht="15.75" customHeight="1" x14ac:dyDescent="0.3">
      <c r="A405" s="5"/>
      <c r="B405" s="30"/>
      <c r="C405" s="4"/>
      <c r="I405" s="22"/>
    </row>
    <row r="406" spans="1:9" ht="15.75" customHeight="1" x14ac:dyDescent="0.3">
      <c r="A406" s="5"/>
      <c r="B406" s="30"/>
      <c r="C406" s="4"/>
      <c r="I406" s="22"/>
    </row>
    <row r="407" spans="1:9" ht="15.75" customHeight="1" x14ac:dyDescent="0.3">
      <c r="A407" s="5"/>
      <c r="B407" s="30"/>
      <c r="C407" s="4"/>
      <c r="I407" s="22"/>
    </row>
    <row r="408" spans="1:9" ht="15.75" customHeight="1" x14ac:dyDescent="0.3">
      <c r="A408" s="5"/>
      <c r="B408" s="30"/>
      <c r="C408" s="4"/>
      <c r="I408" s="22"/>
    </row>
    <row r="409" spans="1:9" ht="15.75" customHeight="1" x14ac:dyDescent="0.3">
      <c r="A409" s="5"/>
      <c r="B409" s="30"/>
      <c r="C409" s="4"/>
      <c r="I409" s="22"/>
    </row>
    <row r="410" spans="1:9" ht="15.75" customHeight="1" x14ac:dyDescent="0.3">
      <c r="A410" s="5"/>
      <c r="B410" s="30"/>
      <c r="C410" s="4"/>
      <c r="I410" s="22"/>
    </row>
    <row r="411" spans="1:9" ht="15.75" customHeight="1" x14ac:dyDescent="0.3">
      <c r="A411" s="5"/>
      <c r="B411" s="30"/>
      <c r="C411" s="4"/>
      <c r="I411" s="22"/>
    </row>
    <row r="412" spans="1:9" ht="15.75" customHeight="1" x14ac:dyDescent="0.3">
      <c r="A412" s="5"/>
      <c r="B412" s="30"/>
      <c r="C412" s="4"/>
      <c r="I412" s="22"/>
    </row>
    <row r="413" spans="1:9" ht="15.75" customHeight="1" x14ac:dyDescent="0.3">
      <c r="A413" s="5"/>
      <c r="B413" s="30"/>
      <c r="C413" s="4"/>
      <c r="I413" s="22"/>
    </row>
    <row r="414" spans="1:9" ht="15.75" customHeight="1" x14ac:dyDescent="0.3">
      <c r="A414" s="5"/>
      <c r="B414" s="30"/>
      <c r="C414" s="4"/>
      <c r="I414" s="22"/>
    </row>
    <row r="415" spans="1:9" ht="15.75" customHeight="1" x14ac:dyDescent="0.3">
      <c r="A415" s="5"/>
      <c r="B415" s="30"/>
      <c r="C415" s="4"/>
      <c r="I415" s="22"/>
    </row>
    <row r="416" spans="1:9" ht="15.75" customHeight="1" x14ac:dyDescent="0.3">
      <c r="A416" s="5"/>
      <c r="B416" s="30"/>
      <c r="C416" s="4"/>
      <c r="I416" s="22"/>
    </row>
    <row r="417" spans="1:9" ht="15.75" customHeight="1" x14ac:dyDescent="0.3">
      <c r="A417" s="5"/>
      <c r="B417" s="30"/>
      <c r="C417" s="4"/>
      <c r="I417" s="22"/>
    </row>
    <row r="418" spans="1:9" ht="15.75" customHeight="1" x14ac:dyDescent="0.3">
      <c r="A418" s="5"/>
      <c r="B418" s="30"/>
      <c r="C418" s="4"/>
      <c r="I418" s="22"/>
    </row>
    <row r="419" spans="1:9" ht="15.75" customHeight="1" x14ac:dyDescent="0.3">
      <c r="A419" s="5"/>
      <c r="B419" s="30"/>
      <c r="C419" s="4"/>
      <c r="I419" s="22"/>
    </row>
    <row r="420" spans="1:9" ht="15.75" customHeight="1" x14ac:dyDescent="0.3">
      <c r="A420" s="5"/>
      <c r="B420" s="30"/>
      <c r="C420" s="4"/>
      <c r="I420" s="22"/>
    </row>
    <row r="421" spans="1:9" ht="15.75" customHeight="1" x14ac:dyDescent="0.3">
      <c r="A421" s="5"/>
      <c r="B421" s="30"/>
      <c r="C421" s="4"/>
      <c r="I421" s="22"/>
    </row>
    <row r="422" spans="1:9" ht="15.75" customHeight="1" x14ac:dyDescent="0.3">
      <c r="A422" s="5"/>
      <c r="B422" s="30"/>
      <c r="C422" s="4"/>
      <c r="I422" s="22"/>
    </row>
    <row r="423" spans="1:9" ht="15.75" customHeight="1" x14ac:dyDescent="0.3">
      <c r="A423" s="5"/>
      <c r="B423" s="30"/>
      <c r="C423" s="4"/>
      <c r="I423" s="22"/>
    </row>
    <row r="424" spans="1:9" ht="15.75" customHeight="1" x14ac:dyDescent="0.3">
      <c r="A424" s="5"/>
      <c r="B424" s="30"/>
      <c r="C424" s="4"/>
      <c r="I424" s="22"/>
    </row>
    <row r="425" spans="1:9" ht="15.75" customHeight="1" x14ac:dyDescent="0.3">
      <c r="A425" s="5"/>
      <c r="B425" s="30"/>
      <c r="C425" s="4"/>
      <c r="I425" s="22"/>
    </row>
    <row r="426" spans="1:9" ht="15.75" customHeight="1" x14ac:dyDescent="0.3">
      <c r="A426" s="5"/>
      <c r="B426" s="30"/>
      <c r="C426" s="4"/>
      <c r="I426" s="22"/>
    </row>
    <row r="427" spans="1:9" ht="15.75" customHeight="1" x14ac:dyDescent="0.3">
      <c r="A427" s="5"/>
      <c r="B427" s="30"/>
      <c r="C427" s="4"/>
      <c r="I427" s="22"/>
    </row>
    <row r="428" spans="1:9" ht="15.75" customHeight="1" x14ac:dyDescent="0.3">
      <c r="A428" s="5"/>
      <c r="B428" s="30"/>
      <c r="C428" s="4"/>
      <c r="I428" s="22"/>
    </row>
    <row r="429" spans="1:9" ht="15.75" customHeight="1" x14ac:dyDescent="0.3">
      <c r="A429" s="5"/>
      <c r="B429" s="30"/>
      <c r="C429" s="4"/>
      <c r="I429" s="22"/>
    </row>
    <row r="430" spans="1:9" ht="15.75" customHeight="1" x14ac:dyDescent="0.3">
      <c r="A430" s="5"/>
      <c r="B430" s="30"/>
      <c r="C430" s="4"/>
      <c r="I430" s="22"/>
    </row>
    <row r="431" spans="1:9" ht="15.75" customHeight="1" x14ac:dyDescent="0.3">
      <c r="A431" s="5"/>
      <c r="B431" s="30"/>
      <c r="C431" s="4"/>
      <c r="I431" s="22"/>
    </row>
    <row r="432" spans="1:9" ht="15.75" customHeight="1" x14ac:dyDescent="0.3">
      <c r="A432" s="5"/>
      <c r="B432" s="30"/>
      <c r="C432" s="4"/>
      <c r="I432" s="22"/>
    </row>
    <row r="433" spans="1:9" ht="15.75" customHeight="1" x14ac:dyDescent="0.3">
      <c r="A433" s="5"/>
      <c r="B433" s="30"/>
      <c r="C433" s="4"/>
      <c r="I433" s="22"/>
    </row>
    <row r="434" spans="1:9" ht="15.75" customHeight="1" x14ac:dyDescent="0.3">
      <c r="A434" s="5"/>
      <c r="B434" s="30"/>
      <c r="C434" s="4"/>
      <c r="I434" s="22"/>
    </row>
    <row r="435" spans="1:9" ht="15.75" customHeight="1" x14ac:dyDescent="0.3">
      <c r="A435" s="5"/>
      <c r="B435" s="30"/>
      <c r="C435" s="4"/>
      <c r="I435" s="22"/>
    </row>
    <row r="436" spans="1:9" ht="15.75" customHeight="1" x14ac:dyDescent="0.3">
      <c r="A436" s="5"/>
      <c r="B436" s="30"/>
      <c r="C436" s="4"/>
      <c r="I436" s="22"/>
    </row>
    <row r="437" spans="1:9" ht="15.75" customHeight="1" x14ac:dyDescent="0.3">
      <c r="A437" s="5"/>
      <c r="B437" s="30"/>
      <c r="C437" s="4"/>
      <c r="I437" s="22"/>
    </row>
    <row r="438" spans="1:9" ht="15.75" customHeight="1" x14ac:dyDescent="0.3">
      <c r="A438" s="5"/>
      <c r="B438" s="30"/>
      <c r="C438" s="4"/>
      <c r="I438" s="22"/>
    </row>
    <row r="439" spans="1:9" ht="15.75" customHeight="1" x14ac:dyDescent="0.3">
      <c r="A439" s="5"/>
      <c r="B439" s="30"/>
      <c r="C439" s="4"/>
      <c r="I439" s="22"/>
    </row>
    <row r="440" spans="1:9" ht="15.75" customHeight="1" x14ac:dyDescent="0.3">
      <c r="A440" s="5"/>
      <c r="B440" s="30"/>
      <c r="C440" s="4"/>
      <c r="I440" s="22"/>
    </row>
    <row r="441" spans="1:9" ht="15.75" customHeight="1" x14ac:dyDescent="0.3">
      <c r="A441" s="5"/>
      <c r="B441" s="30"/>
      <c r="C441" s="4"/>
      <c r="I441" s="22"/>
    </row>
    <row r="442" spans="1:9" ht="15.75" customHeight="1" x14ac:dyDescent="0.3">
      <c r="A442" s="5"/>
      <c r="B442" s="30"/>
      <c r="C442" s="4"/>
      <c r="I442" s="22"/>
    </row>
    <row r="443" spans="1:9" ht="15.75" customHeight="1" x14ac:dyDescent="0.3">
      <c r="A443" s="5"/>
      <c r="B443" s="30"/>
      <c r="C443" s="4"/>
      <c r="I443" s="22"/>
    </row>
    <row r="444" spans="1:9" ht="15.75" customHeight="1" x14ac:dyDescent="0.3">
      <c r="A444" s="5"/>
      <c r="B444" s="30"/>
      <c r="C444" s="4"/>
      <c r="I444" s="22"/>
    </row>
    <row r="445" spans="1:9" ht="15.75" customHeight="1" x14ac:dyDescent="0.3">
      <c r="A445" s="5"/>
      <c r="B445" s="30"/>
      <c r="C445" s="4"/>
      <c r="I445" s="22"/>
    </row>
    <row r="446" spans="1:9" ht="15.75" customHeight="1" x14ac:dyDescent="0.3">
      <c r="A446" s="5"/>
      <c r="B446" s="30"/>
      <c r="C446" s="4"/>
      <c r="I446" s="22"/>
    </row>
    <row r="447" spans="1:9" ht="15.75" customHeight="1" x14ac:dyDescent="0.3">
      <c r="A447" s="5"/>
      <c r="B447" s="30"/>
      <c r="C447" s="4"/>
      <c r="I447" s="22"/>
    </row>
    <row r="448" spans="1:9" ht="15.75" customHeight="1" x14ac:dyDescent="0.3">
      <c r="A448" s="5"/>
      <c r="B448" s="30"/>
      <c r="C448" s="4"/>
      <c r="I448" s="22"/>
    </row>
    <row r="449" spans="1:9" ht="15.75" customHeight="1" x14ac:dyDescent="0.3">
      <c r="A449" s="5"/>
      <c r="B449" s="30"/>
      <c r="C449" s="4"/>
      <c r="I449" s="22"/>
    </row>
    <row r="450" spans="1:9" ht="15.75" customHeight="1" x14ac:dyDescent="0.3">
      <c r="A450" s="5"/>
      <c r="B450" s="30"/>
      <c r="C450" s="4"/>
      <c r="I450" s="22"/>
    </row>
    <row r="451" spans="1:9" ht="15.75" customHeight="1" x14ac:dyDescent="0.3">
      <c r="A451" s="5"/>
      <c r="B451" s="30"/>
      <c r="C451" s="4"/>
      <c r="I451" s="22"/>
    </row>
    <row r="452" spans="1:9" ht="15.75" customHeight="1" x14ac:dyDescent="0.3">
      <c r="A452" s="5"/>
      <c r="B452" s="30"/>
      <c r="C452" s="4"/>
      <c r="I452" s="22"/>
    </row>
    <row r="453" spans="1:9" ht="15.75" customHeight="1" x14ac:dyDescent="0.3">
      <c r="A453" s="5"/>
      <c r="B453" s="30"/>
      <c r="C453" s="4"/>
      <c r="I453" s="22"/>
    </row>
    <row r="454" spans="1:9" ht="15.75" customHeight="1" x14ac:dyDescent="0.3">
      <c r="A454" s="5"/>
      <c r="B454" s="30"/>
      <c r="C454" s="4"/>
      <c r="I454" s="22"/>
    </row>
    <row r="455" spans="1:9" ht="15.75" customHeight="1" x14ac:dyDescent="0.3">
      <c r="A455" s="5"/>
      <c r="B455" s="30"/>
      <c r="C455" s="4"/>
      <c r="I455" s="22"/>
    </row>
    <row r="456" spans="1:9" ht="15.75" customHeight="1" x14ac:dyDescent="0.3">
      <c r="A456" s="5"/>
      <c r="B456" s="30"/>
      <c r="C456" s="4"/>
      <c r="I456" s="22"/>
    </row>
    <row r="457" spans="1:9" ht="15.75" customHeight="1" x14ac:dyDescent="0.3">
      <c r="A457" s="5"/>
      <c r="B457" s="30"/>
      <c r="C457" s="4"/>
      <c r="I457" s="22"/>
    </row>
    <row r="458" spans="1:9" ht="15.75" customHeight="1" x14ac:dyDescent="0.3">
      <c r="A458" s="5"/>
      <c r="B458" s="30"/>
      <c r="C458" s="4"/>
      <c r="I458" s="22"/>
    </row>
    <row r="459" spans="1:9" ht="15.75" customHeight="1" x14ac:dyDescent="0.3">
      <c r="A459" s="5"/>
      <c r="B459" s="30"/>
      <c r="C459" s="4"/>
      <c r="I459" s="22"/>
    </row>
    <row r="460" spans="1:9" ht="15.75" customHeight="1" x14ac:dyDescent="0.3">
      <c r="A460" s="5"/>
      <c r="B460" s="30"/>
      <c r="C460" s="4"/>
      <c r="I460" s="22"/>
    </row>
    <row r="461" spans="1:9" ht="15.75" customHeight="1" x14ac:dyDescent="0.3">
      <c r="A461" s="5"/>
      <c r="B461" s="30"/>
      <c r="C461" s="4"/>
      <c r="I461" s="22"/>
    </row>
    <row r="462" spans="1:9" ht="15.75" customHeight="1" x14ac:dyDescent="0.3">
      <c r="A462" s="5"/>
      <c r="B462" s="30"/>
      <c r="C462" s="4"/>
      <c r="I462" s="22"/>
    </row>
    <row r="463" spans="1:9" ht="15.75" customHeight="1" x14ac:dyDescent="0.3">
      <c r="A463" s="5"/>
      <c r="B463" s="30"/>
      <c r="C463" s="4"/>
      <c r="I463" s="22"/>
    </row>
    <row r="464" spans="1:9" ht="15.75" customHeight="1" x14ac:dyDescent="0.3">
      <c r="A464" s="5"/>
      <c r="B464" s="30"/>
      <c r="C464" s="4"/>
      <c r="I464" s="22"/>
    </row>
    <row r="465" spans="1:9" ht="15.75" customHeight="1" x14ac:dyDescent="0.3">
      <c r="A465" s="5"/>
      <c r="B465" s="30"/>
      <c r="C465" s="4"/>
      <c r="I465" s="22"/>
    </row>
    <row r="466" spans="1:9" ht="15.75" customHeight="1" x14ac:dyDescent="0.3">
      <c r="A466" s="5"/>
      <c r="B466" s="30"/>
      <c r="C466" s="4"/>
      <c r="I466" s="22"/>
    </row>
    <row r="467" spans="1:9" ht="15.75" customHeight="1" x14ac:dyDescent="0.3">
      <c r="A467" s="5"/>
      <c r="B467" s="30"/>
      <c r="C467" s="4"/>
      <c r="I467" s="22"/>
    </row>
    <row r="468" spans="1:9" ht="15.75" customHeight="1" x14ac:dyDescent="0.3">
      <c r="A468" s="5"/>
      <c r="B468" s="30"/>
      <c r="C468" s="4"/>
      <c r="I468" s="22"/>
    </row>
    <row r="469" spans="1:9" ht="15.75" customHeight="1" x14ac:dyDescent="0.3">
      <c r="A469" s="5"/>
      <c r="B469" s="30"/>
      <c r="C469" s="4"/>
      <c r="I469" s="22"/>
    </row>
    <row r="470" spans="1:9" ht="15.75" customHeight="1" x14ac:dyDescent="0.3">
      <c r="A470" s="5"/>
      <c r="B470" s="30"/>
      <c r="C470" s="4"/>
      <c r="I470" s="22"/>
    </row>
    <row r="471" spans="1:9" ht="15.75" customHeight="1" x14ac:dyDescent="0.3">
      <c r="A471" s="5"/>
      <c r="B471" s="30"/>
      <c r="C471" s="4"/>
      <c r="I471" s="22"/>
    </row>
    <row r="472" spans="1:9" ht="15.75" customHeight="1" x14ac:dyDescent="0.3">
      <c r="A472" s="5"/>
      <c r="B472" s="30"/>
      <c r="C472" s="4"/>
      <c r="I472" s="22"/>
    </row>
    <row r="473" spans="1:9" ht="15.75" customHeight="1" x14ac:dyDescent="0.3">
      <c r="A473" s="5"/>
      <c r="B473" s="30"/>
      <c r="C473" s="4"/>
      <c r="I473" s="22"/>
    </row>
    <row r="474" spans="1:9" ht="15.75" customHeight="1" x14ac:dyDescent="0.3">
      <c r="A474" s="5"/>
      <c r="B474" s="30"/>
      <c r="C474" s="4"/>
      <c r="I474" s="22"/>
    </row>
    <row r="475" spans="1:9" ht="15.75" customHeight="1" x14ac:dyDescent="0.3">
      <c r="A475" s="5"/>
      <c r="B475" s="30"/>
      <c r="C475" s="4"/>
      <c r="I475" s="22"/>
    </row>
    <row r="476" spans="1:9" ht="15.75" customHeight="1" x14ac:dyDescent="0.3">
      <c r="A476" s="5"/>
      <c r="B476" s="30"/>
      <c r="C476" s="4"/>
      <c r="I476" s="22"/>
    </row>
    <row r="477" spans="1:9" ht="15.75" customHeight="1" x14ac:dyDescent="0.3">
      <c r="A477" s="5"/>
      <c r="B477" s="30"/>
      <c r="C477" s="4"/>
      <c r="I477" s="22"/>
    </row>
    <row r="478" spans="1:9" ht="15.75" customHeight="1" x14ac:dyDescent="0.3">
      <c r="A478" s="5"/>
      <c r="B478" s="30"/>
      <c r="C478" s="4"/>
      <c r="I478" s="22"/>
    </row>
    <row r="479" spans="1:9" ht="15.75" customHeight="1" x14ac:dyDescent="0.3">
      <c r="A479" s="5"/>
      <c r="B479" s="30"/>
      <c r="C479" s="4"/>
      <c r="I479" s="22"/>
    </row>
    <row r="480" spans="1:9" ht="15.75" customHeight="1" x14ac:dyDescent="0.3">
      <c r="A480" s="5"/>
      <c r="B480" s="30"/>
      <c r="C480" s="4"/>
      <c r="I480" s="22"/>
    </row>
    <row r="481" spans="1:9" ht="15.75" customHeight="1" x14ac:dyDescent="0.3">
      <c r="A481" s="5"/>
      <c r="B481" s="30"/>
      <c r="C481" s="4"/>
      <c r="I481" s="22"/>
    </row>
    <row r="482" spans="1:9" ht="15.75" customHeight="1" x14ac:dyDescent="0.3">
      <c r="A482" s="5"/>
      <c r="B482" s="30"/>
      <c r="C482" s="4"/>
      <c r="I482" s="22"/>
    </row>
    <row r="483" spans="1:9" ht="15.75" customHeight="1" x14ac:dyDescent="0.3">
      <c r="A483" s="5"/>
      <c r="B483" s="30"/>
      <c r="C483" s="4"/>
      <c r="I483" s="22"/>
    </row>
    <row r="484" spans="1:9" ht="15.75" customHeight="1" x14ac:dyDescent="0.3">
      <c r="A484" s="5"/>
      <c r="B484" s="30"/>
      <c r="C484" s="4"/>
      <c r="I484" s="22"/>
    </row>
    <row r="485" spans="1:9" ht="15.75" customHeight="1" x14ac:dyDescent="0.3">
      <c r="A485" s="5"/>
      <c r="B485" s="30"/>
      <c r="C485" s="4"/>
      <c r="I485" s="22"/>
    </row>
    <row r="486" spans="1:9" ht="15.75" customHeight="1" x14ac:dyDescent="0.3">
      <c r="A486" s="5"/>
      <c r="B486" s="30"/>
      <c r="C486" s="4"/>
      <c r="I486" s="22"/>
    </row>
    <row r="487" spans="1:9" ht="15.75" customHeight="1" x14ac:dyDescent="0.3">
      <c r="A487" s="5"/>
      <c r="B487" s="30"/>
      <c r="C487" s="4"/>
      <c r="I487" s="22"/>
    </row>
    <row r="488" spans="1:9" ht="15.75" customHeight="1" x14ac:dyDescent="0.3">
      <c r="A488" s="5"/>
      <c r="B488" s="30"/>
      <c r="C488" s="4"/>
      <c r="I488" s="22"/>
    </row>
    <row r="489" spans="1:9" ht="15.75" customHeight="1" x14ac:dyDescent="0.3">
      <c r="A489" s="5"/>
      <c r="B489" s="30"/>
      <c r="C489" s="4"/>
      <c r="I489" s="22"/>
    </row>
    <row r="490" spans="1:9" ht="15.75" customHeight="1" x14ac:dyDescent="0.3">
      <c r="A490" s="5"/>
      <c r="B490" s="30"/>
      <c r="C490" s="4"/>
      <c r="I490" s="22"/>
    </row>
    <row r="491" spans="1:9" ht="15.75" customHeight="1" x14ac:dyDescent="0.3">
      <c r="A491" s="5"/>
      <c r="B491" s="30"/>
      <c r="C491" s="4"/>
      <c r="I491" s="22"/>
    </row>
    <row r="492" spans="1:9" ht="15.75" customHeight="1" x14ac:dyDescent="0.3">
      <c r="A492" s="5"/>
      <c r="B492" s="30"/>
      <c r="C492" s="4"/>
      <c r="I492" s="22"/>
    </row>
    <row r="493" spans="1:9" ht="15.75" customHeight="1" x14ac:dyDescent="0.3">
      <c r="A493" s="5"/>
      <c r="B493" s="30"/>
      <c r="C493" s="4"/>
      <c r="I493" s="22"/>
    </row>
    <row r="494" spans="1:9" ht="15.75" customHeight="1" x14ac:dyDescent="0.3">
      <c r="A494" s="5"/>
      <c r="B494" s="30"/>
      <c r="C494" s="4"/>
      <c r="I494" s="22"/>
    </row>
    <row r="495" spans="1:9" ht="15.75" customHeight="1" x14ac:dyDescent="0.3">
      <c r="A495" s="5"/>
      <c r="B495" s="30"/>
      <c r="C495" s="4"/>
      <c r="I495" s="22"/>
    </row>
    <row r="496" spans="1:9" ht="15.75" customHeight="1" x14ac:dyDescent="0.3">
      <c r="A496" s="5"/>
      <c r="B496" s="30"/>
      <c r="C496" s="4"/>
      <c r="I496" s="22"/>
    </row>
    <row r="497" spans="1:9" ht="15.75" customHeight="1" x14ac:dyDescent="0.3">
      <c r="A497" s="5"/>
      <c r="B497" s="30"/>
      <c r="C497" s="4"/>
      <c r="I497" s="22"/>
    </row>
    <row r="498" spans="1:9" ht="15.75" customHeight="1" x14ac:dyDescent="0.3">
      <c r="A498" s="5"/>
      <c r="B498" s="30"/>
      <c r="C498" s="4"/>
      <c r="I498" s="22"/>
    </row>
    <row r="499" spans="1:9" ht="15.75" customHeight="1" x14ac:dyDescent="0.3">
      <c r="A499" s="5"/>
      <c r="B499" s="30"/>
      <c r="C499" s="4"/>
      <c r="I499" s="22"/>
    </row>
    <row r="500" spans="1:9" ht="15.75" customHeight="1" x14ac:dyDescent="0.3">
      <c r="A500" s="5"/>
      <c r="B500" s="30"/>
      <c r="C500" s="4"/>
      <c r="I500" s="22"/>
    </row>
    <row r="501" spans="1:9" ht="15.75" customHeight="1" x14ac:dyDescent="0.3">
      <c r="A501" s="5"/>
      <c r="B501" s="30"/>
      <c r="C501" s="4"/>
      <c r="I501" s="22"/>
    </row>
    <row r="502" spans="1:9" ht="15.75" customHeight="1" x14ac:dyDescent="0.3">
      <c r="A502" s="5"/>
      <c r="B502" s="30"/>
      <c r="C502" s="4"/>
      <c r="I502" s="22"/>
    </row>
    <row r="503" spans="1:9" ht="15.75" customHeight="1" x14ac:dyDescent="0.3">
      <c r="A503" s="5"/>
      <c r="B503" s="30"/>
      <c r="C503" s="4"/>
      <c r="I503" s="22"/>
    </row>
    <row r="504" spans="1:9" ht="15.75" customHeight="1" x14ac:dyDescent="0.3">
      <c r="A504" s="5"/>
      <c r="B504" s="30"/>
      <c r="C504" s="4"/>
      <c r="I504" s="22"/>
    </row>
    <row r="505" spans="1:9" ht="15.75" customHeight="1" x14ac:dyDescent="0.3">
      <c r="A505" s="5"/>
      <c r="B505" s="30"/>
      <c r="C505" s="4"/>
      <c r="I505" s="22"/>
    </row>
    <row r="506" spans="1:9" ht="15.75" customHeight="1" x14ac:dyDescent="0.3">
      <c r="A506" s="5"/>
      <c r="B506" s="30"/>
      <c r="C506" s="4"/>
      <c r="I506" s="22"/>
    </row>
    <row r="507" spans="1:9" ht="15.75" customHeight="1" x14ac:dyDescent="0.3">
      <c r="A507" s="5"/>
      <c r="B507" s="30"/>
      <c r="C507" s="4"/>
      <c r="I507" s="22"/>
    </row>
    <row r="508" spans="1:9" ht="15.75" customHeight="1" x14ac:dyDescent="0.3">
      <c r="A508" s="5"/>
      <c r="B508" s="30"/>
      <c r="C508" s="4"/>
      <c r="I508" s="22"/>
    </row>
    <row r="509" spans="1:9" ht="15.75" customHeight="1" x14ac:dyDescent="0.3">
      <c r="A509" s="5"/>
      <c r="B509" s="30"/>
      <c r="C509" s="4"/>
      <c r="I509" s="22"/>
    </row>
    <row r="510" spans="1:9" ht="15.75" customHeight="1" x14ac:dyDescent="0.3">
      <c r="A510" s="5"/>
      <c r="B510" s="30"/>
      <c r="C510" s="4"/>
      <c r="I510" s="22"/>
    </row>
    <row r="511" spans="1:9" ht="15.75" customHeight="1" x14ac:dyDescent="0.3">
      <c r="A511" s="5"/>
      <c r="B511" s="30"/>
      <c r="C511" s="4"/>
      <c r="I511" s="22"/>
    </row>
    <row r="512" spans="1:9" ht="15.75" customHeight="1" x14ac:dyDescent="0.3">
      <c r="A512" s="5"/>
      <c r="B512" s="30"/>
      <c r="C512" s="4"/>
      <c r="I512" s="22"/>
    </row>
    <row r="513" spans="1:9" ht="15.75" customHeight="1" x14ac:dyDescent="0.3">
      <c r="A513" s="5"/>
      <c r="B513" s="30"/>
      <c r="C513" s="4"/>
      <c r="I513" s="22"/>
    </row>
    <row r="514" spans="1:9" ht="15.75" customHeight="1" x14ac:dyDescent="0.3">
      <c r="A514" s="5"/>
      <c r="B514" s="30"/>
      <c r="C514" s="4"/>
      <c r="I514" s="22"/>
    </row>
    <row r="515" spans="1:9" ht="15.75" customHeight="1" x14ac:dyDescent="0.3">
      <c r="A515" s="5"/>
      <c r="B515" s="30"/>
      <c r="C515" s="4"/>
      <c r="I515" s="22"/>
    </row>
    <row r="516" spans="1:9" ht="15.75" customHeight="1" x14ac:dyDescent="0.3">
      <c r="A516" s="5"/>
      <c r="B516" s="30"/>
      <c r="C516" s="4"/>
      <c r="I516" s="22"/>
    </row>
    <row r="517" spans="1:9" ht="15.75" customHeight="1" x14ac:dyDescent="0.3">
      <c r="A517" s="5"/>
      <c r="B517" s="30"/>
      <c r="C517" s="4"/>
      <c r="I517" s="22"/>
    </row>
    <row r="518" spans="1:9" ht="15.75" customHeight="1" x14ac:dyDescent="0.3">
      <c r="A518" s="5"/>
      <c r="B518" s="30"/>
      <c r="C518" s="4"/>
      <c r="I518" s="22"/>
    </row>
    <row r="519" spans="1:9" ht="15.75" customHeight="1" x14ac:dyDescent="0.3">
      <c r="A519" s="5"/>
      <c r="B519" s="30"/>
      <c r="C519" s="4"/>
      <c r="I519" s="22"/>
    </row>
    <row r="520" spans="1:9" ht="15.75" customHeight="1" x14ac:dyDescent="0.3">
      <c r="A520" s="5"/>
      <c r="B520" s="30"/>
      <c r="C520" s="4"/>
      <c r="I520" s="22"/>
    </row>
    <row r="521" spans="1:9" ht="15.75" customHeight="1" x14ac:dyDescent="0.3">
      <c r="A521" s="5"/>
      <c r="B521" s="30"/>
      <c r="C521" s="4"/>
      <c r="I521" s="22"/>
    </row>
    <row r="522" spans="1:9" ht="15.75" customHeight="1" x14ac:dyDescent="0.3">
      <c r="A522" s="5"/>
      <c r="B522" s="30"/>
      <c r="C522" s="4"/>
      <c r="I522" s="22"/>
    </row>
    <row r="523" spans="1:9" ht="15.75" customHeight="1" x14ac:dyDescent="0.3">
      <c r="A523" s="5"/>
      <c r="B523" s="30"/>
      <c r="C523" s="4"/>
      <c r="I523" s="22"/>
    </row>
    <row r="524" spans="1:9" ht="15.75" customHeight="1" x14ac:dyDescent="0.3">
      <c r="A524" s="5"/>
      <c r="B524" s="30"/>
      <c r="C524" s="4"/>
      <c r="I524" s="22"/>
    </row>
    <row r="525" spans="1:9" ht="15.75" customHeight="1" x14ac:dyDescent="0.3">
      <c r="A525" s="5"/>
      <c r="B525" s="30"/>
      <c r="C525" s="4"/>
      <c r="I525" s="22"/>
    </row>
    <row r="526" spans="1:9" ht="15.75" customHeight="1" x14ac:dyDescent="0.3">
      <c r="A526" s="5"/>
      <c r="B526" s="30"/>
      <c r="C526" s="4"/>
      <c r="I526" s="22"/>
    </row>
    <row r="527" spans="1:9" ht="15.75" customHeight="1" x14ac:dyDescent="0.3">
      <c r="A527" s="5"/>
      <c r="B527" s="30"/>
      <c r="C527" s="4"/>
      <c r="I527" s="22"/>
    </row>
    <row r="528" spans="1:9" ht="15.75" customHeight="1" x14ac:dyDescent="0.3">
      <c r="A528" s="5"/>
      <c r="B528" s="30"/>
      <c r="C528" s="4"/>
      <c r="I528" s="22"/>
    </row>
    <row r="529" spans="1:9" ht="15.75" customHeight="1" x14ac:dyDescent="0.3">
      <c r="A529" s="5"/>
      <c r="B529" s="30"/>
      <c r="C529" s="4"/>
      <c r="I529" s="22"/>
    </row>
    <row r="530" spans="1:9" ht="15.75" customHeight="1" x14ac:dyDescent="0.3">
      <c r="A530" s="5"/>
      <c r="B530" s="30"/>
      <c r="C530" s="4"/>
      <c r="I530" s="22"/>
    </row>
    <row r="531" spans="1:9" ht="15.75" customHeight="1" x14ac:dyDescent="0.3">
      <c r="A531" s="5"/>
      <c r="B531" s="30"/>
      <c r="C531" s="4"/>
      <c r="I531" s="22"/>
    </row>
    <row r="532" spans="1:9" ht="15.75" customHeight="1" x14ac:dyDescent="0.3">
      <c r="A532" s="5"/>
      <c r="B532" s="30"/>
      <c r="C532" s="4"/>
      <c r="I532" s="22"/>
    </row>
    <row r="533" spans="1:9" ht="15.75" customHeight="1" x14ac:dyDescent="0.3">
      <c r="A533" s="5"/>
      <c r="B533" s="30"/>
      <c r="C533" s="4"/>
      <c r="I533" s="22"/>
    </row>
    <row r="534" spans="1:9" ht="15.75" customHeight="1" x14ac:dyDescent="0.3">
      <c r="A534" s="5"/>
      <c r="B534" s="30"/>
      <c r="C534" s="4"/>
      <c r="I534" s="22"/>
    </row>
    <row r="535" spans="1:9" ht="15.75" customHeight="1" x14ac:dyDescent="0.3">
      <c r="A535" s="5"/>
      <c r="B535" s="30"/>
      <c r="C535" s="4"/>
      <c r="I535" s="22"/>
    </row>
    <row r="536" spans="1:9" ht="15.75" customHeight="1" x14ac:dyDescent="0.3">
      <c r="A536" s="5"/>
      <c r="B536" s="30"/>
      <c r="C536" s="4"/>
      <c r="I536" s="22"/>
    </row>
    <row r="537" spans="1:9" ht="15.75" customHeight="1" x14ac:dyDescent="0.3">
      <c r="A537" s="5"/>
      <c r="B537" s="30"/>
      <c r="C537" s="4"/>
      <c r="I537" s="22"/>
    </row>
    <row r="538" spans="1:9" ht="15.75" customHeight="1" x14ac:dyDescent="0.3">
      <c r="A538" s="5"/>
      <c r="B538" s="30"/>
      <c r="C538" s="4"/>
      <c r="I538" s="22"/>
    </row>
    <row r="539" spans="1:9" ht="15.75" customHeight="1" x14ac:dyDescent="0.3">
      <c r="A539" s="5"/>
      <c r="B539" s="30"/>
      <c r="C539" s="4"/>
      <c r="I539" s="22"/>
    </row>
    <row r="540" spans="1:9" ht="15.75" customHeight="1" x14ac:dyDescent="0.3">
      <c r="A540" s="5"/>
      <c r="B540" s="30"/>
      <c r="C540" s="4"/>
      <c r="I540" s="22"/>
    </row>
    <row r="541" spans="1:9" ht="15.75" customHeight="1" x14ac:dyDescent="0.3">
      <c r="A541" s="5"/>
      <c r="B541" s="30"/>
      <c r="C541" s="4"/>
      <c r="I541" s="22"/>
    </row>
    <row r="542" spans="1:9" ht="15.75" customHeight="1" x14ac:dyDescent="0.3">
      <c r="A542" s="5"/>
      <c r="B542" s="30"/>
      <c r="C542" s="4"/>
      <c r="I542" s="22"/>
    </row>
    <row r="543" spans="1:9" ht="15.75" customHeight="1" x14ac:dyDescent="0.3">
      <c r="A543" s="5"/>
      <c r="B543" s="30"/>
      <c r="C543" s="4"/>
      <c r="I543" s="22"/>
    </row>
    <row r="544" spans="1:9" ht="15.75" customHeight="1" x14ac:dyDescent="0.3">
      <c r="A544" s="5"/>
      <c r="B544" s="30"/>
      <c r="C544" s="4"/>
      <c r="I544" s="22"/>
    </row>
    <row r="545" spans="1:9" ht="15.75" customHeight="1" x14ac:dyDescent="0.3">
      <c r="A545" s="5"/>
      <c r="B545" s="30"/>
      <c r="C545" s="4"/>
      <c r="I545" s="22"/>
    </row>
    <row r="546" spans="1:9" ht="15.75" customHeight="1" x14ac:dyDescent="0.3">
      <c r="A546" s="5"/>
      <c r="B546" s="30"/>
      <c r="C546" s="4"/>
      <c r="I546" s="22"/>
    </row>
    <row r="547" spans="1:9" ht="15.75" customHeight="1" x14ac:dyDescent="0.3">
      <c r="A547" s="5"/>
      <c r="B547" s="30"/>
      <c r="C547" s="4"/>
      <c r="I547" s="22"/>
    </row>
    <row r="548" spans="1:9" ht="15.75" customHeight="1" x14ac:dyDescent="0.3">
      <c r="A548" s="5"/>
      <c r="B548" s="30"/>
      <c r="C548" s="4"/>
      <c r="I548" s="22"/>
    </row>
    <row r="549" spans="1:9" ht="15.75" customHeight="1" x14ac:dyDescent="0.3">
      <c r="A549" s="5"/>
      <c r="B549" s="30"/>
      <c r="C549" s="4"/>
      <c r="I549" s="22"/>
    </row>
    <row r="550" spans="1:9" ht="15.75" customHeight="1" x14ac:dyDescent="0.3">
      <c r="A550" s="5"/>
      <c r="B550" s="30"/>
      <c r="C550" s="4"/>
      <c r="I550" s="22"/>
    </row>
    <row r="551" spans="1:9" ht="15.75" customHeight="1" x14ac:dyDescent="0.3">
      <c r="A551" s="5"/>
      <c r="B551" s="30"/>
      <c r="C551" s="4"/>
      <c r="I551" s="22"/>
    </row>
    <row r="552" spans="1:9" ht="15.75" customHeight="1" x14ac:dyDescent="0.3">
      <c r="A552" s="5"/>
      <c r="B552" s="30"/>
      <c r="C552" s="4"/>
      <c r="I552" s="22"/>
    </row>
    <row r="553" spans="1:9" ht="15.75" customHeight="1" x14ac:dyDescent="0.3">
      <c r="A553" s="5"/>
      <c r="B553" s="30"/>
      <c r="C553" s="4"/>
      <c r="I553" s="22"/>
    </row>
    <row r="554" spans="1:9" ht="15.75" customHeight="1" x14ac:dyDescent="0.3">
      <c r="A554" s="5"/>
      <c r="B554" s="30"/>
      <c r="C554" s="4"/>
      <c r="I554" s="22"/>
    </row>
    <row r="555" spans="1:9" ht="15.75" customHeight="1" x14ac:dyDescent="0.3">
      <c r="A555" s="5"/>
      <c r="B555" s="30"/>
      <c r="C555" s="4"/>
      <c r="I555" s="22"/>
    </row>
    <row r="556" spans="1:9" ht="15.75" customHeight="1" x14ac:dyDescent="0.3">
      <c r="A556" s="5"/>
      <c r="B556" s="30"/>
      <c r="C556" s="4"/>
      <c r="I556" s="22"/>
    </row>
    <row r="557" spans="1:9" ht="15.75" customHeight="1" x14ac:dyDescent="0.3">
      <c r="A557" s="5"/>
      <c r="B557" s="30"/>
      <c r="C557" s="4"/>
      <c r="I557" s="22"/>
    </row>
    <row r="558" spans="1:9" ht="15.75" customHeight="1" x14ac:dyDescent="0.3">
      <c r="A558" s="5"/>
      <c r="B558" s="30"/>
      <c r="C558" s="4"/>
      <c r="I558" s="22"/>
    </row>
    <row r="559" spans="1:9" ht="15.75" customHeight="1" x14ac:dyDescent="0.3">
      <c r="A559" s="5"/>
      <c r="B559" s="30"/>
      <c r="C559" s="4"/>
      <c r="I559" s="22"/>
    </row>
    <row r="560" spans="1:9" ht="15.75" customHeight="1" x14ac:dyDescent="0.3">
      <c r="A560" s="5"/>
      <c r="B560" s="30"/>
      <c r="C560" s="4"/>
      <c r="I560" s="22"/>
    </row>
    <row r="561" spans="1:9" ht="15.75" customHeight="1" x14ac:dyDescent="0.3">
      <c r="A561" s="5"/>
      <c r="B561" s="30"/>
      <c r="C561" s="4"/>
      <c r="I561" s="22"/>
    </row>
    <row r="562" spans="1:9" ht="15.75" customHeight="1" x14ac:dyDescent="0.3">
      <c r="A562" s="5"/>
      <c r="B562" s="30"/>
      <c r="C562" s="4"/>
      <c r="I562" s="22"/>
    </row>
    <row r="563" spans="1:9" ht="15.75" customHeight="1" x14ac:dyDescent="0.3">
      <c r="A563" s="5"/>
      <c r="B563" s="30"/>
      <c r="C563" s="4"/>
      <c r="I563" s="22"/>
    </row>
    <row r="564" spans="1:9" ht="15.75" customHeight="1" x14ac:dyDescent="0.3">
      <c r="A564" s="5"/>
      <c r="B564" s="30"/>
      <c r="C564" s="4"/>
      <c r="I564" s="22"/>
    </row>
    <row r="565" spans="1:9" ht="15.75" customHeight="1" x14ac:dyDescent="0.3">
      <c r="A565" s="5"/>
      <c r="B565" s="30"/>
      <c r="C565" s="4"/>
      <c r="I565" s="22"/>
    </row>
    <row r="566" spans="1:9" ht="15.75" customHeight="1" x14ac:dyDescent="0.3">
      <c r="A566" s="5"/>
      <c r="B566" s="30"/>
      <c r="C566" s="4"/>
      <c r="I566" s="22"/>
    </row>
    <row r="567" spans="1:9" ht="15.75" customHeight="1" x14ac:dyDescent="0.3">
      <c r="A567" s="5"/>
      <c r="B567" s="30"/>
      <c r="C567" s="4"/>
      <c r="I567" s="22"/>
    </row>
    <row r="568" spans="1:9" ht="15.75" customHeight="1" x14ac:dyDescent="0.3">
      <c r="A568" s="5"/>
      <c r="B568" s="30"/>
      <c r="C568" s="4"/>
      <c r="I568" s="22"/>
    </row>
    <row r="569" spans="1:9" ht="15.75" customHeight="1" x14ac:dyDescent="0.3">
      <c r="A569" s="5"/>
      <c r="B569" s="30"/>
      <c r="C569" s="4"/>
      <c r="I569" s="22"/>
    </row>
    <row r="570" spans="1:9" ht="15.75" customHeight="1" x14ac:dyDescent="0.3">
      <c r="A570" s="5"/>
      <c r="B570" s="30"/>
      <c r="C570" s="4"/>
      <c r="I570" s="22"/>
    </row>
    <row r="571" spans="1:9" ht="15.75" customHeight="1" x14ac:dyDescent="0.3">
      <c r="A571" s="5"/>
      <c r="B571" s="30"/>
      <c r="C571" s="4"/>
      <c r="I571" s="22"/>
    </row>
    <row r="572" spans="1:9" ht="15.75" customHeight="1" x14ac:dyDescent="0.3">
      <c r="A572" s="5"/>
      <c r="B572" s="30"/>
      <c r="C572" s="4"/>
      <c r="I572" s="22"/>
    </row>
    <row r="573" spans="1:9" ht="15.75" customHeight="1" x14ac:dyDescent="0.3">
      <c r="A573" s="5"/>
      <c r="B573" s="30"/>
      <c r="C573" s="4"/>
      <c r="I573" s="22"/>
    </row>
    <row r="574" spans="1:9" ht="15.75" customHeight="1" x14ac:dyDescent="0.3">
      <c r="A574" s="5"/>
      <c r="B574" s="30"/>
      <c r="C574" s="4"/>
      <c r="I574" s="22"/>
    </row>
    <row r="575" spans="1:9" ht="15.75" customHeight="1" x14ac:dyDescent="0.3">
      <c r="A575" s="5"/>
      <c r="B575" s="30"/>
      <c r="C575" s="4"/>
      <c r="I575" s="22"/>
    </row>
    <row r="576" spans="1:9" ht="15.75" customHeight="1" x14ac:dyDescent="0.3">
      <c r="A576" s="5"/>
      <c r="B576" s="30"/>
      <c r="C576" s="4"/>
      <c r="I576" s="22"/>
    </row>
    <row r="577" spans="1:9" ht="15.75" customHeight="1" x14ac:dyDescent="0.3">
      <c r="A577" s="5"/>
      <c r="B577" s="30"/>
      <c r="C577" s="4"/>
      <c r="I577" s="22"/>
    </row>
    <row r="578" spans="1:9" ht="15.75" customHeight="1" x14ac:dyDescent="0.3">
      <c r="A578" s="5"/>
      <c r="B578" s="30"/>
      <c r="C578" s="4"/>
      <c r="I578" s="22"/>
    </row>
    <row r="579" spans="1:9" ht="15.75" customHeight="1" x14ac:dyDescent="0.3">
      <c r="A579" s="5"/>
      <c r="B579" s="30"/>
      <c r="C579" s="4"/>
      <c r="I579" s="22"/>
    </row>
    <row r="580" spans="1:9" ht="15.75" customHeight="1" x14ac:dyDescent="0.3">
      <c r="A580" s="5"/>
      <c r="B580" s="30"/>
      <c r="C580" s="4"/>
      <c r="I580" s="22"/>
    </row>
    <row r="581" spans="1:9" ht="15.75" customHeight="1" x14ac:dyDescent="0.3">
      <c r="A581" s="5"/>
      <c r="B581" s="30"/>
      <c r="C581" s="4"/>
      <c r="I581" s="22"/>
    </row>
    <row r="582" spans="1:9" ht="15.75" customHeight="1" x14ac:dyDescent="0.3">
      <c r="A582" s="5"/>
      <c r="B582" s="30"/>
      <c r="C582" s="4"/>
      <c r="I582" s="22"/>
    </row>
    <row r="583" spans="1:9" ht="15.75" customHeight="1" x14ac:dyDescent="0.3">
      <c r="A583" s="5"/>
      <c r="B583" s="30"/>
      <c r="C583" s="4"/>
      <c r="I583" s="22"/>
    </row>
    <row r="584" spans="1:9" ht="15.75" customHeight="1" x14ac:dyDescent="0.3">
      <c r="A584" s="5"/>
      <c r="B584" s="30"/>
      <c r="C584" s="4"/>
      <c r="I584" s="22"/>
    </row>
    <row r="585" spans="1:9" ht="15.75" customHeight="1" x14ac:dyDescent="0.3">
      <c r="A585" s="5"/>
      <c r="B585" s="30"/>
      <c r="C585" s="4"/>
      <c r="I585" s="22"/>
    </row>
    <row r="586" spans="1:9" ht="15.75" customHeight="1" x14ac:dyDescent="0.3">
      <c r="A586" s="5"/>
      <c r="B586" s="30"/>
      <c r="C586" s="4"/>
      <c r="I586" s="22"/>
    </row>
    <row r="587" spans="1:9" ht="15.75" customHeight="1" x14ac:dyDescent="0.3">
      <c r="A587" s="5"/>
      <c r="B587" s="30"/>
      <c r="C587" s="4"/>
      <c r="I587" s="22"/>
    </row>
    <row r="588" spans="1:9" ht="15.75" customHeight="1" x14ac:dyDescent="0.3">
      <c r="A588" s="5"/>
      <c r="B588" s="30"/>
      <c r="C588" s="4"/>
      <c r="I588" s="22"/>
    </row>
    <row r="589" spans="1:9" ht="15.75" customHeight="1" x14ac:dyDescent="0.3">
      <c r="A589" s="5"/>
      <c r="B589" s="30"/>
      <c r="C589" s="4"/>
      <c r="I589" s="22"/>
    </row>
    <row r="590" spans="1:9" ht="15.75" customHeight="1" x14ac:dyDescent="0.3">
      <c r="A590" s="5"/>
      <c r="B590" s="30"/>
      <c r="C590" s="4"/>
      <c r="I590" s="22"/>
    </row>
    <row r="591" spans="1:9" ht="15.75" customHeight="1" x14ac:dyDescent="0.3">
      <c r="A591" s="5"/>
      <c r="B591" s="30"/>
      <c r="C591" s="4"/>
      <c r="I591" s="22"/>
    </row>
    <row r="592" spans="1:9" ht="15.75" customHeight="1" x14ac:dyDescent="0.3">
      <c r="A592" s="5"/>
      <c r="B592" s="30"/>
      <c r="C592" s="4"/>
      <c r="I592" s="22"/>
    </row>
    <row r="593" spans="1:9" ht="15.75" customHeight="1" x14ac:dyDescent="0.3">
      <c r="A593" s="5"/>
      <c r="B593" s="30"/>
      <c r="C593" s="4"/>
      <c r="I593" s="22"/>
    </row>
    <row r="594" spans="1:9" ht="15.75" customHeight="1" x14ac:dyDescent="0.3">
      <c r="A594" s="5"/>
      <c r="B594" s="30"/>
      <c r="C594" s="4"/>
      <c r="I594" s="22"/>
    </row>
    <row r="595" spans="1:9" ht="15.75" customHeight="1" x14ac:dyDescent="0.3">
      <c r="A595" s="5"/>
      <c r="B595" s="30"/>
      <c r="C595" s="4"/>
      <c r="I595" s="22"/>
    </row>
    <row r="596" spans="1:9" ht="15.75" customHeight="1" x14ac:dyDescent="0.3">
      <c r="A596" s="5"/>
      <c r="B596" s="30"/>
      <c r="C596" s="4"/>
      <c r="I596" s="22"/>
    </row>
    <row r="597" spans="1:9" ht="15.75" customHeight="1" x14ac:dyDescent="0.3">
      <c r="A597" s="5"/>
      <c r="B597" s="30"/>
      <c r="C597" s="4"/>
      <c r="I597" s="22"/>
    </row>
    <row r="598" spans="1:9" ht="15.75" customHeight="1" x14ac:dyDescent="0.3">
      <c r="A598" s="5"/>
      <c r="B598" s="30"/>
      <c r="C598" s="4"/>
      <c r="I598" s="22"/>
    </row>
    <row r="599" spans="1:9" ht="15.75" customHeight="1" x14ac:dyDescent="0.3">
      <c r="A599" s="5"/>
      <c r="B599" s="30"/>
      <c r="C599" s="4"/>
      <c r="I599" s="22"/>
    </row>
    <row r="600" spans="1:9" ht="15.75" customHeight="1" x14ac:dyDescent="0.3">
      <c r="A600" s="5"/>
      <c r="B600" s="30"/>
      <c r="C600" s="4"/>
      <c r="I600" s="22"/>
    </row>
    <row r="601" spans="1:9" ht="15.75" customHeight="1" x14ac:dyDescent="0.3">
      <c r="A601" s="5"/>
      <c r="B601" s="30"/>
      <c r="C601" s="4"/>
      <c r="I601" s="22"/>
    </row>
    <row r="602" spans="1:9" ht="15.75" customHeight="1" x14ac:dyDescent="0.3">
      <c r="A602" s="5"/>
      <c r="B602" s="30"/>
      <c r="C602" s="4"/>
      <c r="I602" s="22"/>
    </row>
    <row r="603" spans="1:9" ht="15.75" customHeight="1" x14ac:dyDescent="0.3">
      <c r="A603" s="5"/>
      <c r="B603" s="30"/>
      <c r="C603" s="4"/>
      <c r="I603" s="22"/>
    </row>
    <row r="604" spans="1:9" ht="15.75" customHeight="1" x14ac:dyDescent="0.3">
      <c r="A604" s="5"/>
      <c r="B604" s="30"/>
      <c r="C604" s="4"/>
      <c r="I604" s="22"/>
    </row>
    <row r="605" spans="1:9" ht="15.75" customHeight="1" x14ac:dyDescent="0.3">
      <c r="A605" s="5"/>
      <c r="B605" s="30"/>
      <c r="C605" s="4"/>
      <c r="I605" s="22"/>
    </row>
    <row r="606" spans="1:9" ht="15.75" customHeight="1" x14ac:dyDescent="0.3">
      <c r="A606" s="5"/>
      <c r="B606" s="30"/>
      <c r="C606" s="4"/>
      <c r="I606" s="22"/>
    </row>
    <row r="607" spans="1:9" ht="15.75" customHeight="1" x14ac:dyDescent="0.3">
      <c r="A607" s="5"/>
      <c r="B607" s="30"/>
      <c r="C607" s="4"/>
      <c r="I607" s="22"/>
    </row>
    <row r="608" spans="1:9" ht="15.75" customHeight="1" x14ac:dyDescent="0.3">
      <c r="A608" s="5"/>
      <c r="B608" s="30"/>
      <c r="C608" s="4"/>
      <c r="I608" s="22"/>
    </row>
    <row r="609" spans="1:9" ht="15.75" customHeight="1" x14ac:dyDescent="0.3">
      <c r="A609" s="5"/>
      <c r="B609" s="30"/>
      <c r="C609" s="4"/>
      <c r="I609" s="22"/>
    </row>
    <row r="610" spans="1:9" ht="15.75" customHeight="1" x14ac:dyDescent="0.3">
      <c r="A610" s="5"/>
      <c r="B610" s="30"/>
      <c r="C610" s="4"/>
      <c r="I610" s="22"/>
    </row>
    <row r="611" spans="1:9" ht="15.75" customHeight="1" x14ac:dyDescent="0.3">
      <c r="A611" s="5"/>
      <c r="B611" s="30"/>
      <c r="C611" s="4"/>
      <c r="I611" s="22"/>
    </row>
    <row r="612" spans="1:9" ht="15.75" customHeight="1" x14ac:dyDescent="0.3">
      <c r="A612" s="5"/>
      <c r="B612" s="30"/>
      <c r="C612" s="4"/>
      <c r="I612" s="22"/>
    </row>
    <row r="613" spans="1:9" ht="15.75" customHeight="1" x14ac:dyDescent="0.3">
      <c r="A613" s="5"/>
      <c r="B613" s="30"/>
      <c r="C613" s="4"/>
      <c r="I613" s="22"/>
    </row>
    <row r="614" spans="1:9" ht="15.75" customHeight="1" x14ac:dyDescent="0.3">
      <c r="A614" s="5"/>
      <c r="B614" s="30"/>
      <c r="C614" s="4"/>
      <c r="I614" s="22"/>
    </row>
    <row r="615" spans="1:9" ht="15.75" customHeight="1" x14ac:dyDescent="0.3">
      <c r="A615" s="5"/>
      <c r="B615" s="30"/>
      <c r="C615" s="4"/>
      <c r="I615" s="22"/>
    </row>
    <row r="616" spans="1:9" ht="15.75" customHeight="1" x14ac:dyDescent="0.3">
      <c r="A616" s="5"/>
      <c r="B616" s="30"/>
      <c r="C616" s="4"/>
      <c r="I616" s="22"/>
    </row>
    <row r="617" spans="1:9" ht="15.75" customHeight="1" x14ac:dyDescent="0.3">
      <c r="A617" s="5"/>
      <c r="B617" s="30"/>
      <c r="C617" s="4"/>
      <c r="I617" s="22"/>
    </row>
    <row r="618" spans="1:9" ht="15.75" customHeight="1" x14ac:dyDescent="0.3">
      <c r="A618" s="5"/>
      <c r="B618" s="30"/>
      <c r="C618" s="4"/>
      <c r="I618" s="22"/>
    </row>
    <row r="619" spans="1:9" ht="15.75" customHeight="1" x14ac:dyDescent="0.3">
      <c r="A619" s="5"/>
      <c r="B619" s="30"/>
      <c r="C619" s="4"/>
      <c r="I619" s="22"/>
    </row>
    <row r="620" spans="1:9" ht="15.75" customHeight="1" x14ac:dyDescent="0.3">
      <c r="A620" s="5"/>
      <c r="B620" s="30"/>
      <c r="C620" s="4"/>
      <c r="I620" s="22"/>
    </row>
    <row r="621" spans="1:9" ht="15.75" customHeight="1" x14ac:dyDescent="0.3">
      <c r="A621" s="5"/>
      <c r="B621" s="30"/>
      <c r="C621" s="4"/>
      <c r="I621" s="22"/>
    </row>
    <row r="622" spans="1:9" ht="15.75" customHeight="1" x14ac:dyDescent="0.3">
      <c r="A622" s="5"/>
      <c r="B622" s="30"/>
      <c r="C622" s="4"/>
      <c r="I622" s="22"/>
    </row>
    <row r="623" spans="1:9" ht="15.75" customHeight="1" x14ac:dyDescent="0.3">
      <c r="A623" s="5"/>
      <c r="B623" s="30"/>
      <c r="C623" s="4"/>
      <c r="I623" s="22"/>
    </row>
    <row r="624" spans="1:9" ht="15.75" customHeight="1" x14ac:dyDescent="0.3">
      <c r="A624" s="5"/>
      <c r="B624" s="30"/>
      <c r="C624" s="4"/>
      <c r="I624" s="22"/>
    </row>
    <row r="625" spans="1:9" ht="15.75" customHeight="1" x14ac:dyDescent="0.3">
      <c r="A625" s="5"/>
      <c r="B625" s="30"/>
      <c r="C625" s="4"/>
      <c r="I625" s="22"/>
    </row>
    <row r="626" spans="1:9" ht="15.75" customHeight="1" x14ac:dyDescent="0.3">
      <c r="A626" s="5"/>
      <c r="B626" s="30"/>
      <c r="C626" s="4"/>
      <c r="I626" s="22"/>
    </row>
    <row r="627" spans="1:9" ht="15.75" customHeight="1" x14ac:dyDescent="0.3">
      <c r="A627" s="5"/>
      <c r="B627" s="30"/>
      <c r="C627" s="4"/>
      <c r="I627" s="22"/>
    </row>
    <row r="628" spans="1:9" ht="15.75" customHeight="1" x14ac:dyDescent="0.3">
      <c r="A628" s="5"/>
      <c r="B628" s="30"/>
      <c r="C628" s="4"/>
      <c r="I628" s="22"/>
    </row>
    <row r="629" spans="1:9" ht="15.75" customHeight="1" x14ac:dyDescent="0.3">
      <c r="A629" s="5"/>
      <c r="B629" s="30"/>
      <c r="C629" s="4"/>
      <c r="I629" s="22"/>
    </row>
    <row r="630" spans="1:9" ht="15.75" customHeight="1" x14ac:dyDescent="0.3">
      <c r="A630" s="5"/>
      <c r="B630" s="30"/>
      <c r="C630" s="4"/>
      <c r="I630" s="22"/>
    </row>
    <row r="631" spans="1:9" ht="15.75" customHeight="1" x14ac:dyDescent="0.3">
      <c r="A631" s="5"/>
      <c r="B631" s="30"/>
      <c r="C631" s="4"/>
      <c r="I631" s="22"/>
    </row>
    <row r="632" spans="1:9" ht="15.75" customHeight="1" x14ac:dyDescent="0.3">
      <c r="A632" s="5"/>
      <c r="B632" s="30"/>
      <c r="C632" s="4"/>
      <c r="I632" s="22"/>
    </row>
    <row r="633" spans="1:9" ht="15.75" customHeight="1" x14ac:dyDescent="0.3">
      <c r="A633" s="5"/>
      <c r="B633" s="30"/>
      <c r="C633" s="4"/>
      <c r="I633" s="22"/>
    </row>
    <row r="634" spans="1:9" ht="15.75" customHeight="1" x14ac:dyDescent="0.3">
      <c r="A634" s="5"/>
      <c r="B634" s="30"/>
      <c r="C634" s="4"/>
      <c r="I634" s="22"/>
    </row>
    <row r="635" spans="1:9" ht="15.75" customHeight="1" x14ac:dyDescent="0.3">
      <c r="A635" s="5"/>
      <c r="B635" s="30"/>
      <c r="C635" s="4"/>
      <c r="I635" s="22"/>
    </row>
    <row r="636" spans="1:9" ht="15.75" customHeight="1" x14ac:dyDescent="0.3">
      <c r="A636" s="5"/>
      <c r="B636" s="30"/>
      <c r="C636" s="4"/>
      <c r="I636" s="22"/>
    </row>
    <row r="637" spans="1:9" ht="15.75" customHeight="1" x14ac:dyDescent="0.3">
      <c r="A637" s="5"/>
      <c r="B637" s="30"/>
      <c r="C637" s="4"/>
      <c r="I637" s="22"/>
    </row>
    <row r="638" spans="1:9" ht="15.75" customHeight="1" x14ac:dyDescent="0.3">
      <c r="A638" s="5"/>
      <c r="B638" s="30"/>
      <c r="C638" s="4"/>
      <c r="I638" s="22"/>
    </row>
    <row r="639" spans="1:9" ht="15.75" customHeight="1" x14ac:dyDescent="0.3">
      <c r="A639" s="5"/>
      <c r="B639" s="30"/>
      <c r="C639" s="4"/>
      <c r="I639" s="22"/>
    </row>
    <row r="640" spans="1:9" ht="15.75" customHeight="1" x14ac:dyDescent="0.3">
      <c r="A640" s="5"/>
      <c r="B640" s="30"/>
      <c r="C640" s="4"/>
      <c r="I640" s="22"/>
    </row>
    <row r="641" spans="1:9" ht="15.75" customHeight="1" x14ac:dyDescent="0.3">
      <c r="A641" s="5"/>
      <c r="B641" s="30"/>
      <c r="C641" s="4"/>
      <c r="I641" s="22"/>
    </row>
    <row r="642" spans="1:9" ht="15.75" customHeight="1" x14ac:dyDescent="0.3">
      <c r="A642" s="5"/>
      <c r="B642" s="30"/>
      <c r="C642" s="4"/>
      <c r="I642" s="22"/>
    </row>
    <row r="643" spans="1:9" ht="15.75" customHeight="1" x14ac:dyDescent="0.3">
      <c r="A643" s="5"/>
      <c r="B643" s="30"/>
      <c r="C643" s="4"/>
      <c r="I643" s="22"/>
    </row>
    <row r="644" spans="1:9" ht="15.75" customHeight="1" x14ac:dyDescent="0.3">
      <c r="A644" s="5"/>
      <c r="B644" s="30"/>
      <c r="C644" s="4"/>
      <c r="I644" s="22"/>
    </row>
    <row r="645" spans="1:9" ht="15.75" customHeight="1" x14ac:dyDescent="0.3">
      <c r="A645" s="5"/>
      <c r="B645" s="30"/>
      <c r="C645" s="4"/>
      <c r="I645" s="22"/>
    </row>
    <row r="646" spans="1:9" ht="15.75" customHeight="1" x14ac:dyDescent="0.3">
      <c r="A646" s="5"/>
      <c r="B646" s="30"/>
      <c r="C646" s="4"/>
      <c r="I646" s="22"/>
    </row>
    <row r="647" spans="1:9" ht="15.75" customHeight="1" x14ac:dyDescent="0.3">
      <c r="A647" s="5"/>
      <c r="B647" s="30"/>
      <c r="C647" s="4"/>
      <c r="I647" s="22"/>
    </row>
    <row r="648" spans="1:9" ht="15.75" customHeight="1" x14ac:dyDescent="0.3">
      <c r="A648" s="5"/>
      <c r="B648" s="30"/>
      <c r="C648" s="4"/>
      <c r="I648" s="22"/>
    </row>
    <row r="649" spans="1:9" ht="15.75" customHeight="1" x14ac:dyDescent="0.3">
      <c r="A649" s="5"/>
      <c r="B649" s="30"/>
      <c r="C649" s="4"/>
      <c r="I649" s="22"/>
    </row>
    <row r="650" spans="1:9" ht="15.75" customHeight="1" x14ac:dyDescent="0.3">
      <c r="A650" s="5"/>
      <c r="B650" s="30"/>
      <c r="C650" s="4"/>
      <c r="I650" s="22"/>
    </row>
    <row r="651" spans="1:9" ht="15.75" customHeight="1" x14ac:dyDescent="0.3">
      <c r="A651" s="5"/>
      <c r="B651" s="30"/>
      <c r="C651" s="4"/>
      <c r="I651" s="22"/>
    </row>
    <row r="652" spans="1:9" ht="15.75" customHeight="1" x14ac:dyDescent="0.3">
      <c r="A652" s="5"/>
      <c r="B652" s="30"/>
      <c r="C652" s="4"/>
      <c r="I652" s="22"/>
    </row>
    <row r="653" spans="1:9" ht="15.75" customHeight="1" x14ac:dyDescent="0.3">
      <c r="A653" s="5"/>
      <c r="B653" s="30"/>
      <c r="C653" s="4"/>
      <c r="I653" s="22"/>
    </row>
    <row r="654" spans="1:9" ht="15.75" customHeight="1" x14ac:dyDescent="0.3">
      <c r="A654" s="5"/>
      <c r="B654" s="30"/>
      <c r="C654" s="4"/>
      <c r="I654" s="22"/>
    </row>
    <row r="655" spans="1:9" ht="15.75" customHeight="1" x14ac:dyDescent="0.3">
      <c r="A655" s="5"/>
      <c r="B655" s="30"/>
      <c r="C655" s="4"/>
      <c r="I655" s="22"/>
    </row>
    <row r="656" spans="1:9" ht="15.75" customHeight="1" x14ac:dyDescent="0.3">
      <c r="A656" s="5"/>
      <c r="B656" s="30"/>
      <c r="C656" s="4"/>
      <c r="I656" s="22"/>
    </row>
    <row r="657" spans="1:9" ht="15.75" customHeight="1" x14ac:dyDescent="0.3">
      <c r="A657" s="5"/>
      <c r="B657" s="30"/>
      <c r="C657" s="4"/>
      <c r="I657" s="22"/>
    </row>
    <row r="658" spans="1:9" ht="15.75" customHeight="1" x14ac:dyDescent="0.3">
      <c r="A658" s="5"/>
      <c r="B658" s="30"/>
      <c r="C658" s="4"/>
      <c r="I658" s="22"/>
    </row>
    <row r="659" spans="1:9" ht="15.75" customHeight="1" x14ac:dyDescent="0.3">
      <c r="A659" s="5"/>
      <c r="B659" s="30"/>
      <c r="C659" s="4"/>
      <c r="I659" s="22"/>
    </row>
    <row r="660" spans="1:9" ht="15.75" customHeight="1" x14ac:dyDescent="0.3">
      <c r="A660" s="5"/>
      <c r="B660" s="30"/>
      <c r="C660" s="4"/>
      <c r="I660" s="22"/>
    </row>
    <row r="661" spans="1:9" ht="15.75" customHeight="1" x14ac:dyDescent="0.3">
      <c r="A661" s="5"/>
      <c r="B661" s="30"/>
      <c r="C661" s="4"/>
      <c r="I661" s="22"/>
    </row>
    <row r="662" spans="1:9" ht="15.75" customHeight="1" x14ac:dyDescent="0.3">
      <c r="A662" s="5"/>
      <c r="B662" s="30"/>
      <c r="C662" s="4"/>
      <c r="I662" s="22"/>
    </row>
    <row r="663" spans="1:9" ht="15.75" customHeight="1" x14ac:dyDescent="0.3">
      <c r="A663" s="5"/>
      <c r="B663" s="30"/>
      <c r="C663" s="4"/>
      <c r="I663" s="22"/>
    </row>
    <row r="664" spans="1:9" ht="15.75" customHeight="1" x14ac:dyDescent="0.3">
      <c r="A664" s="5"/>
      <c r="B664" s="30"/>
      <c r="C664" s="4"/>
      <c r="I664" s="22"/>
    </row>
    <row r="665" spans="1:9" ht="15.75" customHeight="1" x14ac:dyDescent="0.3">
      <c r="A665" s="5"/>
      <c r="B665" s="30"/>
      <c r="C665" s="4"/>
      <c r="I665" s="22"/>
    </row>
    <row r="666" spans="1:9" ht="15.75" customHeight="1" x14ac:dyDescent="0.3">
      <c r="A666" s="5"/>
      <c r="B666" s="30"/>
      <c r="C666" s="4"/>
      <c r="I666" s="22"/>
    </row>
    <row r="667" spans="1:9" ht="15.75" customHeight="1" x14ac:dyDescent="0.3">
      <c r="A667" s="5"/>
      <c r="B667" s="30"/>
      <c r="C667" s="4"/>
      <c r="I667" s="22"/>
    </row>
    <row r="668" spans="1:9" ht="15.75" customHeight="1" x14ac:dyDescent="0.3">
      <c r="A668" s="5"/>
      <c r="B668" s="30"/>
      <c r="C668" s="4"/>
      <c r="I668" s="22"/>
    </row>
    <row r="669" spans="1:9" ht="15.75" customHeight="1" x14ac:dyDescent="0.3">
      <c r="A669" s="5"/>
      <c r="B669" s="30"/>
      <c r="C669" s="4"/>
      <c r="I669" s="22"/>
    </row>
    <row r="670" spans="1:9" ht="15.75" customHeight="1" x14ac:dyDescent="0.3">
      <c r="A670" s="5"/>
      <c r="B670" s="30"/>
      <c r="C670" s="4"/>
      <c r="I670" s="22"/>
    </row>
    <row r="671" spans="1:9" ht="15.75" customHeight="1" x14ac:dyDescent="0.3">
      <c r="A671" s="5"/>
      <c r="B671" s="30"/>
      <c r="C671" s="4"/>
      <c r="I671" s="22"/>
    </row>
    <row r="672" spans="1:9" ht="15.75" customHeight="1" x14ac:dyDescent="0.3">
      <c r="A672" s="5"/>
      <c r="B672" s="30"/>
      <c r="C672" s="4"/>
      <c r="I672" s="22"/>
    </row>
    <row r="673" spans="1:9" ht="15.75" customHeight="1" x14ac:dyDescent="0.3">
      <c r="A673" s="5"/>
      <c r="B673" s="30"/>
      <c r="C673" s="4"/>
      <c r="I673" s="22"/>
    </row>
    <row r="674" spans="1:9" ht="15.75" customHeight="1" x14ac:dyDescent="0.3">
      <c r="A674" s="5"/>
      <c r="B674" s="30"/>
      <c r="C674" s="4"/>
      <c r="I674" s="22"/>
    </row>
    <row r="675" spans="1:9" ht="15.75" customHeight="1" x14ac:dyDescent="0.3">
      <c r="A675" s="5"/>
      <c r="B675" s="30"/>
      <c r="C675" s="4"/>
      <c r="I675" s="22"/>
    </row>
    <row r="676" spans="1:9" ht="15.75" customHeight="1" x14ac:dyDescent="0.3">
      <c r="A676" s="5"/>
      <c r="B676" s="30"/>
      <c r="C676" s="4"/>
      <c r="I676" s="22"/>
    </row>
    <row r="677" spans="1:9" ht="15.75" customHeight="1" x14ac:dyDescent="0.3">
      <c r="A677" s="5"/>
      <c r="B677" s="30"/>
      <c r="C677" s="4"/>
      <c r="I677" s="22"/>
    </row>
    <row r="678" spans="1:9" ht="15.75" customHeight="1" x14ac:dyDescent="0.3">
      <c r="A678" s="5"/>
      <c r="B678" s="30"/>
      <c r="C678" s="4"/>
      <c r="I678" s="22"/>
    </row>
    <row r="679" spans="1:9" ht="15.75" customHeight="1" x14ac:dyDescent="0.3">
      <c r="A679" s="5"/>
      <c r="B679" s="30"/>
      <c r="C679" s="4"/>
      <c r="I679" s="22"/>
    </row>
    <row r="680" spans="1:9" ht="15.75" customHeight="1" x14ac:dyDescent="0.3">
      <c r="A680" s="5"/>
      <c r="B680" s="30"/>
      <c r="C680" s="4"/>
      <c r="I680" s="22"/>
    </row>
    <row r="681" spans="1:9" ht="15.75" customHeight="1" x14ac:dyDescent="0.3">
      <c r="A681" s="5"/>
      <c r="B681" s="30"/>
      <c r="C681" s="4"/>
      <c r="I681" s="22"/>
    </row>
    <row r="682" spans="1:9" ht="15.75" customHeight="1" x14ac:dyDescent="0.3">
      <c r="A682" s="5"/>
      <c r="B682" s="30"/>
      <c r="C682" s="4"/>
      <c r="I682" s="22"/>
    </row>
    <row r="683" spans="1:9" ht="15.75" customHeight="1" x14ac:dyDescent="0.3">
      <c r="A683" s="5"/>
      <c r="B683" s="30"/>
      <c r="C683" s="4"/>
      <c r="I683" s="22"/>
    </row>
    <row r="684" spans="1:9" ht="15.75" customHeight="1" x14ac:dyDescent="0.3">
      <c r="A684" s="5"/>
      <c r="B684" s="30"/>
      <c r="C684" s="4"/>
      <c r="I684" s="22"/>
    </row>
    <row r="685" spans="1:9" ht="15.75" customHeight="1" x14ac:dyDescent="0.3">
      <c r="A685" s="5"/>
      <c r="B685" s="30"/>
      <c r="C685" s="4"/>
      <c r="I685" s="22"/>
    </row>
    <row r="686" spans="1:9" ht="15.75" customHeight="1" x14ac:dyDescent="0.3">
      <c r="A686" s="5"/>
      <c r="B686" s="30"/>
      <c r="C686" s="4"/>
      <c r="I686" s="22"/>
    </row>
    <row r="687" spans="1:9" ht="15.75" customHeight="1" x14ac:dyDescent="0.3">
      <c r="A687" s="5"/>
      <c r="B687" s="30"/>
      <c r="C687" s="4"/>
      <c r="I687" s="22"/>
    </row>
    <row r="688" spans="1:9" ht="15.75" customHeight="1" x14ac:dyDescent="0.3">
      <c r="A688" s="5"/>
      <c r="B688" s="30"/>
      <c r="C688" s="4"/>
      <c r="I688" s="22"/>
    </row>
    <row r="689" spans="1:9" ht="15.75" customHeight="1" x14ac:dyDescent="0.3">
      <c r="A689" s="5"/>
      <c r="B689" s="30"/>
      <c r="C689" s="4"/>
      <c r="I689" s="22"/>
    </row>
    <row r="690" spans="1:9" ht="15.75" customHeight="1" x14ac:dyDescent="0.3">
      <c r="A690" s="5"/>
      <c r="B690" s="30"/>
      <c r="C690" s="4"/>
      <c r="I690" s="22"/>
    </row>
    <row r="691" spans="1:9" ht="15.75" customHeight="1" x14ac:dyDescent="0.3">
      <c r="A691" s="5"/>
      <c r="B691" s="30"/>
      <c r="C691" s="4"/>
      <c r="I691" s="22"/>
    </row>
    <row r="692" spans="1:9" ht="15.75" customHeight="1" x14ac:dyDescent="0.3">
      <c r="A692" s="5"/>
      <c r="B692" s="30"/>
      <c r="C692" s="4"/>
      <c r="I692" s="22"/>
    </row>
    <row r="693" spans="1:9" ht="15.75" customHeight="1" x14ac:dyDescent="0.3">
      <c r="A693" s="5"/>
      <c r="B693" s="30"/>
      <c r="C693" s="4"/>
      <c r="I693" s="22"/>
    </row>
    <row r="694" spans="1:9" ht="15.75" customHeight="1" x14ac:dyDescent="0.3">
      <c r="A694" s="5"/>
      <c r="B694" s="30"/>
      <c r="C694" s="4"/>
      <c r="I694" s="22"/>
    </row>
    <row r="695" spans="1:9" ht="15.75" customHeight="1" x14ac:dyDescent="0.3">
      <c r="A695" s="5"/>
      <c r="B695" s="30"/>
      <c r="C695" s="4"/>
      <c r="I695" s="22"/>
    </row>
    <row r="696" spans="1:9" ht="15.75" customHeight="1" x14ac:dyDescent="0.3">
      <c r="A696" s="5"/>
      <c r="B696" s="30"/>
      <c r="C696" s="4"/>
      <c r="I696" s="22"/>
    </row>
    <row r="697" spans="1:9" ht="15.75" customHeight="1" x14ac:dyDescent="0.3">
      <c r="A697" s="5"/>
      <c r="B697" s="30"/>
      <c r="C697" s="4"/>
      <c r="I697" s="22"/>
    </row>
    <row r="698" spans="1:9" ht="15.75" customHeight="1" x14ac:dyDescent="0.3">
      <c r="A698" s="5"/>
      <c r="B698" s="30"/>
      <c r="C698" s="4"/>
      <c r="I698" s="22"/>
    </row>
    <row r="699" spans="1:9" ht="15.75" customHeight="1" x14ac:dyDescent="0.3">
      <c r="A699" s="5"/>
      <c r="B699" s="30"/>
      <c r="C699" s="4"/>
      <c r="I699" s="22"/>
    </row>
    <row r="700" spans="1:9" ht="15.75" customHeight="1" x14ac:dyDescent="0.3">
      <c r="A700" s="5"/>
      <c r="B700" s="30"/>
      <c r="C700" s="4"/>
      <c r="I700" s="22"/>
    </row>
    <row r="701" spans="1:9" ht="15.75" customHeight="1" x14ac:dyDescent="0.3">
      <c r="A701" s="5"/>
      <c r="B701" s="30"/>
      <c r="C701" s="4"/>
      <c r="I701" s="22"/>
    </row>
    <row r="702" spans="1:9" ht="15.75" customHeight="1" x14ac:dyDescent="0.3">
      <c r="A702" s="5"/>
      <c r="B702" s="30"/>
      <c r="C702" s="4"/>
      <c r="I702" s="22"/>
    </row>
    <row r="703" spans="1:9" ht="15.75" customHeight="1" x14ac:dyDescent="0.3">
      <c r="A703" s="5"/>
      <c r="B703" s="30"/>
      <c r="C703" s="4"/>
      <c r="I703" s="22"/>
    </row>
    <row r="704" spans="1:9" ht="15.75" customHeight="1" x14ac:dyDescent="0.3">
      <c r="A704" s="5"/>
      <c r="B704" s="30"/>
      <c r="C704" s="4"/>
      <c r="I704" s="22"/>
    </row>
    <row r="705" spans="1:9" ht="15.75" customHeight="1" x14ac:dyDescent="0.3">
      <c r="A705" s="5"/>
      <c r="B705" s="30"/>
      <c r="C705" s="4"/>
      <c r="I705" s="22"/>
    </row>
    <row r="706" spans="1:9" ht="15.75" customHeight="1" x14ac:dyDescent="0.3">
      <c r="A706" s="5"/>
      <c r="B706" s="30"/>
      <c r="C706" s="4"/>
      <c r="I706" s="22"/>
    </row>
    <row r="707" spans="1:9" ht="15.75" customHeight="1" x14ac:dyDescent="0.3">
      <c r="A707" s="5"/>
      <c r="B707" s="30"/>
      <c r="C707" s="4"/>
      <c r="I707" s="22"/>
    </row>
    <row r="708" spans="1:9" ht="15.75" customHeight="1" x14ac:dyDescent="0.3">
      <c r="A708" s="5"/>
      <c r="B708" s="30"/>
      <c r="C708" s="4"/>
      <c r="I708" s="22"/>
    </row>
    <row r="709" spans="1:9" ht="15.75" customHeight="1" x14ac:dyDescent="0.3">
      <c r="A709" s="5"/>
      <c r="B709" s="30"/>
      <c r="C709" s="4"/>
      <c r="I709" s="22"/>
    </row>
    <row r="710" spans="1:9" ht="15.75" customHeight="1" x14ac:dyDescent="0.3">
      <c r="A710" s="5"/>
      <c r="B710" s="30"/>
      <c r="C710" s="4"/>
      <c r="I710" s="22"/>
    </row>
    <row r="711" spans="1:9" ht="15.75" customHeight="1" x14ac:dyDescent="0.3">
      <c r="A711" s="5"/>
      <c r="B711" s="30"/>
      <c r="C711" s="4"/>
      <c r="I711" s="22"/>
    </row>
    <row r="712" spans="1:9" ht="15.75" customHeight="1" x14ac:dyDescent="0.3">
      <c r="A712" s="5"/>
      <c r="B712" s="30"/>
      <c r="C712" s="4"/>
      <c r="I712" s="22"/>
    </row>
    <row r="713" spans="1:9" ht="15.75" customHeight="1" x14ac:dyDescent="0.3">
      <c r="A713" s="5"/>
      <c r="B713" s="30"/>
      <c r="C713" s="4"/>
      <c r="I713" s="22"/>
    </row>
    <row r="714" spans="1:9" ht="15.75" customHeight="1" x14ac:dyDescent="0.3">
      <c r="A714" s="5"/>
      <c r="B714" s="30"/>
      <c r="C714" s="4"/>
      <c r="I714" s="22"/>
    </row>
    <row r="715" spans="1:9" ht="15.75" customHeight="1" x14ac:dyDescent="0.3">
      <c r="A715" s="5"/>
      <c r="B715" s="30"/>
      <c r="C715" s="4"/>
      <c r="I715" s="22"/>
    </row>
    <row r="716" spans="1:9" ht="15.75" customHeight="1" x14ac:dyDescent="0.3">
      <c r="A716" s="5"/>
      <c r="B716" s="30"/>
      <c r="C716" s="4"/>
      <c r="I716" s="22"/>
    </row>
    <row r="717" spans="1:9" ht="15.75" customHeight="1" x14ac:dyDescent="0.3">
      <c r="A717" s="5"/>
      <c r="B717" s="30"/>
      <c r="C717" s="4"/>
      <c r="I717" s="22"/>
    </row>
    <row r="718" spans="1:9" ht="15.75" customHeight="1" x14ac:dyDescent="0.3">
      <c r="A718" s="5"/>
      <c r="B718" s="30"/>
      <c r="C718" s="4"/>
      <c r="I718" s="22"/>
    </row>
    <row r="719" spans="1:9" ht="15.75" customHeight="1" x14ac:dyDescent="0.3">
      <c r="A719" s="5"/>
      <c r="B719" s="30"/>
      <c r="C719" s="4"/>
      <c r="I719" s="22"/>
    </row>
    <row r="720" spans="1:9" ht="15.75" customHeight="1" x14ac:dyDescent="0.3">
      <c r="A720" s="5"/>
      <c r="B720" s="30"/>
      <c r="C720" s="4"/>
      <c r="I720" s="22"/>
    </row>
    <row r="721" spans="1:9" ht="15.75" customHeight="1" x14ac:dyDescent="0.3">
      <c r="A721" s="5"/>
      <c r="B721" s="30"/>
      <c r="C721" s="4"/>
      <c r="I721" s="22"/>
    </row>
    <row r="722" spans="1:9" ht="15.75" customHeight="1" x14ac:dyDescent="0.3">
      <c r="A722" s="5"/>
      <c r="B722" s="30"/>
      <c r="C722" s="4"/>
      <c r="I722" s="22"/>
    </row>
    <row r="723" spans="1:9" ht="15.75" customHeight="1" x14ac:dyDescent="0.3">
      <c r="A723" s="5"/>
      <c r="B723" s="30"/>
      <c r="C723" s="4"/>
      <c r="I723" s="22"/>
    </row>
    <row r="724" spans="1:9" ht="15.75" customHeight="1" x14ac:dyDescent="0.3">
      <c r="A724" s="5"/>
      <c r="B724" s="30"/>
      <c r="C724" s="4"/>
      <c r="I724" s="22"/>
    </row>
    <row r="725" spans="1:9" ht="15.75" customHeight="1" x14ac:dyDescent="0.3">
      <c r="A725" s="5"/>
      <c r="B725" s="30"/>
      <c r="C725" s="4"/>
      <c r="I725" s="22"/>
    </row>
    <row r="726" spans="1:9" ht="15.75" customHeight="1" x14ac:dyDescent="0.3">
      <c r="A726" s="5"/>
      <c r="B726" s="30"/>
      <c r="C726" s="4"/>
      <c r="I726" s="22"/>
    </row>
    <row r="727" spans="1:9" ht="15.75" customHeight="1" x14ac:dyDescent="0.3">
      <c r="A727" s="5"/>
      <c r="B727" s="30"/>
      <c r="C727" s="4"/>
      <c r="I727" s="22"/>
    </row>
    <row r="728" spans="1:9" ht="15.75" customHeight="1" x14ac:dyDescent="0.3">
      <c r="A728" s="5"/>
      <c r="B728" s="30"/>
      <c r="C728" s="4"/>
      <c r="I728" s="22"/>
    </row>
    <row r="729" spans="1:9" ht="15.75" customHeight="1" x14ac:dyDescent="0.3">
      <c r="A729" s="5"/>
      <c r="B729" s="30"/>
      <c r="C729" s="4"/>
      <c r="I729" s="22"/>
    </row>
    <row r="730" spans="1:9" ht="15.75" customHeight="1" x14ac:dyDescent="0.3">
      <c r="A730" s="5"/>
      <c r="B730" s="30"/>
      <c r="C730" s="4"/>
      <c r="I730" s="22"/>
    </row>
    <row r="731" spans="1:9" ht="15.75" customHeight="1" x14ac:dyDescent="0.3">
      <c r="A731" s="5"/>
      <c r="B731" s="30"/>
      <c r="C731" s="4"/>
      <c r="I731" s="22"/>
    </row>
    <row r="732" spans="1:9" ht="15.75" customHeight="1" x14ac:dyDescent="0.3">
      <c r="A732" s="5"/>
      <c r="B732" s="30"/>
      <c r="C732" s="4"/>
      <c r="I732" s="22"/>
    </row>
    <row r="733" spans="1:9" ht="15.75" customHeight="1" x14ac:dyDescent="0.3">
      <c r="A733" s="5"/>
      <c r="B733" s="30"/>
      <c r="C733" s="4"/>
      <c r="I733" s="22"/>
    </row>
    <row r="734" spans="1:9" ht="15.75" customHeight="1" x14ac:dyDescent="0.3">
      <c r="A734" s="5"/>
      <c r="B734" s="30"/>
      <c r="C734" s="4"/>
      <c r="I734" s="22"/>
    </row>
    <row r="735" spans="1:9" ht="15.75" customHeight="1" x14ac:dyDescent="0.3">
      <c r="A735" s="5"/>
      <c r="B735" s="30"/>
      <c r="C735" s="4"/>
      <c r="I735" s="22"/>
    </row>
    <row r="736" spans="1:9" ht="15.75" customHeight="1" x14ac:dyDescent="0.3">
      <c r="A736" s="5"/>
      <c r="B736" s="30"/>
      <c r="C736" s="4"/>
      <c r="I736" s="22"/>
    </row>
    <row r="737" spans="1:9" ht="15.75" customHeight="1" x14ac:dyDescent="0.3">
      <c r="A737" s="5"/>
      <c r="B737" s="30"/>
      <c r="C737" s="4"/>
      <c r="I737" s="22"/>
    </row>
    <row r="738" spans="1:9" ht="15.75" customHeight="1" x14ac:dyDescent="0.3">
      <c r="A738" s="5"/>
      <c r="B738" s="30"/>
      <c r="C738" s="4"/>
      <c r="I738" s="22"/>
    </row>
    <row r="739" spans="1:9" ht="15.75" customHeight="1" x14ac:dyDescent="0.3">
      <c r="A739" s="5"/>
      <c r="B739" s="30"/>
      <c r="C739" s="4"/>
      <c r="I739" s="22"/>
    </row>
    <row r="740" spans="1:9" ht="15.75" customHeight="1" x14ac:dyDescent="0.3">
      <c r="A740" s="5"/>
      <c r="B740" s="30"/>
      <c r="C740" s="4"/>
      <c r="I740" s="22"/>
    </row>
    <row r="741" spans="1:9" ht="15.75" customHeight="1" x14ac:dyDescent="0.3">
      <c r="A741" s="5"/>
      <c r="B741" s="30"/>
      <c r="C741" s="4"/>
      <c r="I741" s="22"/>
    </row>
    <row r="742" spans="1:9" ht="15.75" customHeight="1" x14ac:dyDescent="0.3">
      <c r="A742" s="5"/>
      <c r="B742" s="30"/>
      <c r="C742" s="4"/>
      <c r="I742" s="22"/>
    </row>
    <row r="743" spans="1:9" ht="15.75" customHeight="1" x14ac:dyDescent="0.3">
      <c r="A743" s="5"/>
      <c r="B743" s="30"/>
      <c r="C743" s="4"/>
      <c r="I743" s="22"/>
    </row>
    <row r="744" spans="1:9" ht="15.75" customHeight="1" x14ac:dyDescent="0.3">
      <c r="A744" s="5"/>
      <c r="B744" s="30"/>
      <c r="C744" s="4"/>
      <c r="I744" s="22"/>
    </row>
    <row r="745" spans="1:9" ht="15.75" customHeight="1" x14ac:dyDescent="0.3">
      <c r="A745" s="5"/>
      <c r="B745" s="30"/>
      <c r="C745" s="4"/>
      <c r="I745" s="22"/>
    </row>
    <row r="746" spans="1:9" ht="15.75" customHeight="1" x14ac:dyDescent="0.3">
      <c r="A746" s="5"/>
      <c r="B746" s="30"/>
      <c r="C746" s="4"/>
      <c r="I746" s="22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3C3A-58CE-46C6-A479-E2B50090BB24}">
  <sheetPr>
    <pageSetUpPr fitToPage="1"/>
  </sheetPr>
  <dimension ref="B1:P34"/>
  <sheetViews>
    <sheetView zoomScaleNormal="100" workbookViewId="0">
      <selection activeCell="D8" sqref="D8"/>
    </sheetView>
  </sheetViews>
  <sheetFormatPr defaultColWidth="8.5703125" defaultRowHeight="15" x14ac:dyDescent="0.25"/>
  <cols>
    <col min="1" max="1" width="3.28515625" customWidth="1"/>
    <col min="2" max="2" width="15.140625" customWidth="1"/>
    <col min="3" max="3" width="19.28515625" customWidth="1"/>
    <col min="4" max="4" width="18.85546875" style="23" customWidth="1"/>
    <col min="5" max="5" width="11.7109375" customWidth="1"/>
    <col min="6" max="6" width="15" customWidth="1"/>
    <col min="7" max="7" width="16.85546875" customWidth="1"/>
    <col min="8" max="8" width="13.7109375" style="23" customWidth="1"/>
    <col min="9" max="9" width="14.140625" style="23" customWidth="1"/>
    <col min="10" max="10" width="13" style="23" customWidth="1"/>
    <col min="11" max="11" width="14.42578125" customWidth="1"/>
    <col min="13" max="13" width="11.42578125" bestFit="1" customWidth="1"/>
    <col min="14" max="14" width="14.140625" customWidth="1"/>
  </cols>
  <sheetData>
    <row r="1" spans="2:14" s="40" customFormat="1" ht="18.75" x14ac:dyDescent="0.3">
      <c r="D1" s="218">
        <v>46113</v>
      </c>
      <c r="E1" s="219"/>
      <c r="F1" s="219"/>
    </row>
    <row r="2" spans="2:14" s="40" customFormat="1" x14ac:dyDescent="0.25">
      <c r="F2" s="41"/>
      <c r="G2" s="41"/>
    </row>
    <row r="3" spans="2:14" s="40" customFormat="1" x14ac:dyDescent="0.25">
      <c r="C3" s="72" t="s">
        <v>161</v>
      </c>
      <c r="D3" s="42" t="s">
        <v>162</v>
      </c>
      <c r="E3" s="42" t="s">
        <v>163</v>
      </c>
      <c r="F3" s="42" t="s">
        <v>164</v>
      </c>
      <c r="I3" s="72"/>
      <c r="J3" s="42"/>
    </row>
    <row r="4" spans="2:14" s="40" customFormat="1" x14ac:dyDescent="0.25">
      <c r="B4" s="101" t="s">
        <v>25</v>
      </c>
      <c r="C4" s="43">
        <f>+[1]SUMMERY!$E$19</f>
        <v>99370.135750000016</v>
      </c>
      <c r="D4" s="43">
        <f>13000*68+38400</f>
        <v>922400</v>
      </c>
      <c r="E4" s="43" t="e">
        <f>+' EXPENSES HOUSE'!M4</f>
        <v>#REF!</v>
      </c>
      <c r="F4" s="43" t="e">
        <f>+C4+D4-E4</f>
        <v>#REF!</v>
      </c>
      <c r="G4" s="43"/>
      <c r="H4" s="43" t="e">
        <f>+F4-C21</f>
        <v>#REF!</v>
      </c>
      <c r="I4" s="43"/>
      <c r="J4" s="43"/>
    </row>
    <row r="5" spans="2:14" s="40" customFormat="1" x14ac:dyDescent="0.25">
      <c r="B5" s="102" t="s">
        <v>28</v>
      </c>
      <c r="C5" s="43">
        <f>+'[2] SUMMERY '!$F$19</f>
        <v>197931.38249999995</v>
      </c>
      <c r="D5" s="43"/>
      <c r="E5" s="43">
        <f>+' EXPENSES HOUSE'!M5</f>
        <v>290384.12</v>
      </c>
      <c r="F5" s="43">
        <f t="shared" ref="F5:F8" si="0">+C5+D5-E5</f>
        <v>-92452.737500000047</v>
      </c>
      <c r="H5" s="43">
        <f>+F5-C22</f>
        <v>-290384.12</v>
      </c>
      <c r="I5" s="43"/>
      <c r="J5" s="43"/>
    </row>
    <row r="6" spans="2:14" s="40" customFormat="1" x14ac:dyDescent="0.25">
      <c r="B6" s="101" t="s">
        <v>26</v>
      </c>
      <c r="C6" s="43">
        <f>+[3]SUMMERY!$F$19</f>
        <v>773264.78484999994</v>
      </c>
      <c r="D6" s="43">
        <v>733700</v>
      </c>
      <c r="E6" s="43">
        <f>+' EXPENSES HOUSE'!M6</f>
        <v>267794.73</v>
      </c>
      <c r="F6" s="43">
        <f t="shared" si="0"/>
        <v>1239170.05485</v>
      </c>
      <c r="H6" s="43">
        <f>+F6-C23</f>
        <v>465905.27</v>
      </c>
      <c r="I6" s="43"/>
      <c r="J6" s="43"/>
    </row>
    <row r="7" spans="2:14" s="40" customFormat="1" x14ac:dyDescent="0.25">
      <c r="B7" s="101" t="s">
        <v>27</v>
      </c>
      <c r="C7" s="43">
        <f>+'[4]SUMMERY '!$F$19</f>
        <v>878066.80249999999</v>
      </c>
      <c r="D7" s="43">
        <f>5500*68</f>
        <v>374000</v>
      </c>
      <c r="E7" s="43">
        <f>+' EXPENSES HOUSE'!M7</f>
        <v>363859.04</v>
      </c>
      <c r="F7" s="43">
        <f t="shared" si="0"/>
        <v>888207.76249999995</v>
      </c>
      <c r="H7" s="43">
        <f>+F7-C24</f>
        <v>10140.959999999963</v>
      </c>
      <c r="I7" s="43"/>
      <c r="J7" s="43"/>
    </row>
    <row r="8" spans="2:14" s="40" customFormat="1" x14ac:dyDescent="0.25">
      <c r="B8" s="217" t="s">
        <v>155</v>
      </c>
      <c r="C8" s="43">
        <v>170900</v>
      </c>
      <c r="D8" s="43"/>
      <c r="E8" s="43"/>
      <c r="F8" s="43">
        <f t="shared" si="0"/>
        <v>170900</v>
      </c>
      <c r="H8" s="43"/>
      <c r="I8" s="43"/>
      <c r="J8" s="43"/>
    </row>
    <row r="9" spans="2:14" s="40" customFormat="1" x14ac:dyDescent="0.25">
      <c r="B9" s="40" t="s">
        <v>9</v>
      </c>
      <c r="C9" s="43">
        <v>1187372.9933000002</v>
      </c>
      <c r="D9" s="43">
        <f>SUM(D4:D7)</f>
        <v>2030100</v>
      </c>
      <c r="E9" s="43" t="e">
        <f>SUM(E4:E7)</f>
        <v>#REF!</v>
      </c>
      <c r="F9" s="43" t="e">
        <f>SUM(F4:F8)</f>
        <v>#REF!</v>
      </c>
      <c r="I9" s="43"/>
      <c r="J9" s="43"/>
    </row>
    <row r="10" spans="2:14" s="40" customFormat="1" ht="15.75" thickBot="1" x14ac:dyDescent="0.3">
      <c r="D10" s="54"/>
      <c r="E10" s="54"/>
      <c r="K10" s="43"/>
    </row>
    <row r="11" spans="2:14" s="40" customFormat="1" x14ac:dyDescent="0.25">
      <c r="B11" s="224" t="s">
        <v>18</v>
      </c>
      <c r="C11" s="225"/>
      <c r="D11" s="44" t="s">
        <v>17</v>
      </c>
      <c r="E11" s="45"/>
      <c r="F11" s="46"/>
      <c r="G11" s="226" t="s">
        <v>19</v>
      </c>
      <c r="H11" s="227"/>
      <c r="I11" s="228" t="s">
        <v>64</v>
      </c>
      <c r="J11" s="227"/>
    </row>
    <row r="12" spans="2:14" s="40" customFormat="1" x14ac:dyDescent="0.25">
      <c r="B12" s="47"/>
      <c r="C12" s="48">
        <f>+C9</f>
        <v>1187372.9933000002</v>
      </c>
      <c r="D12" s="43"/>
      <c r="E12" s="49"/>
      <c r="F12" s="43" t="s">
        <v>20</v>
      </c>
      <c r="G12" s="50">
        <f>+'[5]LANDCO MET CASH'!$F$9+335000</f>
        <v>688506.96250000002</v>
      </c>
      <c r="H12" s="51"/>
      <c r="I12" s="50">
        <f>+'[6]BIM Bank Control USD'!$J$3+'[6]BIM Bank Control Mtn'!$J$2+'[6]Petty cash '!$G$4+'[6]Pre-paid'!$G$4</f>
        <v>498865.79250000016</v>
      </c>
      <c r="J12" s="51"/>
      <c r="K12" s="43">
        <f>+C12-G12-I12</f>
        <v>0.23830000002635643</v>
      </c>
      <c r="M12" s="43"/>
    </row>
    <row r="13" spans="2:14" s="40" customFormat="1" x14ac:dyDescent="0.25">
      <c r="B13" s="52"/>
      <c r="C13" s="53">
        <f>+D9</f>
        <v>2030100</v>
      </c>
      <c r="D13" s="54"/>
      <c r="E13" s="55"/>
      <c r="F13" s="54" t="s">
        <v>21</v>
      </c>
      <c r="G13" s="57"/>
      <c r="H13" s="56"/>
      <c r="I13" s="73">
        <f>+D9</f>
        <v>2030100</v>
      </c>
      <c r="J13" s="51"/>
      <c r="K13" s="43">
        <f>+C13-G13-I13+J13</f>
        <v>0</v>
      </c>
      <c r="M13" s="43"/>
    </row>
    <row r="14" spans="2:14" s="40" customFormat="1" x14ac:dyDescent="0.25">
      <c r="B14" s="58"/>
      <c r="C14" s="53"/>
      <c r="D14" s="54"/>
      <c r="E14" s="55"/>
      <c r="F14" s="54" t="s">
        <v>17</v>
      </c>
      <c r="G14" s="59"/>
      <c r="H14" s="51"/>
      <c r="I14" s="60"/>
      <c r="J14" s="51"/>
      <c r="K14" s="43">
        <f>+C14-G14+I14</f>
        <v>0</v>
      </c>
    </row>
    <row r="15" spans="2:14" s="40" customFormat="1" x14ac:dyDescent="0.25">
      <c r="B15" s="58"/>
      <c r="C15" s="53"/>
      <c r="D15" s="54"/>
      <c r="E15" s="55"/>
      <c r="F15" s="54"/>
      <c r="G15" s="61"/>
      <c r="H15" s="51"/>
      <c r="I15" s="62"/>
      <c r="J15" s="51"/>
      <c r="K15" s="43">
        <f t="shared" ref="K15" si="1">+C15-G15-I15</f>
        <v>0</v>
      </c>
    </row>
    <row r="16" spans="2:14" s="40" customFormat="1" x14ac:dyDescent="0.25">
      <c r="B16" s="63" t="e">
        <f>+E9</f>
        <v>#REF!</v>
      </c>
      <c r="C16" s="54"/>
      <c r="D16" s="54"/>
      <c r="E16" s="55"/>
      <c r="F16" s="54" t="s">
        <v>10</v>
      </c>
      <c r="G16" s="60"/>
      <c r="H16" s="64">
        <f>+'[7]LANDCO MET CASH'!$F$8</f>
        <v>213314</v>
      </c>
      <c r="I16" s="60"/>
      <c r="J16" s="65">
        <f>+' EXPENSES'!D2</f>
        <v>954875.90999999992</v>
      </c>
      <c r="K16" s="43" t="e">
        <f>+B16-H16-J16</f>
        <v>#REF!</v>
      </c>
      <c r="M16" s="43"/>
      <c r="N16" s="43"/>
    </row>
    <row r="17" spans="2:16" s="40" customFormat="1" x14ac:dyDescent="0.25">
      <c r="B17" s="75" t="e">
        <f>+F9</f>
        <v>#REF!</v>
      </c>
      <c r="C17" s="54"/>
      <c r="D17" s="54"/>
      <c r="E17" s="55"/>
      <c r="F17" s="54" t="s">
        <v>11</v>
      </c>
      <c r="G17" s="66"/>
      <c r="H17" s="76">
        <f>+'[7]LANDCO MET CASH'!$F$9+335000</f>
        <v>475192.96250000002</v>
      </c>
      <c r="I17" s="66"/>
      <c r="J17" s="76">
        <f>+'[6]BIM Bank Control USD'!$J$7+'[6]BIM Bank Control Mtn'!$J$6+'[6]Petty cash '!$G$8+'[6]Pre-paid'!$G$8</f>
        <v>910639.88499999989</v>
      </c>
      <c r="K17" s="43" t="e">
        <f>+B17-H17-J17</f>
        <v>#REF!</v>
      </c>
      <c r="M17" s="43"/>
      <c r="N17" s="43"/>
    </row>
    <row r="18" spans="2:16" s="40" customFormat="1" ht="15.75" thickBot="1" x14ac:dyDescent="0.3">
      <c r="B18" s="67" t="e">
        <f>SUM(B12:B17)</f>
        <v>#REF!</v>
      </c>
      <c r="C18" s="68">
        <f>SUM(C12:C17)</f>
        <v>3217472.9933000002</v>
      </c>
      <c r="D18" s="68">
        <f t="shared" ref="D18:E18" si="2">SUM(D13:D17)</f>
        <v>0</v>
      </c>
      <c r="E18" s="69">
        <f t="shared" si="2"/>
        <v>0</v>
      </c>
      <c r="F18" s="70"/>
      <c r="G18" s="71">
        <f t="shared" ref="G18:H18" si="3">SUM(G12:G17)</f>
        <v>688506.96250000002</v>
      </c>
      <c r="H18" s="68">
        <f t="shared" si="3"/>
        <v>688506.96250000002</v>
      </c>
      <c r="I18" s="68">
        <f>SUM(I12:I17)</f>
        <v>2528965.7925</v>
      </c>
      <c r="J18" s="68">
        <f>SUM(J12:J17)</f>
        <v>1865515.7949999999</v>
      </c>
      <c r="K18" s="43"/>
    </row>
    <row r="19" spans="2:16" s="40" customFormat="1" x14ac:dyDescent="0.25">
      <c r="B19" s="54"/>
      <c r="C19" s="54" t="e">
        <f>+B18-C18</f>
        <v>#REF!</v>
      </c>
      <c r="D19" s="54"/>
      <c r="E19" s="54"/>
      <c r="F19" s="54"/>
      <c r="G19" s="43"/>
      <c r="H19" s="43">
        <f>+G18-H18</f>
        <v>0</v>
      </c>
      <c r="I19" s="43"/>
      <c r="J19" s="43">
        <f>+I18-J18</f>
        <v>663449.99750000006</v>
      </c>
      <c r="K19" s="43" t="e">
        <f>SUM(K12:K17)</f>
        <v>#REF!</v>
      </c>
    </row>
    <row r="20" spans="2:16" s="40" customFormat="1" x14ac:dyDescent="0.25">
      <c r="B20" s="135" t="s">
        <v>76</v>
      </c>
      <c r="C20" s="136"/>
      <c r="D20">
        <v>63.25</v>
      </c>
      <c r="F20" s="213" t="s">
        <v>159</v>
      </c>
      <c r="I20" s="222"/>
      <c r="J20" s="223"/>
      <c r="L20" s="43"/>
      <c r="M20" s="43"/>
      <c r="N20" s="43"/>
    </row>
    <row r="21" spans="2:16" s="40" customFormat="1" x14ac:dyDescent="0.25">
      <c r="B21" s="101" t="s">
        <v>25</v>
      </c>
      <c r="C21" s="43">
        <f>+[1]SUMMERY!$E$19</f>
        <v>99370.135750000016</v>
      </c>
      <c r="D21" s="79">
        <f>+C21/$D$20</f>
        <v>1571.0693399209488</v>
      </c>
      <c r="E21" s="43"/>
      <c r="F21" s="213" t="s">
        <v>154</v>
      </c>
      <c r="G21" s="43">
        <f>+'[6]BIM Bank Control Mtn'!$J$6+'[6]Petty cash '!$G$8+'[6]Pre-paid'!$G$8</f>
        <v>304534.10999999987</v>
      </c>
      <c r="H21" s="214">
        <f>SUM(G21:G22)</f>
        <v>910639.88499999989</v>
      </c>
      <c r="I21" s="186"/>
      <c r="J21" s="186"/>
      <c r="K21" s="186"/>
      <c r="L21" s="187"/>
      <c r="M21" s="43"/>
      <c r="N21" s="43"/>
    </row>
    <row r="22" spans="2:16" s="40" customFormat="1" x14ac:dyDescent="0.25">
      <c r="B22" s="102" t="s">
        <v>28</v>
      </c>
      <c r="C22" s="43">
        <f>+'[2] SUMMERY '!$F$19</f>
        <v>197931.38249999995</v>
      </c>
      <c r="D22" s="79">
        <f>+C22/$D$20</f>
        <v>3129.3499209486158</v>
      </c>
      <c r="E22" s="43"/>
      <c r="F22" s="213" t="s">
        <v>158</v>
      </c>
      <c r="G22" s="43">
        <f>+'[6]BIM Bank Control USD'!$J$7</f>
        <v>606105.77500000002</v>
      </c>
      <c r="H22" s="43"/>
      <c r="I22" s="186"/>
      <c r="J22" s="188"/>
      <c r="K22" s="186"/>
      <c r="L22" s="189"/>
      <c r="M22" s="43"/>
      <c r="N22" s="43"/>
    </row>
    <row r="23" spans="2:16" s="40" customFormat="1" x14ac:dyDescent="0.25">
      <c r="B23" s="101" t="s">
        <v>26</v>
      </c>
      <c r="C23" s="43">
        <f>+[3]SUMMERY!$F$19</f>
        <v>773264.78484999994</v>
      </c>
      <c r="D23" s="79">
        <f>+C23/$D$20</f>
        <v>12225.530195256915</v>
      </c>
      <c r="E23" s="43"/>
      <c r="F23" s="77" t="s">
        <v>12</v>
      </c>
      <c r="G23" s="43">
        <f>+H17</f>
        <v>475192.96250000002</v>
      </c>
      <c r="I23" s="186"/>
      <c r="J23" s="188"/>
      <c r="K23" s="186"/>
      <c r="L23" s="187"/>
      <c r="O23" s="77"/>
      <c r="P23" s="43"/>
    </row>
    <row r="24" spans="2:16" s="40" customFormat="1" x14ac:dyDescent="0.25">
      <c r="B24" s="101" t="s">
        <v>27</v>
      </c>
      <c r="C24" s="43">
        <f>+'[4]SUMMERY '!$F$19</f>
        <v>878066.80249999999</v>
      </c>
      <c r="D24" s="79">
        <f>+C24/$D$20</f>
        <v>13882.479090909092</v>
      </c>
      <c r="E24" s="43"/>
      <c r="I24" s="186"/>
      <c r="J24" s="188"/>
      <c r="K24" s="186"/>
      <c r="L24" s="190"/>
    </row>
    <row r="25" spans="2:16" s="40" customFormat="1" x14ac:dyDescent="0.25">
      <c r="B25" s="213" t="s">
        <v>155</v>
      </c>
      <c r="C25" s="43">
        <v>170900</v>
      </c>
      <c r="D25" s="79">
        <f>+C25/$D$20</f>
        <v>2701.97628458498</v>
      </c>
      <c r="E25" s="43"/>
      <c r="F25" s="103"/>
      <c r="G25" s="43"/>
      <c r="I25" s="186"/>
      <c r="J25" s="188"/>
      <c r="K25" s="186"/>
      <c r="L25" s="187"/>
    </row>
    <row r="26" spans="2:16" s="40" customFormat="1" ht="15.75" thickBot="1" x14ac:dyDescent="0.3">
      <c r="C26" s="78">
        <f>SUM(C21:C25)</f>
        <v>2119533.1055999999</v>
      </c>
      <c r="D26" s="80">
        <f>SUM(D21:D25)</f>
        <v>33510.404831620552</v>
      </c>
      <c r="G26" s="78">
        <f>SUM(G21:G25)</f>
        <v>1385832.8474999999</v>
      </c>
      <c r="I26" s="186"/>
      <c r="J26" s="188"/>
      <c r="K26" s="186"/>
      <c r="L26" s="186"/>
    </row>
    <row r="27" spans="2:16" ht="15.75" thickTop="1" x14ac:dyDescent="0.25">
      <c r="I27" s="220"/>
      <c r="J27" s="221"/>
      <c r="K27" s="192"/>
      <c r="L27" s="186"/>
      <c r="M27" s="27"/>
    </row>
    <row r="28" spans="2:16" x14ac:dyDescent="0.25">
      <c r="C28" s="27"/>
      <c r="G28" s="23"/>
      <c r="I28" s="191"/>
      <c r="J28" s="193"/>
      <c r="K28" s="191"/>
      <c r="L28" s="186"/>
    </row>
    <row r="29" spans="2:16" x14ac:dyDescent="0.25">
      <c r="G29" s="23" t="e">
        <f>+G26-F9</f>
        <v>#REF!</v>
      </c>
      <c r="I29" s="191"/>
      <c r="J29" s="193"/>
      <c r="K29" s="191"/>
      <c r="L29" s="186"/>
    </row>
    <row r="30" spans="2:16" x14ac:dyDescent="0.25">
      <c r="G30" s="27"/>
      <c r="I30" s="191"/>
      <c r="J30" s="191"/>
      <c r="K30" s="191"/>
      <c r="L30" s="186"/>
    </row>
    <row r="31" spans="2:16" x14ac:dyDescent="0.25">
      <c r="I31" s="191"/>
      <c r="J31" s="193"/>
      <c r="K31" s="191"/>
      <c r="L31" s="186"/>
      <c r="M31" s="27"/>
    </row>
    <row r="34" spans="13:13" x14ac:dyDescent="0.25">
      <c r="M34" s="212"/>
    </row>
  </sheetData>
  <mergeCells count="6">
    <mergeCell ref="D1:F1"/>
    <mergeCell ref="I27:J27"/>
    <mergeCell ref="I20:J20"/>
    <mergeCell ref="B11:C11"/>
    <mergeCell ref="G11:H11"/>
    <mergeCell ref="I11:J11"/>
  </mergeCells>
  <pageMargins left="0.7" right="0.7" top="0.75" bottom="0.75" header="0.511811023622047" footer="0.511811023622047"/>
  <pageSetup scale="9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3FFF-0D47-44E8-AC90-C13547BF15EE}">
  <dimension ref="A1:CK671"/>
  <sheetViews>
    <sheetView zoomScale="80" zoomScaleNormal="80" workbookViewId="0">
      <pane xSplit="4" ySplit="6" topLeftCell="E52" activePane="bottomRight" state="frozen"/>
      <selection pane="topRight" activeCell="F1" sqref="F1"/>
      <selection pane="bottomLeft" activeCell="A8" sqref="A8"/>
      <selection pane="bottomRight" sqref="A1:A1048576"/>
    </sheetView>
  </sheetViews>
  <sheetFormatPr defaultColWidth="14.42578125" defaultRowHeight="17.25" x14ac:dyDescent="0.35"/>
  <cols>
    <col min="1" max="1" width="14.28515625" style="244" customWidth="1"/>
    <col min="2" max="2" width="26.5703125" style="24" customWidth="1"/>
    <col min="3" max="3" width="42.5703125" style="24" customWidth="1"/>
    <col min="4" max="4" width="18.7109375" style="125" customWidth="1"/>
    <col min="5" max="6" width="13.5703125" style="107" customWidth="1"/>
    <col min="7" max="7" width="14.7109375" style="107" customWidth="1"/>
    <col min="8" max="8" width="13" style="107" customWidth="1"/>
    <col min="9" max="9" width="14.42578125" style="107"/>
    <col min="10" max="10" width="13.7109375" style="107" customWidth="1"/>
    <col min="11" max="11" width="13.28515625" style="107" customWidth="1"/>
    <col min="12" max="12" width="12.42578125" style="107" customWidth="1"/>
    <col min="13" max="13" width="11.140625" style="107" customWidth="1"/>
    <col min="14" max="14" width="14.7109375" style="107" customWidth="1"/>
    <col min="15" max="17" width="11.140625" style="107" customWidth="1"/>
    <col min="18" max="25" width="14.42578125" style="107"/>
    <col min="26" max="26" width="15.85546875" style="107" customWidth="1"/>
    <col min="27" max="27" width="13" style="126" customWidth="1"/>
    <col min="28" max="16384" width="14.42578125" style="24"/>
  </cols>
  <sheetData>
    <row r="1" spans="1:89" ht="23.25" x14ac:dyDescent="0.35">
      <c r="A1" s="234" t="s">
        <v>30</v>
      </c>
      <c r="B1" s="35"/>
      <c r="C1" s="104"/>
      <c r="D1" s="105"/>
      <c r="E1" s="106" t="s">
        <v>5</v>
      </c>
      <c r="F1" s="106" t="s">
        <v>6</v>
      </c>
      <c r="H1" s="106" t="s">
        <v>7</v>
      </c>
      <c r="I1" s="106" t="s">
        <v>8</v>
      </c>
      <c r="L1" s="106"/>
      <c r="M1" s="108"/>
      <c r="N1" s="108"/>
      <c r="O1" s="106"/>
      <c r="P1" s="106"/>
      <c r="AA1" s="109"/>
    </row>
    <row r="2" spans="1:89" ht="23.25" x14ac:dyDescent="0.35">
      <c r="A2" s="235"/>
      <c r="B2" s="35"/>
      <c r="C2" s="104" t="s">
        <v>31</v>
      </c>
      <c r="D2" s="105">
        <f>SUM(D8:D62)</f>
        <v>954875.90999999992</v>
      </c>
      <c r="E2" s="106"/>
      <c r="F2" s="106"/>
      <c r="L2" s="106"/>
      <c r="M2" s="108"/>
      <c r="N2" s="108"/>
      <c r="O2" s="106"/>
      <c r="P2" s="106"/>
      <c r="W2" s="105"/>
      <c r="AA2" s="109"/>
    </row>
    <row r="3" spans="1:89" ht="23.25" x14ac:dyDescent="0.35">
      <c r="A3" s="235"/>
      <c r="B3" s="35"/>
      <c r="C3" s="104" t="s">
        <v>32</v>
      </c>
      <c r="D3" s="105">
        <f>SUM(D63:D79)</f>
        <v>213314</v>
      </c>
      <c r="E3" s="106"/>
      <c r="F3" s="106"/>
      <c r="L3" s="106"/>
      <c r="M3" s="108"/>
      <c r="N3" s="108"/>
      <c r="O3" s="106"/>
      <c r="P3" s="106"/>
      <c r="AA3" s="109"/>
    </row>
    <row r="4" spans="1:89" ht="23.25" x14ac:dyDescent="0.35">
      <c r="A4" s="235"/>
      <c r="B4" s="35"/>
      <c r="C4" s="104" t="s">
        <v>33</v>
      </c>
      <c r="D4" s="110">
        <f>SUM(D2:D3)</f>
        <v>1168189.9099999999</v>
      </c>
      <c r="E4" s="106"/>
      <c r="F4" s="106">
        <f>+D4/4</f>
        <v>292047.47749999998</v>
      </c>
      <c r="L4" s="106"/>
      <c r="M4" s="108"/>
      <c r="N4" s="108"/>
      <c r="O4" s="106"/>
      <c r="P4" s="106"/>
      <c r="AA4" s="109"/>
    </row>
    <row r="5" spans="1:89" ht="19.5" x14ac:dyDescent="0.4">
      <c r="A5" s="236"/>
      <c r="B5" s="109"/>
      <c r="C5" s="104"/>
      <c r="D5" s="105"/>
      <c r="E5" s="229" t="s">
        <v>34</v>
      </c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AA5" s="109"/>
    </row>
    <row r="6" spans="1:89" ht="66.599999999999994" customHeight="1" x14ac:dyDescent="0.35">
      <c r="A6" s="237" t="s">
        <v>1</v>
      </c>
      <c r="B6" s="111" t="s">
        <v>35</v>
      </c>
      <c r="C6" s="111" t="s">
        <v>36</v>
      </c>
      <c r="D6" s="112" t="s">
        <v>33</v>
      </c>
      <c r="E6" s="113" t="s">
        <v>37</v>
      </c>
      <c r="F6" s="114" t="s">
        <v>62</v>
      </c>
      <c r="G6" s="115" t="s">
        <v>39</v>
      </c>
      <c r="H6" s="116" t="s">
        <v>40</v>
      </c>
      <c r="I6" s="117" t="s">
        <v>41</v>
      </c>
      <c r="J6" s="114" t="s">
        <v>42</v>
      </c>
      <c r="K6" s="114" t="s">
        <v>43</v>
      </c>
      <c r="L6" s="114" t="s">
        <v>44</v>
      </c>
      <c r="M6" s="114" t="s">
        <v>45</v>
      </c>
      <c r="N6" s="114" t="s">
        <v>65</v>
      </c>
      <c r="O6" s="114" t="s">
        <v>46</v>
      </c>
      <c r="P6" s="114" t="s">
        <v>47</v>
      </c>
      <c r="Q6" s="114" t="s">
        <v>48</v>
      </c>
      <c r="R6" s="114" t="s">
        <v>49</v>
      </c>
      <c r="S6" s="114" t="s">
        <v>50</v>
      </c>
      <c r="T6" s="114" t="s">
        <v>71</v>
      </c>
      <c r="U6" s="115" t="s">
        <v>51</v>
      </c>
      <c r="V6" s="115" t="s">
        <v>52</v>
      </c>
      <c r="W6" s="115" t="s">
        <v>53</v>
      </c>
      <c r="X6" s="115" t="s">
        <v>54</v>
      </c>
      <c r="Y6" s="115" t="s">
        <v>55</v>
      </c>
      <c r="Z6" s="118" t="s">
        <v>11</v>
      </c>
      <c r="AA6" s="119"/>
    </row>
    <row r="7" spans="1:89" ht="19.899999999999999" customHeight="1" x14ac:dyDescent="0.35">
      <c r="A7" s="238"/>
      <c r="B7" s="137"/>
      <c r="C7" s="138" t="s">
        <v>56</v>
      </c>
      <c r="D7" s="139"/>
      <c r="E7" s="140"/>
      <c r="F7" s="148"/>
      <c r="G7" s="149"/>
      <c r="H7" s="150"/>
      <c r="I7" s="150"/>
      <c r="J7" s="148"/>
      <c r="K7" s="148"/>
      <c r="L7" s="148"/>
      <c r="M7" s="148"/>
      <c r="N7" s="148"/>
      <c r="O7" s="140"/>
      <c r="P7" s="140"/>
      <c r="Q7" s="148"/>
      <c r="R7" s="148"/>
      <c r="S7" s="148"/>
      <c r="T7" s="148"/>
      <c r="U7" s="149"/>
      <c r="V7" s="149"/>
      <c r="W7" s="149"/>
      <c r="X7" s="149"/>
      <c r="Y7" s="149"/>
      <c r="Z7" s="140"/>
      <c r="AA7" s="14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1"/>
      <c r="AU7" s="151"/>
    </row>
    <row r="8" spans="1:89" ht="19.899999999999999" customHeight="1" x14ac:dyDescent="0.35">
      <c r="A8" s="239">
        <v>46083</v>
      </c>
      <c r="B8" s="167" t="s">
        <v>78</v>
      </c>
      <c r="C8" s="168" t="s">
        <v>57</v>
      </c>
      <c r="D8" s="176">
        <v>5000</v>
      </c>
      <c r="E8" s="152"/>
      <c r="F8" s="153"/>
      <c r="G8" s="152">
        <f>+D8</f>
        <v>5000</v>
      </c>
      <c r="H8" s="154"/>
      <c r="I8" s="150"/>
      <c r="J8" s="153"/>
      <c r="K8" s="155"/>
      <c r="L8" s="155"/>
      <c r="M8" s="155"/>
      <c r="N8" s="153"/>
      <c r="O8" s="152"/>
      <c r="P8" s="152"/>
      <c r="Q8" s="155"/>
      <c r="R8" s="155"/>
      <c r="S8" s="155"/>
      <c r="T8" s="153"/>
      <c r="U8" s="156"/>
      <c r="V8" s="156"/>
      <c r="W8" s="157"/>
      <c r="X8" s="156"/>
      <c r="Y8" s="156"/>
      <c r="Z8" s="158">
        <f t="shared" ref="Z8:Z48" si="0">SUM(E8:Y8)</f>
        <v>5000</v>
      </c>
      <c r="AA8" s="159" t="s">
        <v>4</v>
      </c>
      <c r="AB8" s="147">
        <f t="shared" ref="AB8:AB79" si="1">+D8-Z8</f>
        <v>0</v>
      </c>
      <c r="AC8" s="147"/>
      <c r="AD8" s="151"/>
      <c r="AE8" s="147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51"/>
    </row>
    <row r="9" spans="1:89" ht="19.899999999999999" customHeight="1" x14ac:dyDescent="0.35">
      <c r="A9" s="240">
        <v>46083</v>
      </c>
      <c r="B9" s="169" t="s">
        <v>79</v>
      </c>
      <c r="C9" s="168" t="s">
        <v>80</v>
      </c>
      <c r="D9" s="177">
        <v>7</v>
      </c>
      <c r="E9" s="152"/>
      <c r="F9" s="153"/>
      <c r="G9" s="152"/>
      <c r="H9" s="181">
        <f>+D9</f>
        <v>7</v>
      </c>
      <c r="I9" s="150"/>
      <c r="J9" s="155"/>
      <c r="K9" s="155"/>
      <c r="L9" s="155"/>
      <c r="M9" s="155"/>
      <c r="N9" s="155"/>
      <c r="O9" s="152"/>
      <c r="P9" s="152"/>
      <c r="Q9" s="155"/>
      <c r="R9" s="155"/>
      <c r="S9" s="155"/>
      <c r="T9" s="153"/>
      <c r="U9" s="156"/>
      <c r="V9" s="156"/>
      <c r="W9" s="157"/>
      <c r="X9" s="156"/>
      <c r="Y9" s="156"/>
      <c r="Z9" s="158">
        <f t="shared" si="0"/>
        <v>7</v>
      </c>
      <c r="AA9" s="159" t="s">
        <v>4</v>
      </c>
      <c r="AB9" s="147">
        <f t="shared" si="1"/>
        <v>0</v>
      </c>
      <c r="AC9" s="147"/>
      <c r="AD9" s="151"/>
      <c r="AE9" s="147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</row>
    <row r="10" spans="1:89" ht="19.899999999999999" customHeight="1" x14ac:dyDescent="0.35">
      <c r="A10" s="241">
        <v>46082</v>
      </c>
      <c r="B10" s="169" t="s">
        <v>79</v>
      </c>
      <c r="C10" s="215" t="s">
        <v>157</v>
      </c>
      <c r="D10" s="139">
        <v>586.33000000000004</v>
      </c>
      <c r="E10" s="140"/>
      <c r="F10" s="148"/>
      <c r="G10" s="149"/>
      <c r="H10" s="216">
        <f>+D10</f>
        <v>586.33000000000004</v>
      </c>
      <c r="I10" s="150"/>
      <c r="J10" s="148"/>
      <c r="K10" s="148"/>
      <c r="L10" s="148"/>
      <c r="M10" s="148"/>
      <c r="N10" s="148"/>
      <c r="O10" s="140"/>
      <c r="P10" s="140"/>
      <c r="Q10" s="148"/>
      <c r="R10" s="148"/>
      <c r="S10" s="148"/>
      <c r="T10" s="148"/>
      <c r="U10" s="149"/>
      <c r="V10" s="149"/>
      <c r="W10" s="149"/>
      <c r="X10" s="149"/>
      <c r="Y10" s="149"/>
      <c r="Z10" s="158">
        <f t="shared" si="0"/>
        <v>586.33000000000004</v>
      </c>
      <c r="AA10" s="159" t="s">
        <v>4</v>
      </c>
      <c r="AB10" s="147">
        <f t="shared" si="1"/>
        <v>0</v>
      </c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</row>
    <row r="11" spans="1:89" ht="19.5" customHeight="1" x14ac:dyDescent="0.35">
      <c r="A11" s="240">
        <v>46086</v>
      </c>
      <c r="B11" s="168" t="s">
        <v>81</v>
      </c>
      <c r="C11" s="168" t="s">
        <v>57</v>
      </c>
      <c r="D11" s="176">
        <v>2300</v>
      </c>
      <c r="E11" s="160"/>
      <c r="F11" s="161"/>
      <c r="G11" s="161">
        <f>+D11</f>
        <v>2300</v>
      </c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58">
        <f t="shared" si="0"/>
        <v>2300</v>
      </c>
      <c r="AA11" s="159" t="s">
        <v>4</v>
      </c>
      <c r="AB11" s="147">
        <f t="shared" si="1"/>
        <v>0</v>
      </c>
      <c r="AC11" s="147"/>
      <c r="AD11" s="151"/>
      <c r="AE11" s="147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</row>
    <row r="12" spans="1:89" ht="19.5" customHeight="1" x14ac:dyDescent="0.35">
      <c r="A12" s="240">
        <v>46086</v>
      </c>
      <c r="B12" s="169" t="s">
        <v>79</v>
      </c>
      <c r="C12" s="168" t="s">
        <v>80</v>
      </c>
      <c r="D12" s="177">
        <v>7</v>
      </c>
      <c r="E12" s="160"/>
      <c r="F12" s="161"/>
      <c r="G12" s="161"/>
      <c r="H12" s="161">
        <f>+D12</f>
        <v>7</v>
      </c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58">
        <f t="shared" si="0"/>
        <v>7</v>
      </c>
      <c r="AA12" s="159" t="s">
        <v>4</v>
      </c>
      <c r="AB12" s="147">
        <f t="shared" si="1"/>
        <v>0</v>
      </c>
      <c r="AC12" s="151"/>
      <c r="AD12" s="151"/>
      <c r="AE12" s="147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</row>
    <row r="13" spans="1:89" ht="19.5" customHeight="1" x14ac:dyDescent="0.35">
      <c r="A13" s="240">
        <v>46086</v>
      </c>
      <c r="B13" s="169" t="s">
        <v>82</v>
      </c>
      <c r="C13" s="168" t="s">
        <v>83</v>
      </c>
      <c r="D13" s="177">
        <v>-88044</v>
      </c>
      <c r="E13" s="160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>
        <f>+D13</f>
        <v>-88044</v>
      </c>
      <c r="Z13" s="158">
        <f t="shared" si="0"/>
        <v>-88044</v>
      </c>
      <c r="AA13" s="159" t="s">
        <v>4</v>
      </c>
      <c r="AB13" s="147">
        <f t="shared" si="1"/>
        <v>0</v>
      </c>
      <c r="AC13" s="151"/>
      <c r="AD13" s="151"/>
      <c r="AE13" s="147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</row>
    <row r="14" spans="1:89" ht="19.5" customHeight="1" x14ac:dyDescent="0.35">
      <c r="A14" s="240">
        <v>46086</v>
      </c>
      <c r="B14" s="169" t="s">
        <v>84</v>
      </c>
      <c r="C14" s="168" t="s">
        <v>57</v>
      </c>
      <c r="D14" s="176">
        <v>1500</v>
      </c>
      <c r="E14" s="160"/>
      <c r="F14" s="161"/>
      <c r="G14" s="161">
        <f>+D14</f>
        <v>1500</v>
      </c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58">
        <f t="shared" si="0"/>
        <v>1500</v>
      </c>
      <c r="AA14" s="159" t="s">
        <v>4</v>
      </c>
      <c r="AB14" s="147">
        <f t="shared" si="1"/>
        <v>0</v>
      </c>
      <c r="AC14" s="151"/>
      <c r="AD14" s="151"/>
      <c r="AE14" s="147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</row>
    <row r="15" spans="1:89" ht="19.5" customHeight="1" x14ac:dyDescent="0.35">
      <c r="A15" s="240">
        <v>46086</v>
      </c>
      <c r="B15" s="169" t="s">
        <v>79</v>
      </c>
      <c r="C15" s="168" t="s">
        <v>80</v>
      </c>
      <c r="D15" s="178">
        <v>120</v>
      </c>
      <c r="E15" s="160"/>
      <c r="F15" s="161"/>
      <c r="G15" s="161"/>
      <c r="H15" s="161">
        <f>+D15</f>
        <v>120</v>
      </c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58">
        <f t="shared" si="0"/>
        <v>120</v>
      </c>
      <c r="AA15" s="159" t="s">
        <v>4</v>
      </c>
      <c r="AB15" s="147">
        <f t="shared" si="1"/>
        <v>0</v>
      </c>
      <c r="AC15" s="151"/>
      <c r="AD15" s="151"/>
      <c r="AE15" s="147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</row>
    <row r="16" spans="1:89" ht="19.5" customHeight="1" x14ac:dyDescent="0.35">
      <c r="A16" s="240">
        <v>46090</v>
      </c>
      <c r="B16" s="169" t="s">
        <v>85</v>
      </c>
      <c r="C16" s="168" t="s">
        <v>86</v>
      </c>
      <c r="D16" s="178">
        <v>3328</v>
      </c>
      <c r="E16" s="160"/>
      <c r="F16" s="161"/>
      <c r="G16" s="161"/>
      <c r="H16" s="161"/>
      <c r="I16" s="161"/>
      <c r="J16" s="161"/>
      <c r="K16" s="161">
        <f>+D16</f>
        <v>3328</v>
      </c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58">
        <f t="shared" si="0"/>
        <v>3328</v>
      </c>
      <c r="AA16" s="159" t="s">
        <v>4</v>
      </c>
      <c r="AB16" s="147">
        <f t="shared" si="1"/>
        <v>0</v>
      </c>
      <c r="AC16" s="151"/>
      <c r="AD16" s="151"/>
      <c r="AE16" s="147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</row>
    <row r="17" spans="1:89" ht="19.5" customHeight="1" x14ac:dyDescent="0.35">
      <c r="A17" s="240">
        <v>46090</v>
      </c>
      <c r="B17" s="169" t="s">
        <v>87</v>
      </c>
      <c r="C17" s="168" t="s">
        <v>88</v>
      </c>
      <c r="D17" s="178">
        <v>7384.37</v>
      </c>
      <c r="E17" s="160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>
        <f>+D17</f>
        <v>7384.37</v>
      </c>
      <c r="R17" s="161"/>
      <c r="S17" s="161"/>
      <c r="T17" s="161"/>
      <c r="U17" s="161"/>
      <c r="V17" s="161"/>
      <c r="W17" s="161"/>
      <c r="X17" s="161"/>
      <c r="Y17" s="161"/>
      <c r="Z17" s="158">
        <f t="shared" si="0"/>
        <v>7384.37</v>
      </c>
      <c r="AA17" s="159" t="s">
        <v>4</v>
      </c>
      <c r="AB17" s="147">
        <f t="shared" si="1"/>
        <v>0</v>
      </c>
      <c r="AC17" s="151"/>
      <c r="AD17" s="151"/>
      <c r="AE17" s="147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</row>
    <row r="18" spans="1:89" ht="19.5" customHeight="1" x14ac:dyDescent="0.35">
      <c r="A18" s="240">
        <v>46090</v>
      </c>
      <c r="B18" s="169" t="s">
        <v>89</v>
      </c>
      <c r="C18" s="168" t="s">
        <v>49</v>
      </c>
      <c r="D18" s="176">
        <v>5245</v>
      </c>
      <c r="E18" s="160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>
        <f>+D18</f>
        <v>5245</v>
      </c>
      <c r="S18" s="161"/>
      <c r="T18" s="161"/>
      <c r="U18" s="161"/>
      <c r="V18" s="161"/>
      <c r="W18" s="161"/>
      <c r="X18" s="161"/>
      <c r="Y18" s="161"/>
      <c r="Z18" s="158">
        <f t="shared" si="0"/>
        <v>5245</v>
      </c>
      <c r="AA18" s="159" t="s">
        <v>4</v>
      </c>
      <c r="AB18" s="147">
        <f t="shared" si="1"/>
        <v>0</v>
      </c>
      <c r="AC18" s="151"/>
      <c r="AD18" s="151"/>
      <c r="AE18" s="147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</row>
    <row r="19" spans="1:89" ht="19.5" customHeight="1" x14ac:dyDescent="0.35">
      <c r="A19" s="240">
        <v>46090</v>
      </c>
      <c r="B19" s="169" t="s">
        <v>79</v>
      </c>
      <c r="C19" s="168" t="s">
        <v>90</v>
      </c>
      <c r="D19" s="178">
        <v>7</v>
      </c>
      <c r="E19" s="160"/>
      <c r="F19" s="161"/>
      <c r="G19" s="161"/>
      <c r="H19" s="161">
        <f>+D19</f>
        <v>7</v>
      </c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58">
        <f t="shared" si="0"/>
        <v>7</v>
      </c>
      <c r="AA19" s="159" t="s">
        <v>4</v>
      </c>
      <c r="AB19" s="147">
        <f t="shared" si="1"/>
        <v>0</v>
      </c>
      <c r="AC19" s="151"/>
      <c r="AD19" s="151"/>
      <c r="AE19" s="147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</row>
    <row r="20" spans="1:89" ht="19.5" customHeight="1" x14ac:dyDescent="0.35">
      <c r="A20" s="240">
        <v>46092</v>
      </c>
      <c r="B20" s="169" t="s">
        <v>91</v>
      </c>
      <c r="C20" s="168" t="s">
        <v>92</v>
      </c>
      <c r="D20" s="178">
        <v>51111.88</v>
      </c>
      <c r="E20" s="160"/>
      <c r="F20" s="161"/>
      <c r="G20" s="161"/>
      <c r="H20" s="161"/>
      <c r="I20" s="161"/>
      <c r="J20" s="161">
        <f>+D20</f>
        <v>51111.88</v>
      </c>
      <c r="K20" s="161"/>
      <c r="L20" s="161"/>
      <c r="M20" s="161"/>
      <c r="N20" s="162"/>
      <c r="O20" s="147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58">
        <f t="shared" si="0"/>
        <v>51111.88</v>
      </c>
      <c r="AA20" s="159" t="s">
        <v>4</v>
      </c>
      <c r="AB20" s="147">
        <f t="shared" si="1"/>
        <v>0</v>
      </c>
      <c r="AC20" s="151"/>
      <c r="AD20" s="151"/>
      <c r="AE20" s="147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</row>
    <row r="21" spans="1:89" ht="19.5" customHeight="1" x14ac:dyDescent="0.35">
      <c r="A21" s="240">
        <v>46092</v>
      </c>
      <c r="B21" s="169" t="s">
        <v>79</v>
      </c>
      <c r="C21" s="168" t="s">
        <v>80</v>
      </c>
      <c r="D21" s="176">
        <v>7</v>
      </c>
      <c r="E21" s="160"/>
      <c r="F21" s="161"/>
      <c r="G21" s="161"/>
      <c r="H21" s="161">
        <f>+D21</f>
        <v>7</v>
      </c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58">
        <f t="shared" si="0"/>
        <v>7</v>
      </c>
      <c r="AA21" s="159" t="s">
        <v>4</v>
      </c>
      <c r="AB21" s="147">
        <f t="shared" si="1"/>
        <v>0</v>
      </c>
      <c r="AC21" s="151"/>
      <c r="AD21" s="151"/>
      <c r="AE21" s="147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</row>
    <row r="22" spans="1:89" ht="19.5" customHeight="1" x14ac:dyDescent="0.35">
      <c r="A22" s="240">
        <v>46092</v>
      </c>
      <c r="B22" s="169" t="s">
        <v>66</v>
      </c>
      <c r="C22" s="168" t="s">
        <v>93</v>
      </c>
      <c r="D22" s="178">
        <v>129.48999999999978</v>
      </c>
      <c r="E22" s="160"/>
      <c r="F22" s="161"/>
      <c r="G22" s="161">
        <f>+D22</f>
        <v>129.48999999999978</v>
      </c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58">
        <f t="shared" si="0"/>
        <v>129.48999999999978</v>
      </c>
      <c r="AA22" s="159" t="s">
        <v>4</v>
      </c>
      <c r="AB22" s="147">
        <f t="shared" si="1"/>
        <v>0</v>
      </c>
      <c r="AC22" s="151"/>
      <c r="AD22" s="151"/>
      <c r="AE22" s="147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</row>
    <row r="23" spans="1:89" ht="19.5" customHeight="1" x14ac:dyDescent="0.35">
      <c r="A23" s="240">
        <v>46097</v>
      </c>
      <c r="B23" s="169" t="s">
        <v>94</v>
      </c>
      <c r="C23" s="168" t="s">
        <v>95</v>
      </c>
      <c r="D23" s="178">
        <v>8710</v>
      </c>
      <c r="E23" s="160"/>
      <c r="F23" s="161"/>
      <c r="G23" s="161"/>
      <c r="H23" s="161"/>
      <c r="I23" s="161"/>
      <c r="J23" s="161"/>
      <c r="K23" s="161"/>
      <c r="L23" s="161">
        <f>+D23</f>
        <v>8710</v>
      </c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58">
        <f t="shared" si="0"/>
        <v>8710</v>
      </c>
      <c r="AA23" s="159" t="s">
        <v>4</v>
      </c>
      <c r="AB23" s="147">
        <f t="shared" si="1"/>
        <v>0</v>
      </c>
      <c r="AC23" s="151"/>
      <c r="AD23" s="151"/>
      <c r="AE23" s="147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</row>
    <row r="24" spans="1:89" ht="19.5" customHeight="1" x14ac:dyDescent="0.35">
      <c r="A24" s="240">
        <v>46097</v>
      </c>
      <c r="B24" s="169" t="s">
        <v>96</v>
      </c>
      <c r="C24" s="168" t="s">
        <v>49</v>
      </c>
      <c r="D24" s="178">
        <v>1290</v>
      </c>
      <c r="E24" s="160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>
        <f>+D24</f>
        <v>1290</v>
      </c>
      <c r="S24" s="161"/>
      <c r="T24" s="161"/>
      <c r="U24" s="161"/>
      <c r="V24" s="161"/>
      <c r="W24" s="161"/>
      <c r="X24" s="161"/>
      <c r="Y24" s="161"/>
      <c r="Z24" s="158">
        <f t="shared" si="0"/>
        <v>1290</v>
      </c>
      <c r="AA24" s="159" t="s">
        <v>4</v>
      </c>
      <c r="AB24" s="147">
        <f t="shared" si="1"/>
        <v>0</v>
      </c>
      <c r="AC24" s="151"/>
      <c r="AD24" s="151"/>
      <c r="AE24" s="147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</row>
    <row r="25" spans="1:89" ht="19.5" customHeight="1" x14ac:dyDescent="0.35">
      <c r="A25" s="240">
        <v>46098</v>
      </c>
      <c r="B25" s="168" t="s">
        <v>97</v>
      </c>
      <c r="C25" s="168" t="s">
        <v>80</v>
      </c>
      <c r="D25" s="178">
        <v>600</v>
      </c>
      <c r="E25" s="160"/>
      <c r="F25" s="161"/>
      <c r="G25" s="161"/>
      <c r="H25" s="161">
        <f>+D25</f>
        <v>600</v>
      </c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58">
        <f t="shared" si="0"/>
        <v>600</v>
      </c>
      <c r="AA25" s="159" t="s">
        <v>4</v>
      </c>
      <c r="AB25" s="147">
        <f t="shared" si="1"/>
        <v>0</v>
      </c>
      <c r="AC25" s="151"/>
      <c r="AD25" s="151"/>
      <c r="AE25" s="147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</row>
    <row r="26" spans="1:89" ht="19.5" customHeight="1" x14ac:dyDescent="0.35">
      <c r="A26" s="240">
        <v>46099</v>
      </c>
      <c r="B26" s="169" t="s">
        <v>98</v>
      </c>
      <c r="C26" s="168" t="s">
        <v>99</v>
      </c>
      <c r="D26" s="176">
        <v>37386</v>
      </c>
      <c r="E26" s="160"/>
      <c r="F26" s="161"/>
      <c r="G26" s="161"/>
      <c r="H26" s="161" t="s">
        <v>128</v>
      </c>
      <c r="I26" s="161">
        <f>+D26</f>
        <v>37386</v>
      </c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58">
        <f t="shared" si="0"/>
        <v>37386</v>
      </c>
      <c r="AA26" s="159" t="s">
        <v>4</v>
      </c>
      <c r="AB26" s="147">
        <f t="shared" si="1"/>
        <v>0</v>
      </c>
      <c r="AC26" s="151"/>
      <c r="AD26" s="151"/>
      <c r="AE26" s="147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</row>
    <row r="27" spans="1:89" ht="19.5" customHeight="1" x14ac:dyDescent="0.35">
      <c r="A27" s="240">
        <v>46099</v>
      </c>
      <c r="B27" s="169" t="s">
        <v>79</v>
      </c>
      <c r="C27" s="168" t="s">
        <v>80</v>
      </c>
      <c r="D27" s="178">
        <v>7</v>
      </c>
      <c r="E27" s="160"/>
      <c r="F27" s="161"/>
      <c r="G27" s="161"/>
      <c r="H27" s="161">
        <f>+D27</f>
        <v>7</v>
      </c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58">
        <f t="shared" si="0"/>
        <v>7</v>
      </c>
      <c r="AA27" s="159" t="s">
        <v>4</v>
      </c>
      <c r="AB27" s="147">
        <f t="shared" si="1"/>
        <v>0</v>
      </c>
      <c r="AC27" s="151"/>
      <c r="AD27" s="151"/>
      <c r="AE27" s="147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</row>
    <row r="28" spans="1:89" ht="19.5" customHeight="1" x14ac:dyDescent="0.35">
      <c r="A28" s="240">
        <v>46099</v>
      </c>
      <c r="B28" s="169" t="s">
        <v>129</v>
      </c>
      <c r="C28" s="169" t="s">
        <v>130</v>
      </c>
      <c r="D28" s="178">
        <v>1409.68</v>
      </c>
      <c r="E28" s="160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>
        <f>+D28</f>
        <v>1409.68</v>
      </c>
      <c r="Q28" s="161"/>
      <c r="R28" s="161"/>
      <c r="S28" s="161"/>
      <c r="T28" s="161"/>
      <c r="U28" s="161"/>
      <c r="V28" s="161"/>
      <c r="W28" s="161"/>
      <c r="X28" s="161"/>
      <c r="Y28" s="161"/>
      <c r="Z28" s="158">
        <f t="shared" si="0"/>
        <v>1409.68</v>
      </c>
      <c r="AA28" s="159" t="s">
        <v>4</v>
      </c>
      <c r="AB28" s="147">
        <f t="shared" si="1"/>
        <v>0</v>
      </c>
      <c r="AC28" s="151"/>
      <c r="AD28" s="151"/>
      <c r="AE28" s="147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</row>
    <row r="29" spans="1:89" ht="19.5" customHeight="1" x14ac:dyDescent="0.35">
      <c r="A29" s="240">
        <v>46099</v>
      </c>
      <c r="B29" s="169" t="s">
        <v>129</v>
      </c>
      <c r="C29" s="169" t="s">
        <v>131</v>
      </c>
      <c r="D29" s="178">
        <v>1409.68</v>
      </c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>
        <f>+D29</f>
        <v>1409.68</v>
      </c>
      <c r="Q29" s="161"/>
      <c r="R29" s="161"/>
      <c r="S29" s="161"/>
      <c r="T29" s="161"/>
      <c r="U29" s="161"/>
      <c r="V29" s="161"/>
      <c r="W29" s="161"/>
      <c r="X29" s="161"/>
      <c r="Y29" s="161"/>
      <c r="Z29" s="158">
        <f t="shared" si="0"/>
        <v>1409.68</v>
      </c>
      <c r="AA29" s="159" t="s">
        <v>4</v>
      </c>
      <c r="AB29" s="147">
        <f t="shared" si="1"/>
        <v>0</v>
      </c>
      <c r="AC29" s="151"/>
      <c r="AD29" s="151"/>
      <c r="AE29" s="147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</row>
    <row r="30" spans="1:89" ht="19.5" customHeight="1" x14ac:dyDescent="0.35">
      <c r="A30" s="240">
        <v>46100</v>
      </c>
      <c r="B30" s="169" t="s">
        <v>101</v>
      </c>
      <c r="C30" s="168" t="s">
        <v>86</v>
      </c>
      <c r="D30" s="178">
        <v>788</v>
      </c>
      <c r="E30" s="160"/>
      <c r="F30" s="161"/>
      <c r="G30" s="161"/>
      <c r="H30" s="161"/>
      <c r="I30" s="161"/>
      <c r="J30" s="161"/>
      <c r="K30" s="161">
        <f>+D30</f>
        <v>788</v>
      </c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58">
        <f t="shared" si="0"/>
        <v>788</v>
      </c>
      <c r="AA30" s="159" t="s">
        <v>4</v>
      </c>
      <c r="AB30" s="147">
        <f t="shared" si="1"/>
        <v>0</v>
      </c>
      <c r="AC30" s="151"/>
      <c r="AD30" s="151"/>
      <c r="AE30" s="147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</row>
    <row r="31" spans="1:89" ht="19.5" customHeight="1" x14ac:dyDescent="0.35">
      <c r="A31" s="240">
        <v>46100</v>
      </c>
      <c r="B31" s="169" t="s">
        <v>102</v>
      </c>
      <c r="C31" s="168" t="s">
        <v>49</v>
      </c>
      <c r="D31" s="178">
        <v>3330</v>
      </c>
      <c r="E31" s="160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>
        <f>+D31</f>
        <v>3330</v>
      </c>
      <c r="S31" s="161"/>
      <c r="T31" s="161"/>
      <c r="U31" s="161"/>
      <c r="V31" s="161"/>
      <c r="W31" s="161"/>
      <c r="X31" s="161"/>
      <c r="Y31" s="161"/>
      <c r="Z31" s="158">
        <f t="shared" si="0"/>
        <v>3330</v>
      </c>
      <c r="AA31" s="159" t="s">
        <v>4</v>
      </c>
      <c r="AB31" s="147">
        <f t="shared" si="1"/>
        <v>0</v>
      </c>
      <c r="AC31" s="151"/>
      <c r="AD31" s="151"/>
      <c r="AE31" s="147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</row>
    <row r="32" spans="1:89" ht="19.5" customHeight="1" x14ac:dyDescent="0.35">
      <c r="A32" s="240">
        <v>46100</v>
      </c>
      <c r="B32" s="169" t="s">
        <v>103</v>
      </c>
      <c r="C32" s="168" t="s">
        <v>104</v>
      </c>
      <c r="D32" s="178">
        <v>10500</v>
      </c>
      <c r="E32" s="160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>
        <f>+D32</f>
        <v>10500</v>
      </c>
      <c r="Y32" s="161"/>
      <c r="Z32" s="158">
        <f t="shared" si="0"/>
        <v>10500</v>
      </c>
      <c r="AA32" s="159" t="s">
        <v>4</v>
      </c>
      <c r="AB32" s="147">
        <f t="shared" si="1"/>
        <v>0</v>
      </c>
      <c r="AC32" s="151"/>
      <c r="AD32" s="185"/>
      <c r="AE32" s="147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</row>
    <row r="33" spans="1:89" ht="19.5" customHeight="1" x14ac:dyDescent="0.35">
      <c r="A33" s="240">
        <v>46100</v>
      </c>
      <c r="B33" s="168" t="s">
        <v>105</v>
      </c>
      <c r="C33" s="168" t="s">
        <v>86</v>
      </c>
      <c r="D33" s="178">
        <v>5688</v>
      </c>
      <c r="E33" s="160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>
        <f>+D33</f>
        <v>5688</v>
      </c>
      <c r="X33" s="161"/>
      <c r="Y33" s="161"/>
      <c r="Z33" s="158">
        <f t="shared" si="0"/>
        <v>5688</v>
      </c>
      <c r="AA33" s="159" t="s">
        <v>4</v>
      </c>
      <c r="AB33" s="147">
        <f t="shared" si="1"/>
        <v>0</v>
      </c>
      <c r="AC33" s="151"/>
      <c r="AD33" s="151"/>
      <c r="AE33" s="147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</row>
    <row r="34" spans="1:89" ht="19.5" customHeight="1" x14ac:dyDescent="0.35">
      <c r="A34" s="240">
        <v>46100</v>
      </c>
      <c r="B34" s="169" t="s">
        <v>79</v>
      </c>
      <c r="C34" s="168" t="s">
        <v>80</v>
      </c>
      <c r="D34" s="179">
        <v>7</v>
      </c>
      <c r="E34" s="160"/>
      <c r="F34" s="161"/>
      <c r="G34" s="161"/>
      <c r="H34" s="161">
        <f>+D34</f>
        <v>7</v>
      </c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58">
        <f t="shared" si="0"/>
        <v>7</v>
      </c>
      <c r="AA34" s="159" t="s">
        <v>4</v>
      </c>
      <c r="AB34" s="147">
        <f t="shared" si="1"/>
        <v>0</v>
      </c>
      <c r="AC34" s="151"/>
      <c r="AD34" s="151"/>
      <c r="AE34" s="147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</row>
    <row r="35" spans="1:89" ht="19.5" customHeight="1" x14ac:dyDescent="0.35">
      <c r="A35" s="240">
        <v>46105</v>
      </c>
      <c r="B35" s="196" t="s">
        <v>106</v>
      </c>
      <c r="C35" s="168" t="s">
        <v>61</v>
      </c>
      <c r="D35" s="168"/>
      <c r="E35" s="160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58">
        <f t="shared" si="0"/>
        <v>0</v>
      </c>
      <c r="AA35" s="159" t="s">
        <v>4</v>
      </c>
      <c r="AB35" s="147">
        <f t="shared" si="1"/>
        <v>0</v>
      </c>
      <c r="AC35" s="151"/>
      <c r="AD35" s="151"/>
      <c r="AE35" s="147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</row>
    <row r="36" spans="1:89" ht="19.5" customHeight="1" x14ac:dyDescent="0.35">
      <c r="A36" s="240">
        <v>46104</v>
      </c>
      <c r="B36" s="197" t="s">
        <v>19</v>
      </c>
      <c r="C36" s="168" t="s">
        <v>61</v>
      </c>
      <c r="D36" s="168">
        <v>18889.39</v>
      </c>
      <c r="E36" s="160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>
        <f>+D36</f>
        <v>18889.39</v>
      </c>
      <c r="Z36" s="158">
        <f t="shared" si="0"/>
        <v>18889.39</v>
      </c>
      <c r="AA36" s="159" t="s">
        <v>4</v>
      </c>
      <c r="AB36" s="147">
        <f t="shared" si="1"/>
        <v>0</v>
      </c>
      <c r="AC36" s="151"/>
      <c r="AD36" s="151"/>
      <c r="AE36" s="147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</row>
    <row r="37" spans="1:89" ht="19.5" customHeight="1" x14ac:dyDescent="0.35">
      <c r="A37" s="240">
        <v>46106</v>
      </c>
      <c r="B37" s="169" t="s">
        <v>107</v>
      </c>
      <c r="C37" s="168" t="s">
        <v>57</v>
      </c>
      <c r="D37" s="168">
        <v>305089.84999999998</v>
      </c>
      <c r="E37" s="160">
        <v>164821</v>
      </c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>
        <v>34870.879999999997</v>
      </c>
      <c r="V37" s="161">
        <v>58534</v>
      </c>
      <c r="W37" s="161">
        <v>36625</v>
      </c>
      <c r="X37" s="161">
        <v>43125</v>
      </c>
      <c r="Y37" s="161"/>
      <c r="Z37" s="158">
        <f t="shared" si="0"/>
        <v>337975.88</v>
      </c>
      <c r="AA37" s="159" t="s">
        <v>4</v>
      </c>
      <c r="AB37" s="147">
        <f t="shared" si="1"/>
        <v>-32886.030000000028</v>
      </c>
      <c r="AC37" s="210" t="e">
        <f>+#REF!</f>
        <v>#REF!</v>
      </c>
      <c r="AD37" s="151"/>
      <c r="AE37" s="147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</row>
    <row r="38" spans="1:89" ht="19.5" customHeight="1" x14ac:dyDescent="0.35">
      <c r="A38" s="240">
        <v>46106</v>
      </c>
      <c r="B38" s="169" t="s">
        <v>79</v>
      </c>
      <c r="C38" s="168" t="s">
        <v>80</v>
      </c>
      <c r="D38" s="168">
        <v>257</v>
      </c>
      <c r="E38" s="160"/>
      <c r="F38" s="161"/>
      <c r="G38" s="161"/>
      <c r="H38" s="161">
        <f>+D38</f>
        <v>257</v>
      </c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58">
        <f t="shared" si="0"/>
        <v>257</v>
      </c>
      <c r="AA38" s="159" t="s">
        <v>4</v>
      </c>
      <c r="AB38" s="147">
        <f t="shared" si="1"/>
        <v>0</v>
      </c>
      <c r="AC38" s="151"/>
      <c r="AD38" s="151"/>
      <c r="AE38" s="147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</row>
    <row r="39" spans="1:89" ht="19.5" customHeight="1" x14ac:dyDescent="0.35">
      <c r="A39" s="240">
        <v>46106</v>
      </c>
      <c r="B39" s="182" t="s">
        <v>108</v>
      </c>
      <c r="C39" s="183" t="s">
        <v>109</v>
      </c>
      <c r="D39" s="168">
        <v>146740</v>
      </c>
      <c r="E39" s="160"/>
      <c r="F39" s="161"/>
      <c r="G39" s="161"/>
      <c r="H39" s="161"/>
      <c r="I39" s="161">
        <f>+D39</f>
        <v>146740</v>
      </c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58">
        <f t="shared" si="0"/>
        <v>146740</v>
      </c>
      <c r="AA39" s="159" t="s">
        <v>4</v>
      </c>
      <c r="AB39" s="147">
        <f t="shared" si="1"/>
        <v>0</v>
      </c>
      <c r="AC39" s="151"/>
      <c r="AD39" s="151"/>
      <c r="AE39" s="147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</row>
    <row r="40" spans="1:89" ht="19.5" customHeight="1" x14ac:dyDescent="0.35">
      <c r="A40" s="240">
        <v>46106</v>
      </c>
      <c r="B40" s="184" t="s">
        <v>110</v>
      </c>
      <c r="C40" s="183" t="s">
        <v>83</v>
      </c>
      <c r="D40" s="168"/>
      <c r="E40" s="160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58">
        <f t="shared" si="0"/>
        <v>0</v>
      </c>
      <c r="AA40" s="159" t="s">
        <v>4</v>
      </c>
      <c r="AB40" s="147">
        <f t="shared" si="1"/>
        <v>0</v>
      </c>
      <c r="AC40" s="151"/>
      <c r="AD40" s="151"/>
      <c r="AE40" s="147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</row>
    <row r="41" spans="1:89" ht="19.5" customHeight="1" x14ac:dyDescent="0.35">
      <c r="A41" s="240">
        <v>46107</v>
      </c>
      <c r="B41" s="168" t="s">
        <v>111</v>
      </c>
      <c r="C41" s="168" t="s">
        <v>112</v>
      </c>
      <c r="D41" s="168">
        <v>1440</v>
      </c>
      <c r="E41" s="160"/>
      <c r="F41" s="161"/>
      <c r="G41" s="161"/>
      <c r="H41" s="161"/>
      <c r="I41" s="161"/>
      <c r="J41" s="161"/>
      <c r="K41" s="161">
        <f>+D41</f>
        <v>1440</v>
      </c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58">
        <f t="shared" si="0"/>
        <v>1440</v>
      </c>
      <c r="AA41" s="159" t="s">
        <v>4</v>
      </c>
      <c r="AB41" s="147">
        <f t="shared" si="1"/>
        <v>0</v>
      </c>
      <c r="AC41" s="151"/>
      <c r="AD41" s="151"/>
      <c r="AE41" s="147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</row>
    <row r="42" spans="1:89" ht="19.5" customHeight="1" x14ac:dyDescent="0.35">
      <c r="A42" s="242">
        <v>46107</v>
      </c>
      <c r="B42" s="168" t="s">
        <v>113</v>
      </c>
      <c r="C42" s="168" t="s">
        <v>57</v>
      </c>
      <c r="D42" s="178">
        <v>3379.76</v>
      </c>
      <c r="E42" s="160"/>
      <c r="F42" s="161"/>
      <c r="G42" s="161">
        <f>+D42</f>
        <v>3379.76</v>
      </c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58">
        <f t="shared" si="0"/>
        <v>3379.76</v>
      </c>
      <c r="AA42" s="159" t="s">
        <v>4</v>
      </c>
      <c r="AB42" s="147">
        <f t="shared" si="1"/>
        <v>0</v>
      </c>
      <c r="AC42" s="151"/>
      <c r="AD42" s="151"/>
      <c r="AE42" s="147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</row>
    <row r="43" spans="1:89" ht="19.5" customHeight="1" x14ac:dyDescent="0.35">
      <c r="A43" s="242">
        <v>46108</v>
      </c>
      <c r="B43" s="168" t="s">
        <v>114</v>
      </c>
      <c r="C43" s="168" t="s">
        <v>49</v>
      </c>
      <c r="D43" s="178">
        <v>5430</v>
      </c>
      <c r="E43" s="160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>
        <f>+D43</f>
        <v>5430</v>
      </c>
      <c r="S43" s="161"/>
      <c r="T43" s="161"/>
      <c r="U43" s="161"/>
      <c r="V43" s="161"/>
      <c r="W43" s="161"/>
      <c r="X43" s="161"/>
      <c r="Y43" s="161"/>
      <c r="Z43" s="158">
        <f t="shared" si="0"/>
        <v>5430</v>
      </c>
      <c r="AA43" s="159" t="s">
        <v>4</v>
      </c>
      <c r="AB43" s="147">
        <f t="shared" si="1"/>
        <v>0</v>
      </c>
      <c r="AC43" s="151"/>
      <c r="AD43" s="151"/>
      <c r="AE43" s="147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</row>
    <row r="44" spans="1:89" ht="19.5" customHeight="1" x14ac:dyDescent="0.35">
      <c r="A44" s="242">
        <v>46108</v>
      </c>
      <c r="B44" s="196" t="s">
        <v>106</v>
      </c>
      <c r="C44" s="168" t="s">
        <v>61</v>
      </c>
      <c r="D44" s="178"/>
      <c r="E44" s="160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58">
        <f t="shared" ref="Z44" si="2">SUM(E44:Y44)</f>
        <v>0</v>
      </c>
      <c r="AA44" s="159" t="s">
        <v>4</v>
      </c>
      <c r="AB44" s="147">
        <f t="shared" si="1"/>
        <v>0</v>
      </c>
      <c r="AC44" s="151"/>
      <c r="AD44" s="151"/>
      <c r="AE44" s="147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</row>
    <row r="45" spans="1:89" ht="19.5" customHeight="1" x14ac:dyDescent="0.35">
      <c r="A45" s="242">
        <v>46108</v>
      </c>
      <c r="B45" s="169" t="s">
        <v>115</v>
      </c>
      <c r="C45" s="168" t="s">
        <v>116</v>
      </c>
      <c r="D45" s="178">
        <v>52850</v>
      </c>
      <c r="E45" s="160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>
        <f>+D45</f>
        <v>52850</v>
      </c>
      <c r="T45" s="161"/>
      <c r="U45" s="161"/>
      <c r="V45" s="161"/>
      <c r="W45" s="161"/>
      <c r="X45" s="161"/>
      <c r="Y45" s="161"/>
      <c r="Z45" s="158">
        <f t="shared" si="0"/>
        <v>52850</v>
      </c>
      <c r="AA45" s="159" t="s">
        <v>4</v>
      </c>
      <c r="AB45" s="147">
        <f t="shared" si="1"/>
        <v>0</v>
      </c>
      <c r="AC45" s="151"/>
      <c r="AD45" s="151"/>
      <c r="AE45" s="147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</row>
    <row r="46" spans="1:89" ht="19.5" customHeight="1" x14ac:dyDescent="0.35">
      <c r="A46" s="242">
        <v>46108</v>
      </c>
      <c r="B46" s="168" t="s">
        <v>117</v>
      </c>
      <c r="C46" s="168" t="s">
        <v>116</v>
      </c>
      <c r="D46" s="174">
        <v>10300</v>
      </c>
      <c r="E46" s="160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>
        <f>+D46</f>
        <v>10300</v>
      </c>
      <c r="T46" s="161"/>
      <c r="U46" s="161"/>
      <c r="V46" s="161"/>
      <c r="W46" s="161"/>
      <c r="X46" s="161"/>
      <c r="Y46" s="161"/>
      <c r="Z46" s="158">
        <f t="shared" si="0"/>
        <v>10300</v>
      </c>
      <c r="AA46" s="159" t="s">
        <v>4</v>
      </c>
      <c r="AB46" s="147">
        <f t="shared" si="1"/>
        <v>0</v>
      </c>
      <c r="AC46" s="151"/>
      <c r="AD46" s="151"/>
      <c r="AE46" s="147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</row>
    <row r="47" spans="1:89" ht="19.5" customHeight="1" x14ac:dyDescent="0.35">
      <c r="A47" s="242">
        <v>46108</v>
      </c>
      <c r="B47" s="169" t="s">
        <v>118</v>
      </c>
      <c r="C47" s="168" t="s">
        <v>119</v>
      </c>
      <c r="D47" s="174">
        <v>12280</v>
      </c>
      <c r="E47" s="160"/>
      <c r="F47" s="161"/>
      <c r="G47" s="161"/>
      <c r="H47" s="161"/>
      <c r="I47" s="161"/>
      <c r="J47" s="161">
        <f>+D47</f>
        <v>12280</v>
      </c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58">
        <f t="shared" si="0"/>
        <v>12280</v>
      </c>
      <c r="AA47" s="159" t="s">
        <v>4</v>
      </c>
      <c r="AB47" s="147">
        <f t="shared" si="1"/>
        <v>0</v>
      </c>
      <c r="AC47" s="151"/>
      <c r="AD47" s="151"/>
      <c r="AE47" s="147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</row>
    <row r="48" spans="1:89" ht="19.5" customHeight="1" x14ac:dyDescent="0.35">
      <c r="A48" s="242">
        <v>46108</v>
      </c>
      <c r="B48" s="169" t="s">
        <v>120</v>
      </c>
      <c r="C48" s="168" t="s">
        <v>121</v>
      </c>
      <c r="D48" s="175">
        <v>1160</v>
      </c>
      <c r="E48" s="160"/>
      <c r="F48" s="161"/>
      <c r="G48" s="161"/>
      <c r="H48" s="161"/>
      <c r="I48" s="161"/>
      <c r="J48" s="161"/>
      <c r="K48" s="161">
        <f>+D48</f>
        <v>1160</v>
      </c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58">
        <f t="shared" si="0"/>
        <v>1160</v>
      </c>
      <c r="AA48" s="159" t="s">
        <v>4</v>
      </c>
      <c r="AB48" s="147">
        <f t="shared" si="1"/>
        <v>0</v>
      </c>
      <c r="AC48" s="151"/>
      <c r="AD48" s="151"/>
      <c r="AE48" s="147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</row>
    <row r="49" spans="1:89" ht="19.5" customHeight="1" x14ac:dyDescent="0.35">
      <c r="A49" s="242">
        <v>46111</v>
      </c>
      <c r="B49" s="168" t="s">
        <v>122</v>
      </c>
      <c r="C49" s="168" t="s">
        <v>104</v>
      </c>
      <c r="D49" s="175">
        <v>5385.02</v>
      </c>
      <c r="E49" s="160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>
        <f>+D49</f>
        <v>5385.02</v>
      </c>
      <c r="R49" s="161"/>
      <c r="S49" s="161"/>
      <c r="T49" s="161"/>
      <c r="U49" s="161"/>
      <c r="V49" s="161"/>
      <c r="W49" s="161"/>
      <c r="X49" s="161"/>
      <c r="Y49" s="161"/>
      <c r="Z49" s="158">
        <f t="shared" ref="Z49:Z79" si="3">SUM(E49:Y49)</f>
        <v>5385.02</v>
      </c>
      <c r="AA49" s="159" t="s">
        <v>4</v>
      </c>
      <c r="AB49" s="147">
        <f t="shared" si="1"/>
        <v>0</v>
      </c>
      <c r="AC49" s="151"/>
      <c r="AD49" s="151"/>
      <c r="AE49" s="147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</row>
    <row r="50" spans="1:89" ht="19.5" customHeight="1" x14ac:dyDescent="0.35">
      <c r="A50" s="242">
        <v>46108</v>
      </c>
      <c r="B50" s="168" t="s">
        <v>123</v>
      </c>
      <c r="C50" s="168" t="s">
        <v>104</v>
      </c>
      <c r="D50" s="175">
        <v>3292.74</v>
      </c>
      <c r="E50" s="160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42">
        <f>+D50</f>
        <v>3292.74</v>
      </c>
      <c r="Y50" s="143"/>
      <c r="Z50" s="158">
        <f t="shared" si="3"/>
        <v>3292.74</v>
      </c>
      <c r="AA50" s="159" t="s">
        <v>4</v>
      </c>
      <c r="AB50" s="147">
        <f t="shared" si="1"/>
        <v>0</v>
      </c>
      <c r="AC50" s="151"/>
      <c r="AD50" s="151"/>
      <c r="AE50" s="147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</row>
    <row r="51" spans="1:89" ht="19.5" customHeight="1" x14ac:dyDescent="0.35">
      <c r="A51" s="242">
        <v>46111</v>
      </c>
      <c r="B51" s="168" t="s">
        <v>67</v>
      </c>
      <c r="C51" s="170" t="s">
        <v>57</v>
      </c>
      <c r="D51" s="175">
        <v>23658.31</v>
      </c>
      <c r="E51" s="160">
        <f>+E37*0.04-0.01</f>
        <v>6592.83</v>
      </c>
      <c r="F51" s="161"/>
      <c r="G51" s="161">
        <f>10139.28</f>
        <v>10139.280000000001</v>
      </c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>
        <f>+U37*0.04</f>
        <v>1394.8352</v>
      </c>
      <c r="V51" s="161">
        <f>+V37*0.04</f>
        <v>2341.36</v>
      </c>
      <c r="W51" s="161">
        <f>+W37*0.04</f>
        <v>1465</v>
      </c>
      <c r="X51" s="161">
        <f>+X37*0.04</f>
        <v>1725</v>
      </c>
      <c r="Y51" s="161"/>
      <c r="Z51" s="158">
        <f>SUM(E51:Y51)</f>
        <v>23658.305200000003</v>
      </c>
      <c r="AA51" s="159" t="s">
        <v>4</v>
      </c>
      <c r="AB51" s="147">
        <f t="shared" si="1"/>
        <v>4.7999999987951014E-3</v>
      </c>
      <c r="AC51" s="151"/>
      <c r="AD51" s="151"/>
      <c r="AE51" s="147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</row>
    <row r="52" spans="1:89" ht="19.5" customHeight="1" x14ac:dyDescent="0.35">
      <c r="A52" s="242">
        <v>46111</v>
      </c>
      <c r="B52" s="196" t="s">
        <v>106</v>
      </c>
      <c r="C52" s="168" t="s">
        <v>61</v>
      </c>
      <c r="D52" s="175"/>
      <c r="E52" s="180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58">
        <f t="shared" si="3"/>
        <v>0</v>
      </c>
      <c r="AA52" s="159" t="s">
        <v>4</v>
      </c>
      <c r="AB52" s="147">
        <f t="shared" si="1"/>
        <v>0</v>
      </c>
      <c r="AC52" s="151"/>
      <c r="AD52" s="151"/>
      <c r="AE52" s="147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</row>
    <row r="53" spans="1:89" ht="19.5" customHeight="1" x14ac:dyDescent="0.35">
      <c r="A53" s="242">
        <v>46111</v>
      </c>
      <c r="B53" s="196" t="s">
        <v>124</v>
      </c>
      <c r="C53" s="168" t="s">
        <v>100</v>
      </c>
      <c r="D53" s="194">
        <v>239672.71</v>
      </c>
      <c r="E53" s="180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>
        <f>44238.15+110329.2+2572.46+0.01</f>
        <v>157139.82</v>
      </c>
      <c r="Q53" s="161"/>
      <c r="R53" s="161"/>
      <c r="S53" s="161"/>
      <c r="T53" s="161"/>
      <c r="U53" s="161"/>
      <c r="V53" s="161">
        <v>2572.46</v>
      </c>
      <c r="W53" s="161">
        <v>4630.43</v>
      </c>
      <c r="X53" s="161">
        <v>75330</v>
      </c>
      <c r="Y53" s="161"/>
      <c r="Z53" s="158">
        <f t="shared" si="3"/>
        <v>239672.71</v>
      </c>
      <c r="AA53" s="159" t="s">
        <v>4</v>
      </c>
      <c r="AB53" s="147">
        <f t="shared" si="1"/>
        <v>0</v>
      </c>
      <c r="AC53" s="151"/>
      <c r="AD53" s="151"/>
      <c r="AE53" s="147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</row>
    <row r="54" spans="1:89" ht="19.5" customHeight="1" x14ac:dyDescent="0.35">
      <c r="A54" s="242">
        <v>46111</v>
      </c>
      <c r="B54" s="196" t="s">
        <v>124</v>
      </c>
      <c r="C54" s="168" t="s">
        <v>143</v>
      </c>
      <c r="D54" s="194">
        <v>37500</v>
      </c>
      <c r="E54" s="180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>
        <f>+D54</f>
        <v>37500</v>
      </c>
      <c r="Q54" s="161"/>
      <c r="R54" s="161"/>
      <c r="S54" s="161"/>
      <c r="T54" s="161"/>
      <c r="U54" s="161"/>
      <c r="V54" s="161"/>
      <c r="W54" s="161"/>
      <c r="X54" s="161"/>
      <c r="Y54" s="161"/>
      <c r="Z54" s="158">
        <f t="shared" si="3"/>
        <v>37500</v>
      </c>
      <c r="AA54" s="159" t="s">
        <v>4</v>
      </c>
      <c r="AB54" s="147">
        <f t="shared" si="1"/>
        <v>0</v>
      </c>
      <c r="AC54" s="151"/>
      <c r="AD54" s="151"/>
      <c r="AE54" s="147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</row>
    <row r="55" spans="1:89" ht="19.5" customHeight="1" x14ac:dyDescent="0.35">
      <c r="A55" s="242">
        <v>46111</v>
      </c>
      <c r="B55" s="169" t="s">
        <v>79</v>
      </c>
      <c r="C55" s="168" t="s">
        <v>80</v>
      </c>
      <c r="D55" s="179">
        <v>120</v>
      </c>
      <c r="E55" s="160"/>
      <c r="F55" s="161"/>
      <c r="G55" s="161"/>
      <c r="H55" s="161">
        <f>+D57</f>
        <v>120</v>
      </c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58">
        <f t="shared" si="3"/>
        <v>120</v>
      </c>
      <c r="AA55" s="159" t="s">
        <v>4</v>
      </c>
      <c r="AB55" s="147">
        <f t="shared" si="1"/>
        <v>0</v>
      </c>
      <c r="AC55" s="151"/>
      <c r="AD55" s="151"/>
      <c r="AE55" s="147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</row>
    <row r="56" spans="1:89" ht="19.5" customHeight="1" x14ac:dyDescent="0.35">
      <c r="A56" s="242">
        <v>46111</v>
      </c>
      <c r="B56" s="198" t="s">
        <v>125</v>
      </c>
      <c r="C56" s="198" t="s">
        <v>100</v>
      </c>
      <c r="D56" s="195">
        <v>30417.98</v>
      </c>
      <c r="E56" s="160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>
        <f>+D56</f>
        <v>30417.98</v>
      </c>
      <c r="Q56" s="161"/>
      <c r="R56" s="161"/>
      <c r="S56" s="161"/>
      <c r="T56" s="161"/>
      <c r="U56" s="161"/>
      <c r="V56" s="161"/>
      <c r="W56" s="161"/>
      <c r="X56" s="161"/>
      <c r="Y56" s="161"/>
      <c r="Z56" s="158">
        <f t="shared" si="3"/>
        <v>30417.98</v>
      </c>
      <c r="AA56" s="159" t="s">
        <v>4</v>
      </c>
      <c r="AB56" s="147">
        <f t="shared" si="1"/>
        <v>0</v>
      </c>
      <c r="AC56" s="151"/>
      <c r="AD56" s="151"/>
      <c r="AE56" s="147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</row>
    <row r="57" spans="1:89" ht="19.5" customHeight="1" x14ac:dyDescent="0.35">
      <c r="A57" s="242">
        <v>46111</v>
      </c>
      <c r="B57" s="169" t="s">
        <v>79</v>
      </c>
      <c r="C57" s="168" t="s">
        <v>80</v>
      </c>
      <c r="D57" s="195">
        <v>120</v>
      </c>
      <c r="E57" s="160"/>
      <c r="F57" s="161"/>
      <c r="G57" s="161"/>
      <c r="H57" s="161">
        <f>+D57</f>
        <v>120</v>
      </c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58">
        <f t="shared" si="3"/>
        <v>120</v>
      </c>
      <c r="AA57" s="159" t="s">
        <v>4</v>
      </c>
      <c r="AB57" s="147">
        <f t="shared" si="1"/>
        <v>0</v>
      </c>
      <c r="AC57" s="151"/>
      <c r="AD57" s="151"/>
      <c r="AE57" s="147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AT57" s="151"/>
      <c r="AU57" s="151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</row>
    <row r="58" spans="1:89" ht="19.5" customHeight="1" x14ac:dyDescent="0.35">
      <c r="A58" s="242">
        <v>46112</v>
      </c>
      <c r="B58" s="171" t="s">
        <v>126</v>
      </c>
      <c r="C58" s="171" t="s">
        <v>92</v>
      </c>
      <c r="D58" s="195">
        <v>3800.61</v>
      </c>
      <c r="E58" s="160"/>
      <c r="F58" s="161"/>
      <c r="G58" s="161"/>
      <c r="H58" s="161"/>
      <c r="I58" s="161"/>
      <c r="J58" s="161">
        <f>+D58</f>
        <v>3800.61</v>
      </c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58">
        <f t="shared" si="3"/>
        <v>3800.61</v>
      </c>
      <c r="AA58" s="159" t="s">
        <v>4</v>
      </c>
      <c r="AB58" s="147">
        <f t="shared" si="1"/>
        <v>0</v>
      </c>
      <c r="AC58" s="151"/>
      <c r="AD58" s="151"/>
      <c r="AE58" s="147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</row>
    <row r="59" spans="1:89" ht="19.5" customHeight="1" x14ac:dyDescent="0.35">
      <c r="A59" s="242">
        <v>46112</v>
      </c>
      <c r="B59" s="171" t="s">
        <v>127</v>
      </c>
      <c r="C59" s="171" t="s">
        <v>121</v>
      </c>
      <c r="D59" s="195">
        <v>1235</v>
      </c>
      <c r="E59" s="160"/>
      <c r="F59" s="161"/>
      <c r="G59" s="161"/>
      <c r="H59" s="161"/>
      <c r="I59" s="161"/>
      <c r="J59" s="161"/>
      <c r="K59" s="161">
        <f>+D59</f>
        <v>1235</v>
      </c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58">
        <f t="shared" si="3"/>
        <v>1235</v>
      </c>
      <c r="AA59" s="159" t="s">
        <v>4</v>
      </c>
      <c r="AB59" s="147">
        <f t="shared" si="1"/>
        <v>0</v>
      </c>
      <c r="AC59" s="151"/>
      <c r="AD59" s="151"/>
      <c r="AE59" s="147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1"/>
      <c r="AU59" s="151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</row>
    <row r="60" spans="1:89" ht="19.5" customHeight="1" x14ac:dyDescent="0.35">
      <c r="A60" s="242">
        <v>46112</v>
      </c>
      <c r="B60" s="171" t="s">
        <v>66</v>
      </c>
      <c r="C60" s="171" t="s">
        <v>57</v>
      </c>
      <c r="D60" s="195">
        <v>10437.5</v>
      </c>
      <c r="E60" s="160"/>
      <c r="F60" s="161"/>
      <c r="G60" s="161">
        <f>+D60</f>
        <v>10437.5</v>
      </c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58">
        <f t="shared" si="3"/>
        <v>10437.5</v>
      </c>
      <c r="AA60" s="159" t="s">
        <v>4</v>
      </c>
      <c r="AB60" s="147">
        <f t="shared" si="1"/>
        <v>0</v>
      </c>
      <c r="AC60" s="151"/>
      <c r="AD60" s="151"/>
      <c r="AE60" s="147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</row>
    <row r="61" spans="1:89" ht="19.5" customHeight="1" x14ac:dyDescent="0.35">
      <c r="A61" s="239">
        <v>46083</v>
      </c>
      <c r="B61" s="171"/>
      <c r="C61" s="171" t="s">
        <v>160</v>
      </c>
      <c r="D61" s="195">
        <v>495</v>
      </c>
      <c r="E61" s="160"/>
      <c r="F61" s="161"/>
      <c r="G61" s="161"/>
      <c r="H61" s="161">
        <f>+D61</f>
        <v>495</v>
      </c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58"/>
      <c r="AA61" s="159"/>
      <c r="AB61" s="147"/>
      <c r="AC61" s="151"/>
      <c r="AD61" s="151"/>
      <c r="AE61" s="147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</row>
    <row r="62" spans="1:89" ht="19.5" customHeight="1" x14ac:dyDescent="0.35">
      <c r="A62" s="239">
        <v>46084</v>
      </c>
      <c r="B62" s="171"/>
      <c r="C62" s="171" t="s">
        <v>156</v>
      </c>
      <c r="D62" s="195">
        <f>-D36</f>
        <v>-18889.39</v>
      </c>
      <c r="E62" s="160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>
        <f>-D62</f>
        <v>18889.39</v>
      </c>
      <c r="Z62" s="158"/>
      <c r="AA62" s="159" t="s">
        <v>4</v>
      </c>
      <c r="AB62" s="147"/>
      <c r="AC62" s="151"/>
      <c r="AD62" s="151"/>
      <c r="AE62" s="147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</row>
    <row r="63" spans="1:89" ht="19.5" customHeight="1" x14ac:dyDescent="0.35">
      <c r="A63" s="239">
        <v>46085</v>
      </c>
      <c r="B63" s="169"/>
      <c r="C63" s="200" t="s">
        <v>74</v>
      </c>
      <c r="D63" s="201">
        <v>3000</v>
      </c>
      <c r="E63" s="199"/>
      <c r="F63" s="161"/>
      <c r="G63" s="161"/>
      <c r="H63" s="161">
        <f>+D63</f>
        <v>3000</v>
      </c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58">
        <f t="shared" si="3"/>
        <v>3000</v>
      </c>
      <c r="AA63" s="159" t="s">
        <v>12</v>
      </c>
      <c r="AB63" s="147">
        <f t="shared" si="1"/>
        <v>0</v>
      </c>
      <c r="AC63" s="151"/>
      <c r="AD63" s="151"/>
      <c r="AE63" s="147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</row>
    <row r="64" spans="1:89" ht="19.5" customHeight="1" x14ac:dyDescent="0.35">
      <c r="A64" s="239">
        <v>46086</v>
      </c>
      <c r="B64" s="168"/>
      <c r="C64" s="202" t="s">
        <v>132</v>
      </c>
      <c r="D64" s="203">
        <v>500</v>
      </c>
      <c r="E64" s="199"/>
      <c r="F64" s="161">
        <f>+D64</f>
        <v>500</v>
      </c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58">
        <f t="shared" si="3"/>
        <v>500</v>
      </c>
      <c r="AA64" s="159" t="s">
        <v>12</v>
      </c>
      <c r="AB64" s="147">
        <f t="shared" si="1"/>
        <v>0</v>
      </c>
      <c r="AC64" s="151"/>
      <c r="AD64" s="151"/>
      <c r="AE64" s="147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</row>
    <row r="65" spans="1:89" ht="19.5" customHeight="1" x14ac:dyDescent="0.35">
      <c r="A65" s="239">
        <v>46087</v>
      </c>
      <c r="B65" s="169"/>
      <c r="C65" s="204" t="s">
        <v>133</v>
      </c>
      <c r="D65" s="205">
        <v>88044</v>
      </c>
      <c r="E65" s="19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>
        <f>+D65</f>
        <v>88044</v>
      </c>
      <c r="Z65" s="158">
        <f t="shared" si="3"/>
        <v>88044</v>
      </c>
      <c r="AA65" s="159" t="s">
        <v>12</v>
      </c>
      <c r="AB65" s="147">
        <f t="shared" si="1"/>
        <v>0</v>
      </c>
      <c r="AC65" s="151"/>
      <c r="AD65" s="151"/>
      <c r="AE65" s="147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/>
      <c r="AS65" s="151"/>
      <c r="AT65" s="151"/>
      <c r="AU65" s="151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</row>
    <row r="66" spans="1:89" ht="19.5" customHeight="1" x14ac:dyDescent="0.35">
      <c r="A66" s="239">
        <v>46088</v>
      </c>
      <c r="B66" s="168"/>
      <c r="C66" s="202" t="s">
        <v>19</v>
      </c>
      <c r="D66" s="205">
        <v>5000</v>
      </c>
      <c r="E66" s="19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>
        <v>2000</v>
      </c>
      <c r="S66" s="161"/>
      <c r="T66" s="161"/>
      <c r="U66" s="161"/>
      <c r="V66" s="161">
        <v>1500</v>
      </c>
      <c r="W66" s="161">
        <v>1500</v>
      </c>
      <c r="X66" s="161"/>
      <c r="Y66" s="161"/>
      <c r="Z66" s="158">
        <f t="shared" si="3"/>
        <v>5000</v>
      </c>
      <c r="AA66" s="159" t="s">
        <v>12</v>
      </c>
      <c r="AB66" s="147">
        <f t="shared" si="1"/>
        <v>0</v>
      </c>
      <c r="AC66" s="151"/>
      <c r="AD66" s="151"/>
      <c r="AE66" s="147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</row>
    <row r="67" spans="1:89" ht="19.5" customHeight="1" x14ac:dyDescent="0.35">
      <c r="A67" s="239">
        <v>46089</v>
      </c>
      <c r="B67" s="169"/>
      <c r="C67" s="204" t="s">
        <v>134</v>
      </c>
      <c r="D67" s="205">
        <f>380+340</f>
        <v>720</v>
      </c>
      <c r="E67" s="19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>
        <f>+D67</f>
        <v>720</v>
      </c>
      <c r="S67" s="161"/>
      <c r="T67" s="161"/>
      <c r="U67" s="161"/>
      <c r="V67" s="161"/>
      <c r="W67" s="161"/>
      <c r="X67" s="161"/>
      <c r="Y67" s="161"/>
      <c r="Z67" s="158">
        <f t="shared" si="3"/>
        <v>720</v>
      </c>
      <c r="AA67" s="159" t="s">
        <v>12</v>
      </c>
      <c r="AB67" s="147">
        <f t="shared" si="1"/>
        <v>0</v>
      </c>
      <c r="AC67" s="151"/>
      <c r="AD67" s="151"/>
      <c r="AE67" s="147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</row>
    <row r="68" spans="1:89" ht="19.5" customHeight="1" x14ac:dyDescent="0.35">
      <c r="A68" s="239">
        <v>46090</v>
      </c>
      <c r="B68" s="168"/>
      <c r="C68" s="206" t="s">
        <v>135</v>
      </c>
      <c r="D68" s="207">
        <v>5000</v>
      </c>
      <c r="E68" s="19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>
        <f>+D68</f>
        <v>5000</v>
      </c>
      <c r="X68" s="161"/>
      <c r="Y68" s="161"/>
      <c r="Z68" s="158">
        <f t="shared" si="3"/>
        <v>5000</v>
      </c>
      <c r="AA68" s="159" t="s">
        <v>12</v>
      </c>
      <c r="AB68" s="147">
        <f t="shared" si="1"/>
        <v>0</v>
      </c>
      <c r="AC68" s="151"/>
      <c r="AD68" s="151"/>
      <c r="AE68" s="147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AT68" s="151"/>
      <c r="AU68" s="151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</row>
    <row r="69" spans="1:89" ht="19.5" customHeight="1" x14ac:dyDescent="0.35">
      <c r="A69" s="239">
        <v>46091</v>
      </c>
      <c r="B69" s="168"/>
      <c r="C69" s="208" t="s">
        <v>136</v>
      </c>
      <c r="D69" s="203">
        <v>2500</v>
      </c>
      <c r="E69" s="19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>
        <f>+D69</f>
        <v>2500</v>
      </c>
      <c r="S69" s="161"/>
      <c r="T69" s="161"/>
      <c r="U69" s="161"/>
      <c r="V69" s="161"/>
      <c r="W69" s="161"/>
      <c r="X69" s="161"/>
      <c r="Y69" s="161"/>
      <c r="Z69" s="158">
        <f t="shared" si="3"/>
        <v>2500</v>
      </c>
      <c r="AA69" s="159" t="s">
        <v>12</v>
      </c>
      <c r="AB69" s="147">
        <f t="shared" si="1"/>
        <v>0</v>
      </c>
      <c r="AC69" s="151"/>
      <c r="AD69" s="151"/>
      <c r="AE69" s="147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1"/>
      <c r="AU69" s="151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</row>
    <row r="70" spans="1:89" ht="19.5" customHeight="1" x14ac:dyDescent="0.35">
      <c r="A70" s="239">
        <v>46092</v>
      </c>
      <c r="B70" s="168"/>
      <c r="C70" s="208" t="s">
        <v>137</v>
      </c>
      <c r="D70" s="203">
        <f>2*3000</f>
        <v>6000</v>
      </c>
      <c r="E70" s="19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>
        <f>+D70</f>
        <v>6000</v>
      </c>
      <c r="T70" s="161"/>
      <c r="U70" s="161"/>
      <c r="V70" s="161"/>
      <c r="W70" s="161"/>
      <c r="X70" s="161"/>
      <c r="Y70" s="161"/>
      <c r="Z70" s="158">
        <f t="shared" si="3"/>
        <v>6000</v>
      </c>
      <c r="AA70" s="159" t="s">
        <v>12</v>
      </c>
      <c r="AB70" s="147">
        <f t="shared" si="1"/>
        <v>0</v>
      </c>
      <c r="AC70" s="163"/>
      <c r="AD70" s="163"/>
      <c r="AE70" s="162"/>
      <c r="AF70" s="163"/>
      <c r="AG70" s="163"/>
      <c r="AH70" s="163"/>
      <c r="AI70" s="163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</row>
    <row r="71" spans="1:89" ht="19.5" customHeight="1" x14ac:dyDescent="0.35">
      <c r="A71" s="239">
        <v>46093</v>
      </c>
      <c r="B71" s="171"/>
      <c r="C71" s="208" t="s">
        <v>137</v>
      </c>
      <c r="D71" s="203">
        <v>6000</v>
      </c>
      <c r="E71" s="19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>
        <v>3000</v>
      </c>
      <c r="X71" s="161">
        <v>3000</v>
      </c>
      <c r="Y71" s="161"/>
      <c r="Z71" s="158">
        <f t="shared" si="3"/>
        <v>6000</v>
      </c>
      <c r="AA71" s="159" t="s">
        <v>12</v>
      </c>
      <c r="AB71" s="147">
        <f t="shared" si="1"/>
        <v>0</v>
      </c>
      <c r="AC71" s="147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1"/>
      <c r="AU71" s="15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</row>
    <row r="72" spans="1:89" ht="19.5" customHeight="1" x14ac:dyDescent="0.35">
      <c r="A72" s="239">
        <v>46094</v>
      </c>
      <c r="B72" s="171"/>
      <c r="C72" s="208" t="s">
        <v>138</v>
      </c>
      <c r="D72" s="203">
        <v>21000</v>
      </c>
      <c r="E72" s="199"/>
      <c r="F72" s="161">
        <f>+D72</f>
        <v>21000</v>
      </c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58">
        <f t="shared" si="3"/>
        <v>21000</v>
      </c>
      <c r="AA72" s="159" t="s">
        <v>12</v>
      </c>
      <c r="AB72" s="147">
        <f t="shared" si="1"/>
        <v>0</v>
      </c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</row>
    <row r="73" spans="1:89" ht="19.5" customHeight="1" x14ac:dyDescent="0.35">
      <c r="A73" s="239">
        <v>46095</v>
      </c>
      <c r="B73" s="171"/>
      <c r="C73" s="204" t="s">
        <v>139</v>
      </c>
      <c r="D73" s="205">
        <v>1800</v>
      </c>
      <c r="E73" s="199"/>
      <c r="F73" s="161">
        <f>+D73</f>
        <v>1800</v>
      </c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58">
        <f t="shared" si="3"/>
        <v>1800</v>
      </c>
      <c r="AA73" s="159" t="s">
        <v>12</v>
      </c>
      <c r="AB73" s="147">
        <f t="shared" si="1"/>
        <v>0</v>
      </c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1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</row>
    <row r="74" spans="1:89" ht="19.5" customHeight="1" x14ac:dyDescent="0.35">
      <c r="A74" s="239">
        <v>46096</v>
      </c>
      <c r="B74" s="171"/>
      <c r="C74" s="204" t="s">
        <v>140</v>
      </c>
      <c r="D74" s="205">
        <v>1200</v>
      </c>
      <c r="E74" s="199"/>
      <c r="F74" s="161"/>
      <c r="G74" s="161"/>
      <c r="H74" s="161"/>
      <c r="I74" s="161"/>
      <c r="J74" s="161"/>
      <c r="K74" s="161">
        <f>+D74</f>
        <v>1200</v>
      </c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58">
        <f t="shared" si="3"/>
        <v>1200</v>
      </c>
      <c r="AA74" s="159" t="s">
        <v>12</v>
      </c>
      <c r="AB74" s="147">
        <f t="shared" si="1"/>
        <v>0</v>
      </c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</row>
    <row r="75" spans="1:89" ht="19.5" customHeight="1" x14ac:dyDescent="0.35">
      <c r="A75" s="239">
        <v>46097</v>
      </c>
      <c r="B75" s="171"/>
      <c r="C75" s="204" t="s">
        <v>141</v>
      </c>
      <c r="D75" s="205">
        <v>3600</v>
      </c>
      <c r="E75" s="19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>
        <v>3600</v>
      </c>
      <c r="W75" s="161"/>
      <c r="X75" s="161"/>
      <c r="Y75" s="161"/>
      <c r="Z75" s="158">
        <f t="shared" si="3"/>
        <v>3600</v>
      </c>
      <c r="AA75" s="159" t="s">
        <v>12</v>
      </c>
      <c r="AB75" s="147">
        <f t="shared" si="1"/>
        <v>0</v>
      </c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  <c r="AP75" s="151"/>
      <c r="AQ75" s="151"/>
      <c r="AR75" s="151"/>
      <c r="AS75" s="151"/>
      <c r="AT75" s="151"/>
      <c r="AU75" s="151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</row>
    <row r="76" spans="1:89" ht="19.5" customHeight="1" x14ac:dyDescent="0.35">
      <c r="A76" s="239">
        <v>46098</v>
      </c>
      <c r="B76" s="171"/>
      <c r="C76" s="204" t="s">
        <v>144</v>
      </c>
      <c r="D76" s="211">
        <f>11550+400</f>
        <v>11950</v>
      </c>
      <c r="E76" s="19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>
        <f>+D76</f>
        <v>11950</v>
      </c>
      <c r="W76" s="161"/>
      <c r="X76" s="161"/>
      <c r="Y76" s="161"/>
      <c r="Z76" s="158">
        <f t="shared" si="3"/>
        <v>11950</v>
      </c>
      <c r="AA76" s="159" t="s">
        <v>12</v>
      </c>
      <c r="AB76" s="147">
        <f t="shared" si="1"/>
        <v>0</v>
      </c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1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</row>
    <row r="77" spans="1:89" ht="19.5" customHeight="1" x14ac:dyDescent="0.35">
      <c r="A77" s="239">
        <v>46099</v>
      </c>
      <c r="B77" s="171"/>
      <c r="C77" s="204" t="s">
        <v>142</v>
      </c>
      <c r="D77" s="205">
        <v>5000</v>
      </c>
      <c r="E77" s="19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>
        <f>+D77</f>
        <v>5000</v>
      </c>
      <c r="R77" s="161"/>
      <c r="S77" s="161"/>
      <c r="T77" s="161"/>
      <c r="U77" s="161"/>
      <c r="V77" s="161"/>
      <c r="W77" s="161"/>
      <c r="X77" s="161"/>
      <c r="Y77" s="161"/>
      <c r="Z77" s="158">
        <f t="shared" si="3"/>
        <v>5000</v>
      </c>
      <c r="AA77" s="159" t="s">
        <v>12</v>
      </c>
      <c r="AB77" s="147">
        <f t="shared" si="1"/>
        <v>0</v>
      </c>
      <c r="AC77" s="147"/>
      <c r="AD77" s="151"/>
      <c r="AE77" s="151"/>
      <c r="AF77" s="151"/>
      <c r="AG77" s="151"/>
      <c r="AH77" s="151"/>
      <c r="AI77" s="151"/>
      <c r="AJ77" s="151"/>
      <c r="AK77" s="151"/>
      <c r="AL77" s="151"/>
      <c r="AM77" s="151"/>
      <c r="AN77" s="151"/>
      <c r="AO77" s="151"/>
      <c r="AP77" s="151"/>
      <c r="AQ77" s="151"/>
      <c r="AR77" s="151"/>
      <c r="AS77" s="151"/>
      <c r="AT77" s="151"/>
      <c r="AU77" s="151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</row>
    <row r="78" spans="1:89" ht="19.5" customHeight="1" x14ac:dyDescent="0.35">
      <c r="A78" s="239">
        <v>46100</v>
      </c>
      <c r="B78" s="169"/>
      <c r="C78" s="204" t="s">
        <v>107</v>
      </c>
      <c r="D78" s="205">
        <v>35000</v>
      </c>
      <c r="E78" s="199">
        <f>+D78</f>
        <v>35000</v>
      </c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58">
        <f t="shared" si="3"/>
        <v>35000</v>
      </c>
      <c r="AA78" s="159" t="s">
        <v>12</v>
      </c>
      <c r="AB78" s="147">
        <f t="shared" si="1"/>
        <v>0</v>
      </c>
      <c r="AC78" s="147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1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</row>
    <row r="79" spans="1:89" ht="19.5" customHeight="1" x14ac:dyDescent="0.35">
      <c r="A79" s="239">
        <v>46101</v>
      </c>
      <c r="B79" s="172"/>
      <c r="C79" s="173" t="s">
        <v>148</v>
      </c>
      <c r="D79" s="209">
        <f>250*68</f>
        <v>17000</v>
      </c>
      <c r="E79" s="19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>
        <f>+D79</f>
        <v>17000</v>
      </c>
      <c r="Y79" s="161"/>
      <c r="Z79" s="158">
        <f t="shared" si="3"/>
        <v>17000</v>
      </c>
      <c r="AA79" s="159" t="s">
        <v>12</v>
      </c>
      <c r="AB79" s="147">
        <f t="shared" si="1"/>
        <v>0</v>
      </c>
      <c r="AC79" s="147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</row>
    <row r="80" spans="1:89" ht="19.5" customHeight="1" x14ac:dyDescent="0.35">
      <c r="A80" s="239"/>
      <c r="B80" s="144"/>
      <c r="C80" s="145"/>
      <c r="D80" s="146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4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</row>
    <row r="81" spans="1:47" ht="19.5" customHeight="1" x14ac:dyDescent="0.35">
      <c r="A81" s="239"/>
      <c r="B81" s="144"/>
      <c r="C81" s="145"/>
      <c r="D81" s="146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4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</row>
    <row r="82" spans="1:47" ht="19.5" customHeight="1" x14ac:dyDescent="0.35">
      <c r="A82" s="241"/>
      <c r="B82" s="144"/>
      <c r="C82" s="145"/>
      <c r="D82" s="146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4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/>
      <c r="AR82" s="151"/>
      <c r="AS82" s="151"/>
      <c r="AT82" s="151"/>
      <c r="AU82" s="151"/>
    </row>
    <row r="83" spans="1:47" ht="19.5" customHeight="1" x14ac:dyDescent="0.35">
      <c r="A83" s="241"/>
      <c r="B83" s="144"/>
      <c r="C83" s="145"/>
      <c r="D83" s="146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4"/>
      <c r="AB83" s="151"/>
      <c r="AC83" s="151"/>
      <c r="AD83" s="151"/>
      <c r="AE83" s="151"/>
      <c r="AF83" s="151"/>
      <c r="AG83" s="151"/>
      <c r="AH83" s="151"/>
      <c r="AI83" s="151"/>
      <c r="AJ83" s="151"/>
      <c r="AK83" s="151"/>
      <c r="AL83" s="151"/>
      <c r="AM83" s="151"/>
      <c r="AN83" s="151"/>
      <c r="AO83" s="151"/>
      <c r="AP83" s="151"/>
      <c r="AQ83" s="151"/>
      <c r="AR83" s="151"/>
      <c r="AS83" s="151"/>
      <c r="AT83" s="151"/>
      <c r="AU83" s="151"/>
    </row>
    <row r="84" spans="1:47" ht="19.5" customHeight="1" x14ac:dyDescent="0.35">
      <c r="A84" s="241"/>
      <c r="B84" s="144"/>
      <c r="C84" s="145"/>
      <c r="D84" s="146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4"/>
      <c r="AB84" s="151"/>
      <c r="AC84" s="151"/>
      <c r="AD84" s="151"/>
      <c r="AE84" s="151"/>
      <c r="AF84" s="151"/>
      <c r="AG84" s="151"/>
      <c r="AH84" s="151"/>
      <c r="AI84" s="151"/>
      <c r="AJ84" s="151"/>
      <c r="AK84" s="151"/>
      <c r="AL84" s="151"/>
      <c r="AM84" s="151"/>
      <c r="AN84" s="151"/>
      <c r="AO84" s="151"/>
      <c r="AP84" s="151"/>
      <c r="AQ84" s="151"/>
      <c r="AR84" s="151"/>
      <c r="AS84" s="151"/>
      <c r="AT84" s="151"/>
      <c r="AU84" s="151"/>
    </row>
    <row r="85" spans="1:47" ht="19.5" customHeight="1" x14ac:dyDescent="0.35">
      <c r="A85" s="241"/>
      <c r="B85" s="144"/>
      <c r="C85" s="145"/>
      <c r="D85" s="146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4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</row>
    <row r="86" spans="1:47" ht="19.5" customHeight="1" x14ac:dyDescent="0.35">
      <c r="A86" s="241"/>
      <c r="B86" s="144"/>
      <c r="C86" s="145"/>
      <c r="D86" s="146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4"/>
      <c r="AB86" s="151"/>
      <c r="AC86" s="151"/>
      <c r="AD86" s="151"/>
      <c r="AE86" s="151"/>
      <c r="AF86" s="151"/>
      <c r="AG86" s="151"/>
      <c r="AH86" s="151"/>
      <c r="AI86" s="151"/>
      <c r="AJ86" s="151"/>
      <c r="AK86" s="151"/>
      <c r="AL86" s="151"/>
      <c r="AM86" s="151"/>
      <c r="AN86" s="151"/>
      <c r="AO86" s="151"/>
      <c r="AP86" s="151"/>
      <c r="AQ86" s="151"/>
      <c r="AR86" s="151"/>
      <c r="AS86" s="151"/>
      <c r="AT86" s="151"/>
      <c r="AU86" s="151"/>
    </row>
    <row r="87" spans="1:47" ht="19.5" customHeight="1" x14ac:dyDescent="0.35">
      <c r="A87" s="241"/>
      <c r="B87" s="144"/>
      <c r="C87" s="145"/>
      <c r="D87" s="146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4"/>
      <c r="AB87" s="151"/>
      <c r="AC87" s="151"/>
      <c r="AD87" s="151"/>
      <c r="AE87" s="151"/>
      <c r="AF87" s="151"/>
      <c r="AG87" s="151"/>
      <c r="AH87" s="151"/>
      <c r="AI87" s="151"/>
      <c r="AJ87" s="151"/>
      <c r="AK87" s="151"/>
      <c r="AL87" s="151"/>
      <c r="AM87" s="151"/>
      <c r="AN87" s="151"/>
      <c r="AO87" s="151"/>
      <c r="AP87" s="151"/>
      <c r="AQ87" s="151"/>
      <c r="AR87" s="151"/>
      <c r="AS87" s="151"/>
      <c r="AT87" s="151"/>
      <c r="AU87" s="151"/>
    </row>
    <row r="88" spans="1:47" ht="19.5" customHeight="1" x14ac:dyDescent="0.35">
      <c r="A88" s="241"/>
      <c r="B88" s="144"/>
      <c r="C88" s="145"/>
      <c r="D88" s="146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4"/>
      <c r="AB88" s="151"/>
      <c r="AC88" s="151"/>
      <c r="AD88" s="151"/>
      <c r="AE88" s="151"/>
      <c r="AF88" s="151"/>
      <c r="AG88" s="151"/>
      <c r="AH88" s="151"/>
      <c r="AI88" s="151"/>
      <c r="AJ88" s="151"/>
      <c r="AK88" s="151"/>
      <c r="AL88" s="151"/>
      <c r="AM88" s="151"/>
      <c r="AN88" s="151"/>
      <c r="AO88" s="151"/>
      <c r="AP88" s="151"/>
      <c r="AQ88" s="151"/>
      <c r="AR88" s="151"/>
      <c r="AS88" s="151"/>
      <c r="AT88" s="151"/>
      <c r="AU88" s="151"/>
    </row>
    <row r="89" spans="1:47" ht="19.5" customHeight="1" x14ac:dyDescent="0.35">
      <c r="A89" s="241"/>
      <c r="B89" s="144"/>
      <c r="C89" s="145"/>
      <c r="D89" s="146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4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1"/>
      <c r="AO89" s="151"/>
      <c r="AP89" s="151"/>
      <c r="AQ89" s="151"/>
      <c r="AR89" s="151"/>
      <c r="AS89" s="151"/>
      <c r="AT89" s="151"/>
      <c r="AU89" s="151"/>
    </row>
    <row r="90" spans="1:47" ht="19.5" customHeight="1" x14ac:dyDescent="0.35">
      <c r="A90" s="241"/>
      <c r="B90" s="144"/>
      <c r="C90" s="145"/>
      <c r="D90" s="146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4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51"/>
      <c r="AP90" s="151"/>
      <c r="AQ90" s="151"/>
      <c r="AR90" s="151"/>
      <c r="AS90" s="151"/>
      <c r="AT90" s="151"/>
      <c r="AU90" s="151"/>
    </row>
    <row r="91" spans="1:47" ht="19.5" customHeight="1" x14ac:dyDescent="0.35">
      <c r="A91" s="241"/>
      <c r="B91" s="144"/>
      <c r="C91" s="145"/>
      <c r="D91" s="146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4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/>
      <c r="AR91" s="151"/>
      <c r="AS91" s="151"/>
      <c r="AT91" s="151"/>
      <c r="AU91" s="151"/>
    </row>
    <row r="92" spans="1:47" ht="19.5" customHeight="1" x14ac:dyDescent="0.35">
      <c r="A92" s="241"/>
      <c r="B92" s="144"/>
      <c r="C92" s="145"/>
      <c r="D92" s="146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4"/>
      <c r="AB92" s="151"/>
      <c r="AC92" s="151"/>
      <c r="AD92" s="151"/>
      <c r="AE92" s="151"/>
      <c r="AF92" s="151"/>
      <c r="AG92" s="151"/>
      <c r="AH92" s="151"/>
      <c r="AI92" s="151"/>
      <c r="AJ92" s="151"/>
      <c r="AK92" s="151"/>
      <c r="AL92" s="151"/>
      <c r="AM92" s="151"/>
      <c r="AN92" s="151"/>
      <c r="AO92" s="151"/>
      <c r="AP92" s="151"/>
      <c r="AQ92" s="151"/>
      <c r="AR92" s="151"/>
      <c r="AS92" s="151"/>
      <c r="AT92" s="151"/>
      <c r="AU92" s="151"/>
    </row>
    <row r="93" spans="1:47" ht="19.5" customHeight="1" x14ac:dyDescent="0.35">
      <c r="A93" s="241"/>
      <c r="B93" s="144"/>
      <c r="C93" s="145"/>
      <c r="D93" s="146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4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  <c r="AR93" s="151"/>
      <c r="AS93" s="151"/>
      <c r="AT93" s="151"/>
      <c r="AU93" s="151"/>
    </row>
    <row r="94" spans="1:47" ht="19.5" customHeight="1" x14ac:dyDescent="0.35">
      <c r="A94" s="241"/>
      <c r="B94" s="144"/>
      <c r="C94" s="145"/>
      <c r="D94" s="146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4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1"/>
      <c r="AM94" s="151"/>
      <c r="AN94" s="151"/>
      <c r="AO94" s="151"/>
      <c r="AP94" s="151"/>
      <c r="AQ94" s="151"/>
      <c r="AR94" s="151"/>
      <c r="AS94" s="151"/>
      <c r="AT94" s="151"/>
      <c r="AU94" s="151"/>
    </row>
    <row r="95" spans="1:47" ht="19.5" customHeight="1" x14ac:dyDescent="0.35">
      <c r="A95" s="241"/>
      <c r="B95" s="144"/>
      <c r="C95" s="145"/>
      <c r="D95" s="146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4"/>
      <c r="AB95" s="151"/>
      <c r="AC95" s="151"/>
      <c r="AD95" s="151"/>
      <c r="AE95" s="151"/>
      <c r="AF95" s="151"/>
      <c r="AG95" s="151"/>
      <c r="AH95" s="151"/>
      <c r="AI95" s="151"/>
      <c r="AJ95" s="151"/>
      <c r="AK95" s="151"/>
      <c r="AL95" s="151"/>
      <c r="AM95" s="151"/>
      <c r="AN95" s="151"/>
      <c r="AO95" s="151"/>
      <c r="AP95" s="151"/>
      <c r="AQ95" s="151"/>
      <c r="AR95" s="151"/>
      <c r="AS95" s="151"/>
      <c r="AT95" s="151"/>
      <c r="AU95" s="151"/>
    </row>
    <row r="96" spans="1:47" ht="19.5" customHeight="1" x14ac:dyDescent="0.35">
      <c r="A96" s="241"/>
      <c r="B96" s="144"/>
      <c r="C96" s="145"/>
      <c r="D96" s="146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4"/>
      <c r="AB96" s="151"/>
      <c r="AC96" s="151"/>
      <c r="AD96" s="151"/>
      <c r="AE96" s="151"/>
      <c r="AF96" s="151"/>
      <c r="AG96" s="151"/>
      <c r="AH96" s="151"/>
      <c r="AI96" s="151"/>
      <c r="AJ96" s="151"/>
      <c r="AK96" s="151"/>
      <c r="AL96" s="151"/>
      <c r="AM96" s="151"/>
      <c r="AN96" s="151"/>
      <c r="AO96" s="151"/>
      <c r="AP96" s="151"/>
      <c r="AQ96" s="151"/>
      <c r="AR96" s="151"/>
      <c r="AS96" s="151"/>
      <c r="AT96" s="151"/>
      <c r="AU96" s="151"/>
    </row>
    <row r="97" spans="1:47" ht="19.5" customHeight="1" x14ac:dyDescent="0.35">
      <c r="A97" s="241"/>
      <c r="B97" s="144"/>
      <c r="C97" s="145"/>
      <c r="D97" s="146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4"/>
      <c r="AB97" s="151"/>
      <c r="AC97" s="151"/>
      <c r="AD97" s="151"/>
      <c r="AE97" s="151"/>
      <c r="AF97" s="151"/>
      <c r="AG97" s="151"/>
      <c r="AH97" s="151"/>
      <c r="AI97" s="151"/>
      <c r="AJ97" s="151"/>
      <c r="AK97" s="151"/>
      <c r="AL97" s="151"/>
      <c r="AM97" s="151"/>
      <c r="AN97" s="151"/>
      <c r="AO97" s="151"/>
      <c r="AP97" s="151"/>
      <c r="AQ97" s="151"/>
      <c r="AR97" s="151"/>
      <c r="AS97" s="151"/>
      <c r="AT97" s="151"/>
      <c r="AU97" s="151"/>
    </row>
    <row r="98" spans="1:47" ht="19.5" customHeight="1" x14ac:dyDescent="0.35">
      <c r="A98" s="241"/>
      <c r="B98" s="144"/>
      <c r="C98" s="145"/>
      <c r="D98" s="146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4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/>
      <c r="AR98" s="151"/>
      <c r="AS98" s="151"/>
      <c r="AT98" s="151"/>
      <c r="AU98" s="151"/>
    </row>
    <row r="99" spans="1:47" ht="19.5" customHeight="1" x14ac:dyDescent="0.35">
      <c r="A99" s="241"/>
      <c r="B99" s="144"/>
      <c r="C99" s="145"/>
      <c r="D99" s="146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4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</row>
    <row r="100" spans="1:47" ht="19.5" customHeight="1" x14ac:dyDescent="0.35">
      <c r="A100" s="241"/>
      <c r="B100" s="144"/>
      <c r="C100" s="145"/>
      <c r="D100" s="146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4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1"/>
      <c r="AU100" s="151"/>
    </row>
    <row r="101" spans="1:47" ht="19.5" customHeight="1" x14ac:dyDescent="0.35">
      <c r="A101" s="241"/>
      <c r="B101" s="144"/>
      <c r="C101" s="145"/>
      <c r="D101" s="146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4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1"/>
      <c r="AU101" s="151"/>
    </row>
    <row r="102" spans="1:47" ht="19.5" customHeight="1" x14ac:dyDescent="0.35">
      <c r="A102" s="241"/>
      <c r="B102" s="144"/>
      <c r="C102" s="145"/>
      <c r="D102" s="146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4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/>
      <c r="AS102" s="151"/>
      <c r="AT102" s="151"/>
      <c r="AU102" s="151"/>
    </row>
    <row r="103" spans="1:47" ht="19.5" customHeight="1" x14ac:dyDescent="0.35">
      <c r="A103" s="241"/>
      <c r="B103" s="144"/>
      <c r="C103" s="145"/>
      <c r="D103" s="146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4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</row>
    <row r="104" spans="1:47" ht="19.5" customHeight="1" x14ac:dyDescent="0.35">
      <c r="A104" s="241"/>
      <c r="B104" s="144"/>
      <c r="C104" s="145"/>
      <c r="D104" s="146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4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</row>
    <row r="105" spans="1:47" ht="19.5" customHeight="1" x14ac:dyDescent="0.35">
      <c r="A105" s="241"/>
      <c r="B105" s="144"/>
      <c r="C105" s="145"/>
      <c r="D105" s="146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4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</row>
    <row r="106" spans="1:47" ht="19.5" customHeight="1" x14ac:dyDescent="0.35">
      <c r="A106" s="241"/>
      <c r="B106" s="144"/>
      <c r="C106" s="145"/>
      <c r="D106" s="146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4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1"/>
      <c r="AU106" s="151"/>
    </row>
    <row r="107" spans="1:47" ht="19.5" customHeight="1" x14ac:dyDescent="0.35">
      <c r="A107" s="241"/>
      <c r="B107" s="144"/>
      <c r="C107" s="145"/>
      <c r="D107" s="146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4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1"/>
      <c r="AU107" s="151"/>
    </row>
    <row r="108" spans="1:47" ht="15.75" customHeight="1" x14ac:dyDescent="0.35">
      <c r="A108" s="241"/>
      <c r="B108" s="144"/>
      <c r="C108" s="145"/>
      <c r="D108" s="146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4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/>
      <c r="AQ108" s="151"/>
      <c r="AR108" s="151"/>
      <c r="AS108" s="151"/>
      <c r="AT108" s="151"/>
      <c r="AU108" s="151"/>
    </row>
    <row r="109" spans="1:47" ht="15.75" customHeight="1" x14ac:dyDescent="0.35">
      <c r="A109" s="241"/>
      <c r="B109" s="144"/>
      <c r="C109" s="145"/>
      <c r="D109" s="146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4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</row>
    <row r="110" spans="1:47" ht="15.75" customHeight="1" x14ac:dyDescent="0.35">
      <c r="A110" s="241"/>
      <c r="B110" s="144"/>
      <c r="C110" s="145"/>
      <c r="D110" s="146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4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51"/>
      <c r="AM110" s="151"/>
      <c r="AN110" s="151"/>
      <c r="AO110" s="151"/>
      <c r="AP110" s="151"/>
      <c r="AQ110" s="151"/>
      <c r="AR110" s="151"/>
      <c r="AS110" s="151"/>
      <c r="AT110" s="151"/>
      <c r="AU110" s="151"/>
    </row>
    <row r="111" spans="1:47" ht="15.75" customHeight="1" x14ac:dyDescent="0.35">
      <c r="A111" s="241"/>
      <c r="B111" s="144"/>
      <c r="C111" s="145"/>
      <c r="D111" s="146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4"/>
      <c r="AB111" s="151"/>
      <c r="AC111" s="151"/>
      <c r="AD111" s="151"/>
      <c r="AE111" s="151"/>
      <c r="AF111" s="151"/>
      <c r="AG111" s="151"/>
      <c r="AH111" s="151"/>
      <c r="AI111" s="151"/>
      <c r="AJ111" s="151"/>
      <c r="AK111" s="151"/>
      <c r="AL111" s="151"/>
      <c r="AM111" s="151"/>
      <c r="AN111" s="151"/>
      <c r="AO111" s="151"/>
      <c r="AP111" s="151"/>
      <c r="AQ111" s="151"/>
      <c r="AR111" s="151"/>
      <c r="AS111" s="151"/>
      <c r="AT111" s="151"/>
      <c r="AU111" s="151"/>
    </row>
    <row r="112" spans="1:47" ht="15.75" customHeight="1" x14ac:dyDescent="0.35">
      <c r="A112" s="241"/>
      <c r="B112" s="144"/>
      <c r="C112" s="145"/>
      <c r="D112" s="146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4"/>
      <c r="AB112" s="151"/>
      <c r="AC112" s="151"/>
      <c r="AD112" s="151"/>
      <c r="AE112" s="151"/>
      <c r="AF112" s="151"/>
      <c r="AG112" s="151"/>
      <c r="AH112" s="151"/>
      <c r="AI112" s="151"/>
      <c r="AJ112" s="151"/>
      <c r="AK112" s="151"/>
      <c r="AL112" s="151"/>
      <c r="AM112" s="151"/>
      <c r="AN112" s="151"/>
      <c r="AO112" s="151"/>
      <c r="AP112" s="151"/>
      <c r="AQ112" s="151"/>
      <c r="AR112" s="151"/>
      <c r="AS112" s="151"/>
      <c r="AT112" s="151"/>
      <c r="AU112" s="151"/>
    </row>
    <row r="113" spans="1:47" ht="15.75" customHeight="1" x14ac:dyDescent="0.35">
      <c r="A113" s="241"/>
      <c r="B113" s="144"/>
      <c r="C113" s="145"/>
      <c r="D113" s="146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4"/>
      <c r="AB113" s="151"/>
      <c r="AC113" s="151"/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  <c r="AR113" s="151"/>
      <c r="AS113" s="151"/>
      <c r="AT113" s="151"/>
      <c r="AU113" s="151"/>
    </row>
    <row r="114" spans="1:47" ht="15.75" customHeight="1" x14ac:dyDescent="0.35">
      <c r="A114" s="241"/>
      <c r="B114" s="144"/>
      <c r="C114" s="145"/>
      <c r="D114" s="146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4"/>
      <c r="AB114" s="151"/>
      <c r="AC114" s="151"/>
      <c r="AD114" s="151"/>
      <c r="AE114" s="151"/>
      <c r="AF114" s="151"/>
      <c r="AG114" s="151"/>
      <c r="AH114" s="151"/>
      <c r="AI114" s="151"/>
      <c r="AJ114" s="151"/>
      <c r="AK114" s="151"/>
      <c r="AL114" s="151"/>
      <c r="AM114" s="151"/>
      <c r="AN114" s="151"/>
      <c r="AO114" s="151"/>
      <c r="AP114" s="151"/>
      <c r="AQ114" s="151"/>
      <c r="AR114" s="151"/>
      <c r="AS114" s="151"/>
      <c r="AT114" s="151"/>
      <c r="AU114" s="151"/>
    </row>
    <row r="115" spans="1:47" ht="15.75" customHeight="1" x14ac:dyDescent="0.35">
      <c r="A115" s="241"/>
      <c r="B115" s="144"/>
      <c r="C115" s="145"/>
      <c r="D115" s="146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4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/>
      <c r="AQ115" s="151"/>
      <c r="AR115" s="151"/>
      <c r="AS115" s="151"/>
      <c r="AT115" s="151"/>
      <c r="AU115" s="151"/>
    </row>
    <row r="116" spans="1:47" ht="15.75" customHeight="1" x14ac:dyDescent="0.35">
      <c r="A116" s="241"/>
      <c r="B116" s="144"/>
      <c r="C116" s="145"/>
      <c r="D116" s="146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4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/>
      <c r="AQ116" s="151"/>
      <c r="AR116" s="151"/>
      <c r="AS116" s="151"/>
      <c r="AT116" s="151"/>
      <c r="AU116" s="151"/>
    </row>
    <row r="117" spans="1:47" ht="15.75" customHeight="1" x14ac:dyDescent="0.35">
      <c r="A117" s="241"/>
      <c r="B117" s="144"/>
      <c r="C117" s="145"/>
      <c r="D117" s="146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4"/>
      <c r="AB117" s="151"/>
      <c r="AC117" s="151"/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  <c r="AR117" s="151"/>
      <c r="AS117" s="151"/>
      <c r="AT117" s="151"/>
      <c r="AU117" s="151"/>
    </row>
    <row r="118" spans="1:47" ht="15.75" customHeight="1" x14ac:dyDescent="0.35">
      <c r="A118" s="241"/>
      <c r="B118" s="144"/>
      <c r="C118" s="145"/>
      <c r="D118" s="146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4"/>
      <c r="AB118" s="151"/>
      <c r="AC118" s="151"/>
      <c r="AD118" s="151"/>
      <c r="AE118" s="151"/>
      <c r="AF118" s="151"/>
      <c r="AG118" s="151"/>
      <c r="AH118" s="151"/>
      <c r="AI118" s="151"/>
      <c r="AJ118" s="151"/>
      <c r="AK118" s="151"/>
      <c r="AL118" s="151"/>
      <c r="AM118" s="151"/>
      <c r="AN118" s="151"/>
      <c r="AO118" s="151"/>
      <c r="AP118" s="151"/>
      <c r="AQ118" s="151"/>
      <c r="AR118" s="151"/>
      <c r="AS118" s="151"/>
      <c r="AT118" s="151"/>
      <c r="AU118" s="151"/>
    </row>
    <row r="119" spans="1:47" ht="15.75" customHeight="1" x14ac:dyDescent="0.35">
      <c r="A119" s="241"/>
      <c r="B119" s="144"/>
      <c r="C119" s="145"/>
      <c r="D119" s="146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4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1"/>
      <c r="AL119" s="151"/>
      <c r="AM119" s="151"/>
      <c r="AN119" s="151"/>
      <c r="AO119" s="151"/>
      <c r="AP119" s="151"/>
      <c r="AQ119" s="151"/>
      <c r="AR119" s="151"/>
      <c r="AS119" s="151"/>
      <c r="AT119" s="151"/>
      <c r="AU119" s="151"/>
    </row>
    <row r="120" spans="1:47" ht="15.75" customHeight="1" x14ac:dyDescent="0.35">
      <c r="A120" s="241"/>
      <c r="B120" s="144"/>
      <c r="C120" s="145"/>
      <c r="D120" s="146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4"/>
      <c r="AB120" s="151"/>
      <c r="AC120" s="151"/>
      <c r="AD120" s="151"/>
      <c r="AE120" s="151"/>
      <c r="AF120" s="151"/>
      <c r="AG120" s="151"/>
      <c r="AH120" s="151"/>
      <c r="AI120" s="151"/>
      <c r="AJ120" s="151"/>
      <c r="AK120" s="151"/>
      <c r="AL120" s="151"/>
      <c r="AM120" s="151"/>
      <c r="AN120" s="151"/>
      <c r="AO120" s="151"/>
      <c r="AP120" s="151"/>
      <c r="AQ120" s="151"/>
      <c r="AR120" s="151"/>
      <c r="AS120" s="151"/>
      <c r="AT120" s="151"/>
      <c r="AU120" s="151"/>
    </row>
    <row r="121" spans="1:47" ht="15.75" customHeight="1" x14ac:dyDescent="0.35">
      <c r="A121" s="241"/>
      <c r="B121" s="144"/>
      <c r="C121" s="145"/>
      <c r="D121" s="146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4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  <c r="AT121" s="151"/>
      <c r="AU121" s="151"/>
    </row>
    <row r="122" spans="1:47" ht="15.75" customHeight="1" x14ac:dyDescent="0.35">
      <c r="A122" s="241"/>
      <c r="B122" s="144"/>
      <c r="C122" s="145"/>
      <c r="D122" s="146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4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51"/>
      <c r="AM122" s="151"/>
      <c r="AN122" s="151"/>
      <c r="AO122" s="151"/>
      <c r="AP122" s="151"/>
      <c r="AQ122" s="151"/>
      <c r="AR122" s="151"/>
      <c r="AS122" s="151"/>
      <c r="AT122" s="151"/>
      <c r="AU122" s="151"/>
    </row>
    <row r="123" spans="1:47" ht="15.75" customHeight="1" x14ac:dyDescent="0.35">
      <c r="A123" s="241"/>
      <c r="B123" s="144"/>
      <c r="C123" s="145"/>
      <c r="D123" s="146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4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51"/>
      <c r="AM123" s="151"/>
      <c r="AN123" s="151"/>
      <c r="AO123" s="151"/>
      <c r="AP123" s="151"/>
      <c r="AQ123" s="151"/>
      <c r="AR123" s="151"/>
      <c r="AS123" s="151"/>
      <c r="AT123" s="151"/>
      <c r="AU123" s="151"/>
    </row>
    <row r="124" spans="1:47" ht="15.75" customHeight="1" x14ac:dyDescent="0.35">
      <c r="A124" s="241"/>
      <c r="B124" s="144"/>
      <c r="C124" s="145"/>
      <c r="D124" s="146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4"/>
      <c r="AB124" s="151"/>
      <c r="AC124" s="151"/>
      <c r="AD124" s="151"/>
      <c r="AE124" s="151"/>
      <c r="AF124" s="151"/>
      <c r="AG124" s="151"/>
      <c r="AH124" s="151"/>
      <c r="AI124" s="151"/>
      <c r="AJ124" s="151"/>
      <c r="AK124" s="151"/>
      <c r="AL124" s="151"/>
      <c r="AM124" s="151"/>
      <c r="AN124" s="151"/>
      <c r="AO124" s="151"/>
      <c r="AP124" s="151"/>
      <c r="AQ124" s="151"/>
      <c r="AR124" s="151"/>
      <c r="AS124" s="151"/>
      <c r="AT124" s="151"/>
      <c r="AU124" s="151"/>
    </row>
    <row r="125" spans="1:47" ht="15.75" customHeight="1" x14ac:dyDescent="0.35">
      <c r="A125" s="241"/>
      <c r="B125" s="144"/>
      <c r="C125" s="145"/>
      <c r="D125" s="146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4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  <c r="AR125" s="151"/>
      <c r="AS125" s="151"/>
      <c r="AT125" s="151"/>
      <c r="AU125" s="151"/>
    </row>
    <row r="126" spans="1:47" ht="15.75" customHeight="1" x14ac:dyDescent="0.35">
      <c r="A126" s="241"/>
      <c r="B126" s="144"/>
      <c r="C126" s="145"/>
      <c r="D126" s="146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4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  <c r="AR126" s="151"/>
      <c r="AS126" s="151"/>
      <c r="AT126" s="151"/>
      <c r="AU126" s="151"/>
    </row>
    <row r="127" spans="1:47" ht="15.75" customHeight="1" x14ac:dyDescent="0.35">
      <c r="A127" s="241"/>
      <c r="B127" s="144"/>
      <c r="C127" s="145"/>
      <c r="D127" s="146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4"/>
      <c r="AB127" s="151"/>
      <c r="AC127" s="151"/>
      <c r="AD127" s="151"/>
      <c r="AE127" s="151"/>
      <c r="AF127" s="151"/>
      <c r="AG127" s="151"/>
      <c r="AH127" s="151"/>
      <c r="AI127" s="151"/>
      <c r="AJ127" s="151"/>
      <c r="AK127" s="151"/>
      <c r="AL127" s="151"/>
      <c r="AM127" s="151"/>
      <c r="AN127" s="151"/>
      <c r="AO127" s="151"/>
      <c r="AP127" s="151"/>
      <c r="AQ127" s="151"/>
      <c r="AR127" s="151"/>
      <c r="AS127" s="151"/>
      <c r="AT127" s="151"/>
      <c r="AU127" s="151"/>
    </row>
    <row r="128" spans="1:47" ht="15.75" customHeight="1" x14ac:dyDescent="0.35">
      <c r="A128" s="241"/>
      <c r="B128" s="144"/>
      <c r="C128" s="145"/>
      <c r="D128" s="146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4"/>
      <c r="AB128" s="151"/>
      <c r="AC128" s="151"/>
      <c r="AD128" s="151"/>
      <c r="AE128" s="151"/>
      <c r="AF128" s="151"/>
      <c r="AG128" s="151"/>
      <c r="AH128" s="151"/>
      <c r="AI128" s="151"/>
      <c r="AJ128" s="151"/>
      <c r="AK128" s="151"/>
      <c r="AL128" s="151"/>
      <c r="AM128" s="151"/>
      <c r="AN128" s="151"/>
      <c r="AO128" s="151"/>
      <c r="AP128" s="151"/>
      <c r="AQ128" s="151"/>
      <c r="AR128" s="151"/>
      <c r="AS128" s="151"/>
      <c r="AT128" s="151"/>
      <c r="AU128" s="151"/>
    </row>
    <row r="129" spans="1:47" ht="15.75" customHeight="1" x14ac:dyDescent="0.35">
      <c r="A129" s="241"/>
      <c r="B129" s="144"/>
      <c r="C129" s="145"/>
      <c r="D129" s="146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4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/>
      <c r="AO129" s="151"/>
      <c r="AP129" s="151"/>
      <c r="AQ129" s="151"/>
      <c r="AR129" s="151"/>
      <c r="AS129" s="151"/>
      <c r="AT129" s="151"/>
      <c r="AU129" s="151"/>
    </row>
    <row r="130" spans="1:47" ht="15.75" customHeight="1" x14ac:dyDescent="0.35">
      <c r="A130" s="241"/>
      <c r="B130" s="144"/>
      <c r="C130" s="145"/>
      <c r="D130" s="146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4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151"/>
      <c r="AS130" s="151"/>
      <c r="AT130" s="151"/>
      <c r="AU130" s="151"/>
    </row>
    <row r="131" spans="1:47" ht="15.75" customHeight="1" x14ac:dyDescent="0.35">
      <c r="A131" s="241"/>
      <c r="B131" s="144"/>
      <c r="C131" s="145"/>
      <c r="D131" s="146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4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/>
      <c r="AQ131" s="151"/>
      <c r="AR131" s="151"/>
      <c r="AS131" s="151"/>
      <c r="AT131" s="151"/>
      <c r="AU131" s="151"/>
    </row>
    <row r="132" spans="1:47" ht="15.75" customHeight="1" x14ac:dyDescent="0.35">
      <c r="A132" s="241"/>
      <c r="B132" s="144"/>
      <c r="C132" s="145"/>
      <c r="D132" s="146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4"/>
      <c r="AB132" s="151"/>
      <c r="AC132" s="151"/>
      <c r="AD132" s="151"/>
      <c r="AE132" s="151"/>
      <c r="AF132" s="151"/>
      <c r="AG132" s="151"/>
      <c r="AH132" s="151"/>
      <c r="AI132" s="151"/>
      <c r="AJ132" s="151"/>
      <c r="AK132" s="151"/>
      <c r="AL132" s="151"/>
      <c r="AM132" s="151"/>
      <c r="AN132" s="151"/>
      <c r="AO132" s="151"/>
      <c r="AP132" s="151"/>
      <c r="AQ132" s="151"/>
      <c r="AR132" s="151"/>
      <c r="AS132" s="151"/>
      <c r="AT132" s="151"/>
      <c r="AU132" s="151"/>
    </row>
    <row r="133" spans="1:47" ht="15.75" customHeight="1" x14ac:dyDescent="0.35">
      <c r="A133" s="241"/>
      <c r="B133" s="144"/>
      <c r="C133" s="145"/>
      <c r="D133" s="146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4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/>
      <c r="AL133" s="151"/>
      <c r="AM133" s="151"/>
      <c r="AN133" s="151"/>
      <c r="AO133" s="151"/>
      <c r="AP133" s="151"/>
      <c r="AQ133" s="151"/>
      <c r="AR133" s="151"/>
      <c r="AS133" s="151"/>
      <c r="AT133" s="151"/>
      <c r="AU133" s="151"/>
    </row>
    <row r="134" spans="1:47" ht="15.75" customHeight="1" x14ac:dyDescent="0.35">
      <c r="A134" s="241"/>
      <c r="B134" s="144"/>
      <c r="C134" s="145"/>
      <c r="D134" s="146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4"/>
      <c r="AB134" s="151"/>
      <c r="AC134" s="151"/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/>
      <c r="AQ134" s="151"/>
      <c r="AR134" s="151"/>
      <c r="AS134" s="151"/>
      <c r="AT134" s="151"/>
      <c r="AU134" s="151"/>
    </row>
    <row r="135" spans="1:47" ht="15.75" customHeight="1" x14ac:dyDescent="0.35">
      <c r="A135" s="241"/>
      <c r="B135" s="144"/>
      <c r="C135" s="145"/>
      <c r="D135" s="146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4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/>
      <c r="AQ135" s="151"/>
      <c r="AR135" s="151"/>
      <c r="AS135" s="151"/>
      <c r="AT135" s="151"/>
      <c r="AU135" s="151"/>
    </row>
    <row r="136" spans="1:47" ht="15.75" customHeight="1" x14ac:dyDescent="0.35">
      <c r="A136" s="241"/>
      <c r="B136" s="144"/>
      <c r="C136" s="145"/>
      <c r="D136" s="146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4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  <c r="AR136" s="151"/>
      <c r="AS136" s="151"/>
      <c r="AT136" s="151"/>
      <c r="AU136" s="151"/>
    </row>
    <row r="137" spans="1:47" ht="15.75" customHeight="1" x14ac:dyDescent="0.35">
      <c r="A137" s="241"/>
      <c r="B137" s="144"/>
      <c r="C137" s="145"/>
      <c r="D137" s="146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4"/>
      <c r="AB137" s="151"/>
      <c r="AC137" s="151"/>
      <c r="AD137" s="151"/>
      <c r="AE137" s="151"/>
      <c r="AF137" s="151"/>
      <c r="AG137" s="151"/>
      <c r="AH137" s="151"/>
      <c r="AI137" s="151"/>
      <c r="AJ137" s="151"/>
      <c r="AK137" s="151"/>
      <c r="AL137" s="151"/>
      <c r="AM137" s="151"/>
      <c r="AN137" s="151"/>
      <c r="AO137" s="151"/>
      <c r="AP137" s="151"/>
      <c r="AQ137" s="151"/>
      <c r="AR137" s="151"/>
      <c r="AS137" s="151"/>
      <c r="AT137" s="151"/>
      <c r="AU137" s="151"/>
    </row>
    <row r="138" spans="1:47" ht="15.75" customHeight="1" x14ac:dyDescent="0.35">
      <c r="A138" s="241"/>
      <c r="B138" s="144"/>
      <c r="C138" s="145"/>
      <c r="D138" s="146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4"/>
      <c r="AB138" s="151"/>
      <c r="AC138" s="151"/>
      <c r="AD138" s="151"/>
      <c r="AE138" s="151"/>
      <c r="AF138" s="151"/>
      <c r="AG138" s="151"/>
      <c r="AH138" s="151"/>
      <c r="AI138" s="151"/>
      <c r="AJ138" s="151"/>
      <c r="AK138" s="151"/>
      <c r="AL138" s="151"/>
      <c r="AM138" s="151"/>
      <c r="AN138" s="151"/>
      <c r="AO138" s="151"/>
      <c r="AP138" s="151"/>
      <c r="AQ138" s="151"/>
      <c r="AR138" s="151"/>
      <c r="AS138" s="151"/>
      <c r="AT138" s="151"/>
      <c r="AU138" s="151"/>
    </row>
    <row r="139" spans="1:47" ht="15.75" customHeight="1" x14ac:dyDescent="0.35">
      <c r="A139" s="241"/>
      <c r="B139" s="144"/>
      <c r="C139" s="145"/>
      <c r="D139" s="146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4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  <c r="AR139" s="151"/>
      <c r="AS139" s="151"/>
      <c r="AT139" s="151"/>
      <c r="AU139" s="151"/>
    </row>
    <row r="140" spans="1:47" ht="15.75" customHeight="1" x14ac:dyDescent="0.35">
      <c r="A140" s="241"/>
      <c r="B140" s="144"/>
      <c r="C140" s="145"/>
      <c r="D140" s="146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4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51"/>
      <c r="AM140" s="151"/>
      <c r="AN140" s="151"/>
      <c r="AO140" s="151"/>
      <c r="AP140" s="151"/>
      <c r="AQ140" s="151"/>
      <c r="AR140" s="151"/>
      <c r="AS140" s="151"/>
      <c r="AT140" s="151"/>
      <c r="AU140" s="151"/>
    </row>
    <row r="141" spans="1:47" ht="15.75" customHeight="1" x14ac:dyDescent="0.35">
      <c r="A141" s="241"/>
      <c r="B141" s="144"/>
      <c r="C141" s="145"/>
      <c r="D141" s="146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4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/>
      <c r="AQ141" s="151"/>
      <c r="AR141" s="151"/>
      <c r="AS141" s="151"/>
      <c r="AT141" s="151"/>
      <c r="AU141" s="151"/>
    </row>
    <row r="142" spans="1:47" ht="15.75" customHeight="1" x14ac:dyDescent="0.35">
      <c r="A142" s="241"/>
      <c r="B142" s="144"/>
      <c r="C142" s="145"/>
      <c r="D142" s="146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4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  <c r="AU142" s="151"/>
    </row>
    <row r="143" spans="1:47" ht="15.75" customHeight="1" x14ac:dyDescent="0.35">
      <c r="A143" s="241"/>
      <c r="B143" s="144"/>
      <c r="C143" s="145"/>
      <c r="D143" s="146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4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  <c r="AU143" s="151"/>
    </row>
    <row r="144" spans="1:47" ht="15.75" customHeight="1" x14ac:dyDescent="0.35">
      <c r="A144" s="241"/>
      <c r="B144" s="144"/>
      <c r="C144" s="145"/>
      <c r="D144" s="146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4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  <c r="AU144" s="151"/>
    </row>
    <row r="145" spans="1:47" ht="15.75" customHeight="1" x14ac:dyDescent="0.35">
      <c r="A145" s="241"/>
      <c r="B145" s="144"/>
      <c r="C145" s="145"/>
      <c r="D145" s="146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4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</row>
    <row r="146" spans="1:47" ht="15.75" customHeight="1" x14ac:dyDescent="0.35">
      <c r="A146" s="241"/>
      <c r="B146" s="144"/>
      <c r="C146" s="145"/>
      <c r="D146" s="146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4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  <c r="AR146" s="151"/>
      <c r="AS146" s="151"/>
      <c r="AT146" s="151"/>
      <c r="AU146" s="151"/>
    </row>
    <row r="147" spans="1:47" ht="15.75" customHeight="1" x14ac:dyDescent="0.35">
      <c r="A147" s="241"/>
      <c r="B147" s="144"/>
      <c r="C147" s="145"/>
      <c r="D147" s="146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4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/>
      <c r="AQ147" s="151"/>
      <c r="AR147" s="151"/>
      <c r="AS147" s="151"/>
      <c r="AT147" s="151"/>
      <c r="AU147" s="151"/>
    </row>
    <row r="148" spans="1:47" ht="15.75" customHeight="1" x14ac:dyDescent="0.35">
      <c r="A148" s="241"/>
      <c r="B148" s="144"/>
      <c r="C148" s="145"/>
      <c r="D148" s="146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4"/>
      <c r="AB148" s="151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/>
      <c r="AQ148" s="151"/>
      <c r="AR148" s="151"/>
      <c r="AS148" s="151"/>
      <c r="AT148" s="151"/>
      <c r="AU148" s="151"/>
    </row>
    <row r="149" spans="1:47" ht="15.75" customHeight="1" x14ac:dyDescent="0.35">
      <c r="A149" s="241"/>
      <c r="B149" s="144"/>
      <c r="C149" s="145"/>
      <c r="D149" s="146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4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/>
      <c r="AQ149" s="151"/>
      <c r="AR149" s="151"/>
      <c r="AS149" s="151"/>
      <c r="AT149" s="151"/>
      <c r="AU149" s="151"/>
    </row>
    <row r="150" spans="1:47" ht="15.75" customHeight="1" x14ac:dyDescent="0.35">
      <c r="A150" s="241"/>
      <c r="B150" s="144"/>
      <c r="C150" s="145"/>
      <c r="D150" s="146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4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/>
      <c r="AQ150" s="151"/>
      <c r="AR150" s="151"/>
      <c r="AS150" s="151"/>
      <c r="AT150" s="151"/>
      <c r="AU150" s="151"/>
    </row>
    <row r="151" spans="1:47" ht="15.75" customHeight="1" x14ac:dyDescent="0.35">
      <c r="A151" s="241"/>
      <c r="B151" s="144"/>
      <c r="C151" s="145"/>
      <c r="D151" s="146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4"/>
      <c r="AB151" s="151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/>
      <c r="AP151" s="151"/>
      <c r="AQ151" s="151"/>
      <c r="AR151" s="151"/>
      <c r="AS151" s="151"/>
      <c r="AT151" s="151"/>
      <c r="AU151" s="151"/>
    </row>
    <row r="152" spans="1:47" ht="15.75" customHeight="1" x14ac:dyDescent="0.35">
      <c r="A152" s="241"/>
      <c r="B152" s="144"/>
      <c r="C152" s="145"/>
      <c r="D152" s="146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4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1"/>
      <c r="AP152" s="151"/>
      <c r="AQ152" s="151"/>
      <c r="AR152" s="151"/>
      <c r="AS152" s="151"/>
      <c r="AT152" s="151"/>
      <c r="AU152" s="151"/>
    </row>
    <row r="153" spans="1:47" ht="15.75" customHeight="1" x14ac:dyDescent="0.35">
      <c r="A153" s="241"/>
      <c r="B153" s="144"/>
      <c r="C153" s="145"/>
      <c r="D153" s="146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4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</row>
    <row r="154" spans="1:47" ht="15.75" customHeight="1" x14ac:dyDescent="0.35">
      <c r="A154" s="241"/>
      <c r="B154" s="144"/>
      <c r="C154" s="145"/>
      <c r="D154" s="146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4"/>
      <c r="AB154" s="151"/>
      <c r="AC154" s="151"/>
      <c r="AD154" s="151"/>
      <c r="AE154" s="151"/>
      <c r="AF154" s="151"/>
      <c r="AG154" s="151"/>
      <c r="AH154" s="151"/>
      <c r="AI154" s="151"/>
      <c r="AJ154" s="151"/>
      <c r="AK154" s="151"/>
      <c r="AL154" s="151"/>
      <c r="AM154" s="151"/>
      <c r="AN154" s="151"/>
      <c r="AO154" s="151"/>
      <c r="AP154" s="151"/>
      <c r="AQ154" s="151"/>
      <c r="AR154" s="151"/>
      <c r="AS154" s="151"/>
      <c r="AT154" s="151"/>
      <c r="AU154" s="151"/>
    </row>
    <row r="155" spans="1:47" ht="15.75" customHeight="1" x14ac:dyDescent="0.35">
      <c r="A155" s="241"/>
      <c r="B155" s="144"/>
      <c r="C155" s="145"/>
      <c r="D155" s="146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4"/>
      <c r="AB155" s="151"/>
      <c r="AC155" s="151"/>
      <c r="AD155" s="151"/>
      <c r="AE155" s="151"/>
      <c r="AF155" s="151"/>
      <c r="AG155" s="151"/>
      <c r="AH155" s="151"/>
      <c r="AI155" s="151"/>
      <c r="AJ155" s="151"/>
      <c r="AK155" s="151"/>
      <c r="AL155" s="151"/>
      <c r="AM155" s="151"/>
      <c r="AN155" s="151"/>
      <c r="AO155" s="151"/>
      <c r="AP155" s="151"/>
      <c r="AQ155" s="151"/>
      <c r="AR155" s="151"/>
      <c r="AS155" s="151"/>
      <c r="AT155" s="151"/>
      <c r="AU155" s="151"/>
    </row>
    <row r="156" spans="1:47" ht="15.75" customHeight="1" x14ac:dyDescent="0.35">
      <c r="A156" s="241"/>
      <c r="B156" s="144"/>
      <c r="C156" s="145"/>
      <c r="D156" s="146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4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51"/>
      <c r="AM156" s="151"/>
      <c r="AN156" s="151"/>
      <c r="AO156" s="151"/>
      <c r="AP156" s="151"/>
      <c r="AQ156" s="151"/>
      <c r="AR156" s="151"/>
      <c r="AS156" s="151"/>
      <c r="AT156" s="151"/>
      <c r="AU156" s="151"/>
    </row>
    <row r="157" spans="1:47" ht="15.75" customHeight="1" x14ac:dyDescent="0.35">
      <c r="A157" s="241"/>
      <c r="B157" s="144"/>
      <c r="C157" s="145"/>
      <c r="D157" s="146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4"/>
      <c r="AB157" s="151"/>
      <c r="AC157" s="151"/>
      <c r="AD157" s="151"/>
      <c r="AE157" s="151"/>
      <c r="AF157" s="151"/>
      <c r="AG157" s="151"/>
      <c r="AH157" s="151"/>
      <c r="AI157" s="151"/>
      <c r="AJ157" s="151"/>
      <c r="AK157" s="151"/>
      <c r="AL157" s="151"/>
      <c r="AM157" s="151"/>
      <c r="AN157" s="151"/>
      <c r="AO157" s="151"/>
      <c r="AP157" s="151"/>
      <c r="AQ157" s="151"/>
      <c r="AR157" s="151"/>
      <c r="AS157" s="151"/>
      <c r="AT157" s="151"/>
      <c r="AU157" s="151"/>
    </row>
    <row r="158" spans="1:47" ht="15.75" customHeight="1" x14ac:dyDescent="0.35">
      <c r="A158" s="241"/>
      <c r="B158" s="144"/>
      <c r="C158" s="145"/>
      <c r="D158" s="146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4"/>
      <c r="AB158" s="151"/>
      <c r="AC158" s="151"/>
      <c r="AD158" s="151"/>
      <c r="AE158" s="151"/>
      <c r="AF158" s="151"/>
      <c r="AG158" s="151"/>
      <c r="AH158" s="151"/>
      <c r="AI158" s="151"/>
      <c r="AJ158" s="151"/>
      <c r="AK158" s="151"/>
      <c r="AL158" s="151"/>
      <c r="AM158" s="151"/>
      <c r="AN158" s="151"/>
      <c r="AO158" s="151"/>
      <c r="AP158" s="151"/>
      <c r="AQ158" s="151"/>
      <c r="AR158" s="151"/>
      <c r="AS158" s="151"/>
      <c r="AT158" s="151"/>
      <c r="AU158" s="151"/>
    </row>
    <row r="159" spans="1:47" ht="15.75" customHeight="1" x14ac:dyDescent="0.35">
      <c r="A159" s="241"/>
      <c r="B159" s="144"/>
      <c r="C159" s="145"/>
      <c r="D159" s="146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4"/>
      <c r="AB159" s="151"/>
      <c r="AC159" s="151"/>
      <c r="AD159" s="151"/>
      <c r="AE159" s="151"/>
      <c r="AF159" s="151"/>
      <c r="AG159" s="151"/>
      <c r="AH159" s="151"/>
      <c r="AI159" s="151"/>
      <c r="AJ159" s="151"/>
      <c r="AK159" s="151"/>
      <c r="AL159" s="151"/>
      <c r="AM159" s="151"/>
      <c r="AN159" s="151"/>
      <c r="AO159" s="151"/>
      <c r="AP159" s="151"/>
      <c r="AQ159" s="151"/>
      <c r="AR159" s="151"/>
      <c r="AS159" s="151"/>
      <c r="AT159" s="151"/>
      <c r="AU159" s="151"/>
    </row>
    <row r="160" spans="1:47" ht="15.75" customHeight="1" x14ac:dyDescent="0.35">
      <c r="A160" s="241"/>
      <c r="B160" s="144"/>
      <c r="C160" s="145"/>
      <c r="D160" s="146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4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1"/>
      <c r="AL160" s="151"/>
      <c r="AM160" s="151"/>
      <c r="AN160" s="151"/>
      <c r="AO160" s="151"/>
      <c r="AP160" s="151"/>
      <c r="AQ160" s="151"/>
      <c r="AR160" s="151"/>
      <c r="AS160" s="151"/>
      <c r="AT160" s="151"/>
      <c r="AU160" s="151"/>
    </row>
    <row r="161" spans="1:47" ht="15.75" customHeight="1" x14ac:dyDescent="0.35">
      <c r="A161" s="241"/>
      <c r="B161" s="144"/>
      <c r="C161" s="145"/>
      <c r="D161" s="146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4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  <c r="AU161" s="151"/>
    </row>
    <row r="162" spans="1:47" ht="15.75" customHeight="1" x14ac:dyDescent="0.35">
      <c r="A162" s="241"/>
      <c r="B162" s="144"/>
      <c r="C162" s="145"/>
      <c r="D162" s="146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4"/>
      <c r="AB162" s="151"/>
      <c r="AC162" s="151"/>
      <c r="AD162" s="151"/>
      <c r="AE162" s="151"/>
      <c r="AF162" s="151"/>
      <c r="AG162" s="151"/>
      <c r="AH162" s="151"/>
      <c r="AI162" s="151"/>
      <c r="AJ162" s="151"/>
      <c r="AK162" s="151"/>
      <c r="AL162" s="151"/>
      <c r="AM162" s="151"/>
      <c r="AN162" s="151"/>
      <c r="AO162" s="151"/>
      <c r="AP162" s="151"/>
      <c r="AQ162" s="151"/>
      <c r="AR162" s="151"/>
      <c r="AS162" s="151"/>
      <c r="AT162" s="151"/>
      <c r="AU162" s="151"/>
    </row>
    <row r="163" spans="1:47" ht="15.75" customHeight="1" x14ac:dyDescent="0.35">
      <c r="A163" s="241"/>
      <c r="B163" s="144"/>
      <c r="C163" s="145"/>
      <c r="D163" s="146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4"/>
      <c r="AB163" s="151"/>
      <c r="AC163" s="151"/>
      <c r="AD163" s="151"/>
      <c r="AE163" s="151"/>
      <c r="AF163" s="151"/>
      <c r="AG163" s="151"/>
      <c r="AH163" s="151"/>
      <c r="AI163" s="151"/>
      <c r="AJ163" s="151"/>
      <c r="AK163" s="151"/>
      <c r="AL163" s="151"/>
      <c r="AM163" s="151"/>
      <c r="AN163" s="151"/>
      <c r="AO163" s="151"/>
      <c r="AP163" s="151"/>
      <c r="AQ163" s="151"/>
      <c r="AR163" s="151"/>
      <c r="AS163" s="151"/>
      <c r="AT163" s="151"/>
      <c r="AU163" s="151"/>
    </row>
    <row r="164" spans="1:47" ht="15.75" customHeight="1" x14ac:dyDescent="0.35">
      <c r="A164" s="241"/>
      <c r="B164" s="144"/>
      <c r="C164" s="145"/>
      <c r="D164" s="146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4"/>
      <c r="AB164" s="151"/>
      <c r="AC164" s="151"/>
      <c r="AD164" s="151"/>
      <c r="AE164" s="151"/>
      <c r="AF164" s="151"/>
      <c r="AG164" s="151"/>
      <c r="AH164" s="151"/>
      <c r="AI164" s="151"/>
      <c r="AJ164" s="151"/>
      <c r="AK164" s="151"/>
      <c r="AL164" s="151"/>
      <c r="AM164" s="151"/>
      <c r="AN164" s="151"/>
      <c r="AO164" s="151"/>
      <c r="AP164" s="151"/>
      <c r="AQ164" s="151"/>
      <c r="AR164" s="151"/>
      <c r="AS164" s="151"/>
      <c r="AT164" s="151"/>
      <c r="AU164" s="151"/>
    </row>
    <row r="165" spans="1:47" ht="15.75" customHeight="1" x14ac:dyDescent="0.35">
      <c r="A165" s="241"/>
      <c r="B165" s="144"/>
      <c r="C165" s="145"/>
      <c r="D165" s="146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4"/>
      <c r="AB165" s="151"/>
      <c r="AC165" s="151"/>
      <c r="AD165" s="151"/>
      <c r="AE165" s="151"/>
      <c r="AF165" s="151"/>
      <c r="AG165" s="151"/>
      <c r="AH165" s="151"/>
      <c r="AI165" s="151"/>
      <c r="AJ165" s="151"/>
      <c r="AK165" s="151"/>
      <c r="AL165" s="151"/>
      <c r="AM165" s="151"/>
      <c r="AN165" s="151"/>
      <c r="AO165" s="151"/>
      <c r="AP165" s="151"/>
      <c r="AQ165" s="151"/>
      <c r="AR165" s="151"/>
      <c r="AS165" s="151"/>
      <c r="AT165" s="151"/>
      <c r="AU165" s="151"/>
    </row>
    <row r="166" spans="1:47" ht="15.75" customHeight="1" x14ac:dyDescent="0.35">
      <c r="A166" s="241"/>
      <c r="B166" s="144"/>
      <c r="C166" s="145"/>
      <c r="D166" s="146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4"/>
      <c r="AB166" s="151"/>
      <c r="AC166" s="151"/>
      <c r="AD166" s="151"/>
      <c r="AE166" s="151"/>
      <c r="AF166" s="151"/>
      <c r="AG166" s="151"/>
      <c r="AH166" s="151"/>
      <c r="AI166" s="151"/>
      <c r="AJ166" s="151"/>
      <c r="AK166" s="151"/>
      <c r="AL166" s="151"/>
      <c r="AM166" s="151"/>
      <c r="AN166" s="151"/>
      <c r="AO166" s="151"/>
      <c r="AP166" s="151"/>
      <c r="AQ166" s="151"/>
      <c r="AR166" s="151"/>
      <c r="AS166" s="151"/>
      <c r="AT166" s="151"/>
      <c r="AU166" s="151"/>
    </row>
    <row r="167" spans="1:47" ht="15.75" customHeight="1" x14ac:dyDescent="0.35">
      <c r="A167" s="241"/>
      <c r="B167" s="144"/>
      <c r="C167" s="145"/>
      <c r="D167" s="146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4"/>
      <c r="AB167" s="151"/>
      <c r="AC167" s="151"/>
      <c r="AD167" s="151"/>
      <c r="AE167" s="151"/>
      <c r="AF167" s="151"/>
      <c r="AG167" s="151"/>
      <c r="AH167" s="151"/>
      <c r="AI167" s="151"/>
      <c r="AJ167" s="151"/>
      <c r="AK167" s="151"/>
      <c r="AL167" s="151"/>
      <c r="AM167" s="151"/>
      <c r="AN167" s="151"/>
      <c r="AO167" s="151"/>
      <c r="AP167" s="151"/>
      <c r="AQ167" s="151"/>
      <c r="AR167" s="151"/>
      <c r="AS167" s="151"/>
      <c r="AT167" s="151"/>
      <c r="AU167" s="151"/>
    </row>
    <row r="168" spans="1:47" ht="15.75" customHeight="1" x14ac:dyDescent="0.35">
      <c r="A168" s="241"/>
      <c r="B168" s="144"/>
      <c r="C168" s="145"/>
      <c r="D168" s="146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4"/>
      <c r="AB168" s="151"/>
      <c r="AC168" s="151"/>
      <c r="AD168" s="151"/>
      <c r="AE168" s="151"/>
      <c r="AF168" s="151"/>
      <c r="AG168" s="151"/>
      <c r="AH168" s="151"/>
      <c r="AI168" s="151"/>
      <c r="AJ168" s="151"/>
      <c r="AK168" s="151"/>
      <c r="AL168" s="151"/>
      <c r="AM168" s="151"/>
      <c r="AN168" s="151"/>
      <c r="AO168" s="151"/>
      <c r="AP168" s="151"/>
      <c r="AQ168" s="151"/>
      <c r="AR168" s="151"/>
      <c r="AS168" s="151"/>
      <c r="AT168" s="151"/>
      <c r="AU168" s="151"/>
    </row>
    <row r="169" spans="1:47" ht="15.75" customHeight="1" x14ac:dyDescent="0.35">
      <c r="A169" s="241"/>
      <c r="B169" s="144"/>
      <c r="C169" s="145"/>
      <c r="D169" s="146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4"/>
      <c r="AB169" s="151"/>
      <c r="AC169" s="151"/>
      <c r="AD169" s="151"/>
      <c r="AE169" s="151"/>
      <c r="AF169" s="151"/>
      <c r="AG169" s="151"/>
      <c r="AH169" s="151"/>
      <c r="AI169" s="151"/>
      <c r="AJ169" s="151"/>
      <c r="AK169" s="151"/>
      <c r="AL169" s="151"/>
      <c r="AM169" s="151"/>
      <c r="AN169" s="151"/>
      <c r="AO169" s="151"/>
      <c r="AP169" s="151"/>
      <c r="AQ169" s="151"/>
      <c r="AR169" s="151"/>
      <c r="AS169" s="151"/>
      <c r="AT169" s="151"/>
      <c r="AU169" s="151"/>
    </row>
    <row r="170" spans="1:47" ht="15.75" customHeight="1" x14ac:dyDescent="0.35">
      <c r="A170" s="241"/>
      <c r="B170" s="144"/>
      <c r="C170" s="145"/>
      <c r="D170" s="146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4"/>
      <c r="AB170" s="151"/>
      <c r="AC170" s="151"/>
      <c r="AD170" s="151"/>
      <c r="AE170" s="151"/>
      <c r="AF170" s="151"/>
      <c r="AG170" s="151"/>
      <c r="AH170" s="151"/>
      <c r="AI170" s="151"/>
      <c r="AJ170" s="151"/>
      <c r="AK170" s="151"/>
      <c r="AL170" s="151"/>
      <c r="AM170" s="151"/>
      <c r="AN170" s="151"/>
      <c r="AO170" s="151"/>
      <c r="AP170" s="151"/>
      <c r="AQ170" s="151"/>
      <c r="AR170" s="151"/>
      <c r="AS170" s="151"/>
      <c r="AT170" s="151"/>
      <c r="AU170" s="151"/>
    </row>
    <row r="171" spans="1:47" ht="15.75" customHeight="1" x14ac:dyDescent="0.35">
      <c r="A171" s="241"/>
      <c r="B171" s="144"/>
      <c r="C171" s="145"/>
      <c r="D171" s="146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4"/>
      <c r="AB171" s="151"/>
      <c r="AC171" s="151"/>
      <c r="AD171" s="151"/>
      <c r="AE171" s="151"/>
      <c r="AF171" s="151"/>
      <c r="AG171" s="151"/>
      <c r="AH171" s="151"/>
      <c r="AI171" s="151"/>
      <c r="AJ171" s="151"/>
      <c r="AK171" s="151"/>
      <c r="AL171" s="151"/>
      <c r="AM171" s="151"/>
      <c r="AN171" s="151"/>
      <c r="AO171" s="151"/>
      <c r="AP171" s="151"/>
      <c r="AQ171" s="151"/>
      <c r="AR171" s="151"/>
      <c r="AS171" s="151"/>
      <c r="AT171" s="151"/>
      <c r="AU171" s="151"/>
    </row>
    <row r="172" spans="1:47" ht="15.75" customHeight="1" x14ac:dyDescent="0.35">
      <c r="A172" s="241"/>
      <c r="B172" s="144"/>
      <c r="C172" s="145"/>
      <c r="D172" s="146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4"/>
      <c r="AB172" s="151"/>
      <c r="AC172" s="151"/>
      <c r="AD172" s="151"/>
      <c r="AE172" s="151"/>
      <c r="AF172" s="151"/>
      <c r="AG172" s="151"/>
      <c r="AH172" s="151"/>
      <c r="AI172" s="151"/>
      <c r="AJ172" s="151"/>
      <c r="AK172" s="151"/>
      <c r="AL172" s="151"/>
      <c r="AM172" s="151"/>
      <c r="AN172" s="151"/>
      <c r="AO172" s="151"/>
      <c r="AP172" s="151"/>
      <c r="AQ172" s="151"/>
      <c r="AR172" s="151"/>
      <c r="AS172" s="151"/>
      <c r="AT172" s="151"/>
      <c r="AU172" s="151"/>
    </row>
    <row r="173" spans="1:47" ht="15.75" customHeight="1" x14ac:dyDescent="0.35">
      <c r="A173" s="241"/>
      <c r="B173" s="144"/>
      <c r="C173" s="145"/>
      <c r="D173" s="146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4"/>
      <c r="AB173" s="151"/>
      <c r="AC173" s="151"/>
      <c r="AD173" s="151"/>
      <c r="AE173" s="151"/>
      <c r="AF173" s="151"/>
      <c r="AG173" s="151"/>
      <c r="AH173" s="151"/>
      <c r="AI173" s="151"/>
      <c r="AJ173" s="151"/>
      <c r="AK173" s="151"/>
      <c r="AL173" s="151"/>
      <c r="AM173" s="151"/>
      <c r="AN173" s="151"/>
      <c r="AO173" s="151"/>
      <c r="AP173" s="151"/>
      <c r="AQ173" s="151"/>
      <c r="AR173" s="151"/>
      <c r="AS173" s="151"/>
      <c r="AT173" s="151"/>
      <c r="AU173" s="151"/>
    </row>
    <row r="174" spans="1:47" ht="15.75" customHeight="1" x14ac:dyDescent="0.35">
      <c r="A174" s="241"/>
      <c r="B174" s="144"/>
      <c r="C174" s="145"/>
      <c r="D174" s="146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4"/>
      <c r="AB174" s="151"/>
      <c r="AC174" s="151"/>
      <c r="AD174" s="151"/>
      <c r="AE174" s="151"/>
      <c r="AF174" s="151"/>
      <c r="AG174" s="151"/>
      <c r="AH174" s="151"/>
      <c r="AI174" s="151"/>
      <c r="AJ174" s="151"/>
      <c r="AK174" s="151"/>
      <c r="AL174" s="151"/>
      <c r="AM174" s="151"/>
      <c r="AN174" s="151"/>
      <c r="AO174" s="151"/>
      <c r="AP174" s="151"/>
      <c r="AQ174" s="151"/>
      <c r="AR174" s="151"/>
      <c r="AS174" s="151"/>
      <c r="AT174" s="151"/>
      <c r="AU174" s="151"/>
    </row>
    <row r="175" spans="1:47" ht="15.75" customHeight="1" x14ac:dyDescent="0.35">
      <c r="A175" s="241"/>
      <c r="B175" s="144"/>
      <c r="C175" s="145"/>
      <c r="D175" s="146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4"/>
      <c r="AB175" s="151"/>
      <c r="AC175" s="151"/>
      <c r="AD175" s="151"/>
      <c r="AE175" s="151"/>
      <c r="AF175" s="151"/>
      <c r="AG175" s="151"/>
      <c r="AH175" s="151"/>
      <c r="AI175" s="151"/>
      <c r="AJ175" s="151"/>
      <c r="AK175" s="151"/>
      <c r="AL175" s="151"/>
      <c r="AM175" s="151"/>
      <c r="AN175" s="151"/>
      <c r="AO175" s="151"/>
      <c r="AP175" s="151"/>
      <c r="AQ175" s="151"/>
      <c r="AR175" s="151"/>
      <c r="AS175" s="151"/>
      <c r="AT175" s="151"/>
      <c r="AU175" s="151"/>
    </row>
    <row r="176" spans="1:47" ht="15.75" customHeight="1" x14ac:dyDescent="0.35">
      <c r="A176" s="241"/>
      <c r="B176" s="144"/>
      <c r="C176" s="145"/>
      <c r="D176" s="146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4"/>
      <c r="AB176" s="151"/>
      <c r="AC176" s="151"/>
      <c r="AD176" s="151"/>
      <c r="AE176" s="151"/>
      <c r="AF176" s="151"/>
      <c r="AG176" s="151"/>
      <c r="AH176" s="151"/>
      <c r="AI176" s="151"/>
      <c r="AJ176" s="151"/>
      <c r="AK176" s="151"/>
      <c r="AL176" s="151"/>
      <c r="AM176" s="151"/>
      <c r="AN176" s="151"/>
      <c r="AO176" s="151"/>
      <c r="AP176" s="151"/>
      <c r="AQ176" s="151"/>
      <c r="AR176" s="151"/>
      <c r="AS176" s="151"/>
      <c r="AT176" s="151"/>
      <c r="AU176" s="151"/>
    </row>
    <row r="177" spans="1:47" ht="15.75" customHeight="1" x14ac:dyDescent="0.35">
      <c r="A177" s="241"/>
      <c r="B177" s="144"/>
      <c r="C177" s="145"/>
      <c r="D177" s="146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4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151"/>
      <c r="AL177" s="151"/>
      <c r="AM177" s="151"/>
      <c r="AN177" s="151"/>
      <c r="AO177" s="151"/>
      <c r="AP177" s="151"/>
      <c r="AQ177" s="151"/>
      <c r="AR177" s="151"/>
      <c r="AS177" s="151"/>
      <c r="AT177" s="151"/>
      <c r="AU177" s="151"/>
    </row>
    <row r="178" spans="1:47" ht="15.75" customHeight="1" x14ac:dyDescent="0.35">
      <c r="A178" s="241"/>
      <c r="B178" s="144"/>
      <c r="C178" s="145"/>
      <c r="D178" s="146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4"/>
      <c r="AB178" s="151"/>
      <c r="AC178" s="151"/>
      <c r="AD178" s="151"/>
      <c r="AE178" s="151"/>
      <c r="AF178" s="151"/>
      <c r="AG178" s="151"/>
      <c r="AH178" s="151"/>
      <c r="AI178" s="151"/>
      <c r="AJ178" s="151"/>
      <c r="AK178" s="151"/>
      <c r="AL178" s="151"/>
      <c r="AM178" s="151"/>
      <c r="AN178" s="151"/>
      <c r="AO178" s="151"/>
      <c r="AP178" s="151"/>
      <c r="AQ178" s="151"/>
      <c r="AR178" s="151"/>
      <c r="AS178" s="151"/>
      <c r="AT178" s="151"/>
      <c r="AU178" s="151"/>
    </row>
    <row r="179" spans="1:47" ht="15.75" customHeight="1" x14ac:dyDescent="0.35">
      <c r="A179" s="241"/>
      <c r="B179" s="144"/>
      <c r="C179" s="145"/>
      <c r="D179" s="146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4"/>
      <c r="AB179" s="151"/>
      <c r="AC179" s="151"/>
      <c r="AD179" s="151"/>
      <c r="AE179" s="151"/>
      <c r="AF179" s="151"/>
      <c r="AG179" s="151"/>
      <c r="AH179" s="151"/>
      <c r="AI179" s="151"/>
      <c r="AJ179" s="151"/>
      <c r="AK179" s="151"/>
      <c r="AL179" s="151"/>
      <c r="AM179" s="151"/>
      <c r="AN179" s="151"/>
      <c r="AO179" s="151"/>
      <c r="AP179" s="151"/>
      <c r="AQ179" s="151"/>
      <c r="AR179" s="151"/>
      <c r="AS179" s="151"/>
      <c r="AT179" s="151"/>
      <c r="AU179" s="151"/>
    </row>
    <row r="180" spans="1:47" ht="15.75" customHeight="1" x14ac:dyDescent="0.35">
      <c r="A180" s="241"/>
      <c r="B180" s="144"/>
      <c r="C180" s="145"/>
      <c r="D180" s="146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4"/>
      <c r="AB180" s="151"/>
      <c r="AC180" s="151"/>
      <c r="AD180" s="151"/>
      <c r="AE180" s="151"/>
      <c r="AF180" s="151"/>
      <c r="AG180" s="151"/>
      <c r="AH180" s="151"/>
      <c r="AI180" s="151"/>
      <c r="AJ180" s="151"/>
      <c r="AK180" s="151"/>
      <c r="AL180" s="151"/>
      <c r="AM180" s="151"/>
      <c r="AN180" s="151"/>
      <c r="AO180" s="151"/>
      <c r="AP180" s="151"/>
      <c r="AQ180" s="151"/>
      <c r="AR180" s="151"/>
      <c r="AS180" s="151"/>
      <c r="AT180" s="151"/>
      <c r="AU180" s="151"/>
    </row>
    <row r="181" spans="1:47" ht="15.75" customHeight="1" x14ac:dyDescent="0.35">
      <c r="A181" s="241"/>
      <c r="B181" s="144"/>
      <c r="C181" s="145"/>
      <c r="D181" s="146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4"/>
      <c r="AB181" s="151"/>
      <c r="AC181" s="151"/>
      <c r="AD181" s="151"/>
      <c r="AE181" s="151"/>
      <c r="AF181" s="151"/>
      <c r="AG181" s="151"/>
      <c r="AH181" s="151"/>
      <c r="AI181" s="151"/>
      <c r="AJ181" s="151"/>
      <c r="AK181" s="151"/>
      <c r="AL181" s="151"/>
      <c r="AM181" s="151"/>
      <c r="AN181" s="151"/>
      <c r="AO181" s="151"/>
      <c r="AP181" s="151"/>
      <c r="AQ181" s="151"/>
      <c r="AR181" s="151"/>
      <c r="AS181" s="151"/>
      <c r="AT181" s="151"/>
      <c r="AU181" s="151"/>
    </row>
    <row r="182" spans="1:47" ht="15.75" customHeight="1" x14ac:dyDescent="0.35">
      <c r="A182" s="241"/>
      <c r="B182" s="144"/>
      <c r="C182" s="145"/>
      <c r="D182" s="146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4"/>
      <c r="AB182" s="151"/>
      <c r="AC182" s="151"/>
      <c r="AD182" s="151"/>
      <c r="AE182" s="151"/>
      <c r="AF182" s="151"/>
      <c r="AG182" s="151"/>
      <c r="AH182" s="151"/>
      <c r="AI182" s="151"/>
      <c r="AJ182" s="151"/>
      <c r="AK182" s="151"/>
      <c r="AL182" s="151"/>
      <c r="AM182" s="151"/>
      <c r="AN182" s="151"/>
      <c r="AO182" s="151"/>
      <c r="AP182" s="151"/>
      <c r="AQ182" s="151"/>
      <c r="AR182" s="151"/>
      <c r="AS182" s="151"/>
      <c r="AT182" s="151"/>
      <c r="AU182" s="151"/>
    </row>
    <row r="183" spans="1:47" ht="15.75" customHeight="1" x14ac:dyDescent="0.35">
      <c r="A183" s="241"/>
      <c r="B183" s="144"/>
      <c r="C183" s="145"/>
      <c r="D183" s="146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4"/>
      <c r="AB183" s="151"/>
      <c r="AC183" s="151"/>
      <c r="AD183" s="151"/>
      <c r="AE183" s="151"/>
      <c r="AF183" s="151"/>
      <c r="AG183" s="151"/>
      <c r="AH183" s="151"/>
      <c r="AI183" s="151"/>
      <c r="AJ183" s="151"/>
      <c r="AK183" s="151"/>
      <c r="AL183" s="151"/>
      <c r="AM183" s="151"/>
      <c r="AN183" s="151"/>
      <c r="AO183" s="151"/>
      <c r="AP183" s="151"/>
      <c r="AQ183" s="151"/>
      <c r="AR183" s="151"/>
      <c r="AS183" s="151"/>
      <c r="AT183" s="151"/>
      <c r="AU183" s="151"/>
    </row>
    <row r="184" spans="1:47" ht="15.75" customHeight="1" x14ac:dyDescent="0.35">
      <c r="A184" s="241"/>
      <c r="B184" s="144"/>
      <c r="C184" s="145"/>
      <c r="D184" s="146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4"/>
      <c r="AB184" s="151"/>
      <c r="AC184" s="151"/>
      <c r="AD184" s="151"/>
      <c r="AE184" s="151"/>
      <c r="AF184" s="151"/>
      <c r="AG184" s="151"/>
      <c r="AH184" s="151"/>
      <c r="AI184" s="151"/>
      <c r="AJ184" s="151"/>
      <c r="AK184" s="151"/>
      <c r="AL184" s="151"/>
      <c r="AM184" s="151"/>
      <c r="AN184" s="151"/>
      <c r="AO184" s="151"/>
      <c r="AP184" s="151"/>
      <c r="AQ184" s="151"/>
      <c r="AR184" s="151"/>
      <c r="AS184" s="151"/>
      <c r="AT184" s="151"/>
      <c r="AU184" s="151"/>
    </row>
    <row r="185" spans="1:47" ht="15.75" customHeight="1" x14ac:dyDescent="0.35">
      <c r="A185" s="241"/>
      <c r="B185" s="144"/>
      <c r="C185" s="145"/>
      <c r="D185" s="146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4"/>
      <c r="AB185" s="151"/>
      <c r="AC185" s="151"/>
      <c r="AD185" s="151"/>
      <c r="AE185" s="151"/>
      <c r="AF185" s="151"/>
      <c r="AG185" s="151"/>
      <c r="AH185" s="151"/>
      <c r="AI185" s="151"/>
      <c r="AJ185" s="151"/>
      <c r="AK185" s="151"/>
      <c r="AL185" s="151"/>
      <c r="AM185" s="151"/>
      <c r="AN185" s="151"/>
      <c r="AO185" s="151"/>
      <c r="AP185" s="151"/>
      <c r="AQ185" s="151"/>
      <c r="AR185" s="151"/>
      <c r="AS185" s="151"/>
      <c r="AT185" s="151"/>
      <c r="AU185" s="151"/>
    </row>
    <row r="186" spans="1:47" ht="15.75" customHeight="1" x14ac:dyDescent="0.35">
      <c r="A186" s="241"/>
      <c r="B186" s="144"/>
      <c r="C186" s="145"/>
      <c r="D186" s="146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4"/>
      <c r="AB186" s="151"/>
      <c r="AC186" s="151"/>
      <c r="AD186" s="151"/>
      <c r="AE186" s="151"/>
      <c r="AF186" s="151"/>
      <c r="AG186" s="151"/>
      <c r="AH186" s="151"/>
      <c r="AI186" s="151"/>
      <c r="AJ186" s="151"/>
      <c r="AK186" s="151"/>
      <c r="AL186" s="151"/>
      <c r="AM186" s="151"/>
      <c r="AN186" s="151"/>
      <c r="AO186" s="151"/>
      <c r="AP186" s="151"/>
      <c r="AQ186" s="151"/>
      <c r="AR186" s="151"/>
      <c r="AS186" s="151"/>
      <c r="AT186" s="151"/>
      <c r="AU186" s="151"/>
    </row>
    <row r="187" spans="1:47" ht="15.75" customHeight="1" x14ac:dyDescent="0.35">
      <c r="A187" s="241"/>
      <c r="B187" s="144"/>
      <c r="C187" s="145"/>
      <c r="D187" s="146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4"/>
      <c r="AB187" s="151"/>
      <c r="AC187" s="151"/>
      <c r="AD187" s="151"/>
      <c r="AE187" s="151"/>
      <c r="AF187" s="151"/>
      <c r="AG187" s="151"/>
      <c r="AH187" s="151"/>
      <c r="AI187" s="151"/>
      <c r="AJ187" s="151"/>
      <c r="AK187" s="151"/>
      <c r="AL187" s="151"/>
      <c r="AM187" s="151"/>
      <c r="AN187" s="151"/>
      <c r="AO187" s="151"/>
      <c r="AP187" s="151"/>
      <c r="AQ187" s="151"/>
      <c r="AR187" s="151"/>
      <c r="AS187" s="151"/>
      <c r="AT187" s="151"/>
      <c r="AU187" s="151"/>
    </row>
    <row r="188" spans="1:47" ht="15.75" customHeight="1" x14ac:dyDescent="0.35">
      <c r="A188" s="241"/>
      <c r="B188" s="144"/>
      <c r="C188" s="145"/>
      <c r="D188" s="146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4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151"/>
      <c r="AL188" s="151"/>
      <c r="AM188" s="151"/>
      <c r="AN188" s="151"/>
      <c r="AO188" s="151"/>
      <c r="AP188" s="151"/>
      <c r="AQ188" s="151"/>
      <c r="AR188" s="151"/>
      <c r="AS188" s="151"/>
      <c r="AT188" s="151"/>
      <c r="AU188" s="151"/>
    </row>
    <row r="189" spans="1:47" ht="15.75" customHeight="1" x14ac:dyDescent="0.35">
      <c r="A189" s="241"/>
      <c r="B189" s="144"/>
      <c r="C189" s="145"/>
      <c r="D189" s="146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4"/>
      <c r="AB189" s="151"/>
      <c r="AC189" s="151"/>
      <c r="AD189" s="151"/>
      <c r="AE189" s="151"/>
      <c r="AF189" s="151"/>
      <c r="AG189" s="151"/>
      <c r="AH189" s="151"/>
      <c r="AI189" s="151"/>
      <c r="AJ189" s="151"/>
      <c r="AK189" s="151"/>
      <c r="AL189" s="151"/>
      <c r="AM189" s="151"/>
      <c r="AN189" s="151"/>
      <c r="AO189" s="151"/>
      <c r="AP189" s="151"/>
      <c r="AQ189" s="151"/>
      <c r="AR189" s="151"/>
      <c r="AS189" s="151"/>
      <c r="AT189" s="151"/>
      <c r="AU189" s="151"/>
    </row>
    <row r="190" spans="1:47" ht="15.75" customHeight="1" x14ac:dyDescent="0.35">
      <c r="A190" s="241"/>
      <c r="B190" s="144"/>
      <c r="C190" s="145"/>
      <c r="D190" s="146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4"/>
      <c r="AB190" s="151"/>
      <c r="AC190" s="151"/>
      <c r="AD190" s="151"/>
      <c r="AE190" s="151"/>
      <c r="AF190" s="151"/>
      <c r="AG190" s="151"/>
      <c r="AH190" s="151"/>
      <c r="AI190" s="151"/>
      <c r="AJ190" s="151"/>
      <c r="AK190" s="151"/>
      <c r="AL190" s="151"/>
      <c r="AM190" s="151"/>
      <c r="AN190" s="151"/>
      <c r="AO190" s="151"/>
      <c r="AP190" s="151"/>
      <c r="AQ190" s="151"/>
      <c r="AR190" s="151"/>
      <c r="AS190" s="151"/>
      <c r="AT190" s="151"/>
      <c r="AU190" s="151"/>
    </row>
    <row r="191" spans="1:47" ht="15.75" customHeight="1" x14ac:dyDescent="0.35">
      <c r="A191" s="241"/>
      <c r="B191" s="144"/>
      <c r="C191" s="145"/>
      <c r="D191" s="146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4"/>
      <c r="AB191" s="151"/>
      <c r="AC191" s="151"/>
      <c r="AD191" s="151"/>
      <c r="AE191" s="151"/>
      <c r="AF191" s="151"/>
      <c r="AG191" s="151"/>
      <c r="AH191" s="151"/>
      <c r="AI191" s="151"/>
      <c r="AJ191" s="151"/>
      <c r="AK191" s="151"/>
      <c r="AL191" s="151"/>
      <c r="AM191" s="151"/>
      <c r="AN191" s="151"/>
      <c r="AO191" s="151"/>
      <c r="AP191" s="151"/>
      <c r="AQ191" s="151"/>
      <c r="AR191" s="151"/>
      <c r="AS191" s="151"/>
      <c r="AT191" s="151"/>
      <c r="AU191" s="151"/>
    </row>
    <row r="192" spans="1:47" ht="15.75" customHeight="1" x14ac:dyDescent="0.35">
      <c r="A192" s="241"/>
      <c r="B192" s="144"/>
      <c r="C192" s="145"/>
      <c r="D192" s="146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4"/>
      <c r="AB192" s="151"/>
      <c r="AC192" s="151"/>
      <c r="AD192" s="151"/>
      <c r="AE192" s="151"/>
      <c r="AF192" s="151"/>
      <c r="AG192" s="151"/>
      <c r="AH192" s="151"/>
      <c r="AI192" s="151"/>
      <c r="AJ192" s="151"/>
      <c r="AK192" s="151"/>
      <c r="AL192" s="151"/>
      <c r="AM192" s="151"/>
      <c r="AN192" s="151"/>
      <c r="AO192" s="151"/>
      <c r="AP192" s="151"/>
      <c r="AQ192" s="151"/>
      <c r="AR192" s="151"/>
      <c r="AS192" s="151"/>
      <c r="AT192" s="151"/>
      <c r="AU192" s="151"/>
    </row>
    <row r="193" spans="1:47" ht="15.75" customHeight="1" x14ac:dyDescent="0.35">
      <c r="A193" s="241"/>
      <c r="B193" s="144"/>
      <c r="C193" s="145"/>
      <c r="D193" s="146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4"/>
      <c r="AB193" s="151"/>
      <c r="AC193" s="151"/>
      <c r="AD193" s="151"/>
      <c r="AE193" s="151"/>
      <c r="AF193" s="151"/>
      <c r="AG193" s="151"/>
      <c r="AH193" s="151"/>
      <c r="AI193" s="151"/>
      <c r="AJ193" s="151"/>
      <c r="AK193" s="151"/>
      <c r="AL193" s="151"/>
      <c r="AM193" s="151"/>
      <c r="AN193" s="151"/>
      <c r="AO193" s="151"/>
      <c r="AP193" s="151"/>
      <c r="AQ193" s="151"/>
      <c r="AR193" s="151"/>
      <c r="AS193" s="151"/>
      <c r="AT193" s="151"/>
      <c r="AU193" s="151"/>
    </row>
    <row r="194" spans="1:47" ht="15.75" customHeight="1" x14ac:dyDescent="0.35">
      <c r="A194" s="241"/>
      <c r="B194" s="144"/>
      <c r="C194" s="145"/>
      <c r="D194" s="146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4"/>
      <c r="AB194" s="151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151"/>
      <c r="AN194" s="151"/>
      <c r="AO194" s="151"/>
      <c r="AP194" s="151"/>
      <c r="AQ194" s="151"/>
      <c r="AR194" s="151"/>
      <c r="AS194" s="151"/>
      <c r="AT194" s="151"/>
      <c r="AU194" s="151"/>
    </row>
    <row r="195" spans="1:47" ht="15.75" customHeight="1" x14ac:dyDescent="0.35">
      <c r="A195" s="241"/>
      <c r="B195" s="144"/>
      <c r="C195" s="145"/>
      <c r="D195" s="146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4"/>
      <c r="AB195" s="151"/>
      <c r="AC195" s="151"/>
      <c r="AD195" s="151"/>
      <c r="AE195" s="151"/>
      <c r="AF195" s="151"/>
      <c r="AG195" s="151"/>
      <c r="AH195" s="151"/>
      <c r="AI195" s="151"/>
      <c r="AJ195" s="151"/>
      <c r="AK195" s="151"/>
      <c r="AL195" s="151"/>
      <c r="AM195" s="151"/>
      <c r="AN195" s="151"/>
      <c r="AO195" s="151"/>
      <c r="AP195" s="151"/>
      <c r="AQ195" s="151"/>
      <c r="AR195" s="151"/>
      <c r="AS195" s="151"/>
      <c r="AT195" s="151"/>
      <c r="AU195" s="151"/>
    </row>
    <row r="196" spans="1:47" ht="15.75" customHeight="1" x14ac:dyDescent="0.35">
      <c r="A196" s="241"/>
      <c r="B196" s="144"/>
      <c r="C196" s="145"/>
      <c r="D196" s="146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4"/>
      <c r="AB196" s="151"/>
      <c r="AC196" s="151"/>
      <c r="AD196" s="151"/>
      <c r="AE196" s="151"/>
      <c r="AF196" s="151"/>
      <c r="AG196" s="151"/>
      <c r="AH196" s="151"/>
      <c r="AI196" s="151"/>
      <c r="AJ196" s="151"/>
      <c r="AK196" s="151"/>
      <c r="AL196" s="151"/>
      <c r="AM196" s="151"/>
      <c r="AN196" s="151"/>
      <c r="AO196" s="151"/>
      <c r="AP196" s="151"/>
      <c r="AQ196" s="151"/>
      <c r="AR196" s="151"/>
      <c r="AS196" s="151"/>
      <c r="AT196" s="151"/>
      <c r="AU196" s="151"/>
    </row>
    <row r="197" spans="1:47" ht="15.75" customHeight="1" x14ac:dyDescent="0.35">
      <c r="A197" s="243"/>
      <c r="B197" s="28"/>
      <c r="C197" s="122"/>
      <c r="D197" s="123"/>
      <c r="E197" s="106"/>
      <c r="F197" s="106"/>
      <c r="L197" s="106"/>
      <c r="M197" s="106"/>
      <c r="N197" s="106"/>
      <c r="O197" s="106"/>
      <c r="P197" s="106"/>
      <c r="AA197" s="28"/>
    </row>
    <row r="198" spans="1:47" ht="15.75" customHeight="1" x14ac:dyDescent="0.35">
      <c r="A198" s="243"/>
      <c r="B198" s="28"/>
      <c r="C198" s="122"/>
      <c r="D198" s="123"/>
      <c r="E198" s="106"/>
      <c r="F198" s="106"/>
      <c r="L198" s="106"/>
      <c r="M198" s="106"/>
      <c r="N198" s="106"/>
      <c r="O198" s="106"/>
      <c r="P198" s="106"/>
      <c r="AA198" s="28"/>
    </row>
    <row r="199" spans="1:47" ht="15.75" customHeight="1" x14ac:dyDescent="0.35">
      <c r="A199" s="243"/>
      <c r="B199" s="28"/>
      <c r="C199" s="122"/>
      <c r="D199" s="123"/>
      <c r="E199" s="106"/>
      <c r="F199" s="106"/>
      <c r="L199" s="106"/>
      <c r="M199" s="106"/>
      <c r="N199" s="106"/>
      <c r="O199" s="106"/>
      <c r="P199" s="106"/>
      <c r="AA199" s="28"/>
    </row>
    <row r="200" spans="1:47" ht="15.75" customHeight="1" x14ac:dyDescent="0.35">
      <c r="A200" s="243"/>
      <c r="B200" s="28"/>
      <c r="C200" s="122"/>
      <c r="D200" s="123"/>
      <c r="E200" s="106"/>
      <c r="F200" s="106"/>
      <c r="L200" s="106"/>
      <c r="M200" s="106"/>
      <c r="N200" s="106"/>
      <c r="O200" s="106"/>
      <c r="P200" s="106"/>
      <c r="AA200" s="28"/>
    </row>
    <row r="201" spans="1:47" ht="15.75" customHeight="1" x14ac:dyDescent="0.35">
      <c r="A201" s="243"/>
      <c r="B201" s="28"/>
      <c r="C201" s="122"/>
      <c r="D201" s="123"/>
      <c r="E201" s="106"/>
      <c r="F201" s="106"/>
      <c r="L201" s="106"/>
      <c r="M201" s="106"/>
      <c r="N201" s="106"/>
      <c r="O201" s="106"/>
      <c r="P201" s="106"/>
      <c r="AA201" s="28"/>
    </row>
    <row r="202" spans="1:47" ht="15.75" customHeight="1" x14ac:dyDescent="0.35">
      <c r="A202" s="243"/>
      <c r="B202" s="28"/>
      <c r="C202" s="122"/>
      <c r="D202" s="123"/>
      <c r="E202" s="106"/>
      <c r="F202" s="106"/>
      <c r="L202" s="106"/>
      <c r="M202" s="106"/>
      <c r="N202" s="106"/>
      <c r="O202" s="106"/>
      <c r="P202" s="106"/>
      <c r="AA202" s="28"/>
    </row>
    <row r="203" spans="1:47" ht="15.75" customHeight="1" x14ac:dyDescent="0.35">
      <c r="A203" s="243"/>
      <c r="B203" s="28"/>
      <c r="C203" s="122"/>
      <c r="D203" s="123"/>
      <c r="E203" s="106"/>
      <c r="F203" s="106"/>
      <c r="L203" s="106"/>
      <c r="M203" s="106"/>
      <c r="N203" s="106"/>
      <c r="O203" s="106"/>
      <c r="P203" s="106"/>
      <c r="AA203" s="28"/>
    </row>
    <row r="204" spans="1:47" ht="15.75" customHeight="1" x14ac:dyDescent="0.35">
      <c r="A204" s="243"/>
      <c r="B204" s="28"/>
      <c r="C204" s="122"/>
      <c r="D204" s="123"/>
      <c r="E204" s="106"/>
      <c r="F204" s="106"/>
      <c r="L204" s="106"/>
      <c r="M204" s="106"/>
      <c r="N204" s="106"/>
      <c r="O204" s="106"/>
      <c r="P204" s="106"/>
      <c r="AA204" s="28"/>
    </row>
    <row r="205" spans="1:47" ht="15.75" customHeight="1" x14ac:dyDescent="0.35">
      <c r="A205" s="243"/>
      <c r="B205" s="28"/>
      <c r="C205" s="122"/>
      <c r="D205" s="123"/>
      <c r="E205" s="106"/>
      <c r="F205" s="106"/>
      <c r="L205" s="106"/>
      <c r="M205" s="106"/>
      <c r="N205" s="106"/>
      <c r="O205" s="106"/>
      <c r="P205" s="106"/>
      <c r="AA205" s="28"/>
    </row>
    <row r="206" spans="1:47" ht="15.75" customHeight="1" x14ac:dyDescent="0.35">
      <c r="A206" s="243"/>
      <c r="B206" s="28"/>
      <c r="C206" s="122"/>
      <c r="D206" s="123"/>
      <c r="E206" s="106"/>
      <c r="F206" s="106"/>
      <c r="L206" s="106"/>
      <c r="M206" s="106"/>
      <c r="N206" s="106"/>
      <c r="O206" s="106"/>
      <c r="P206" s="106"/>
      <c r="AA206" s="28"/>
    </row>
    <row r="207" spans="1:47" ht="15.75" customHeight="1" x14ac:dyDescent="0.35">
      <c r="A207" s="243"/>
      <c r="B207" s="28"/>
      <c r="C207" s="122"/>
      <c r="D207" s="123"/>
      <c r="E207" s="106"/>
      <c r="F207" s="106"/>
      <c r="L207" s="106"/>
      <c r="M207" s="106"/>
      <c r="N207" s="106"/>
      <c r="O207" s="106"/>
      <c r="P207" s="106"/>
      <c r="AA207" s="28"/>
    </row>
    <row r="208" spans="1:47" ht="15.75" customHeight="1" x14ac:dyDescent="0.35">
      <c r="A208" s="243"/>
      <c r="B208" s="28"/>
      <c r="C208" s="122"/>
      <c r="D208" s="123"/>
      <c r="E208" s="106"/>
      <c r="F208" s="106"/>
      <c r="L208" s="106"/>
      <c r="M208" s="106"/>
      <c r="N208" s="106"/>
      <c r="O208" s="106"/>
      <c r="P208" s="106"/>
      <c r="AA208" s="28"/>
    </row>
    <row r="209" spans="1:27" ht="15.75" customHeight="1" x14ac:dyDescent="0.35">
      <c r="A209" s="243"/>
      <c r="B209" s="28"/>
      <c r="C209" s="122"/>
      <c r="D209" s="123"/>
      <c r="E209" s="106"/>
      <c r="F209" s="106"/>
      <c r="L209" s="106"/>
      <c r="M209" s="106"/>
      <c r="N209" s="106"/>
      <c r="O209" s="106"/>
      <c r="P209" s="106"/>
      <c r="AA209" s="28"/>
    </row>
    <row r="210" spans="1:27" ht="15.75" customHeight="1" x14ac:dyDescent="0.35">
      <c r="A210" s="243"/>
      <c r="B210" s="28"/>
      <c r="C210" s="122"/>
      <c r="D210" s="123"/>
      <c r="E210" s="106"/>
      <c r="F210" s="106"/>
      <c r="L210" s="106"/>
      <c r="M210" s="106"/>
      <c r="N210" s="106"/>
      <c r="O210" s="106"/>
      <c r="P210" s="106"/>
      <c r="AA210" s="28"/>
    </row>
    <row r="211" spans="1:27" ht="15.75" customHeight="1" x14ac:dyDescent="0.35">
      <c r="A211" s="243"/>
      <c r="B211" s="28"/>
      <c r="C211" s="122"/>
      <c r="D211" s="123"/>
      <c r="E211" s="106"/>
      <c r="F211" s="106"/>
      <c r="L211" s="106"/>
      <c r="M211" s="106"/>
      <c r="N211" s="106"/>
      <c r="O211" s="106"/>
      <c r="P211" s="106"/>
      <c r="AA211" s="28"/>
    </row>
    <row r="212" spans="1:27" ht="15.75" customHeight="1" x14ac:dyDescent="0.35">
      <c r="A212" s="243"/>
      <c r="B212" s="28"/>
      <c r="C212" s="122"/>
      <c r="D212" s="123"/>
      <c r="E212" s="106"/>
      <c r="F212" s="106"/>
      <c r="L212" s="106"/>
      <c r="M212" s="106"/>
      <c r="N212" s="106"/>
      <c r="O212" s="106"/>
      <c r="P212" s="106"/>
      <c r="AA212" s="28"/>
    </row>
    <row r="213" spans="1:27" ht="15.75" customHeight="1" x14ac:dyDescent="0.35">
      <c r="A213" s="243"/>
      <c r="B213" s="28"/>
      <c r="C213" s="122"/>
      <c r="D213" s="123"/>
      <c r="E213" s="106"/>
      <c r="F213" s="106"/>
      <c r="L213" s="106"/>
      <c r="M213" s="106"/>
      <c r="N213" s="106"/>
      <c r="O213" s="106"/>
      <c r="P213" s="106"/>
      <c r="AA213" s="28"/>
    </row>
    <row r="214" spans="1:27" ht="15.75" customHeight="1" x14ac:dyDescent="0.35">
      <c r="A214" s="243"/>
      <c r="B214" s="28"/>
      <c r="C214" s="122"/>
      <c r="D214" s="123"/>
      <c r="E214" s="106"/>
      <c r="F214" s="106"/>
      <c r="L214" s="106"/>
      <c r="M214" s="106"/>
      <c r="N214" s="106"/>
      <c r="O214" s="106"/>
      <c r="P214" s="106"/>
      <c r="AA214" s="28"/>
    </row>
    <row r="215" spans="1:27" ht="15.75" customHeight="1" x14ac:dyDescent="0.35">
      <c r="A215" s="243"/>
      <c r="B215" s="28"/>
      <c r="C215" s="122"/>
      <c r="D215" s="123"/>
      <c r="E215" s="106"/>
      <c r="F215" s="106"/>
      <c r="L215" s="106"/>
      <c r="M215" s="106"/>
      <c r="N215" s="106"/>
      <c r="O215" s="106"/>
      <c r="P215" s="106"/>
      <c r="AA215" s="28"/>
    </row>
    <row r="216" spans="1:27" ht="15.75" customHeight="1" x14ac:dyDescent="0.35">
      <c r="A216" s="243"/>
      <c r="B216" s="28"/>
      <c r="C216" s="122"/>
      <c r="D216" s="123"/>
      <c r="E216" s="106"/>
      <c r="F216" s="106"/>
      <c r="L216" s="106"/>
      <c r="M216" s="106"/>
      <c r="N216" s="106"/>
      <c r="O216" s="106"/>
      <c r="P216" s="106"/>
      <c r="AA216" s="28"/>
    </row>
    <row r="217" spans="1:27" ht="15.75" customHeight="1" x14ac:dyDescent="0.35">
      <c r="A217" s="243"/>
      <c r="B217" s="28"/>
      <c r="C217" s="122"/>
      <c r="D217" s="123"/>
      <c r="E217" s="106"/>
      <c r="F217" s="106"/>
      <c r="L217" s="106"/>
      <c r="M217" s="106"/>
      <c r="N217" s="106"/>
      <c r="O217" s="106"/>
      <c r="P217" s="106"/>
      <c r="AA217" s="28"/>
    </row>
    <row r="218" spans="1:27" ht="15.75" customHeight="1" x14ac:dyDescent="0.35">
      <c r="A218" s="243"/>
      <c r="B218" s="28"/>
      <c r="C218" s="122"/>
      <c r="D218" s="123"/>
      <c r="E218" s="106"/>
      <c r="F218" s="106"/>
      <c r="L218" s="106"/>
      <c r="M218" s="106"/>
      <c r="N218" s="106"/>
      <c r="O218" s="106"/>
      <c r="P218" s="106"/>
      <c r="AA218" s="28"/>
    </row>
    <row r="219" spans="1:27" ht="15.75" customHeight="1" x14ac:dyDescent="0.35">
      <c r="A219" s="243"/>
      <c r="B219" s="28"/>
      <c r="C219" s="122"/>
      <c r="D219" s="123"/>
      <c r="E219" s="106"/>
      <c r="F219" s="106"/>
      <c r="L219" s="106"/>
      <c r="M219" s="106"/>
      <c r="N219" s="106"/>
      <c r="O219" s="106"/>
      <c r="P219" s="106"/>
      <c r="AA219" s="28"/>
    </row>
    <row r="220" spans="1:27" ht="15.75" customHeight="1" x14ac:dyDescent="0.35">
      <c r="A220" s="243"/>
      <c r="B220" s="28"/>
      <c r="C220" s="122"/>
      <c r="D220" s="123"/>
      <c r="E220" s="106"/>
      <c r="F220" s="106"/>
      <c r="L220" s="106"/>
      <c r="M220" s="106"/>
      <c r="N220" s="106"/>
      <c r="O220" s="106"/>
      <c r="P220" s="106"/>
      <c r="AA220" s="28"/>
    </row>
    <row r="221" spans="1:27" ht="15.75" customHeight="1" x14ac:dyDescent="0.35">
      <c r="A221" s="243"/>
      <c r="B221" s="28"/>
      <c r="C221" s="122"/>
      <c r="D221" s="123"/>
      <c r="E221" s="106"/>
      <c r="F221" s="106"/>
      <c r="L221" s="106"/>
      <c r="M221" s="106"/>
      <c r="N221" s="106"/>
      <c r="O221" s="106"/>
      <c r="P221" s="106"/>
      <c r="AA221" s="28"/>
    </row>
    <row r="222" spans="1:27" ht="15.75" customHeight="1" x14ac:dyDescent="0.35">
      <c r="A222" s="243"/>
      <c r="B222" s="28"/>
      <c r="C222" s="122"/>
      <c r="D222" s="123"/>
      <c r="E222" s="106"/>
      <c r="F222" s="106"/>
      <c r="L222" s="106"/>
      <c r="M222" s="106"/>
      <c r="N222" s="106"/>
      <c r="O222" s="106"/>
      <c r="P222" s="106"/>
      <c r="AA222" s="28"/>
    </row>
    <row r="223" spans="1:27" ht="15.75" customHeight="1" x14ac:dyDescent="0.35">
      <c r="A223" s="243"/>
      <c r="B223" s="28"/>
      <c r="C223" s="122"/>
      <c r="D223" s="123"/>
      <c r="E223" s="106"/>
      <c r="F223" s="106"/>
      <c r="L223" s="106"/>
      <c r="M223" s="106"/>
      <c r="N223" s="106"/>
      <c r="O223" s="106"/>
      <c r="P223" s="106"/>
      <c r="AA223" s="28"/>
    </row>
    <row r="224" spans="1:27" ht="15.75" customHeight="1" x14ac:dyDescent="0.35">
      <c r="A224" s="243"/>
      <c r="B224" s="28"/>
      <c r="C224" s="122"/>
      <c r="D224" s="123"/>
      <c r="E224" s="106"/>
      <c r="F224" s="106"/>
      <c r="L224" s="106"/>
      <c r="M224" s="106"/>
      <c r="N224" s="106"/>
      <c r="O224" s="106"/>
      <c r="P224" s="106"/>
      <c r="AA224" s="28"/>
    </row>
    <row r="225" spans="1:27" ht="15.75" customHeight="1" x14ac:dyDescent="0.35">
      <c r="A225" s="243"/>
      <c r="B225" s="28"/>
      <c r="C225" s="122"/>
      <c r="D225" s="123"/>
      <c r="E225" s="106"/>
      <c r="F225" s="106"/>
      <c r="L225" s="106"/>
      <c r="M225" s="106"/>
      <c r="N225" s="106"/>
      <c r="O225" s="106"/>
      <c r="P225" s="106"/>
      <c r="AA225" s="28"/>
    </row>
    <row r="226" spans="1:27" ht="15.75" customHeight="1" x14ac:dyDescent="0.35">
      <c r="A226" s="243"/>
      <c r="B226" s="28"/>
      <c r="C226" s="122"/>
      <c r="D226" s="123"/>
      <c r="E226" s="106"/>
      <c r="F226" s="106"/>
      <c r="L226" s="106"/>
      <c r="M226" s="106"/>
      <c r="N226" s="106"/>
      <c r="O226" s="106"/>
      <c r="P226" s="106"/>
      <c r="AA226" s="28"/>
    </row>
    <row r="227" spans="1:27" ht="15.75" customHeight="1" x14ac:dyDescent="0.35">
      <c r="A227" s="243"/>
      <c r="B227" s="28"/>
      <c r="C227" s="122"/>
      <c r="D227" s="123"/>
      <c r="E227" s="106"/>
      <c r="F227" s="106"/>
      <c r="L227" s="106"/>
      <c r="M227" s="106"/>
      <c r="N227" s="106"/>
      <c r="O227" s="106"/>
      <c r="P227" s="106"/>
      <c r="AA227" s="28"/>
    </row>
    <row r="228" spans="1:27" ht="15.75" customHeight="1" x14ac:dyDescent="0.35">
      <c r="A228" s="243"/>
      <c r="B228" s="28"/>
      <c r="C228" s="122"/>
      <c r="D228" s="123"/>
      <c r="E228" s="106"/>
      <c r="F228" s="106"/>
      <c r="L228" s="106"/>
      <c r="M228" s="106"/>
      <c r="N228" s="106"/>
      <c r="O228" s="106"/>
      <c r="P228" s="106"/>
      <c r="AA228" s="28"/>
    </row>
    <row r="229" spans="1:27" ht="15.75" customHeight="1" x14ac:dyDescent="0.35">
      <c r="A229" s="243"/>
      <c r="B229" s="28"/>
      <c r="C229" s="122"/>
      <c r="D229" s="123"/>
      <c r="E229" s="106"/>
      <c r="F229" s="106"/>
      <c r="L229" s="106"/>
      <c r="M229" s="106"/>
      <c r="N229" s="106"/>
      <c r="O229" s="106"/>
      <c r="P229" s="106"/>
      <c r="AA229" s="28"/>
    </row>
    <row r="230" spans="1:27" ht="15.75" customHeight="1" x14ac:dyDescent="0.35">
      <c r="A230" s="243"/>
      <c r="B230" s="28"/>
      <c r="C230" s="122"/>
      <c r="D230" s="123"/>
      <c r="E230" s="106"/>
      <c r="F230" s="106"/>
      <c r="L230" s="106"/>
      <c r="M230" s="106"/>
      <c r="N230" s="106"/>
      <c r="O230" s="106"/>
      <c r="P230" s="106"/>
      <c r="AA230" s="28"/>
    </row>
    <row r="231" spans="1:27" ht="15.75" customHeight="1" x14ac:dyDescent="0.35">
      <c r="A231" s="243"/>
      <c r="B231" s="28"/>
      <c r="C231" s="122"/>
      <c r="D231" s="123"/>
      <c r="E231" s="106"/>
      <c r="F231" s="106"/>
      <c r="L231" s="106"/>
      <c r="M231" s="106"/>
      <c r="N231" s="106"/>
      <c r="O231" s="106"/>
      <c r="P231" s="106"/>
      <c r="AA231" s="28"/>
    </row>
    <row r="232" spans="1:27" ht="15.75" customHeight="1" x14ac:dyDescent="0.35">
      <c r="A232" s="243"/>
      <c r="B232" s="28"/>
      <c r="C232" s="122"/>
      <c r="D232" s="123"/>
      <c r="E232" s="106"/>
      <c r="F232" s="106"/>
      <c r="L232" s="106"/>
      <c r="M232" s="106"/>
      <c r="N232" s="106"/>
      <c r="O232" s="106"/>
      <c r="P232" s="106"/>
      <c r="AA232" s="28"/>
    </row>
    <row r="233" spans="1:27" ht="15.75" customHeight="1" x14ac:dyDescent="0.35">
      <c r="A233" s="243"/>
      <c r="B233" s="28"/>
      <c r="C233" s="122"/>
      <c r="D233" s="123"/>
      <c r="E233" s="106"/>
      <c r="F233" s="106"/>
      <c r="L233" s="106"/>
      <c r="M233" s="106"/>
      <c r="N233" s="106"/>
      <c r="O233" s="106"/>
      <c r="P233" s="106"/>
      <c r="AA233" s="28"/>
    </row>
    <row r="234" spans="1:27" ht="15.75" customHeight="1" x14ac:dyDescent="0.35">
      <c r="A234" s="243"/>
      <c r="B234" s="28"/>
      <c r="C234" s="122"/>
      <c r="D234" s="123"/>
      <c r="E234" s="106"/>
      <c r="F234" s="106"/>
      <c r="L234" s="106"/>
      <c r="M234" s="106"/>
      <c r="N234" s="106"/>
      <c r="O234" s="106"/>
      <c r="P234" s="106"/>
      <c r="AA234" s="28"/>
    </row>
    <row r="235" spans="1:27" ht="15.75" customHeight="1" x14ac:dyDescent="0.35">
      <c r="A235" s="243"/>
      <c r="B235" s="28"/>
      <c r="C235" s="122"/>
      <c r="D235" s="123"/>
      <c r="E235" s="106"/>
      <c r="F235" s="106"/>
      <c r="L235" s="106"/>
      <c r="M235" s="106"/>
      <c r="N235" s="106"/>
      <c r="O235" s="106"/>
      <c r="P235" s="106"/>
      <c r="AA235" s="28"/>
    </row>
    <row r="236" spans="1:27" ht="15.75" customHeight="1" x14ac:dyDescent="0.35">
      <c r="A236" s="243"/>
      <c r="B236" s="28"/>
      <c r="C236" s="122"/>
      <c r="D236" s="123"/>
      <c r="E236" s="106"/>
      <c r="F236" s="106"/>
      <c r="L236" s="106"/>
      <c r="M236" s="106"/>
      <c r="N236" s="106"/>
      <c r="O236" s="106"/>
      <c r="P236" s="106"/>
      <c r="AA236" s="28"/>
    </row>
    <row r="237" spans="1:27" ht="15.75" customHeight="1" x14ac:dyDescent="0.35">
      <c r="A237" s="243"/>
      <c r="B237" s="28"/>
      <c r="C237" s="122"/>
      <c r="D237" s="123"/>
      <c r="E237" s="106"/>
      <c r="F237" s="106"/>
      <c r="L237" s="106"/>
      <c r="M237" s="106"/>
      <c r="N237" s="106"/>
      <c r="O237" s="106"/>
      <c r="P237" s="106"/>
      <c r="AA237" s="28"/>
    </row>
    <row r="238" spans="1:27" ht="15.75" customHeight="1" x14ac:dyDescent="0.35">
      <c r="A238" s="243"/>
      <c r="B238" s="28"/>
      <c r="C238" s="122"/>
      <c r="D238" s="123"/>
      <c r="E238" s="106"/>
      <c r="F238" s="106"/>
      <c r="L238" s="106"/>
      <c r="M238" s="106"/>
      <c r="N238" s="106"/>
      <c r="O238" s="106"/>
      <c r="P238" s="106"/>
      <c r="AA238" s="28"/>
    </row>
    <row r="239" spans="1:27" ht="15.75" customHeight="1" x14ac:dyDescent="0.35">
      <c r="A239" s="243"/>
      <c r="B239" s="28"/>
      <c r="C239" s="122"/>
      <c r="D239" s="123"/>
      <c r="E239" s="106"/>
      <c r="F239" s="106"/>
      <c r="L239" s="106"/>
      <c r="M239" s="106"/>
      <c r="N239" s="106"/>
      <c r="O239" s="106"/>
      <c r="P239" s="106"/>
      <c r="AA239" s="28"/>
    </row>
    <row r="240" spans="1:27" ht="15.75" customHeight="1" x14ac:dyDescent="0.35">
      <c r="A240" s="243"/>
      <c r="B240" s="28"/>
      <c r="C240" s="122"/>
      <c r="D240" s="123"/>
      <c r="E240" s="106"/>
      <c r="F240" s="106"/>
      <c r="L240" s="106"/>
      <c r="M240" s="106"/>
      <c r="N240" s="106"/>
      <c r="O240" s="106"/>
      <c r="P240" s="106"/>
      <c r="AA240" s="28"/>
    </row>
    <row r="241" spans="1:27" ht="15.75" customHeight="1" x14ac:dyDescent="0.35">
      <c r="A241" s="243"/>
      <c r="B241" s="28"/>
      <c r="C241" s="122"/>
      <c r="D241" s="123"/>
      <c r="E241" s="106"/>
      <c r="F241" s="106"/>
      <c r="L241" s="106"/>
      <c r="M241" s="106"/>
      <c r="N241" s="106"/>
      <c r="O241" s="106"/>
      <c r="P241" s="106"/>
      <c r="AA241" s="28"/>
    </row>
    <row r="242" spans="1:27" ht="15.75" customHeight="1" x14ac:dyDescent="0.35">
      <c r="A242" s="243"/>
      <c r="B242" s="28"/>
      <c r="C242" s="122"/>
      <c r="D242" s="123"/>
      <c r="E242" s="106"/>
      <c r="F242" s="106"/>
      <c r="L242" s="106"/>
      <c r="M242" s="106"/>
      <c r="N242" s="106"/>
      <c r="O242" s="106"/>
      <c r="P242" s="106"/>
      <c r="AA242" s="28"/>
    </row>
    <row r="243" spans="1:27" ht="15.75" customHeight="1" x14ac:dyDescent="0.35">
      <c r="A243" s="243"/>
      <c r="B243" s="28"/>
      <c r="C243" s="122"/>
      <c r="D243" s="123"/>
      <c r="E243" s="106"/>
      <c r="F243" s="106"/>
      <c r="L243" s="106"/>
      <c r="M243" s="106"/>
      <c r="N243" s="106"/>
      <c r="O243" s="106"/>
      <c r="P243" s="106"/>
      <c r="AA243" s="28"/>
    </row>
    <row r="244" spans="1:27" ht="15.75" customHeight="1" x14ac:dyDescent="0.35">
      <c r="A244" s="243"/>
      <c r="B244" s="28"/>
      <c r="C244" s="122"/>
      <c r="D244" s="123"/>
      <c r="E244" s="106"/>
      <c r="F244" s="106"/>
      <c r="L244" s="106"/>
      <c r="M244" s="106"/>
      <c r="N244" s="106"/>
      <c r="O244" s="106"/>
      <c r="P244" s="106"/>
      <c r="AA244" s="28"/>
    </row>
    <row r="245" spans="1:27" ht="15.75" customHeight="1" x14ac:dyDescent="0.35">
      <c r="A245" s="243"/>
      <c r="B245" s="28"/>
      <c r="C245" s="122"/>
      <c r="D245" s="123"/>
      <c r="E245" s="106"/>
      <c r="F245" s="106"/>
      <c r="L245" s="106"/>
      <c r="M245" s="106"/>
      <c r="N245" s="106"/>
      <c r="O245" s="106"/>
      <c r="P245" s="106"/>
      <c r="AA245" s="28"/>
    </row>
    <row r="246" spans="1:27" ht="15.75" customHeight="1" x14ac:dyDescent="0.35">
      <c r="A246" s="243"/>
      <c r="B246" s="28"/>
      <c r="C246" s="122"/>
      <c r="D246" s="123"/>
      <c r="E246" s="106"/>
      <c r="F246" s="106"/>
      <c r="L246" s="106"/>
      <c r="M246" s="106"/>
      <c r="N246" s="106"/>
      <c r="O246" s="106"/>
      <c r="P246" s="106"/>
      <c r="AA246" s="28"/>
    </row>
    <row r="247" spans="1:27" ht="15.75" customHeight="1" x14ac:dyDescent="0.35">
      <c r="A247" s="243"/>
      <c r="B247" s="28"/>
      <c r="C247" s="122"/>
      <c r="D247" s="123"/>
      <c r="E247" s="106"/>
      <c r="F247" s="106"/>
      <c r="L247" s="106"/>
      <c r="M247" s="106"/>
      <c r="N247" s="106"/>
      <c r="O247" s="106"/>
      <c r="P247" s="106"/>
      <c r="AA247" s="28"/>
    </row>
    <row r="248" spans="1:27" ht="15.75" customHeight="1" x14ac:dyDescent="0.35">
      <c r="A248" s="243"/>
      <c r="B248" s="28"/>
      <c r="C248" s="122"/>
      <c r="D248" s="123"/>
      <c r="E248" s="106"/>
      <c r="F248" s="106"/>
      <c r="L248" s="106"/>
      <c r="M248" s="106"/>
      <c r="N248" s="106"/>
      <c r="O248" s="106"/>
      <c r="P248" s="106"/>
      <c r="AA248" s="28"/>
    </row>
    <row r="249" spans="1:27" ht="15.75" customHeight="1" x14ac:dyDescent="0.35">
      <c r="A249" s="243"/>
      <c r="B249" s="28"/>
      <c r="C249" s="122"/>
      <c r="D249" s="123"/>
      <c r="E249" s="106"/>
      <c r="F249" s="106"/>
      <c r="L249" s="106"/>
      <c r="M249" s="106"/>
      <c r="N249" s="106"/>
      <c r="O249" s="106"/>
      <c r="P249" s="106"/>
      <c r="AA249" s="28"/>
    </row>
    <row r="250" spans="1:27" ht="15.75" customHeight="1" x14ac:dyDescent="0.35">
      <c r="A250" s="243"/>
      <c r="B250" s="28"/>
      <c r="C250" s="122"/>
      <c r="D250" s="123"/>
      <c r="E250" s="106"/>
      <c r="F250" s="106"/>
      <c r="L250" s="106"/>
      <c r="M250" s="106"/>
      <c r="N250" s="106"/>
      <c r="O250" s="106"/>
      <c r="P250" s="106"/>
      <c r="AA250" s="28"/>
    </row>
    <row r="251" spans="1:27" ht="15.75" customHeight="1" x14ac:dyDescent="0.35">
      <c r="A251" s="243"/>
      <c r="B251" s="28"/>
      <c r="C251" s="122"/>
      <c r="D251" s="123"/>
      <c r="E251" s="106"/>
      <c r="F251" s="106"/>
      <c r="L251" s="106"/>
      <c r="M251" s="106"/>
      <c r="N251" s="106"/>
      <c r="O251" s="106"/>
      <c r="P251" s="106"/>
      <c r="AA251" s="28"/>
    </row>
    <row r="252" spans="1:27" ht="15.75" customHeight="1" x14ac:dyDescent="0.35">
      <c r="A252" s="243"/>
      <c r="B252" s="28"/>
      <c r="C252" s="122"/>
      <c r="D252" s="123"/>
      <c r="E252" s="106"/>
      <c r="F252" s="106"/>
      <c r="L252" s="106"/>
      <c r="M252" s="106"/>
      <c r="N252" s="106"/>
      <c r="O252" s="106"/>
      <c r="P252" s="106"/>
      <c r="AA252" s="28"/>
    </row>
    <row r="253" spans="1:27" ht="15.75" customHeight="1" x14ac:dyDescent="0.35">
      <c r="A253" s="243"/>
      <c r="B253" s="28"/>
      <c r="C253" s="122"/>
      <c r="D253" s="123"/>
      <c r="E253" s="106"/>
      <c r="F253" s="106"/>
      <c r="L253" s="106"/>
      <c r="M253" s="106"/>
      <c r="N253" s="106"/>
      <c r="O253" s="106"/>
      <c r="P253" s="106"/>
      <c r="AA253" s="28"/>
    </row>
    <row r="254" spans="1:27" ht="15.75" customHeight="1" x14ac:dyDescent="0.35">
      <c r="A254" s="243"/>
      <c r="B254" s="28"/>
      <c r="C254" s="122"/>
      <c r="D254" s="123"/>
      <c r="E254" s="106"/>
      <c r="F254" s="106"/>
      <c r="L254" s="106"/>
      <c r="M254" s="106"/>
      <c r="N254" s="106"/>
      <c r="O254" s="106"/>
      <c r="P254" s="106"/>
      <c r="AA254" s="28"/>
    </row>
    <row r="255" spans="1:27" ht="15.75" customHeight="1" x14ac:dyDescent="0.35">
      <c r="A255" s="243"/>
      <c r="B255" s="28"/>
      <c r="C255" s="122"/>
      <c r="D255" s="123"/>
      <c r="E255" s="106"/>
      <c r="F255" s="106"/>
      <c r="L255" s="106"/>
      <c r="M255" s="106"/>
      <c r="N255" s="106"/>
      <c r="O255" s="106"/>
      <c r="P255" s="106"/>
      <c r="AA255" s="28"/>
    </row>
    <row r="256" spans="1:27" ht="15.75" customHeight="1" x14ac:dyDescent="0.35">
      <c r="A256" s="243"/>
      <c r="B256" s="28"/>
      <c r="C256" s="122"/>
      <c r="D256" s="123"/>
      <c r="E256" s="106"/>
      <c r="F256" s="106"/>
      <c r="L256" s="106"/>
      <c r="M256" s="106"/>
      <c r="N256" s="106"/>
      <c r="O256" s="106"/>
      <c r="P256" s="106"/>
      <c r="AA256" s="28"/>
    </row>
    <row r="257" spans="1:27" ht="15.75" customHeight="1" x14ac:dyDescent="0.35">
      <c r="A257" s="243"/>
      <c r="B257" s="28"/>
      <c r="C257" s="122"/>
      <c r="D257" s="123"/>
      <c r="E257" s="106"/>
      <c r="F257" s="106"/>
      <c r="L257" s="106"/>
      <c r="M257" s="106"/>
      <c r="N257" s="106"/>
      <c r="O257" s="106"/>
      <c r="P257" s="106"/>
      <c r="AA257" s="28"/>
    </row>
    <row r="258" spans="1:27" ht="15.75" customHeight="1" x14ac:dyDescent="0.35">
      <c r="A258" s="243"/>
      <c r="B258" s="28"/>
      <c r="C258" s="122"/>
      <c r="D258" s="123"/>
      <c r="E258" s="106"/>
      <c r="F258" s="106"/>
      <c r="L258" s="106"/>
      <c r="M258" s="106"/>
      <c r="N258" s="106"/>
      <c r="O258" s="106"/>
      <c r="P258" s="106"/>
      <c r="AA258" s="28"/>
    </row>
    <row r="259" spans="1:27" ht="15.75" customHeight="1" x14ac:dyDescent="0.35">
      <c r="A259" s="243"/>
      <c r="B259" s="28"/>
      <c r="C259" s="122"/>
      <c r="D259" s="123"/>
      <c r="E259" s="106"/>
      <c r="F259" s="106"/>
      <c r="L259" s="106"/>
      <c r="M259" s="106"/>
      <c r="N259" s="106"/>
      <c r="O259" s="106"/>
      <c r="P259" s="106"/>
      <c r="AA259" s="28"/>
    </row>
    <row r="260" spans="1:27" ht="15.75" customHeight="1" x14ac:dyDescent="0.35">
      <c r="A260" s="243"/>
      <c r="B260" s="28"/>
      <c r="C260" s="122"/>
      <c r="D260" s="123"/>
      <c r="E260" s="106"/>
      <c r="F260" s="106"/>
      <c r="L260" s="106"/>
      <c r="M260" s="106"/>
      <c r="N260" s="106"/>
      <c r="O260" s="106"/>
      <c r="P260" s="106"/>
      <c r="AA260" s="28"/>
    </row>
    <row r="261" spans="1:27" ht="15.75" customHeight="1" x14ac:dyDescent="0.35">
      <c r="A261" s="243"/>
      <c r="B261" s="28"/>
      <c r="C261" s="122"/>
      <c r="D261" s="123"/>
      <c r="E261" s="106"/>
      <c r="F261" s="106"/>
      <c r="L261" s="106"/>
      <c r="M261" s="106"/>
      <c r="N261" s="106"/>
      <c r="O261" s="106"/>
      <c r="P261" s="106"/>
      <c r="AA261" s="28"/>
    </row>
    <row r="262" spans="1:27" ht="15.75" customHeight="1" x14ac:dyDescent="0.35">
      <c r="A262" s="243"/>
      <c r="B262" s="28"/>
      <c r="C262" s="122"/>
      <c r="D262" s="123"/>
      <c r="E262" s="106"/>
      <c r="F262" s="106"/>
      <c r="L262" s="106"/>
      <c r="M262" s="106"/>
      <c r="N262" s="106"/>
      <c r="O262" s="106"/>
      <c r="P262" s="106"/>
      <c r="AA262" s="28"/>
    </row>
    <row r="263" spans="1:27" ht="15.75" customHeight="1" x14ac:dyDescent="0.35">
      <c r="A263" s="243"/>
      <c r="B263" s="28"/>
      <c r="C263" s="122"/>
      <c r="D263" s="123"/>
      <c r="E263" s="106"/>
      <c r="F263" s="106"/>
      <c r="L263" s="106"/>
      <c r="M263" s="106"/>
      <c r="N263" s="106"/>
      <c r="O263" s="106"/>
      <c r="P263" s="106"/>
      <c r="AA263" s="28"/>
    </row>
    <row r="264" spans="1:27" ht="15.75" customHeight="1" x14ac:dyDescent="0.35">
      <c r="A264" s="243"/>
      <c r="B264" s="28"/>
      <c r="C264" s="122"/>
      <c r="D264" s="123"/>
      <c r="E264" s="106"/>
      <c r="F264" s="106"/>
      <c r="L264" s="106"/>
      <c r="M264" s="106"/>
      <c r="N264" s="106"/>
      <c r="O264" s="106"/>
      <c r="P264" s="106"/>
      <c r="AA264" s="28"/>
    </row>
    <row r="265" spans="1:27" ht="15.75" customHeight="1" x14ac:dyDescent="0.35">
      <c r="A265" s="243"/>
      <c r="B265" s="28"/>
      <c r="C265" s="122"/>
      <c r="D265" s="123"/>
      <c r="E265" s="106"/>
      <c r="F265" s="106"/>
      <c r="L265" s="106"/>
      <c r="M265" s="106"/>
      <c r="N265" s="106"/>
      <c r="O265" s="106"/>
      <c r="P265" s="106"/>
      <c r="AA265" s="28"/>
    </row>
    <row r="266" spans="1:27" ht="15.75" customHeight="1" x14ac:dyDescent="0.35">
      <c r="A266" s="243"/>
      <c r="B266" s="28"/>
      <c r="C266" s="122"/>
      <c r="D266" s="123"/>
      <c r="E266" s="106"/>
      <c r="F266" s="106"/>
      <c r="L266" s="106"/>
      <c r="M266" s="106"/>
      <c r="N266" s="106"/>
      <c r="O266" s="106"/>
      <c r="P266" s="106"/>
      <c r="AA266" s="28"/>
    </row>
    <row r="267" spans="1:27" ht="15.75" customHeight="1" x14ac:dyDescent="0.35">
      <c r="A267" s="243"/>
      <c r="B267" s="28"/>
      <c r="C267" s="122"/>
      <c r="D267" s="123"/>
      <c r="E267" s="106"/>
      <c r="F267" s="106"/>
      <c r="L267" s="106"/>
      <c r="M267" s="106"/>
      <c r="N267" s="106"/>
      <c r="O267" s="106"/>
      <c r="P267" s="106"/>
      <c r="AA267" s="28"/>
    </row>
    <row r="268" spans="1:27" ht="15.75" customHeight="1" x14ac:dyDescent="0.35">
      <c r="A268" s="243"/>
      <c r="B268" s="28"/>
      <c r="C268" s="122"/>
      <c r="D268" s="123"/>
      <c r="E268" s="106"/>
      <c r="F268" s="106"/>
      <c r="L268" s="106"/>
      <c r="M268" s="106"/>
      <c r="N268" s="106"/>
      <c r="O268" s="106"/>
      <c r="P268" s="106"/>
      <c r="AA268" s="28"/>
    </row>
    <row r="269" spans="1:27" ht="15.75" customHeight="1" x14ac:dyDescent="0.35">
      <c r="A269" s="243"/>
      <c r="B269" s="28"/>
      <c r="C269" s="122"/>
      <c r="D269" s="123"/>
      <c r="E269" s="106"/>
      <c r="F269" s="106"/>
      <c r="L269" s="106"/>
      <c r="M269" s="106"/>
      <c r="N269" s="106"/>
      <c r="O269" s="106"/>
      <c r="P269" s="106"/>
      <c r="AA269" s="28"/>
    </row>
    <row r="270" spans="1:27" ht="15.75" customHeight="1" x14ac:dyDescent="0.35">
      <c r="A270" s="243"/>
      <c r="B270" s="28"/>
      <c r="C270" s="122"/>
      <c r="D270" s="123"/>
      <c r="E270" s="106"/>
      <c r="F270" s="106"/>
      <c r="L270" s="106"/>
      <c r="M270" s="106"/>
      <c r="N270" s="106"/>
      <c r="O270" s="106"/>
      <c r="P270" s="106"/>
      <c r="AA270" s="28"/>
    </row>
    <row r="271" spans="1:27" ht="15.75" customHeight="1" x14ac:dyDescent="0.35">
      <c r="A271" s="243"/>
      <c r="B271" s="28"/>
      <c r="C271" s="122"/>
      <c r="D271" s="123"/>
      <c r="E271" s="106"/>
      <c r="F271" s="106"/>
      <c r="L271" s="106"/>
      <c r="M271" s="106"/>
      <c r="N271" s="106"/>
      <c r="O271" s="106"/>
      <c r="P271" s="106"/>
      <c r="AA271" s="28"/>
    </row>
    <row r="272" spans="1:27" ht="15.75" customHeight="1" x14ac:dyDescent="0.35">
      <c r="A272" s="243"/>
      <c r="B272" s="28"/>
      <c r="C272" s="122"/>
      <c r="D272" s="123"/>
      <c r="E272" s="106"/>
      <c r="F272" s="106"/>
      <c r="L272" s="106"/>
      <c r="M272" s="106"/>
      <c r="N272" s="106"/>
      <c r="O272" s="106"/>
      <c r="P272" s="106"/>
      <c r="AA272" s="28"/>
    </row>
    <row r="273" spans="1:27" ht="15.75" customHeight="1" x14ac:dyDescent="0.35">
      <c r="A273" s="243"/>
      <c r="B273" s="28"/>
      <c r="C273" s="122"/>
      <c r="D273" s="123"/>
      <c r="E273" s="106"/>
      <c r="F273" s="106"/>
      <c r="L273" s="106"/>
      <c r="M273" s="106"/>
      <c r="N273" s="106"/>
      <c r="O273" s="106"/>
      <c r="P273" s="106"/>
      <c r="AA273" s="28"/>
    </row>
    <row r="274" spans="1:27" ht="15.75" customHeight="1" x14ac:dyDescent="0.35">
      <c r="A274" s="243"/>
      <c r="B274" s="28"/>
      <c r="C274" s="122"/>
      <c r="D274" s="123"/>
      <c r="E274" s="106"/>
      <c r="F274" s="106"/>
      <c r="L274" s="106"/>
      <c r="M274" s="106"/>
      <c r="N274" s="106"/>
      <c r="O274" s="106"/>
      <c r="P274" s="106"/>
      <c r="AA274" s="28"/>
    </row>
    <row r="275" spans="1:27" ht="15.75" customHeight="1" x14ac:dyDescent="0.35">
      <c r="A275" s="243"/>
      <c r="B275" s="28"/>
      <c r="C275" s="122"/>
      <c r="D275" s="123"/>
      <c r="E275" s="106"/>
      <c r="F275" s="106"/>
      <c r="L275" s="106"/>
      <c r="M275" s="106"/>
      <c r="N275" s="106"/>
      <c r="O275" s="106"/>
      <c r="P275" s="106"/>
      <c r="AA275" s="28"/>
    </row>
    <row r="276" spans="1:27" ht="15.75" customHeight="1" x14ac:dyDescent="0.35">
      <c r="A276" s="243"/>
      <c r="B276" s="28"/>
      <c r="C276" s="122"/>
      <c r="D276" s="123"/>
      <c r="E276" s="106"/>
      <c r="F276" s="106"/>
      <c r="L276" s="106"/>
      <c r="M276" s="106"/>
      <c r="N276" s="106"/>
      <c r="O276" s="106"/>
      <c r="P276" s="106"/>
      <c r="AA276" s="28"/>
    </row>
    <row r="277" spans="1:27" ht="15.75" customHeight="1" x14ac:dyDescent="0.35">
      <c r="A277" s="243"/>
      <c r="B277" s="28"/>
      <c r="C277" s="122"/>
      <c r="D277" s="123"/>
      <c r="E277" s="106"/>
      <c r="F277" s="106"/>
      <c r="L277" s="106"/>
      <c r="M277" s="106"/>
      <c r="N277" s="106"/>
      <c r="O277" s="106"/>
      <c r="P277" s="106"/>
      <c r="AA277" s="28"/>
    </row>
    <row r="278" spans="1:27" ht="15.75" customHeight="1" x14ac:dyDescent="0.35">
      <c r="A278" s="243"/>
      <c r="B278" s="28"/>
      <c r="C278" s="122"/>
      <c r="D278" s="123"/>
      <c r="E278" s="106"/>
      <c r="F278" s="106"/>
      <c r="L278" s="106"/>
      <c r="M278" s="106"/>
      <c r="N278" s="106"/>
      <c r="O278" s="106"/>
      <c r="P278" s="106"/>
      <c r="AA278" s="28"/>
    </row>
    <row r="279" spans="1:27" ht="15.75" customHeight="1" x14ac:dyDescent="0.35">
      <c r="A279" s="243"/>
      <c r="B279" s="28"/>
      <c r="C279" s="122"/>
      <c r="D279" s="123"/>
      <c r="E279" s="106"/>
      <c r="F279" s="106"/>
      <c r="L279" s="106"/>
      <c r="M279" s="106"/>
      <c r="N279" s="106"/>
      <c r="O279" s="106"/>
      <c r="P279" s="106"/>
      <c r="AA279" s="28"/>
    </row>
    <row r="280" spans="1:27" ht="15.75" customHeight="1" x14ac:dyDescent="0.35">
      <c r="A280" s="243"/>
      <c r="B280" s="28"/>
      <c r="C280" s="122"/>
      <c r="D280" s="123"/>
      <c r="E280" s="106"/>
      <c r="F280" s="106"/>
      <c r="L280" s="106"/>
      <c r="M280" s="106"/>
      <c r="N280" s="106"/>
      <c r="O280" s="106"/>
      <c r="P280" s="106"/>
      <c r="AA280" s="28"/>
    </row>
    <row r="281" spans="1:27" ht="15.75" customHeight="1" x14ac:dyDescent="0.35">
      <c r="A281" s="243"/>
      <c r="B281" s="28"/>
      <c r="C281" s="122"/>
      <c r="D281" s="123"/>
      <c r="E281" s="106"/>
      <c r="F281" s="106"/>
      <c r="L281" s="106"/>
      <c r="M281" s="106"/>
      <c r="N281" s="106"/>
      <c r="O281" s="106"/>
      <c r="P281" s="106"/>
      <c r="AA281" s="28"/>
    </row>
    <row r="282" spans="1:27" ht="15.75" customHeight="1" x14ac:dyDescent="0.35">
      <c r="A282" s="243"/>
      <c r="B282" s="28"/>
      <c r="C282" s="122"/>
      <c r="D282" s="123"/>
      <c r="E282" s="106"/>
      <c r="F282" s="106"/>
      <c r="L282" s="106"/>
      <c r="M282" s="106"/>
      <c r="N282" s="106"/>
      <c r="O282" s="106"/>
      <c r="P282" s="106"/>
      <c r="AA282" s="28"/>
    </row>
    <row r="283" spans="1:27" ht="15.75" customHeight="1" x14ac:dyDescent="0.35">
      <c r="A283" s="243"/>
      <c r="B283" s="28"/>
      <c r="C283" s="122"/>
      <c r="D283" s="123"/>
      <c r="E283" s="106"/>
      <c r="F283" s="106"/>
      <c r="L283" s="106"/>
      <c r="M283" s="106"/>
      <c r="N283" s="106"/>
      <c r="O283" s="106"/>
      <c r="P283" s="106"/>
      <c r="AA283" s="28"/>
    </row>
    <row r="284" spans="1:27" ht="15.75" customHeight="1" x14ac:dyDescent="0.35">
      <c r="A284" s="243"/>
      <c r="B284" s="28"/>
      <c r="C284" s="122"/>
      <c r="D284" s="123"/>
      <c r="E284" s="106"/>
      <c r="F284" s="106"/>
      <c r="L284" s="106"/>
      <c r="M284" s="106"/>
      <c r="N284" s="106"/>
      <c r="O284" s="106"/>
      <c r="P284" s="106"/>
      <c r="AA284" s="28"/>
    </row>
    <row r="285" spans="1:27" ht="15.75" customHeight="1" x14ac:dyDescent="0.35">
      <c r="A285" s="243"/>
      <c r="B285" s="28"/>
      <c r="C285" s="122"/>
      <c r="D285" s="123"/>
      <c r="E285" s="106"/>
      <c r="F285" s="106"/>
      <c r="L285" s="106"/>
      <c r="M285" s="106"/>
      <c r="N285" s="106"/>
      <c r="O285" s="106"/>
      <c r="P285" s="106"/>
      <c r="AA285" s="28"/>
    </row>
    <row r="286" spans="1:27" ht="15.75" customHeight="1" x14ac:dyDescent="0.35">
      <c r="A286" s="243"/>
      <c r="B286" s="28"/>
      <c r="C286" s="122"/>
      <c r="D286" s="123"/>
      <c r="E286" s="106"/>
      <c r="F286" s="106"/>
      <c r="L286" s="106"/>
      <c r="M286" s="106"/>
      <c r="N286" s="106"/>
      <c r="O286" s="106"/>
      <c r="P286" s="106"/>
      <c r="AA286" s="28"/>
    </row>
    <row r="287" spans="1:27" ht="15.75" customHeight="1" x14ac:dyDescent="0.35">
      <c r="A287" s="243"/>
      <c r="B287" s="28"/>
      <c r="C287" s="122"/>
      <c r="D287" s="123"/>
      <c r="E287" s="106"/>
      <c r="F287" s="106"/>
      <c r="L287" s="106"/>
      <c r="M287" s="106"/>
      <c r="N287" s="106"/>
      <c r="O287" s="106"/>
      <c r="P287" s="106"/>
      <c r="AA287" s="28"/>
    </row>
    <row r="288" spans="1:27" ht="15.75" customHeight="1" x14ac:dyDescent="0.35">
      <c r="A288" s="243"/>
      <c r="B288" s="28"/>
      <c r="C288" s="122"/>
      <c r="D288" s="123"/>
      <c r="E288" s="106"/>
      <c r="F288" s="106"/>
      <c r="L288" s="106"/>
      <c r="M288" s="106"/>
      <c r="N288" s="106"/>
      <c r="O288" s="106"/>
      <c r="P288" s="106"/>
      <c r="AA288" s="28"/>
    </row>
    <row r="289" spans="1:27" ht="15.75" customHeight="1" x14ac:dyDescent="0.35">
      <c r="A289" s="243"/>
      <c r="B289" s="28"/>
      <c r="C289" s="122"/>
      <c r="D289" s="123"/>
      <c r="E289" s="106"/>
      <c r="F289" s="106"/>
      <c r="L289" s="106"/>
      <c r="M289" s="106"/>
      <c r="N289" s="106"/>
      <c r="O289" s="106"/>
      <c r="P289" s="106"/>
      <c r="AA289" s="28"/>
    </row>
    <row r="290" spans="1:27" ht="15.75" customHeight="1" x14ac:dyDescent="0.35">
      <c r="A290" s="243"/>
      <c r="B290" s="28"/>
      <c r="C290" s="122"/>
      <c r="D290" s="123"/>
      <c r="E290" s="106"/>
      <c r="F290" s="106"/>
      <c r="L290" s="106"/>
      <c r="M290" s="106"/>
      <c r="N290" s="106"/>
      <c r="O290" s="106"/>
      <c r="P290" s="106"/>
      <c r="AA290" s="28"/>
    </row>
    <row r="291" spans="1:27" ht="15.75" customHeight="1" x14ac:dyDescent="0.35">
      <c r="A291" s="243"/>
      <c r="B291" s="28"/>
      <c r="C291" s="122"/>
      <c r="D291" s="123"/>
      <c r="E291" s="106"/>
      <c r="F291" s="106"/>
      <c r="L291" s="106"/>
      <c r="M291" s="106"/>
      <c r="N291" s="106"/>
      <c r="O291" s="106"/>
      <c r="P291" s="106"/>
      <c r="AA291" s="28"/>
    </row>
    <row r="292" spans="1:27" ht="15.75" customHeight="1" x14ac:dyDescent="0.35">
      <c r="A292" s="243"/>
      <c r="B292" s="28"/>
      <c r="C292" s="122"/>
      <c r="D292" s="123"/>
      <c r="E292" s="106"/>
      <c r="F292" s="106"/>
      <c r="L292" s="106"/>
      <c r="M292" s="106"/>
      <c r="N292" s="106"/>
      <c r="O292" s="106"/>
      <c r="P292" s="106"/>
      <c r="AA292" s="28"/>
    </row>
    <row r="293" spans="1:27" ht="15.75" customHeight="1" x14ac:dyDescent="0.35">
      <c r="A293" s="243"/>
      <c r="B293" s="28"/>
      <c r="C293" s="122"/>
      <c r="D293" s="123"/>
      <c r="E293" s="106"/>
      <c r="F293" s="106"/>
      <c r="L293" s="106"/>
      <c r="M293" s="106"/>
      <c r="N293" s="106"/>
      <c r="O293" s="106"/>
      <c r="P293" s="106"/>
      <c r="AA293" s="28"/>
    </row>
    <row r="294" spans="1:27" ht="15.75" customHeight="1" x14ac:dyDescent="0.35">
      <c r="A294" s="243"/>
      <c r="B294" s="28"/>
      <c r="C294" s="122"/>
      <c r="D294" s="123"/>
      <c r="E294" s="106"/>
      <c r="F294" s="106"/>
      <c r="L294" s="106"/>
      <c r="M294" s="106"/>
      <c r="N294" s="106"/>
      <c r="O294" s="106"/>
      <c r="P294" s="106"/>
      <c r="AA294" s="28"/>
    </row>
    <row r="295" spans="1:27" ht="15.75" customHeight="1" x14ac:dyDescent="0.35">
      <c r="A295" s="243"/>
      <c r="B295" s="28"/>
      <c r="C295" s="122"/>
      <c r="D295" s="123"/>
      <c r="E295" s="106"/>
      <c r="F295" s="106"/>
      <c r="L295" s="106"/>
      <c r="M295" s="106"/>
      <c r="N295" s="106"/>
      <c r="O295" s="106"/>
      <c r="P295" s="106"/>
      <c r="AA295" s="28"/>
    </row>
    <row r="296" spans="1:27" ht="15.75" customHeight="1" x14ac:dyDescent="0.35">
      <c r="A296" s="243"/>
      <c r="B296" s="28"/>
      <c r="C296" s="122"/>
      <c r="D296" s="123"/>
      <c r="E296" s="106"/>
      <c r="F296" s="106"/>
      <c r="L296" s="106"/>
      <c r="M296" s="106"/>
      <c r="N296" s="106"/>
      <c r="O296" s="106"/>
      <c r="P296" s="106"/>
      <c r="AA296" s="28"/>
    </row>
    <row r="297" spans="1:27" ht="15.75" customHeight="1" x14ac:dyDescent="0.35">
      <c r="A297" s="243"/>
      <c r="B297" s="28"/>
      <c r="C297" s="122"/>
      <c r="D297" s="123"/>
      <c r="E297" s="106"/>
      <c r="F297" s="106"/>
      <c r="L297" s="106"/>
      <c r="M297" s="106"/>
      <c r="N297" s="106"/>
      <c r="O297" s="106"/>
      <c r="P297" s="106"/>
      <c r="AA297" s="28"/>
    </row>
    <row r="298" spans="1:27" ht="15.75" customHeight="1" x14ac:dyDescent="0.35">
      <c r="A298" s="243"/>
      <c r="B298" s="28"/>
      <c r="C298" s="122"/>
      <c r="D298" s="123"/>
      <c r="E298" s="106"/>
      <c r="F298" s="106"/>
      <c r="L298" s="106"/>
      <c r="M298" s="106"/>
      <c r="N298" s="106"/>
      <c r="O298" s="106"/>
      <c r="P298" s="106"/>
      <c r="AA298" s="28"/>
    </row>
    <row r="299" spans="1:27" ht="15.75" customHeight="1" x14ac:dyDescent="0.35">
      <c r="A299" s="243"/>
      <c r="B299" s="28"/>
      <c r="C299" s="122"/>
      <c r="D299" s="123"/>
      <c r="E299" s="106"/>
      <c r="F299" s="106"/>
      <c r="L299" s="106"/>
      <c r="M299" s="106"/>
      <c r="N299" s="106"/>
      <c r="O299" s="106"/>
      <c r="P299" s="106"/>
      <c r="AA299" s="28"/>
    </row>
    <row r="300" spans="1:27" ht="15.75" customHeight="1" x14ac:dyDescent="0.35">
      <c r="A300" s="243"/>
      <c r="B300" s="28"/>
      <c r="C300" s="122"/>
      <c r="D300" s="123"/>
      <c r="E300" s="106"/>
      <c r="F300" s="106"/>
      <c r="L300" s="106"/>
      <c r="M300" s="106"/>
      <c r="N300" s="106"/>
      <c r="O300" s="106"/>
      <c r="P300" s="106"/>
      <c r="AA300" s="28"/>
    </row>
    <row r="301" spans="1:27" ht="15.75" customHeight="1" x14ac:dyDescent="0.35">
      <c r="A301" s="243"/>
      <c r="B301" s="28"/>
      <c r="C301" s="122"/>
      <c r="D301" s="123"/>
      <c r="E301" s="106"/>
      <c r="F301" s="106"/>
      <c r="L301" s="106"/>
      <c r="M301" s="106"/>
      <c r="N301" s="106"/>
      <c r="O301" s="106"/>
      <c r="P301" s="106"/>
      <c r="AA301" s="28"/>
    </row>
    <row r="302" spans="1:27" ht="15.75" customHeight="1" x14ac:dyDescent="0.35">
      <c r="A302" s="243"/>
      <c r="B302" s="28"/>
      <c r="C302" s="122"/>
      <c r="D302" s="123"/>
      <c r="E302" s="106"/>
      <c r="F302" s="106"/>
      <c r="L302" s="106"/>
      <c r="M302" s="106"/>
      <c r="N302" s="106"/>
      <c r="O302" s="106"/>
      <c r="P302" s="106"/>
      <c r="AA302" s="28"/>
    </row>
    <row r="303" spans="1:27" ht="15.75" customHeight="1" x14ac:dyDescent="0.35">
      <c r="A303" s="243"/>
      <c r="B303" s="28"/>
      <c r="C303" s="122"/>
      <c r="D303" s="123"/>
      <c r="E303" s="106"/>
      <c r="F303" s="106"/>
      <c r="L303" s="106"/>
      <c r="M303" s="106"/>
      <c r="N303" s="106"/>
      <c r="O303" s="106"/>
      <c r="P303" s="106"/>
      <c r="AA303" s="28"/>
    </row>
    <row r="304" spans="1:27" ht="15.75" customHeight="1" x14ac:dyDescent="0.35">
      <c r="A304" s="243"/>
      <c r="B304" s="28"/>
      <c r="C304" s="122"/>
      <c r="D304" s="123"/>
      <c r="E304" s="106"/>
      <c r="F304" s="106"/>
      <c r="L304" s="106"/>
      <c r="M304" s="106"/>
      <c r="N304" s="106"/>
      <c r="O304" s="106"/>
      <c r="P304" s="106"/>
      <c r="AA304" s="28"/>
    </row>
    <row r="305" spans="1:27" ht="15.75" customHeight="1" x14ac:dyDescent="0.35">
      <c r="A305" s="243"/>
      <c r="B305" s="28"/>
      <c r="C305" s="122"/>
      <c r="D305" s="123"/>
      <c r="E305" s="106"/>
      <c r="F305" s="106"/>
      <c r="L305" s="106"/>
      <c r="M305" s="106"/>
      <c r="N305" s="106"/>
      <c r="O305" s="106"/>
      <c r="P305" s="106"/>
      <c r="AA305" s="28"/>
    </row>
    <row r="306" spans="1:27" ht="15.75" customHeight="1" x14ac:dyDescent="0.35">
      <c r="A306" s="243"/>
      <c r="B306" s="28"/>
      <c r="C306" s="122"/>
      <c r="D306" s="123"/>
      <c r="E306" s="106"/>
      <c r="F306" s="106"/>
      <c r="L306" s="106"/>
      <c r="M306" s="106"/>
      <c r="N306" s="106"/>
      <c r="O306" s="106"/>
      <c r="P306" s="106"/>
      <c r="AA306" s="28"/>
    </row>
    <row r="307" spans="1:27" ht="15.75" customHeight="1" x14ac:dyDescent="0.35">
      <c r="A307" s="243"/>
      <c r="B307" s="28"/>
      <c r="C307" s="122"/>
      <c r="D307" s="123"/>
      <c r="E307" s="106"/>
      <c r="F307" s="106"/>
      <c r="L307" s="106"/>
      <c r="M307" s="106"/>
      <c r="N307" s="106"/>
      <c r="O307" s="106"/>
      <c r="P307" s="106"/>
      <c r="AA307" s="28"/>
    </row>
    <row r="308" spans="1:27" ht="15.75" customHeight="1" x14ac:dyDescent="0.35">
      <c r="A308" s="243"/>
      <c r="B308" s="28"/>
      <c r="C308" s="122"/>
      <c r="D308" s="123"/>
      <c r="E308" s="106"/>
      <c r="F308" s="106"/>
      <c r="L308" s="106"/>
      <c r="M308" s="106"/>
      <c r="N308" s="106"/>
      <c r="O308" s="106"/>
      <c r="P308" s="106"/>
      <c r="AA308" s="28"/>
    </row>
    <row r="309" spans="1:27" ht="15.75" customHeight="1" x14ac:dyDescent="0.35">
      <c r="A309" s="243"/>
      <c r="B309" s="28"/>
      <c r="C309" s="122"/>
      <c r="D309" s="123"/>
      <c r="E309" s="106"/>
      <c r="F309" s="106"/>
      <c r="L309" s="106"/>
      <c r="M309" s="106"/>
      <c r="N309" s="106"/>
      <c r="O309" s="106"/>
      <c r="P309" s="106"/>
      <c r="AA309" s="28"/>
    </row>
    <row r="310" spans="1:27" ht="15.75" customHeight="1" x14ac:dyDescent="0.35">
      <c r="A310" s="243"/>
      <c r="B310" s="28"/>
      <c r="C310" s="122"/>
      <c r="D310" s="123"/>
      <c r="E310" s="106"/>
      <c r="F310" s="106"/>
      <c r="L310" s="106"/>
      <c r="M310" s="106"/>
      <c r="N310" s="106"/>
      <c r="O310" s="106"/>
      <c r="P310" s="106"/>
      <c r="AA310" s="28"/>
    </row>
    <row r="311" spans="1:27" ht="15.75" customHeight="1" x14ac:dyDescent="0.35">
      <c r="A311" s="243"/>
      <c r="B311" s="28"/>
      <c r="C311" s="122"/>
      <c r="D311" s="123"/>
      <c r="E311" s="106"/>
      <c r="F311" s="106"/>
      <c r="L311" s="106"/>
      <c r="M311" s="106"/>
      <c r="N311" s="106"/>
      <c r="O311" s="106"/>
      <c r="P311" s="106"/>
      <c r="AA311" s="28"/>
    </row>
    <row r="312" spans="1:27" ht="15.75" customHeight="1" x14ac:dyDescent="0.35">
      <c r="A312" s="243"/>
      <c r="B312" s="28"/>
      <c r="C312" s="122"/>
      <c r="D312" s="123"/>
      <c r="E312" s="106"/>
      <c r="F312" s="106"/>
      <c r="L312" s="106"/>
      <c r="M312" s="106"/>
      <c r="N312" s="106"/>
      <c r="O312" s="106"/>
      <c r="P312" s="106"/>
      <c r="AA312" s="28"/>
    </row>
    <row r="313" spans="1:27" ht="15.75" customHeight="1" x14ac:dyDescent="0.35">
      <c r="A313" s="243"/>
      <c r="B313" s="28"/>
      <c r="C313" s="122"/>
      <c r="D313" s="123"/>
      <c r="E313" s="106"/>
      <c r="F313" s="106"/>
      <c r="L313" s="106"/>
      <c r="M313" s="106"/>
      <c r="N313" s="106"/>
      <c r="O313" s="106"/>
      <c r="P313" s="106"/>
      <c r="AA313" s="28"/>
    </row>
    <row r="314" spans="1:27" ht="15.75" customHeight="1" x14ac:dyDescent="0.35">
      <c r="A314" s="243"/>
      <c r="B314" s="28"/>
      <c r="C314" s="122"/>
      <c r="D314" s="123"/>
      <c r="E314" s="106"/>
      <c r="F314" s="106"/>
      <c r="L314" s="106"/>
      <c r="M314" s="106"/>
      <c r="N314" s="106"/>
      <c r="O314" s="106"/>
      <c r="P314" s="106"/>
      <c r="AA314" s="28"/>
    </row>
    <row r="315" spans="1:27" ht="15.75" customHeight="1" x14ac:dyDescent="0.35">
      <c r="A315" s="243"/>
      <c r="B315" s="28"/>
      <c r="C315" s="122"/>
      <c r="D315" s="123"/>
      <c r="E315" s="106"/>
      <c r="F315" s="106"/>
      <c r="L315" s="106"/>
      <c r="M315" s="106"/>
      <c r="N315" s="106"/>
      <c r="O315" s="106"/>
      <c r="P315" s="106"/>
      <c r="AA315" s="28"/>
    </row>
    <row r="316" spans="1:27" ht="15.75" customHeight="1" x14ac:dyDescent="0.35">
      <c r="A316" s="243"/>
      <c r="B316" s="28"/>
      <c r="C316" s="122"/>
      <c r="D316" s="123"/>
      <c r="E316" s="106"/>
      <c r="F316" s="106"/>
      <c r="L316" s="106"/>
      <c r="M316" s="106"/>
      <c r="N316" s="106"/>
      <c r="O316" s="106"/>
      <c r="P316" s="106"/>
      <c r="AA316" s="28"/>
    </row>
    <row r="317" spans="1:27" ht="15.75" customHeight="1" x14ac:dyDescent="0.35">
      <c r="A317" s="243"/>
      <c r="B317" s="28"/>
      <c r="C317" s="122"/>
      <c r="D317" s="123"/>
      <c r="E317" s="106"/>
      <c r="F317" s="106"/>
      <c r="L317" s="106"/>
      <c r="M317" s="106"/>
      <c r="N317" s="106"/>
      <c r="O317" s="106"/>
      <c r="P317" s="106"/>
      <c r="AA317" s="28"/>
    </row>
    <row r="318" spans="1:27" ht="15.75" customHeight="1" x14ac:dyDescent="0.35">
      <c r="A318" s="243"/>
      <c r="B318" s="28"/>
      <c r="C318" s="122"/>
      <c r="D318" s="123"/>
      <c r="E318" s="106"/>
      <c r="F318" s="106"/>
      <c r="L318" s="106"/>
      <c r="M318" s="106"/>
      <c r="N318" s="106"/>
      <c r="O318" s="106"/>
      <c r="P318" s="106"/>
      <c r="AA318" s="28"/>
    </row>
    <row r="319" spans="1:27" ht="15.75" customHeight="1" x14ac:dyDescent="0.35">
      <c r="A319" s="243"/>
      <c r="B319" s="28"/>
      <c r="C319" s="122"/>
      <c r="D319" s="123"/>
      <c r="E319" s="106"/>
      <c r="F319" s="106"/>
      <c r="L319" s="106"/>
      <c r="M319" s="106"/>
      <c r="N319" s="106"/>
      <c r="O319" s="106"/>
      <c r="P319" s="106"/>
      <c r="AA319" s="28"/>
    </row>
    <row r="320" spans="1:27" ht="15.75" customHeight="1" x14ac:dyDescent="0.35">
      <c r="A320" s="243"/>
      <c r="B320" s="28"/>
      <c r="C320" s="122"/>
      <c r="D320" s="123"/>
      <c r="E320" s="106"/>
      <c r="F320" s="106"/>
      <c r="L320" s="106"/>
      <c r="M320" s="106"/>
      <c r="N320" s="106"/>
      <c r="O320" s="106"/>
      <c r="P320" s="106"/>
      <c r="AA320" s="28"/>
    </row>
    <row r="321" spans="1:27" ht="15.75" customHeight="1" x14ac:dyDescent="0.35">
      <c r="A321" s="243"/>
      <c r="B321" s="28"/>
      <c r="C321" s="122"/>
      <c r="D321" s="123"/>
      <c r="E321" s="106"/>
      <c r="F321" s="106"/>
      <c r="L321" s="106"/>
      <c r="M321" s="106"/>
      <c r="N321" s="106"/>
      <c r="O321" s="106"/>
      <c r="P321" s="106"/>
      <c r="AA321" s="28"/>
    </row>
    <row r="322" spans="1:27" ht="15.75" customHeight="1" x14ac:dyDescent="0.35">
      <c r="A322" s="243"/>
      <c r="B322" s="28"/>
      <c r="C322" s="122"/>
      <c r="D322" s="123"/>
      <c r="E322" s="106"/>
      <c r="F322" s="106"/>
      <c r="L322" s="106"/>
      <c r="M322" s="106"/>
      <c r="N322" s="106"/>
      <c r="O322" s="106"/>
      <c r="P322" s="106"/>
      <c r="AA322" s="28"/>
    </row>
    <row r="323" spans="1:27" ht="15.75" customHeight="1" x14ac:dyDescent="0.35">
      <c r="A323" s="243"/>
      <c r="B323" s="28"/>
      <c r="C323" s="122"/>
      <c r="D323" s="123"/>
      <c r="E323" s="106"/>
      <c r="F323" s="106"/>
      <c r="L323" s="106"/>
      <c r="M323" s="106"/>
      <c r="N323" s="106"/>
      <c r="O323" s="106"/>
      <c r="P323" s="106"/>
      <c r="AA323" s="28"/>
    </row>
    <row r="324" spans="1:27" ht="15.75" customHeight="1" x14ac:dyDescent="0.35">
      <c r="A324" s="243"/>
      <c r="B324" s="28"/>
      <c r="C324" s="122"/>
      <c r="D324" s="123"/>
      <c r="E324" s="106"/>
      <c r="F324" s="106"/>
      <c r="L324" s="106"/>
      <c r="M324" s="106"/>
      <c r="N324" s="106"/>
      <c r="O324" s="106"/>
      <c r="P324" s="106"/>
      <c r="AA324" s="28"/>
    </row>
    <row r="325" spans="1:27" ht="15.75" customHeight="1" x14ac:dyDescent="0.35">
      <c r="A325" s="243"/>
      <c r="B325" s="28"/>
      <c r="C325" s="122"/>
      <c r="D325" s="123"/>
      <c r="E325" s="106"/>
      <c r="F325" s="106"/>
      <c r="L325" s="106"/>
      <c r="M325" s="106"/>
      <c r="N325" s="106"/>
      <c r="O325" s="106"/>
      <c r="P325" s="106"/>
      <c r="AA325" s="28"/>
    </row>
    <row r="326" spans="1:27" ht="15.75" customHeight="1" x14ac:dyDescent="0.35">
      <c r="A326" s="243"/>
      <c r="B326" s="28"/>
      <c r="C326" s="122"/>
      <c r="D326" s="123"/>
      <c r="E326" s="106"/>
      <c r="F326" s="106"/>
      <c r="L326" s="106"/>
      <c r="M326" s="106"/>
      <c r="N326" s="106"/>
      <c r="O326" s="106"/>
      <c r="P326" s="106"/>
      <c r="AA326" s="28"/>
    </row>
    <row r="327" spans="1:27" ht="15.75" customHeight="1" x14ac:dyDescent="0.35">
      <c r="A327" s="243"/>
      <c r="B327" s="28"/>
      <c r="C327" s="122"/>
      <c r="D327" s="123"/>
      <c r="E327" s="106"/>
      <c r="F327" s="106"/>
      <c r="L327" s="106"/>
      <c r="M327" s="106"/>
      <c r="N327" s="106"/>
      <c r="O327" s="106"/>
      <c r="P327" s="106"/>
      <c r="AA327" s="28"/>
    </row>
    <row r="328" spans="1:27" ht="15.75" customHeight="1" x14ac:dyDescent="0.35">
      <c r="A328" s="243"/>
      <c r="B328" s="28"/>
      <c r="C328" s="122"/>
      <c r="D328" s="123"/>
      <c r="E328" s="106"/>
      <c r="F328" s="106"/>
      <c r="L328" s="106"/>
      <c r="M328" s="106"/>
      <c r="N328" s="106"/>
      <c r="O328" s="106"/>
      <c r="P328" s="106"/>
      <c r="AA328" s="28"/>
    </row>
    <row r="329" spans="1:27" ht="15.75" customHeight="1" x14ac:dyDescent="0.35">
      <c r="A329" s="243"/>
      <c r="B329" s="28"/>
      <c r="C329" s="122"/>
      <c r="D329" s="123"/>
      <c r="E329" s="106"/>
      <c r="F329" s="106"/>
      <c r="L329" s="106"/>
      <c r="M329" s="106"/>
      <c r="N329" s="106"/>
      <c r="O329" s="106"/>
      <c r="P329" s="106"/>
      <c r="AA329" s="28"/>
    </row>
    <row r="330" spans="1:27" ht="15.75" customHeight="1" x14ac:dyDescent="0.35">
      <c r="A330" s="243"/>
      <c r="B330" s="28"/>
      <c r="C330" s="122"/>
      <c r="D330" s="123"/>
      <c r="E330" s="106"/>
      <c r="F330" s="106"/>
      <c r="L330" s="106"/>
      <c r="M330" s="106"/>
      <c r="N330" s="106"/>
      <c r="O330" s="106"/>
      <c r="P330" s="106"/>
      <c r="AA330" s="28"/>
    </row>
    <row r="331" spans="1:27" ht="15.75" customHeight="1" x14ac:dyDescent="0.35">
      <c r="A331" s="243"/>
      <c r="B331" s="28"/>
      <c r="C331" s="122"/>
      <c r="D331" s="123"/>
      <c r="E331" s="106"/>
      <c r="F331" s="106"/>
      <c r="L331" s="106"/>
      <c r="M331" s="106"/>
      <c r="N331" s="106"/>
      <c r="O331" s="106"/>
      <c r="P331" s="106"/>
      <c r="AA331" s="28"/>
    </row>
    <row r="332" spans="1:27" ht="15.75" customHeight="1" x14ac:dyDescent="0.35">
      <c r="A332" s="243"/>
      <c r="B332" s="28"/>
      <c r="C332" s="122"/>
      <c r="D332" s="123"/>
      <c r="E332" s="106"/>
      <c r="F332" s="106"/>
      <c r="L332" s="106"/>
      <c r="M332" s="106"/>
      <c r="N332" s="106"/>
      <c r="O332" s="106"/>
      <c r="P332" s="106"/>
      <c r="AA332" s="28"/>
    </row>
    <row r="333" spans="1:27" ht="15.75" customHeight="1" x14ac:dyDescent="0.35">
      <c r="A333" s="243"/>
      <c r="B333" s="28"/>
      <c r="C333" s="122"/>
      <c r="D333" s="123"/>
      <c r="E333" s="106"/>
      <c r="F333" s="106"/>
      <c r="L333" s="106"/>
      <c r="M333" s="106"/>
      <c r="N333" s="106"/>
      <c r="O333" s="106"/>
      <c r="P333" s="106"/>
      <c r="AA333" s="28"/>
    </row>
    <row r="334" spans="1:27" ht="15.75" customHeight="1" x14ac:dyDescent="0.35">
      <c r="A334" s="243"/>
      <c r="B334" s="28"/>
      <c r="C334" s="122"/>
      <c r="D334" s="123"/>
      <c r="E334" s="106"/>
      <c r="F334" s="106"/>
      <c r="L334" s="106"/>
      <c r="M334" s="106"/>
      <c r="N334" s="106"/>
      <c r="O334" s="106"/>
      <c r="P334" s="106"/>
      <c r="AA334" s="28"/>
    </row>
    <row r="335" spans="1:27" ht="15.75" customHeight="1" x14ac:dyDescent="0.35">
      <c r="A335" s="243"/>
      <c r="B335" s="28"/>
      <c r="C335" s="122"/>
      <c r="D335" s="123"/>
      <c r="E335" s="106"/>
      <c r="F335" s="106"/>
      <c r="L335" s="106"/>
      <c r="M335" s="106"/>
      <c r="N335" s="106"/>
      <c r="O335" s="106"/>
      <c r="P335" s="106"/>
      <c r="AA335" s="28"/>
    </row>
    <row r="336" spans="1:27" ht="15.75" customHeight="1" x14ac:dyDescent="0.35">
      <c r="A336" s="243"/>
      <c r="B336" s="28"/>
      <c r="C336" s="122"/>
      <c r="D336" s="123"/>
      <c r="E336" s="106"/>
      <c r="F336" s="106"/>
      <c r="L336" s="106"/>
      <c r="M336" s="106"/>
      <c r="N336" s="106"/>
      <c r="O336" s="106"/>
      <c r="P336" s="106"/>
      <c r="AA336" s="28"/>
    </row>
    <row r="337" spans="1:27" ht="15.75" customHeight="1" x14ac:dyDescent="0.35">
      <c r="A337" s="243"/>
      <c r="B337" s="28"/>
      <c r="C337" s="122"/>
      <c r="D337" s="123"/>
      <c r="E337" s="106"/>
      <c r="F337" s="106"/>
      <c r="L337" s="106"/>
      <c r="M337" s="106"/>
      <c r="N337" s="106"/>
      <c r="O337" s="106"/>
      <c r="P337" s="106"/>
      <c r="AA337" s="28"/>
    </row>
    <row r="338" spans="1:27" ht="15.75" customHeight="1" x14ac:dyDescent="0.35">
      <c r="A338" s="243"/>
      <c r="B338" s="28"/>
      <c r="C338" s="122"/>
      <c r="D338" s="123"/>
      <c r="E338" s="106"/>
      <c r="F338" s="106"/>
      <c r="L338" s="106"/>
      <c r="M338" s="106"/>
      <c r="N338" s="106"/>
      <c r="O338" s="106"/>
      <c r="P338" s="106"/>
      <c r="AA338" s="28"/>
    </row>
    <row r="339" spans="1:27" ht="15.75" customHeight="1" x14ac:dyDescent="0.35">
      <c r="A339" s="243"/>
      <c r="B339" s="28"/>
      <c r="C339" s="122"/>
      <c r="D339" s="123"/>
      <c r="E339" s="106"/>
      <c r="F339" s="106"/>
      <c r="L339" s="106"/>
      <c r="M339" s="106"/>
      <c r="N339" s="106"/>
      <c r="O339" s="106"/>
      <c r="P339" s="106"/>
      <c r="AA339" s="28"/>
    </row>
    <row r="340" spans="1:27" ht="15.75" customHeight="1" x14ac:dyDescent="0.35">
      <c r="A340" s="243"/>
      <c r="B340" s="28"/>
      <c r="C340" s="122"/>
      <c r="D340" s="123"/>
      <c r="E340" s="106"/>
      <c r="F340" s="106"/>
      <c r="L340" s="106"/>
      <c r="M340" s="106"/>
      <c r="N340" s="106"/>
      <c r="O340" s="106"/>
      <c r="P340" s="106"/>
      <c r="AA340" s="28"/>
    </row>
    <row r="341" spans="1:27" ht="15.75" customHeight="1" x14ac:dyDescent="0.35">
      <c r="A341" s="243"/>
      <c r="B341" s="28"/>
      <c r="C341" s="122"/>
      <c r="D341" s="123"/>
      <c r="E341" s="106"/>
      <c r="F341" s="106"/>
      <c r="L341" s="106"/>
      <c r="M341" s="106"/>
      <c r="N341" s="106"/>
      <c r="O341" s="106"/>
      <c r="P341" s="106"/>
      <c r="AA341" s="28"/>
    </row>
    <row r="342" spans="1:27" ht="15.75" customHeight="1" x14ac:dyDescent="0.35">
      <c r="A342" s="243"/>
      <c r="B342" s="28"/>
      <c r="C342" s="122"/>
      <c r="D342" s="123"/>
      <c r="E342" s="106"/>
      <c r="F342" s="106"/>
      <c r="L342" s="106"/>
      <c r="M342" s="106"/>
      <c r="N342" s="106"/>
      <c r="O342" s="106"/>
      <c r="P342" s="106"/>
      <c r="AA342" s="28"/>
    </row>
    <row r="343" spans="1:27" ht="15.75" customHeight="1" x14ac:dyDescent="0.35">
      <c r="A343" s="243"/>
      <c r="B343" s="28"/>
      <c r="C343" s="122"/>
      <c r="D343" s="123"/>
      <c r="E343" s="106"/>
      <c r="F343" s="106"/>
      <c r="L343" s="106"/>
      <c r="M343" s="106"/>
      <c r="N343" s="106"/>
      <c r="O343" s="106"/>
      <c r="P343" s="106"/>
      <c r="AA343" s="28"/>
    </row>
    <row r="344" spans="1:27" ht="15.75" customHeight="1" x14ac:dyDescent="0.35">
      <c r="A344" s="243"/>
      <c r="B344" s="28"/>
      <c r="C344" s="122"/>
      <c r="D344" s="123"/>
      <c r="E344" s="106"/>
      <c r="F344" s="106"/>
      <c r="L344" s="106"/>
      <c r="M344" s="106"/>
      <c r="N344" s="106"/>
      <c r="O344" s="106"/>
      <c r="P344" s="106"/>
      <c r="AA344" s="28"/>
    </row>
    <row r="345" spans="1:27" ht="15.75" customHeight="1" x14ac:dyDescent="0.35">
      <c r="A345" s="243"/>
      <c r="B345" s="28"/>
      <c r="C345" s="122"/>
      <c r="D345" s="123"/>
      <c r="E345" s="106"/>
      <c r="F345" s="106"/>
      <c r="L345" s="106"/>
      <c r="M345" s="106"/>
      <c r="N345" s="106"/>
      <c r="O345" s="106"/>
      <c r="P345" s="106"/>
      <c r="AA345" s="28"/>
    </row>
    <row r="346" spans="1:27" ht="15.75" customHeight="1" x14ac:dyDescent="0.35">
      <c r="A346" s="243"/>
      <c r="B346" s="28"/>
      <c r="C346" s="122"/>
      <c r="D346" s="123"/>
      <c r="E346" s="106"/>
      <c r="F346" s="106"/>
      <c r="L346" s="106"/>
      <c r="M346" s="106"/>
      <c r="N346" s="106"/>
      <c r="O346" s="106"/>
      <c r="P346" s="106"/>
      <c r="AA346" s="28"/>
    </row>
    <row r="347" spans="1:27" ht="15.75" customHeight="1" x14ac:dyDescent="0.35">
      <c r="A347" s="243"/>
      <c r="B347" s="28"/>
      <c r="C347" s="122"/>
      <c r="D347" s="123"/>
      <c r="E347" s="106"/>
      <c r="F347" s="106"/>
      <c r="L347" s="106"/>
      <c r="M347" s="106"/>
      <c r="N347" s="106"/>
      <c r="O347" s="106"/>
      <c r="P347" s="106"/>
      <c r="AA347" s="28"/>
    </row>
    <row r="348" spans="1:27" ht="15.75" customHeight="1" x14ac:dyDescent="0.35">
      <c r="A348" s="243"/>
      <c r="B348" s="28"/>
      <c r="C348" s="122"/>
      <c r="D348" s="123"/>
      <c r="E348" s="106"/>
      <c r="F348" s="106"/>
      <c r="L348" s="106"/>
      <c r="M348" s="106"/>
      <c r="N348" s="106"/>
      <c r="O348" s="106"/>
      <c r="P348" s="106"/>
      <c r="AA348" s="28"/>
    </row>
    <row r="349" spans="1:27" ht="15.75" customHeight="1" x14ac:dyDescent="0.35">
      <c r="A349" s="243"/>
      <c r="B349" s="28"/>
      <c r="C349" s="122"/>
      <c r="D349" s="123"/>
      <c r="E349" s="106"/>
      <c r="F349" s="106"/>
      <c r="L349" s="106"/>
      <c r="M349" s="106"/>
      <c r="N349" s="106"/>
      <c r="O349" s="106"/>
      <c r="P349" s="106"/>
      <c r="AA349" s="28"/>
    </row>
    <row r="350" spans="1:27" ht="15.75" customHeight="1" x14ac:dyDescent="0.35">
      <c r="A350" s="243"/>
      <c r="B350" s="28"/>
      <c r="C350" s="122"/>
      <c r="D350" s="123"/>
      <c r="E350" s="106"/>
      <c r="F350" s="106"/>
      <c r="L350" s="106"/>
      <c r="M350" s="106"/>
      <c r="N350" s="106"/>
      <c r="O350" s="106"/>
      <c r="P350" s="106"/>
      <c r="AA350" s="28"/>
    </row>
    <row r="351" spans="1:27" ht="15.75" customHeight="1" x14ac:dyDescent="0.35">
      <c r="A351" s="243"/>
      <c r="B351" s="28"/>
      <c r="C351" s="122"/>
      <c r="D351" s="123"/>
      <c r="E351" s="106"/>
      <c r="F351" s="106"/>
      <c r="L351" s="106"/>
      <c r="M351" s="106"/>
      <c r="N351" s="106"/>
      <c r="O351" s="106"/>
      <c r="P351" s="106"/>
      <c r="AA351" s="28"/>
    </row>
    <row r="352" spans="1:27" ht="15.75" customHeight="1" x14ac:dyDescent="0.35">
      <c r="A352" s="243"/>
      <c r="B352" s="28"/>
      <c r="C352" s="122"/>
      <c r="D352" s="123"/>
      <c r="E352" s="106"/>
      <c r="F352" s="106"/>
      <c r="L352" s="106"/>
      <c r="M352" s="106"/>
      <c r="N352" s="106"/>
      <c r="O352" s="106"/>
      <c r="P352" s="106"/>
      <c r="AA352" s="28"/>
    </row>
    <row r="353" spans="1:27" ht="15.75" customHeight="1" x14ac:dyDescent="0.35">
      <c r="A353" s="243"/>
      <c r="B353" s="28"/>
      <c r="C353" s="122"/>
      <c r="D353" s="123"/>
      <c r="E353" s="106"/>
      <c r="F353" s="106"/>
      <c r="L353" s="106"/>
      <c r="M353" s="106"/>
      <c r="N353" s="106"/>
      <c r="O353" s="106"/>
      <c r="P353" s="106"/>
      <c r="AA353" s="28"/>
    </row>
    <row r="354" spans="1:27" ht="15.75" customHeight="1" x14ac:dyDescent="0.35">
      <c r="A354" s="243"/>
      <c r="B354" s="28"/>
      <c r="C354" s="122"/>
      <c r="D354" s="123"/>
      <c r="E354" s="106"/>
      <c r="F354" s="106"/>
      <c r="L354" s="106"/>
      <c r="M354" s="106"/>
      <c r="N354" s="106"/>
      <c r="O354" s="106"/>
      <c r="P354" s="106"/>
      <c r="AA354" s="28"/>
    </row>
    <row r="355" spans="1:27" ht="15.75" customHeight="1" x14ac:dyDescent="0.35">
      <c r="A355" s="243"/>
      <c r="B355" s="28"/>
      <c r="C355" s="122"/>
      <c r="D355" s="123"/>
      <c r="E355" s="106"/>
      <c r="F355" s="106"/>
      <c r="L355" s="106"/>
      <c r="M355" s="106"/>
      <c r="N355" s="106"/>
      <c r="O355" s="106"/>
      <c r="P355" s="106"/>
      <c r="AA355" s="28"/>
    </row>
    <row r="356" spans="1:27" ht="15.75" customHeight="1" x14ac:dyDescent="0.35">
      <c r="A356" s="243"/>
      <c r="B356" s="28"/>
      <c r="C356" s="122"/>
      <c r="D356" s="123"/>
      <c r="E356" s="106"/>
      <c r="F356" s="106"/>
      <c r="L356" s="106"/>
      <c r="M356" s="106"/>
      <c r="N356" s="106"/>
      <c r="O356" s="106"/>
      <c r="P356" s="106"/>
      <c r="AA356" s="28"/>
    </row>
    <row r="357" spans="1:27" ht="15.75" customHeight="1" x14ac:dyDescent="0.35">
      <c r="A357" s="243"/>
      <c r="B357" s="28"/>
      <c r="C357" s="122"/>
      <c r="D357" s="123"/>
      <c r="E357" s="106"/>
      <c r="F357" s="106"/>
      <c r="L357" s="106"/>
      <c r="M357" s="106"/>
      <c r="N357" s="106"/>
      <c r="O357" s="106"/>
      <c r="P357" s="106"/>
      <c r="AA357" s="28"/>
    </row>
    <row r="358" spans="1:27" ht="15.75" customHeight="1" x14ac:dyDescent="0.35">
      <c r="A358" s="243"/>
      <c r="B358" s="28"/>
      <c r="C358" s="122"/>
      <c r="D358" s="123"/>
      <c r="E358" s="106"/>
      <c r="F358" s="106"/>
      <c r="L358" s="106"/>
      <c r="M358" s="106"/>
      <c r="N358" s="106"/>
      <c r="O358" s="106"/>
      <c r="P358" s="106"/>
      <c r="AA358" s="28"/>
    </row>
    <row r="359" spans="1:27" ht="15.75" customHeight="1" x14ac:dyDescent="0.35">
      <c r="A359" s="243"/>
      <c r="B359" s="28"/>
      <c r="C359" s="122"/>
      <c r="D359" s="123"/>
      <c r="E359" s="106"/>
      <c r="F359" s="106"/>
      <c r="L359" s="106"/>
      <c r="M359" s="106"/>
      <c r="N359" s="106"/>
      <c r="O359" s="106"/>
      <c r="P359" s="106"/>
      <c r="AA359" s="28"/>
    </row>
    <row r="360" spans="1:27" ht="15.75" customHeight="1" x14ac:dyDescent="0.35">
      <c r="A360" s="243"/>
      <c r="B360" s="28"/>
      <c r="C360" s="122"/>
      <c r="D360" s="123"/>
      <c r="E360" s="106"/>
      <c r="F360" s="106"/>
      <c r="L360" s="106"/>
      <c r="M360" s="106"/>
      <c r="N360" s="106"/>
      <c r="O360" s="106"/>
      <c r="P360" s="106"/>
      <c r="AA360" s="28"/>
    </row>
    <row r="361" spans="1:27" ht="15.75" customHeight="1" x14ac:dyDescent="0.35">
      <c r="A361" s="243"/>
      <c r="B361" s="28"/>
      <c r="C361" s="122"/>
      <c r="D361" s="123"/>
      <c r="E361" s="106"/>
      <c r="F361" s="106"/>
      <c r="L361" s="106"/>
      <c r="M361" s="106"/>
      <c r="N361" s="106"/>
      <c r="O361" s="106"/>
      <c r="P361" s="106"/>
      <c r="AA361" s="28"/>
    </row>
    <row r="362" spans="1:27" ht="15.75" customHeight="1" x14ac:dyDescent="0.35">
      <c r="A362" s="243"/>
      <c r="B362" s="28"/>
      <c r="C362" s="122"/>
      <c r="D362" s="123"/>
      <c r="E362" s="106"/>
      <c r="F362" s="106"/>
      <c r="L362" s="106"/>
      <c r="M362" s="106"/>
      <c r="N362" s="106"/>
      <c r="O362" s="106"/>
      <c r="P362" s="106"/>
      <c r="AA362" s="28"/>
    </row>
    <row r="363" spans="1:27" ht="15.75" customHeight="1" x14ac:dyDescent="0.35">
      <c r="A363" s="243"/>
      <c r="B363" s="28"/>
      <c r="C363" s="122"/>
      <c r="D363" s="123"/>
      <c r="E363" s="106"/>
      <c r="F363" s="106"/>
      <c r="L363" s="106"/>
      <c r="M363" s="106"/>
      <c r="N363" s="106"/>
      <c r="O363" s="106"/>
      <c r="P363" s="106"/>
      <c r="AA363" s="28"/>
    </row>
    <row r="364" spans="1:27" ht="15.75" customHeight="1" x14ac:dyDescent="0.35">
      <c r="A364" s="243"/>
      <c r="B364" s="28"/>
      <c r="C364" s="122"/>
      <c r="D364" s="123"/>
      <c r="E364" s="106"/>
      <c r="F364" s="106"/>
      <c r="L364" s="106"/>
      <c r="M364" s="106"/>
      <c r="N364" s="106"/>
      <c r="O364" s="106"/>
      <c r="P364" s="106"/>
      <c r="AA364" s="28"/>
    </row>
    <row r="365" spans="1:27" ht="15.75" customHeight="1" x14ac:dyDescent="0.35">
      <c r="A365" s="243"/>
      <c r="B365" s="28"/>
      <c r="C365" s="122"/>
      <c r="D365" s="123"/>
      <c r="E365" s="106"/>
      <c r="F365" s="106"/>
      <c r="L365" s="106"/>
      <c r="M365" s="106"/>
      <c r="N365" s="106"/>
      <c r="O365" s="106"/>
      <c r="P365" s="106"/>
      <c r="AA365" s="28"/>
    </row>
    <row r="366" spans="1:27" ht="15.75" customHeight="1" x14ac:dyDescent="0.35">
      <c r="A366" s="243"/>
      <c r="B366" s="28"/>
      <c r="C366" s="122"/>
      <c r="D366" s="123"/>
      <c r="E366" s="106"/>
      <c r="F366" s="106"/>
      <c r="L366" s="106"/>
      <c r="M366" s="106"/>
      <c r="N366" s="106"/>
      <c r="O366" s="106"/>
      <c r="P366" s="106"/>
      <c r="AA366" s="28"/>
    </row>
    <row r="367" spans="1:27" ht="15.75" customHeight="1" x14ac:dyDescent="0.35">
      <c r="A367" s="243"/>
      <c r="B367" s="28"/>
      <c r="C367" s="122"/>
      <c r="D367" s="123"/>
      <c r="E367" s="106"/>
      <c r="F367" s="106"/>
      <c r="L367" s="106"/>
      <c r="M367" s="106"/>
      <c r="N367" s="106"/>
      <c r="O367" s="106"/>
      <c r="P367" s="106"/>
      <c r="AA367" s="28"/>
    </row>
    <row r="368" spans="1:27" ht="15.75" customHeight="1" x14ac:dyDescent="0.35">
      <c r="A368" s="243"/>
      <c r="B368" s="28"/>
      <c r="C368" s="122"/>
      <c r="D368" s="123"/>
      <c r="E368" s="106"/>
      <c r="F368" s="106"/>
      <c r="L368" s="106"/>
      <c r="M368" s="106"/>
      <c r="N368" s="106"/>
      <c r="O368" s="106"/>
      <c r="P368" s="106"/>
      <c r="AA368" s="28"/>
    </row>
    <row r="369" spans="1:27" ht="15.75" customHeight="1" x14ac:dyDescent="0.35">
      <c r="A369" s="243"/>
      <c r="B369" s="28"/>
      <c r="C369" s="122"/>
      <c r="D369" s="123"/>
      <c r="E369" s="106"/>
      <c r="F369" s="106"/>
      <c r="L369" s="106"/>
      <c r="M369" s="106"/>
      <c r="N369" s="106"/>
      <c r="O369" s="106"/>
      <c r="P369" s="106"/>
      <c r="AA369" s="28"/>
    </row>
    <row r="370" spans="1:27" ht="15.75" customHeight="1" x14ac:dyDescent="0.35">
      <c r="A370" s="243"/>
      <c r="B370" s="28"/>
      <c r="C370" s="122"/>
      <c r="D370" s="123"/>
      <c r="E370" s="106"/>
      <c r="F370" s="106"/>
      <c r="L370" s="106"/>
      <c r="M370" s="106"/>
      <c r="N370" s="106"/>
      <c r="O370" s="106"/>
      <c r="P370" s="106"/>
      <c r="AA370" s="28"/>
    </row>
    <row r="371" spans="1:27" ht="15.75" customHeight="1" x14ac:dyDescent="0.35">
      <c r="A371" s="243"/>
      <c r="B371" s="28"/>
      <c r="C371" s="122"/>
      <c r="D371" s="123"/>
      <c r="E371" s="106"/>
      <c r="F371" s="106"/>
      <c r="L371" s="106"/>
      <c r="M371" s="106"/>
      <c r="N371" s="106"/>
      <c r="O371" s="106"/>
      <c r="P371" s="106"/>
      <c r="AA371" s="28"/>
    </row>
    <row r="372" spans="1:27" ht="15.75" customHeight="1" x14ac:dyDescent="0.35">
      <c r="A372" s="243"/>
      <c r="B372" s="28"/>
      <c r="C372" s="122"/>
      <c r="D372" s="123"/>
      <c r="E372" s="106"/>
      <c r="F372" s="106"/>
      <c r="L372" s="106"/>
      <c r="M372" s="106"/>
      <c r="N372" s="106"/>
      <c r="O372" s="106"/>
      <c r="P372" s="106"/>
      <c r="AA372" s="28"/>
    </row>
    <row r="373" spans="1:27" ht="15.75" customHeight="1" x14ac:dyDescent="0.35">
      <c r="A373" s="243"/>
      <c r="B373" s="28"/>
      <c r="C373" s="122"/>
      <c r="D373" s="123"/>
      <c r="E373" s="106"/>
      <c r="F373" s="106"/>
      <c r="L373" s="106"/>
      <c r="M373" s="106"/>
      <c r="N373" s="106"/>
      <c r="O373" s="106"/>
      <c r="P373" s="106"/>
      <c r="AA373" s="28"/>
    </row>
    <row r="374" spans="1:27" ht="15.75" customHeight="1" x14ac:dyDescent="0.35">
      <c r="A374" s="243"/>
      <c r="B374" s="28"/>
      <c r="C374" s="122"/>
      <c r="D374" s="123"/>
      <c r="E374" s="106"/>
      <c r="F374" s="106"/>
      <c r="L374" s="106"/>
      <c r="M374" s="106"/>
      <c r="N374" s="106"/>
      <c r="O374" s="106"/>
      <c r="P374" s="106"/>
      <c r="AA374" s="28"/>
    </row>
    <row r="375" spans="1:27" ht="15.75" customHeight="1" x14ac:dyDescent="0.35">
      <c r="A375" s="243"/>
      <c r="B375" s="28"/>
      <c r="C375" s="122"/>
      <c r="D375" s="123"/>
      <c r="E375" s="106"/>
      <c r="F375" s="106"/>
      <c r="L375" s="106"/>
      <c r="M375" s="106"/>
      <c r="N375" s="106"/>
      <c r="O375" s="106"/>
      <c r="P375" s="106"/>
      <c r="AA375" s="28"/>
    </row>
    <row r="376" spans="1:27" ht="15.75" customHeight="1" x14ac:dyDescent="0.35">
      <c r="A376" s="243"/>
      <c r="B376" s="28"/>
      <c r="C376" s="122"/>
      <c r="D376" s="123"/>
      <c r="E376" s="106"/>
      <c r="F376" s="106"/>
      <c r="L376" s="106"/>
      <c r="M376" s="106"/>
      <c r="N376" s="106"/>
      <c r="O376" s="106"/>
      <c r="P376" s="106"/>
      <c r="AA376" s="28"/>
    </row>
    <row r="377" spans="1:27" ht="15.75" customHeight="1" x14ac:dyDescent="0.35">
      <c r="A377" s="243"/>
      <c r="B377" s="28"/>
      <c r="C377" s="122"/>
      <c r="D377" s="123"/>
      <c r="E377" s="106"/>
      <c r="F377" s="106"/>
      <c r="L377" s="106"/>
      <c r="M377" s="106"/>
      <c r="N377" s="106"/>
      <c r="O377" s="106"/>
      <c r="P377" s="106"/>
      <c r="AA377" s="28"/>
    </row>
    <row r="378" spans="1:27" ht="15.75" customHeight="1" x14ac:dyDescent="0.35">
      <c r="A378" s="243"/>
      <c r="B378" s="28"/>
      <c r="C378" s="122"/>
      <c r="D378" s="123"/>
      <c r="E378" s="106"/>
      <c r="F378" s="106"/>
      <c r="L378" s="106"/>
      <c r="M378" s="106"/>
      <c r="N378" s="106"/>
      <c r="O378" s="106"/>
      <c r="P378" s="106"/>
      <c r="AA378" s="28"/>
    </row>
    <row r="379" spans="1:27" ht="15.75" customHeight="1" x14ac:dyDescent="0.35">
      <c r="A379" s="243"/>
      <c r="B379" s="28"/>
      <c r="C379" s="122"/>
      <c r="D379" s="123"/>
      <c r="E379" s="106"/>
      <c r="F379" s="106"/>
      <c r="L379" s="106"/>
      <c r="M379" s="106"/>
      <c r="N379" s="106"/>
      <c r="O379" s="106"/>
      <c r="P379" s="106"/>
      <c r="AA379" s="28"/>
    </row>
    <row r="380" spans="1:27" ht="15.75" customHeight="1" x14ac:dyDescent="0.35">
      <c r="A380" s="243"/>
      <c r="B380" s="28"/>
      <c r="C380" s="122"/>
      <c r="D380" s="123"/>
      <c r="E380" s="106"/>
      <c r="F380" s="106"/>
      <c r="L380" s="106"/>
      <c r="M380" s="106"/>
      <c r="N380" s="106"/>
      <c r="O380" s="106"/>
      <c r="P380" s="106"/>
      <c r="AA380" s="28"/>
    </row>
    <row r="381" spans="1:27" ht="15.75" customHeight="1" x14ac:dyDescent="0.35">
      <c r="A381" s="243"/>
      <c r="B381" s="28"/>
      <c r="C381" s="122"/>
      <c r="D381" s="123"/>
      <c r="E381" s="106"/>
      <c r="F381" s="106"/>
      <c r="L381" s="106"/>
      <c r="M381" s="106"/>
      <c r="N381" s="106"/>
      <c r="O381" s="106"/>
      <c r="P381" s="106"/>
      <c r="AA381" s="28"/>
    </row>
    <row r="382" spans="1:27" ht="15.75" customHeight="1" x14ac:dyDescent="0.35">
      <c r="A382" s="243"/>
      <c r="B382" s="28"/>
      <c r="C382" s="122"/>
      <c r="D382" s="123"/>
      <c r="E382" s="106"/>
      <c r="F382" s="106"/>
      <c r="L382" s="106"/>
      <c r="M382" s="106"/>
      <c r="N382" s="106"/>
      <c r="O382" s="106"/>
      <c r="P382" s="106"/>
      <c r="AA382" s="28"/>
    </row>
    <row r="383" spans="1:27" ht="15.75" customHeight="1" x14ac:dyDescent="0.35">
      <c r="A383" s="243"/>
      <c r="B383" s="28"/>
      <c r="C383" s="122"/>
      <c r="D383" s="123"/>
      <c r="E383" s="106"/>
      <c r="F383" s="106"/>
      <c r="L383" s="106"/>
      <c r="M383" s="106"/>
      <c r="N383" s="106"/>
      <c r="O383" s="106"/>
      <c r="P383" s="106"/>
      <c r="AA383" s="28"/>
    </row>
    <row r="384" spans="1:27" ht="15.75" customHeight="1" x14ac:dyDescent="0.35">
      <c r="A384" s="243"/>
      <c r="B384" s="28"/>
      <c r="C384" s="122"/>
      <c r="D384" s="123"/>
      <c r="E384" s="106"/>
      <c r="F384" s="106"/>
      <c r="L384" s="106"/>
      <c r="M384" s="106"/>
      <c r="N384" s="106"/>
      <c r="O384" s="106"/>
      <c r="P384" s="106"/>
      <c r="AA384" s="28"/>
    </row>
    <row r="385" spans="1:27" ht="15.75" customHeight="1" x14ac:dyDescent="0.35">
      <c r="A385" s="243"/>
      <c r="B385" s="28"/>
      <c r="C385" s="122"/>
      <c r="D385" s="123"/>
      <c r="E385" s="106"/>
      <c r="F385" s="106"/>
      <c r="L385" s="106"/>
      <c r="M385" s="106"/>
      <c r="N385" s="106"/>
      <c r="O385" s="106"/>
      <c r="P385" s="106"/>
      <c r="AA385" s="28"/>
    </row>
    <row r="386" spans="1:27" ht="15.75" customHeight="1" x14ac:dyDescent="0.35">
      <c r="A386" s="243"/>
      <c r="B386" s="28"/>
      <c r="C386" s="122"/>
      <c r="D386" s="123"/>
      <c r="E386" s="106"/>
      <c r="F386" s="106"/>
      <c r="L386" s="106"/>
      <c r="M386" s="106"/>
      <c r="N386" s="106"/>
      <c r="O386" s="106"/>
      <c r="P386" s="106"/>
      <c r="AA386" s="28"/>
    </row>
    <row r="387" spans="1:27" ht="15.75" customHeight="1" x14ac:dyDescent="0.35">
      <c r="A387" s="243"/>
      <c r="B387" s="28"/>
      <c r="C387" s="122"/>
      <c r="D387" s="123"/>
      <c r="E387" s="106"/>
      <c r="F387" s="106"/>
      <c r="L387" s="106"/>
      <c r="M387" s="106"/>
      <c r="N387" s="106"/>
      <c r="O387" s="106"/>
      <c r="P387" s="106"/>
      <c r="AA387" s="28"/>
    </row>
    <row r="388" spans="1:27" ht="15.75" customHeight="1" x14ac:dyDescent="0.35">
      <c r="A388" s="243"/>
      <c r="B388" s="28"/>
      <c r="C388" s="122"/>
      <c r="D388" s="123"/>
      <c r="E388" s="106"/>
      <c r="F388" s="106"/>
      <c r="L388" s="106"/>
      <c r="M388" s="106"/>
      <c r="N388" s="106"/>
      <c r="O388" s="106"/>
      <c r="P388" s="106"/>
      <c r="AA388" s="28"/>
    </row>
    <row r="389" spans="1:27" ht="15.75" customHeight="1" x14ac:dyDescent="0.35">
      <c r="A389" s="243"/>
      <c r="B389" s="28"/>
      <c r="C389" s="122"/>
      <c r="D389" s="123"/>
      <c r="E389" s="106"/>
      <c r="F389" s="106"/>
      <c r="L389" s="106"/>
      <c r="M389" s="106"/>
      <c r="N389" s="106"/>
      <c r="O389" s="106"/>
      <c r="P389" s="106"/>
      <c r="AA389" s="28"/>
    </row>
    <row r="390" spans="1:27" ht="15.75" customHeight="1" x14ac:dyDescent="0.35">
      <c r="A390" s="243"/>
      <c r="B390" s="28"/>
      <c r="C390" s="122"/>
      <c r="D390" s="123"/>
      <c r="E390" s="106"/>
      <c r="F390" s="106"/>
      <c r="L390" s="106"/>
      <c r="M390" s="106"/>
      <c r="N390" s="106"/>
      <c r="O390" s="106"/>
      <c r="P390" s="106"/>
      <c r="AA390" s="28"/>
    </row>
    <row r="391" spans="1:27" ht="15.75" customHeight="1" x14ac:dyDescent="0.35">
      <c r="A391" s="243"/>
      <c r="B391" s="28"/>
      <c r="C391" s="122"/>
      <c r="D391" s="123"/>
      <c r="E391" s="106"/>
      <c r="F391" s="106"/>
      <c r="L391" s="106"/>
      <c r="M391" s="106"/>
      <c r="N391" s="106"/>
      <c r="O391" s="106"/>
      <c r="P391" s="106"/>
      <c r="AA391" s="28"/>
    </row>
    <row r="392" spans="1:27" ht="15.75" customHeight="1" x14ac:dyDescent="0.35">
      <c r="A392" s="243"/>
      <c r="B392" s="28"/>
      <c r="C392" s="122"/>
      <c r="D392" s="123"/>
      <c r="E392" s="106"/>
      <c r="F392" s="106"/>
      <c r="L392" s="106"/>
      <c r="M392" s="106"/>
      <c r="N392" s="106"/>
      <c r="O392" s="106"/>
      <c r="P392" s="106"/>
      <c r="AA392" s="28"/>
    </row>
    <row r="393" spans="1:27" ht="15.75" customHeight="1" x14ac:dyDescent="0.35">
      <c r="A393" s="243"/>
      <c r="B393" s="28"/>
      <c r="C393" s="122"/>
      <c r="D393" s="123"/>
      <c r="E393" s="106"/>
      <c r="F393" s="106"/>
      <c r="L393" s="106"/>
      <c r="M393" s="106"/>
      <c r="N393" s="106"/>
      <c r="O393" s="106"/>
      <c r="P393" s="106"/>
      <c r="AA393" s="28"/>
    </row>
    <row r="394" spans="1:27" ht="15.75" customHeight="1" x14ac:dyDescent="0.35">
      <c r="A394" s="243"/>
      <c r="B394" s="28"/>
      <c r="C394" s="122"/>
      <c r="D394" s="123"/>
      <c r="E394" s="106"/>
      <c r="F394" s="106"/>
      <c r="L394" s="106"/>
      <c r="M394" s="106"/>
      <c r="N394" s="106"/>
      <c r="O394" s="106"/>
      <c r="P394" s="106"/>
      <c r="AA394" s="28"/>
    </row>
    <row r="395" spans="1:27" ht="15.75" customHeight="1" x14ac:dyDescent="0.35">
      <c r="A395" s="243"/>
      <c r="B395" s="28"/>
      <c r="C395" s="122"/>
      <c r="D395" s="123"/>
      <c r="E395" s="106"/>
      <c r="F395" s="106"/>
      <c r="L395" s="106"/>
      <c r="M395" s="106"/>
      <c r="N395" s="106"/>
      <c r="O395" s="106"/>
      <c r="P395" s="106"/>
      <c r="AA395" s="28"/>
    </row>
    <row r="396" spans="1:27" ht="15.75" customHeight="1" x14ac:dyDescent="0.35">
      <c r="A396" s="243"/>
      <c r="B396" s="28"/>
      <c r="C396" s="122"/>
      <c r="D396" s="123"/>
      <c r="E396" s="106"/>
      <c r="F396" s="106"/>
      <c r="L396" s="106"/>
      <c r="M396" s="106"/>
      <c r="N396" s="106"/>
      <c r="O396" s="106"/>
      <c r="P396" s="106"/>
      <c r="AA396" s="28"/>
    </row>
    <row r="397" spans="1:27" ht="15.75" customHeight="1" x14ac:dyDescent="0.35">
      <c r="A397" s="243"/>
      <c r="B397" s="28"/>
      <c r="C397" s="122"/>
      <c r="D397" s="123"/>
      <c r="E397" s="106"/>
      <c r="F397" s="106"/>
      <c r="L397" s="106"/>
      <c r="M397" s="106"/>
      <c r="N397" s="106"/>
      <c r="O397" s="106"/>
      <c r="P397" s="106"/>
      <c r="AA397" s="28"/>
    </row>
    <row r="398" spans="1:27" ht="15.75" customHeight="1" x14ac:dyDescent="0.35">
      <c r="A398" s="243"/>
      <c r="B398" s="28"/>
      <c r="C398" s="122"/>
      <c r="D398" s="123"/>
      <c r="E398" s="106"/>
      <c r="F398" s="106"/>
      <c r="L398" s="106"/>
      <c r="M398" s="106"/>
      <c r="N398" s="106"/>
      <c r="O398" s="106"/>
      <c r="P398" s="106"/>
      <c r="AA398" s="28"/>
    </row>
    <row r="399" spans="1:27" ht="15.75" customHeight="1" x14ac:dyDescent="0.35">
      <c r="A399" s="243"/>
      <c r="B399" s="28"/>
      <c r="C399" s="122"/>
      <c r="D399" s="123"/>
      <c r="E399" s="106"/>
      <c r="F399" s="106"/>
      <c r="L399" s="106"/>
      <c r="M399" s="106"/>
      <c r="N399" s="106"/>
      <c r="O399" s="106"/>
      <c r="P399" s="106"/>
      <c r="AA399" s="28"/>
    </row>
    <row r="400" spans="1:27" ht="15.75" customHeight="1" x14ac:dyDescent="0.35">
      <c r="A400" s="243"/>
      <c r="B400" s="28"/>
      <c r="C400" s="122"/>
      <c r="D400" s="123"/>
      <c r="E400" s="106"/>
      <c r="F400" s="106"/>
      <c r="L400" s="106"/>
      <c r="M400" s="106"/>
      <c r="N400" s="106"/>
      <c r="O400" s="106"/>
      <c r="P400" s="106"/>
      <c r="AA400" s="28"/>
    </row>
    <row r="401" spans="1:27" ht="15.75" customHeight="1" x14ac:dyDescent="0.35">
      <c r="A401" s="243"/>
      <c r="B401" s="28"/>
      <c r="C401" s="122"/>
      <c r="D401" s="123"/>
      <c r="E401" s="106"/>
      <c r="F401" s="106"/>
      <c r="L401" s="106"/>
      <c r="M401" s="106"/>
      <c r="N401" s="106"/>
      <c r="O401" s="106"/>
      <c r="P401" s="106"/>
      <c r="AA401" s="28"/>
    </row>
    <row r="402" spans="1:27" ht="15.75" customHeight="1" x14ac:dyDescent="0.35">
      <c r="A402" s="243"/>
      <c r="B402" s="28"/>
      <c r="C402" s="122"/>
      <c r="D402" s="123"/>
      <c r="E402" s="106"/>
      <c r="F402" s="106"/>
      <c r="L402" s="106"/>
      <c r="M402" s="106"/>
      <c r="N402" s="106"/>
      <c r="O402" s="106"/>
      <c r="P402" s="106"/>
      <c r="AA402" s="28"/>
    </row>
    <row r="403" spans="1:27" ht="15.75" customHeight="1" x14ac:dyDescent="0.35">
      <c r="A403" s="243"/>
      <c r="B403" s="28"/>
      <c r="C403" s="122"/>
      <c r="D403" s="123"/>
      <c r="E403" s="106"/>
      <c r="F403" s="106"/>
      <c r="L403" s="106"/>
      <c r="M403" s="106"/>
      <c r="N403" s="106"/>
      <c r="O403" s="106"/>
      <c r="P403" s="106"/>
      <c r="AA403" s="28"/>
    </row>
    <row r="404" spans="1:27" ht="15.75" customHeight="1" x14ac:dyDescent="0.35">
      <c r="A404" s="243"/>
      <c r="B404" s="28"/>
      <c r="C404" s="122"/>
      <c r="D404" s="123"/>
      <c r="E404" s="106"/>
      <c r="F404" s="106"/>
      <c r="L404" s="106"/>
      <c r="M404" s="106"/>
      <c r="N404" s="106"/>
      <c r="O404" s="106"/>
      <c r="P404" s="106"/>
      <c r="AA404" s="28"/>
    </row>
    <row r="405" spans="1:27" ht="15.75" customHeight="1" x14ac:dyDescent="0.35">
      <c r="A405" s="243"/>
      <c r="B405" s="28"/>
      <c r="C405" s="122"/>
      <c r="D405" s="123"/>
      <c r="E405" s="106"/>
      <c r="F405" s="106"/>
      <c r="L405" s="106"/>
      <c r="M405" s="106"/>
      <c r="N405" s="106"/>
      <c r="O405" s="106"/>
      <c r="P405" s="106"/>
      <c r="AA405" s="28"/>
    </row>
    <row r="406" spans="1:27" ht="15.75" customHeight="1" x14ac:dyDescent="0.35">
      <c r="A406" s="243"/>
      <c r="B406" s="28"/>
      <c r="C406" s="122"/>
      <c r="D406" s="123"/>
      <c r="E406" s="106"/>
      <c r="F406" s="106"/>
      <c r="L406" s="106"/>
      <c r="M406" s="106"/>
      <c r="N406" s="106"/>
      <c r="O406" s="106"/>
      <c r="P406" s="106"/>
      <c r="AA406" s="28"/>
    </row>
    <row r="407" spans="1:27" ht="15.75" customHeight="1" x14ac:dyDescent="0.35">
      <c r="A407" s="243"/>
      <c r="B407" s="28"/>
      <c r="C407" s="122"/>
      <c r="D407" s="123"/>
      <c r="E407" s="106"/>
      <c r="F407" s="106"/>
      <c r="L407" s="106"/>
      <c r="M407" s="106"/>
      <c r="N407" s="106"/>
      <c r="O407" s="106"/>
      <c r="P407" s="106"/>
      <c r="AA407" s="28"/>
    </row>
    <row r="408" spans="1:27" ht="15.75" customHeight="1" x14ac:dyDescent="0.35">
      <c r="A408" s="243"/>
      <c r="B408" s="28"/>
      <c r="C408" s="122"/>
      <c r="D408" s="123"/>
      <c r="E408" s="106"/>
      <c r="F408" s="106"/>
      <c r="L408" s="106"/>
      <c r="M408" s="106"/>
      <c r="N408" s="106"/>
      <c r="O408" s="106"/>
      <c r="P408" s="106"/>
      <c r="AA408" s="28"/>
    </row>
    <row r="409" spans="1:27" ht="15.75" customHeight="1" x14ac:dyDescent="0.35">
      <c r="A409" s="243"/>
      <c r="B409" s="28"/>
      <c r="C409" s="122"/>
      <c r="D409" s="123"/>
      <c r="E409" s="106"/>
      <c r="F409" s="106"/>
      <c r="L409" s="106"/>
      <c r="M409" s="106"/>
      <c r="N409" s="106"/>
      <c r="O409" s="106"/>
      <c r="P409" s="106"/>
      <c r="AA409" s="28"/>
    </row>
    <row r="410" spans="1:27" ht="15.75" customHeight="1" x14ac:dyDescent="0.35">
      <c r="A410" s="243"/>
      <c r="B410" s="28"/>
      <c r="C410" s="122"/>
      <c r="D410" s="123"/>
      <c r="E410" s="106"/>
      <c r="F410" s="106"/>
      <c r="L410" s="106"/>
      <c r="M410" s="106"/>
      <c r="N410" s="106"/>
      <c r="O410" s="106"/>
      <c r="P410" s="106"/>
      <c r="AA410" s="28"/>
    </row>
    <row r="411" spans="1:27" ht="15.75" customHeight="1" x14ac:dyDescent="0.35">
      <c r="A411" s="243"/>
      <c r="B411" s="28"/>
      <c r="C411" s="122"/>
      <c r="D411" s="123"/>
      <c r="E411" s="106"/>
      <c r="F411" s="106"/>
      <c r="L411" s="106"/>
      <c r="M411" s="106"/>
      <c r="N411" s="106"/>
      <c r="O411" s="106"/>
      <c r="P411" s="106"/>
      <c r="AA411" s="28"/>
    </row>
    <row r="412" spans="1:27" ht="15.75" customHeight="1" x14ac:dyDescent="0.35">
      <c r="A412" s="243"/>
      <c r="B412" s="28"/>
      <c r="C412" s="122"/>
      <c r="D412" s="123"/>
      <c r="E412" s="106"/>
      <c r="F412" s="106"/>
      <c r="L412" s="106"/>
      <c r="M412" s="106"/>
      <c r="N412" s="106"/>
      <c r="O412" s="106"/>
      <c r="P412" s="106"/>
      <c r="AA412" s="28"/>
    </row>
    <row r="413" spans="1:27" ht="15.75" customHeight="1" x14ac:dyDescent="0.35">
      <c r="A413" s="243"/>
      <c r="B413" s="28"/>
      <c r="C413" s="122"/>
      <c r="D413" s="123"/>
      <c r="E413" s="106"/>
      <c r="F413" s="106"/>
      <c r="L413" s="106"/>
      <c r="M413" s="106"/>
      <c r="N413" s="106"/>
      <c r="O413" s="106"/>
      <c r="P413" s="106"/>
      <c r="AA413" s="28"/>
    </row>
    <row r="414" spans="1:27" ht="15.75" customHeight="1" x14ac:dyDescent="0.35">
      <c r="A414" s="243"/>
      <c r="B414" s="28"/>
      <c r="C414" s="122"/>
      <c r="D414" s="123"/>
      <c r="E414" s="106"/>
      <c r="F414" s="106"/>
      <c r="L414" s="106"/>
      <c r="M414" s="106"/>
      <c r="N414" s="106"/>
      <c r="O414" s="106"/>
      <c r="P414" s="106"/>
      <c r="AA414" s="28"/>
    </row>
    <row r="415" spans="1:27" ht="15.75" customHeight="1" x14ac:dyDescent="0.35">
      <c r="A415" s="243"/>
      <c r="B415" s="28"/>
      <c r="C415" s="122"/>
      <c r="D415" s="123"/>
      <c r="E415" s="106"/>
      <c r="F415" s="106"/>
      <c r="L415" s="106"/>
      <c r="M415" s="106"/>
      <c r="N415" s="106"/>
      <c r="O415" s="106"/>
      <c r="P415" s="106"/>
      <c r="AA415" s="28"/>
    </row>
    <row r="416" spans="1:27" ht="15.75" customHeight="1" x14ac:dyDescent="0.35">
      <c r="A416" s="243"/>
      <c r="B416" s="28"/>
      <c r="C416" s="122"/>
      <c r="D416" s="123"/>
      <c r="E416" s="106"/>
      <c r="F416" s="106"/>
      <c r="L416" s="106"/>
      <c r="M416" s="106"/>
      <c r="N416" s="106"/>
      <c r="O416" s="106"/>
      <c r="P416" s="106"/>
      <c r="AA416" s="28"/>
    </row>
    <row r="417" spans="1:27" ht="15.75" customHeight="1" x14ac:dyDescent="0.35">
      <c r="A417" s="243"/>
      <c r="B417" s="28"/>
      <c r="C417" s="122"/>
      <c r="D417" s="123"/>
      <c r="E417" s="106"/>
      <c r="F417" s="106"/>
      <c r="L417" s="106"/>
      <c r="M417" s="106"/>
      <c r="N417" s="106"/>
      <c r="O417" s="106"/>
      <c r="P417" s="106"/>
      <c r="AA417" s="28"/>
    </row>
    <row r="418" spans="1:27" ht="15.75" customHeight="1" x14ac:dyDescent="0.35">
      <c r="A418" s="243"/>
      <c r="B418" s="28"/>
      <c r="C418" s="122"/>
      <c r="D418" s="123"/>
      <c r="E418" s="106"/>
      <c r="F418" s="106"/>
      <c r="L418" s="106"/>
      <c r="M418" s="106"/>
      <c r="N418" s="106"/>
      <c r="O418" s="106"/>
      <c r="P418" s="106"/>
      <c r="AA418" s="28"/>
    </row>
    <row r="419" spans="1:27" ht="15.75" customHeight="1" x14ac:dyDescent="0.35">
      <c r="A419" s="243"/>
      <c r="B419" s="28"/>
      <c r="C419" s="122"/>
      <c r="D419" s="123"/>
      <c r="E419" s="106"/>
      <c r="F419" s="106"/>
      <c r="L419" s="106"/>
      <c r="M419" s="106"/>
      <c r="N419" s="106"/>
      <c r="O419" s="106"/>
      <c r="P419" s="106"/>
      <c r="AA419" s="28"/>
    </row>
    <row r="420" spans="1:27" ht="15.75" customHeight="1" x14ac:dyDescent="0.35">
      <c r="A420" s="243"/>
      <c r="B420" s="28"/>
      <c r="C420" s="122"/>
      <c r="D420" s="123"/>
      <c r="E420" s="106"/>
      <c r="F420" s="106"/>
      <c r="L420" s="106"/>
      <c r="M420" s="106"/>
      <c r="N420" s="106"/>
      <c r="O420" s="106"/>
      <c r="P420" s="106"/>
      <c r="AA420" s="28"/>
    </row>
    <row r="421" spans="1:27" ht="15.75" customHeight="1" x14ac:dyDescent="0.35">
      <c r="A421" s="243"/>
      <c r="B421" s="28"/>
      <c r="C421" s="122"/>
      <c r="D421" s="123"/>
      <c r="E421" s="106"/>
      <c r="F421" s="106"/>
      <c r="L421" s="106"/>
      <c r="M421" s="106"/>
      <c r="N421" s="106"/>
      <c r="O421" s="106"/>
      <c r="P421" s="106"/>
      <c r="AA421" s="28"/>
    </row>
    <row r="422" spans="1:27" ht="15.75" customHeight="1" x14ac:dyDescent="0.35">
      <c r="A422" s="243"/>
      <c r="B422" s="28"/>
      <c r="C422" s="122"/>
      <c r="D422" s="123"/>
      <c r="E422" s="106"/>
      <c r="F422" s="106"/>
      <c r="L422" s="106"/>
      <c r="M422" s="106"/>
      <c r="N422" s="106"/>
      <c r="O422" s="106"/>
      <c r="P422" s="106"/>
      <c r="AA422" s="28"/>
    </row>
    <row r="423" spans="1:27" ht="15.75" customHeight="1" x14ac:dyDescent="0.35">
      <c r="A423" s="243"/>
      <c r="B423" s="28"/>
      <c r="C423" s="122"/>
      <c r="D423" s="123"/>
      <c r="E423" s="106"/>
      <c r="F423" s="106"/>
      <c r="L423" s="106"/>
      <c r="M423" s="106"/>
      <c r="N423" s="106"/>
      <c r="O423" s="106"/>
      <c r="P423" s="106"/>
      <c r="AA423" s="28"/>
    </row>
    <row r="424" spans="1:27" ht="15.75" customHeight="1" x14ac:dyDescent="0.35">
      <c r="A424" s="243"/>
      <c r="B424" s="28"/>
      <c r="C424" s="122"/>
      <c r="D424" s="123"/>
      <c r="E424" s="106"/>
      <c r="F424" s="106"/>
      <c r="L424" s="106"/>
      <c r="M424" s="106"/>
      <c r="N424" s="106"/>
      <c r="O424" s="106"/>
      <c r="P424" s="106"/>
      <c r="AA424" s="28"/>
    </row>
    <row r="425" spans="1:27" ht="15.75" customHeight="1" x14ac:dyDescent="0.35">
      <c r="A425" s="243"/>
      <c r="B425" s="28"/>
      <c r="C425" s="122"/>
      <c r="D425" s="123"/>
      <c r="E425" s="106"/>
      <c r="F425" s="106"/>
      <c r="L425" s="106"/>
      <c r="M425" s="106"/>
      <c r="N425" s="106"/>
      <c r="O425" s="106"/>
      <c r="P425" s="106"/>
      <c r="AA425" s="28"/>
    </row>
    <row r="426" spans="1:27" ht="15.75" customHeight="1" x14ac:dyDescent="0.35">
      <c r="A426" s="243"/>
      <c r="B426" s="28"/>
      <c r="C426" s="122"/>
      <c r="D426" s="123"/>
      <c r="E426" s="106"/>
      <c r="F426" s="106"/>
      <c r="L426" s="106"/>
      <c r="M426" s="106"/>
      <c r="N426" s="106"/>
      <c r="O426" s="106"/>
      <c r="P426" s="106"/>
      <c r="AA426" s="28"/>
    </row>
    <row r="427" spans="1:27" ht="15.75" customHeight="1" x14ac:dyDescent="0.35">
      <c r="A427" s="243"/>
      <c r="B427" s="28"/>
      <c r="C427" s="122"/>
      <c r="D427" s="123"/>
      <c r="E427" s="106"/>
      <c r="F427" s="106"/>
      <c r="L427" s="106"/>
      <c r="M427" s="106"/>
      <c r="N427" s="106"/>
      <c r="O427" s="106"/>
      <c r="P427" s="106"/>
      <c r="AA427" s="28"/>
    </row>
    <row r="428" spans="1:27" ht="15.75" customHeight="1" x14ac:dyDescent="0.35">
      <c r="A428" s="243"/>
      <c r="B428" s="28"/>
      <c r="C428" s="122"/>
      <c r="D428" s="123"/>
      <c r="E428" s="106"/>
      <c r="F428" s="106"/>
      <c r="L428" s="106"/>
      <c r="M428" s="106"/>
      <c r="N428" s="106"/>
      <c r="O428" s="106"/>
      <c r="P428" s="106"/>
      <c r="AA428" s="28"/>
    </row>
    <row r="429" spans="1:27" ht="15.75" customHeight="1" x14ac:dyDescent="0.35">
      <c r="A429" s="243"/>
      <c r="B429" s="28"/>
      <c r="C429" s="122"/>
      <c r="D429" s="123"/>
      <c r="E429" s="106"/>
      <c r="F429" s="106"/>
      <c r="L429" s="106"/>
      <c r="M429" s="106"/>
      <c r="N429" s="106"/>
      <c r="O429" s="106"/>
      <c r="P429" s="106"/>
      <c r="AA429" s="28"/>
    </row>
    <row r="430" spans="1:27" ht="15.75" customHeight="1" x14ac:dyDescent="0.35">
      <c r="A430" s="243"/>
      <c r="B430" s="28"/>
      <c r="C430" s="122"/>
      <c r="D430" s="123"/>
      <c r="E430" s="106"/>
      <c r="F430" s="106"/>
      <c r="L430" s="106"/>
      <c r="M430" s="106"/>
      <c r="N430" s="106"/>
      <c r="O430" s="106"/>
      <c r="P430" s="106"/>
      <c r="AA430" s="28"/>
    </row>
    <row r="431" spans="1:27" ht="15.75" customHeight="1" x14ac:dyDescent="0.35">
      <c r="A431" s="243"/>
      <c r="B431" s="28"/>
      <c r="C431" s="122"/>
      <c r="D431" s="123"/>
      <c r="E431" s="106"/>
      <c r="F431" s="106"/>
      <c r="L431" s="106"/>
      <c r="M431" s="106"/>
      <c r="N431" s="106"/>
      <c r="O431" s="106"/>
      <c r="P431" s="106"/>
      <c r="AA431" s="28"/>
    </row>
    <row r="432" spans="1:27" ht="15.75" customHeight="1" x14ac:dyDescent="0.35">
      <c r="A432" s="243"/>
      <c r="B432" s="28"/>
      <c r="C432" s="122"/>
      <c r="D432" s="123"/>
      <c r="E432" s="106"/>
      <c r="F432" s="106"/>
      <c r="L432" s="106"/>
      <c r="M432" s="106"/>
      <c r="N432" s="106"/>
      <c r="O432" s="106"/>
      <c r="P432" s="106"/>
      <c r="AA432" s="28"/>
    </row>
    <row r="433" spans="1:27" ht="15.75" customHeight="1" x14ac:dyDescent="0.35">
      <c r="A433" s="243"/>
      <c r="B433" s="28"/>
      <c r="C433" s="122"/>
      <c r="D433" s="123"/>
      <c r="E433" s="106"/>
      <c r="F433" s="106"/>
      <c r="L433" s="106"/>
      <c r="M433" s="106"/>
      <c r="N433" s="106"/>
      <c r="O433" s="106"/>
      <c r="P433" s="106"/>
      <c r="AA433" s="28"/>
    </row>
    <row r="434" spans="1:27" ht="15.75" customHeight="1" x14ac:dyDescent="0.35">
      <c r="A434" s="243"/>
      <c r="B434" s="28"/>
      <c r="C434" s="122"/>
      <c r="D434" s="123"/>
      <c r="E434" s="106"/>
      <c r="F434" s="106"/>
      <c r="L434" s="106"/>
      <c r="M434" s="106"/>
      <c r="N434" s="106"/>
      <c r="O434" s="106"/>
      <c r="P434" s="106"/>
      <c r="AA434" s="28"/>
    </row>
    <row r="435" spans="1:27" ht="15.75" customHeight="1" x14ac:dyDescent="0.35">
      <c r="A435" s="243"/>
      <c r="B435" s="28"/>
      <c r="C435" s="122"/>
      <c r="D435" s="123"/>
      <c r="E435" s="106"/>
      <c r="F435" s="106"/>
      <c r="L435" s="106"/>
      <c r="M435" s="106"/>
      <c r="N435" s="106"/>
      <c r="O435" s="106"/>
      <c r="P435" s="106"/>
      <c r="AA435" s="28"/>
    </row>
    <row r="436" spans="1:27" ht="15.75" customHeight="1" x14ac:dyDescent="0.35">
      <c r="A436" s="243"/>
      <c r="B436" s="28"/>
      <c r="C436" s="122"/>
      <c r="D436" s="123"/>
      <c r="E436" s="106"/>
      <c r="F436" s="106"/>
      <c r="L436" s="106"/>
      <c r="M436" s="106"/>
      <c r="N436" s="106"/>
      <c r="O436" s="106"/>
      <c r="P436" s="106"/>
      <c r="AA436" s="28"/>
    </row>
    <row r="437" spans="1:27" ht="15.75" customHeight="1" x14ac:dyDescent="0.35">
      <c r="A437" s="243"/>
      <c r="B437" s="28"/>
      <c r="C437" s="122"/>
      <c r="D437" s="123"/>
      <c r="E437" s="106"/>
      <c r="F437" s="106"/>
      <c r="L437" s="106"/>
      <c r="M437" s="106"/>
      <c r="N437" s="106"/>
      <c r="O437" s="106"/>
      <c r="P437" s="106"/>
      <c r="AA437" s="28"/>
    </row>
    <row r="438" spans="1:27" ht="15.75" customHeight="1" x14ac:dyDescent="0.35">
      <c r="A438" s="243"/>
      <c r="B438" s="28"/>
      <c r="C438" s="122"/>
      <c r="D438" s="123"/>
      <c r="E438" s="106"/>
      <c r="F438" s="106"/>
      <c r="L438" s="106"/>
      <c r="M438" s="106"/>
      <c r="N438" s="106"/>
      <c r="O438" s="106"/>
      <c r="P438" s="106"/>
      <c r="AA438" s="28"/>
    </row>
    <row r="439" spans="1:27" ht="15.75" customHeight="1" x14ac:dyDescent="0.35">
      <c r="A439" s="243"/>
      <c r="B439" s="28"/>
      <c r="C439" s="122"/>
      <c r="D439" s="123"/>
      <c r="E439" s="106"/>
      <c r="F439" s="106"/>
      <c r="L439" s="106"/>
      <c r="M439" s="106"/>
      <c r="N439" s="106"/>
      <c r="O439" s="106"/>
      <c r="P439" s="106"/>
      <c r="AA439" s="28"/>
    </row>
    <row r="440" spans="1:27" ht="15.75" customHeight="1" x14ac:dyDescent="0.35">
      <c r="A440" s="243"/>
      <c r="B440" s="28"/>
      <c r="C440" s="122"/>
      <c r="D440" s="123"/>
      <c r="E440" s="106"/>
      <c r="F440" s="106"/>
      <c r="L440" s="106"/>
      <c r="M440" s="106"/>
      <c r="N440" s="106"/>
      <c r="O440" s="106"/>
      <c r="P440" s="106"/>
      <c r="AA440" s="28"/>
    </row>
    <row r="441" spans="1:27" ht="15.75" customHeight="1" x14ac:dyDescent="0.35">
      <c r="A441" s="243"/>
      <c r="B441" s="28"/>
      <c r="C441" s="122"/>
      <c r="D441" s="123"/>
      <c r="E441" s="106"/>
      <c r="F441" s="106"/>
      <c r="L441" s="106"/>
      <c r="M441" s="106"/>
      <c r="N441" s="106"/>
      <c r="O441" s="106"/>
      <c r="P441" s="106"/>
      <c r="AA441" s="28"/>
    </row>
    <row r="442" spans="1:27" ht="15.75" customHeight="1" x14ac:dyDescent="0.35">
      <c r="A442" s="243"/>
      <c r="B442" s="28"/>
      <c r="C442" s="122"/>
      <c r="D442" s="123"/>
      <c r="E442" s="106"/>
      <c r="F442" s="106"/>
      <c r="L442" s="106"/>
      <c r="M442" s="106"/>
      <c r="N442" s="106"/>
      <c r="O442" s="106"/>
      <c r="P442" s="106"/>
      <c r="AA442" s="28"/>
    </row>
    <row r="443" spans="1:27" ht="15.75" customHeight="1" x14ac:dyDescent="0.35">
      <c r="A443" s="243"/>
      <c r="B443" s="28"/>
      <c r="C443" s="122"/>
      <c r="D443" s="123"/>
      <c r="E443" s="106"/>
      <c r="F443" s="106"/>
      <c r="L443" s="106"/>
      <c r="M443" s="106"/>
      <c r="N443" s="106"/>
      <c r="O443" s="106"/>
      <c r="P443" s="106"/>
      <c r="AA443" s="28"/>
    </row>
    <row r="444" spans="1:27" ht="15.75" customHeight="1" x14ac:dyDescent="0.35">
      <c r="A444" s="243"/>
      <c r="B444" s="28"/>
      <c r="C444" s="122"/>
      <c r="D444" s="123"/>
      <c r="E444" s="106"/>
      <c r="F444" s="106"/>
      <c r="L444" s="106"/>
      <c r="M444" s="106"/>
      <c r="N444" s="106"/>
      <c r="O444" s="106"/>
      <c r="P444" s="106"/>
      <c r="AA444" s="28"/>
    </row>
    <row r="445" spans="1:27" ht="15.75" customHeight="1" x14ac:dyDescent="0.35">
      <c r="A445" s="243"/>
      <c r="B445" s="28"/>
      <c r="C445" s="122"/>
      <c r="D445" s="123"/>
      <c r="E445" s="106"/>
      <c r="F445" s="106"/>
      <c r="L445" s="106"/>
      <c r="M445" s="106"/>
      <c r="N445" s="106"/>
      <c r="O445" s="106"/>
      <c r="P445" s="106"/>
      <c r="AA445" s="28"/>
    </row>
    <row r="446" spans="1:27" ht="15.75" customHeight="1" x14ac:dyDescent="0.35">
      <c r="A446" s="243"/>
      <c r="B446" s="28"/>
      <c r="C446" s="122"/>
      <c r="D446" s="123"/>
      <c r="E446" s="106"/>
      <c r="F446" s="106"/>
      <c r="L446" s="106"/>
      <c r="M446" s="106"/>
      <c r="N446" s="106"/>
      <c r="O446" s="106"/>
      <c r="P446" s="106"/>
      <c r="AA446" s="28"/>
    </row>
    <row r="447" spans="1:27" ht="15.75" customHeight="1" x14ac:dyDescent="0.35">
      <c r="A447" s="243"/>
      <c r="B447" s="28"/>
      <c r="C447" s="122"/>
      <c r="D447" s="123"/>
      <c r="E447" s="106"/>
      <c r="F447" s="106"/>
      <c r="L447" s="106"/>
      <c r="M447" s="106"/>
      <c r="N447" s="106"/>
      <c r="O447" s="106"/>
      <c r="P447" s="106"/>
      <c r="AA447" s="28"/>
    </row>
    <row r="448" spans="1:27" ht="15.75" customHeight="1" x14ac:dyDescent="0.35">
      <c r="A448" s="243"/>
      <c r="B448" s="28"/>
      <c r="C448" s="122"/>
      <c r="D448" s="123"/>
      <c r="E448" s="106"/>
      <c r="F448" s="106"/>
      <c r="L448" s="106"/>
      <c r="M448" s="106"/>
      <c r="N448" s="106"/>
      <c r="O448" s="106"/>
      <c r="P448" s="106"/>
      <c r="AA448" s="28"/>
    </row>
    <row r="449" spans="1:27" ht="15.75" customHeight="1" x14ac:dyDescent="0.35">
      <c r="A449" s="243"/>
      <c r="B449" s="28"/>
      <c r="C449" s="122"/>
      <c r="D449" s="123"/>
      <c r="E449" s="106"/>
      <c r="F449" s="106"/>
      <c r="L449" s="106"/>
      <c r="M449" s="106"/>
      <c r="N449" s="106"/>
      <c r="O449" s="106"/>
      <c r="P449" s="106"/>
      <c r="AA449" s="28"/>
    </row>
    <row r="450" spans="1:27" ht="15.75" customHeight="1" x14ac:dyDescent="0.35">
      <c r="A450" s="243"/>
      <c r="B450" s="28"/>
      <c r="C450" s="122"/>
      <c r="D450" s="123"/>
      <c r="E450" s="106"/>
      <c r="F450" s="106"/>
      <c r="L450" s="106"/>
      <c r="M450" s="106"/>
      <c r="N450" s="106"/>
      <c r="O450" s="106"/>
      <c r="P450" s="106"/>
      <c r="AA450" s="28"/>
    </row>
    <row r="451" spans="1:27" ht="15.75" customHeight="1" x14ac:dyDescent="0.35">
      <c r="A451" s="243"/>
      <c r="B451" s="28"/>
      <c r="C451" s="122"/>
      <c r="D451" s="123"/>
      <c r="E451" s="106"/>
      <c r="F451" s="106"/>
      <c r="L451" s="106"/>
      <c r="M451" s="106"/>
      <c r="N451" s="106"/>
      <c r="O451" s="106"/>
      <c r="P451" s="106"/>
      <c r="AA451" s="28"/>
    </row>
    <row r="452" spans="1:27" ht="15.75" customHeight="1" x14ac:dyDescent="0.35">
      <c r="A452" s="243"/>
      <c r="B452" s="28"/>
      <c r="C452" s="122"/>
      <c r="D452" s="123"/>
      <c r="E452" s="106"/>
      <c r="F452" s="106"/>
      <c r="L452" s="106"/>
      <c r="M452" s="106"/>
      <c r="N452" s="106"/>
      <c r="O452" s="106"/>
      <c r="P452" s="106"/>
      <c r="AA452" s="28"/>
    </row>
    <row r="453" spans="1:27" ht="15.75" customHeight="1" x14ac:dyDescent="0.35">
      <c r="A453" s="243"/>
      <c r="B453" s="28"/>
      <c r="C453" s="122"/>
      <c r="D453" s="123"/>
      <c r="E453" s="106"/>
      <c r="F453" s="106"/>
      <c r="L453" s="106"/>
      <c r="M453" s="106"/>
      <c r="N453" s="106"/>
      <c r="O453" s="106"/>
      <c r="P453" s="106"/>
      <c r="AA453" s="28"/>
    </row>
    <row r="454" spans="1:27" ht="15.75" customHeight="1" x14ac:dyDescent="0.35">
      <c r="A454" s="243"/>
      <c r="B454" s="28"/>
      <c r="C454" s="122"/>
      <c r="D454" s="123"/>
      <c r="E454" s="106"/>
      <c r="F454" s="106"/>
      <c r="L454" s="106"/>
      <c r="M454" s="106"/>
      <c r="N454" s="106"/>
      <c r="O454" s="106"/>
      <c r="P454" s="106"/>
      <c r="AA454" s="28"/>
    </row>
    <row r="455" spans="1:27" ht="15.75" customHeight="1" x14ac:dyDescent="0.35">
      <c r="A455" s="243"/>
      <c r="B455" s="28"/>
      <c r="C455" s="122"/>
      <c r="D455" s="123"/>
      <c r="E455" s="106"/>
      <c r="F455" s="106"/>
      <c r="L455" s="106"/>
      <c r="M455" s="106"/>
      <c r="N455" s="106"/>
      <c r="O455" s="106"/>
      <c r="P455" s="106"/>
      <c r="AA455" s="28"/>
    </row>
    <row r="456" spans="1:27" ht="15.75" customHeight="1" x14ac:dyDescent="0.35">
      <c r="A456" s="243"/>
      <c r="B456" s="28"/>
      <c r="C456" s="122"/>
      <c r="D456" s="123"/>
      <c r="E456" s="106"/>
      <c r="F456" s="106"/>
      <c r="L456" s="106"/>
      <c r="M456" s="106"/>
      <c r="N456" s="106"/>
      <c r="O456" s="106"/>
      <c r="P456" s="106"/>
      <c r="AA456" s="28"/>
    </row>
    <row r="457" spans="1:27" ht="15.75" customHeight="1" x14ac:dyDescent="0.35">
      <c r="A457" s="243"/>
      <c r="B457" s="28"/>
      <c r="C457" s="122"/>
      <c r="D457" s="123"/>
      <c r="E457" s="106"/>
      <c r="F457" s="106"/>
      <c r="L457" s="106"/>
      <c r="M457" s="106"/>
      <c r="N457" s="106"/>
      <c r="O457" s="106"/>
      <c r="P457" s="106"/>
      <c r="AA457" s="28"/>
    </row>
    <row r="458" spans="1:27" ht="15.75" customHeight="1" x14ac:dyDescent="0.35">
      <c r="A458" s="243"/>
      <c r="B458" s="28"/>
      <c r="C458" s="122"/>
      <c r="D458" s="123"/>
      <c r="E458" s="106"/>
      <c r="F458" s="106"/>
      <c r="L458" s="106"/>
      <c r="M458" s="106"/>
      <c r="N458" s="106"/>
      <c r="O458" s="106"/>
      <c r="P458" s="106"/>
      <c r="AA458" s="28"/>
    </row>
    <row r="459" spans="1:27" ht="15.75" customHeight="1" x14ac:dyDescent="0.35">
      <c r="A459" s="243"/>
      <c r="B459" s="28"/>
      <c r="C459" s="122"/>
      <c r="D459" s="123"/>
      <c r="E459" s="106"/>
      <c r="F459" s="106"/>
      <c r="L459" s="106"/>
      <c r="M459" s="106"/>
      <c r="N459" s="106"/>
      <c r="O459" s="106"/>
      <c r="P459" s="106"/>
      <c r="AA459" s="28"/>
    </row>
    <row r="460" spans="1:27" ht="15.75" customHeight="1" x14ac:dyDescent="0.35">
      <c r="A460" s="243"/>
      <c r="B460" s="28"/>
      <c r="C460" s="122"/>
      <c r="D460" s="123"/>
      <c r="E460" s="106"/>
      <c r="F460" s="106"/>
      <c r="L460" s="106"/>
      <c r="M460" s="106"/>
      <c r="N460" s="106"/>
      <c r="O460" s="106"/>
      <c r="P460" s="106"/>
      <c r="AA460" s="28"/>
    </row>
    <row r="461" spans="1:27" ht="15.75" customHeight="1" x14ac:dyDescent="0.35">
      <c r="A461" s="243"/>
      <c r="B461" s="28"/>
      <c r="C461" s="122"/>
      <c r="D461" s="123"/>
      <c r="E461" s="106"/>
      <c r="F461" s="106"/>
      <c r="L461" s="106"/>
      <c r="M461" s="106"/>
      <c r="N461" s="106"/>
      <c r="O461" s="106"/>
      <c r="P461" s="106"/>
      <c r="AA461" s="28"/>
    </row>
    <row r="462" spans="1:27" ht="15.75" customHeight="1" x14ac:dyDescent="0.35">
      <c r="A462" s="243"/>
      <c r="B462" s="28"/>
      <c r="C462" s="122"/>
      <c r="D462" s="123"/>
      <c r="E462" s="106"/>
      <c r="F462" s="106"/>
      <c r="L462" s="106"/>
      <c r="M462" s="106"/>
      <c r="N462" s="106"/>
      <c r="O462" s="106"/>
      <c r="P462" s="106"/>
      <c r="AA462" s="28"/>
    </row>
    <row r="463" spans="1:27" ht="15.75" customHeight="1" x14ac:dyDescent="0.35">
      <c r="A463" s="243"/>
      <c r="B463" s="28"/>
      <c r="C463" s="122"/>
      <c r="D463" s="123"/>
      <c r="E463" s="106"/>
      <c r="F463" s="106"/>
      <c r="L463" s="106"/>
      <c r="M463" s="106"/>
      <c r="N463" s="106"/>
      <c r="O463" s="106"/>
      <c r="P463" s="106"/>
      <c r="AA463" s="28"/>
    </row>
    <row r="464" spans="1:27" ht="15.75" customHeight="1" x14ac:dyDescent="0.35">
      <c r="A464" s="243"/>
      <c r="B464" s="28"/>
      <c r="C464" s="122"/>
      <c r="D464" s="123"/>
      <c r="E464" s="106"/>
      <c r="F464" s="106"/>
      <c r="L464" s="106"/>
      <c r="M464" s="106"/>
      <c r="N464" s="106"/>
      <c r="O464" s="106"/>
      <c r="P464" s="106"/>
      <c r="AA464" s="28"/>
    </row>
    <row r="465" spans="1:27" ht="15.75" customHeight="1" x14ac:dyDescent="0.35">
      <c r="A465" s="243"/>
      <c r="B465" s="28"/>
      <c r="C465" s="122"/>
      <c r="D465" s="123"/>
      <c r="E465" s="106"/>
      <c r="F465" s="106"/>
      <c r="L465" s="106"/>
      <c r="M465" s="106"/>
      <c r="N465" s="106"/>
      <c r="O465" s="106"/>
      <c r="P465" s="106"/>
      <c r="AA465" s="28"/>
    </row>
    <row r="466" spans="1:27" ht="15.75" customHeight="1" x14ac:dyDescent="0.35">
      <c r="A466" s="243"/>
      <c r="B466" s="28"/>
      <c r="C466" s="122"/>
      <c r="D466" s="123"/>
      <c r="E466" s="106"/>
      <c r="F466" s="106"/>
      <c r="L466" s="106"/>
      <c r="M466" s="106"/>
      <c r="N466" s="106"/>
      <c r="O466" s="106"/>
      <c r="P466" s="106"/>
      <c r="AA466" s="28"/>
    </row>
    <row r="467" spans="1:27" ht="15.75" customHeight="1" x14ac:dyDescent="0.35">
      <c r="A467" s="243"/>
      <c r="B467" s="28"/>
      <c r="C467" s="122"/>
      <c r="D467" s="123"/>
      <c r="E467" s="106"/>
      <c r="F467" s="106"/>
      <c r="L467" s="106"/>
      <c r="M467" s="106"/>
      <c r="N467" s="106"/>
      <c r="O467" s="106"/>
      <c r="P467" s="106"/>
      <c r="AA467" s="28"/>
    </row>
    <row r="468" spans="1:27" ht="15.75" customHeight="1" x14ac:dyDescent="0.35">
      <c r="A468" s="243"/>
      <c r="B468" s="28"/>
      <c r="C468" s="122"/>
      <c r="D468" s="123"/>
      <c r="E468" s="106"/>
      <c r="F468" s="106"/>
      <c r="L468" s="106"/>
      <c r="M468" s="106"/>
      <c r="N468" s="106"/>
      <c r="O468" s="106"/>
      <c r="P468" s="106"/>
      <c r="AA468" s="28"/>
    </row>
    <row r="469" spans="1:27" ht="15.75" customHeight="1" x14ac:dyDescent="0.35">
      <c r="A469" s="243"/>
      <c r="B469" s="28"/>
      <c r="C469" s="122"/>
      <c r="D469" s="123"/>
      <c r="E469" s="106"/>
      <c r="F469" s="106"/>
      <c r="L469" s="106"/>
      <c r="M469" s="106"/>
      <c r="N469" s="106"/>
      <c r="O469" s="106"/>
      <c r="P469" s="106"/>
      <c r="AA469" s="28"/>
    </row>
    <row r="470" spans="1:27" ht="15.75" customHeight="1" x14ac:dyDescent="0.35">
      <c r="A470" s="243"/>
      <c r="B470" s="28"/>
      <c r="C470" s="122"/>
      <c r="D470" s="123"/>
      <c r="E470" s="106"/>
      <c r="F470" s="106"/>
      <c r="L470" s="106"/>
      <c r="M470" s="106"/>
      <c r="N470" s="106"/>
      <c r="O470" s="106"/>
      <c r="P470" s="106"/>
      <c r="AA470" s="28"/>
    </row>
    <row r="471" spans="1:27" ht="15.75" customHeight="1" x14ac:dyDescent="0.35">
      <c r="A471" s="243"/>
      <c r="B471" s="28"/>
      <c r="C471" s="122"/>
      <c r="D471" s="123"/>
      <c r="E471" s="106"/>
      <c r="F471" s="106"/>
      <c r="L471" s="106"/>
      <c r="M471" s="106"/>
      <c r="N471" s="106"/>
      <c r="O471" s="106"/>
      <c r="P471" s="106"/>
      <c r="AA471" s="28"/>
    </row>
    <row r="472" spans="1:27" ht="15.75" customHeight="1" x14ac:dyDescent="0.35">
      <c r="A472" s="243"/>
      <c r="B472" s="28"/>
      <c r="C472" s="122"/>
      <c r="D472" s="123"/>
      <c r="E472" s="106"/>
      <c r="F472" s="106"/>
      <c r="L472" s="106"/>
      <c r="M472" s="106"/>
      <c r="N472" s="106"/>
      <c r="O472" s="106"/>
      <c r="P472" s="106"/>
      <c r="AA472" s="28"/>
    </row>
    <row r="473" spans="1:27" ht="15.75" customHeight="1" x14ac:dyDescent="0.35">
      <c r="A473" s="243"/>
      <c r="B473" s="28"/>
      <c r="C473" s="122"/>
      <c r="D473" s="123"/>
      <c r="E473" s="106"/>
      <c r="F473" s="106"/>
      <c r="L473" s="106"/>
      <c r="M473" s="106"/>
      <c r="N473" s="106"/>
      <c r="O473" s="106"/>
      <c r="P473" s="106"/>
      <c r="AA473" s="28"/>
    </row>
    <row r="474" spans="1:27" ht="15.75" customHeight="1" x14ac:dyDescent="0.35">
      <c r="A474" s="243"/>
      <c r="B474" s="28"/>
      <c r="C474" s="122"/>
      <c r="D474" s="123"/>
      <c r="E474" s="106"/>
      <c r="F474" s="106"/>
      <c r="L474" s="106"/>
      <c r="M474" s="106"/>
      <c r="N474" s="106"/>
      <c r="O474" s="106"/>
      <c r="P474" s="106"/>
      <c r="AA474" s="28"/>
    </row>
    <row r="475" spans="1:27" ht="15.75" customHeight="1" x14ac:dyDescent="0.35">
      <c r="A475" s="243"/>
      <c r="B475" s="28"/>
      <c r="C475" s="122"/>
      <c r="D475" s="123"/>
      <c r="E475" s="106"/>
      <c r="F475" s="106"/>
      <c r="L475" s="106"/>
      <c r="M475" s="106"/>
      <c r="N475" s="106"/>
      <c r="O475" s="106"/>
      <c r="P475" s="106"/>
      <c r="AA475" s="28"/>
    </row>
    <row r="476" spans="1:27" ht="15.75" customHeight="1" x14ac:dyDescent="0.35">
      <c r="A476" s="243"/>
      <c r="B476" s="28"/>
      <c r="C476" s="122"/>
      <c r="D476" s="123"/>
      <c r="E476" s="106"/>
      <c r="F476" s="106"/>
      <c r="L476" s="106"/>
      <c r="M476" s="106"/>
      <c r="N476" s="106"/>
      <c r="O476" s="106"/>
      <c r="P476" s="106"/>
      <c r="AA476" s="28"/>
    </row>
    <row r="477" spans="1:27" ht="15.75" customHeight="1" x14ac:dyDescent="0.35">
      <c r="A477" s="243"/>
      <c r="B477" s="28"/>
      <c r="C477" s="122"/>
      <c r="D477" s="123"/>
      <c r="E477" s="106"/>
      <c r="F477" s="106"/>
      <c r="L477" s="106"/>
      <c r="M477" s="106"/>
      <c r="N477" s="106"/>
      <c r="O477" s="106"/>
      <c r="P477" s="106"/>
      <c r="AA477" s="28"/>
    </row>
    <row r="478" spans="1:27" ht="15.75" customHeight="1" x14ac:dyDescent="0.35">
      <c r="A478" s="243"/>
      <c r="B478" s="28"/>
      <c r="C478" s="122"/>
      <c r="D478" s="123"/>
      <c r="E478" s="106"/>
      <c r="F478" s="106"/>
      <c r="L478" s="106"/>
      <c r="M478" s="106"/>
      <c r="N478" s="106"/>
      <c r="O478" s="106"/>
      <c r="P478" s="106"/>
      <c r="AA478" s="28"/>
    </row>
    <row r="479" spans="1:27" ht="15.75" customHeight="1" x14ac:dyDescent="0.35">
      <c r="A479" s="243"/>
      <c r="B479" s="28"/>
      <c r="C479" s="122"/>
      <c r="D479" s="123"/>
      <c r="E479" s="106"/>
      <c r="F479" s="106"/>
      <c r="L479" s="106"/>
      <c r="M479" s="106"/>
      <c r="N479" s="106"/>
      <c r="O479" s="106"/>
      <c r="P479" s="106"/>
      <c r="AA479" s="28"/>
    </row>
    <row r="480" spans="1:27" ht="15.75" customHeight="1" x14ac:dyDescent="0.35">
      <c r="A480" s="243"/>
      <c r="B480" s="28"/>
      <c r="C480" s="122"/>
      <c r="D480" s="123"/>
      <c r="E480" s="106"/>
      <c r="F480" s="106"/>
      <c r="L480" s="106"/>
      <c r="M480" s="106"/>
      <c r="N480" s="106"/>
      <c r="O480" s="106"/>
      <c r="P480" s="106"/>
      <c r="AA480" s="28"/>
    </row>
    <row r="481" spans="1:27" ht="15.75" customHeight="1" x14ac:dyDescent="0.35">
      <c r="A481" s="243"/>
      <c r="B481" s="28"/>
      <c r="C481" s="122"/>
      <c r="D481" s="123"/>
      <c r="E481" s="106"/>
      <c r="F481" s="106"/>
      <c r="L481" s="106"/>
      <c r="M481" s="106"/>
      <c r="N481" s="106"/>
      <c r="O481" s="106"/>
      <c r="P481" s="106"/>
      <c r="AA481" s="28"/>
    </row>
    <row r="482" spans="1:27" ht="15.75" customHeight="1" x14ac:dyDescent="0.35">
      <c r="A482" s="243"/>
      <c r="B482" s="28"/>
      <c r="C482" s="122"/>
      <c r="D482" s="123"/>
      <c r="E482" s="106"/>
      <c r="F482" s="106"/>
      <c r="L482" s="106"/>
      <c r="M482" s="106"/>
      <c r="N482" s="106"/>
      <c r="O482" s="106"/>
      <c r="P482" s="106"/>
      <c r="AA482" s="28"/>
    </row>
    <row r="483" spans="1:27" ht="15.75" customHeight="1" x14ac:dyDescent="0.35">
      <c r="A483" s="243"/>
      <c r="B483" s="28"/>
      <c r="C483" s="122"/>
      <c r="D483" s="123"/>
      <c r="E483" s="106"/>
      <c r="F483" s="106"/>
      <c r="L483" s="106"/>
      <c r="M483" s="106"/>
      <c r="N483" s="106"/>
      <c r="O483" s="106"/>
      <c r="P483" s="106"/>
      <c r="AA483" s="28"/>
    </row>
    <row r="484" spans="1:27" ht="15.75" customHeight="1" x14ac:dyDescent="0.35">
      <c r="A484" s="243"/>
      <c r="B484" s="28"/>
      <c r="C484" s="122"/>
      <c r="D484" s="123"/>
      <c r="E484" s="106"/>
      <c r="F484" s="106"/>
      <c r="L484" s="106"/>
      <c r="M484" s="106"/>
      <c r="N484" s="106"/>
      <c r="O484" s="106"/>
      <c r="P484" s="106"/>
      <c r="AA484" s="28"/>
    </row>
    <row r="485" spans="1:27" ht="15.75" customHeight="1" x14ac:dyDescent="0.35">
      <c r="A485" s="243"/>
      <c r="B485" s="28"/>
      <c r="C485" s="122"/>
      <c r="D485" s="123"/>
      <c r="E485" s="106"/>
      <c r="F485" s="106"/>
      <c r="L485" s="106"/>
      <c r="M485" s="106"/>
      <c r="N485" s="106"/>
      <c r="O485" s="106"/>
      <c r="P485" s="106"/>
      <c r="AA485" s="28"/>
    </row>
    <row r="486" spans="1:27" ht="15.75" customHeight="1" x14ac:dyDescent="0.35">
      <c r="A486" s="243"/>
      <c r="B486" s="28"/>
      <c r="C486" s="122"/>
      <c r="D486" s="123"/>
      <c r="E486" s="106"/>
      <c r="F486" s="106"/>
      <c r="L486" s="106"/>
      <c r="M486" s="106"/>
      <c r="N486" s="106"/>
      <c r="O486" s="106"/>
      <c r="P486" s="106"/>
      <c r="AA486" s="28"/>
    </row>
    <row r="487" spans="1:27" ht="15.75" customHeight="1" x14ac:dyDescent="0.35">
      <c r="A487" s="243"/>
      <c r="B487" s="28"/>
      <c r="C487" s="122"/>
      <c r="D487" s="123"/>
      <c r="E487" s="106"/>
      <c r="F487" s="106"/>
      <c r="L487" s="106"/>
      <c r="M487" s="106"/>
      <c r="N487" s="106"/>
      <c r="O487" s="106"/>
      <c r="P487" s="106"/>
      <c r="AA487" s="28"/>
    </row>
    <row r="488" spans="1:27" ht="15.75" customHeight="1" x14ac:dyDescent="0.35">
      <c r="A488" s="243"/>
      <c r="B488" s="28"/>
      <c r="C488" s="122"/>
      <c r="D488" s="123"/>
      <c r="E488" s="106"/>
      <c r="F488" s="106"/>
      <c r="L488" s="106"/>
      <c r="M488" s="106"/>
      <c r="N488" s="106"/>
      <c r="O488" s="106"/>
      <c r="P488" s="106"/>
      <c r="AA488" s="28"/>
    </row>
    <row r="489" spans="1:27" ht="15.75" customHeight="1" x14ac:dyDescent="0.35">
      <c r="A489" s="243"/>
      <c r="B489" s="28"/>
      <c r="C489" s="122"/>
      <c r="D489" s="123"/>
      <c r="E489" s="106"/>
      <c r="F489" s="106"/>
      <c r="L489" s="106"/>
      <c r="M489" s="106"/>
      <c r="N489" s="106"/>
      <c r="O489" s="106"/>
      <c r="P489" s="106"/>
      <c r="AA489" s="28"/>
    </row>
    <row r="490" spans="1:27" ht="15.75" customHeight="1" x14ac:dyDescent="0.35">
      <c r="A490" s="243"/>
      <c r="B490" s="28"/>
      <c r="C490" s="122"/>
      <c r="D490" s="123"/>
      <c r="E490" s="106"/>
      <c r="F490" s="106"/>
      <c r="L490" s="106"/>
      <c r="M490" s="106"/>
      <c r="N490" s="106"/>
      <c r="O490" s="106"/>
      <c r="P490" s="106"/>
      <c r="AA490" s="28"/>
    </row>
    <row r="491" spans="1:27" ht="15.75" customHeight="1" x14ac:dyDescent="0.35">
      <c r="A491" s="243"/>
      <c r="B491" s="28"/>
      <c r="C491" s="122"/>
      <c r="D491" s="123"/>
      <c r="E491" s="106"/>
      <c r="F491" s="106"/>
      <c r="L491" s="106"/>
      <c r="M491" s="106"/>
      <c r="N491" s="106"/>
      <c r="O491" s="106"/>
      <c r="P491" s="106"/>
      <c r="AA491" s="28"/>
    </row>
    <row r="492" spans="1:27" ht="15.75" customHeight="1" x14ac:dyDescent="0.35">
      <c r="A492" s="243"/>
      <c r="B492" s="28"/>
      <c r="C492" s="122"/>
      <c r="D492" s="123"/>
      <c r="E492" s="106"/>
      <c r="F492" s="106"/>
      <c r="L492" s="106"/>
      <c r="M492" s="106"/>
      <c r="N492" s="106"/>
      <c r="O492" s="106"/>
      <c r="P492" s="106"/>
      <c r="AA492" s="28"/>
    </row>
    <row r="493" spans="1:27" ht="15.75" customHeight="1" x14ac:dyDescent="0.35">
      <c r="A493" s="243"/>
      <c r="B493" s="28"/>
      <c r="C493" s="122"/>
      <c r="D493" s="123"/>
      <c r="E493" s="106"/>
      <c r="F493" s="106"/>
      <c r="L493" s="106"/>
      <c r="M493" s="106"/>
      <c r="N493" s="106"/>
      <c r="O493" s="106"/>
      <c r="P493" s="106"/>
      <c r="AA493" s="28"/>
    </row>
    <row r="494" spans="1:27" ht="15.75" customHeight="1" x14ac:dyDescent="0.35">
      <c r="A494" s="243"/>
      <c r="B494" s="28"/>
      <c r="C494" s="122"/>
      <c r="D494" s="123"/>
      <c r="E494" s="106"/>
      <c r="F494" s="106"/>
      <c r="L494" s="106"/>
      <c r="M494" s="106"/>
      <c r="N494" s="106"/>
      <c r="O494" s="106"/>
      <c r="P494" s="106"/>
      <c r="AA494" s="28"/>
    </row>
    <row r="495" spans="1:27" ht="15.75" customHeight="1" x14ac:dyDescent="0.35">
      <c r="A495" s="243"/>
      <c r="B495" s="28"/>
      <c r="C495" s="122"/>
      <c r="D495" s="123"/>
      <c r="E495" s="106"/>
      <c r="F495" s="106"/>
      <c r="L495" s="106"/>
      <c r="M495" s="106"/>
      <c r="N495" s="106"/>
      <c r="O495" s="106"/>
      <c r="P495" s="106"/>
      <c r="AA495" s="28"/>
    </row>
    <row r="496" spans="1:27" ht="15.75" customHeight="1" x14ac:dyDescent="0.35">
      <c r="A496" s="243"/>
      <c r="B496" s="28"/>
      <c r="C496" s="122"/>
      <c r="D496" s="123"/>
      <c r="E496" s="106"/>
      <c r="F496" s="106"/>
      <c r="L496" s="106"/>
      <c r="M496" s="106"/>
      <c r="N496" s="106"/>
      <c r="O496" s="106"/>
      <c r="P496" s="106"/>
      <c r="AA496" s="28"/>
    </row>
    <row r="497" spans="1:27" ht="15.75" customHeight="1" x14ac:dyDescent="0.35">
      <c r="A497" s="243"/>
      <c r="B497" s="28"/>
      <c r="C497" s="122"/>
      <c r="D497" s="123"/>
      <c r="E497" s="106"/>
      <c r="F497" s="106"/>
      <c r="L497" s="106"/>
      <c r="M497" s="106"/>
      <c r="N497" s="106"/>
      <c r="O497" s="106"/>
      <c r="P497" s="106"/>
      <c r="AA497" s="28"/>
    </row>
    <row r="498" spans="1:27" ht="15.75" customHeight="1" x14ac:dyDescent="0.35">
      <c r="A498" s="243"/>
      <c r="B498" s="28"/>
      <c r="C498" s="122"/>
      <c r="D498" s="123"/>
      <c r="E498" s="106"/>
      <c r="F498" s="106"/>
      <c r="L498" s="106"/>
      <c r="M498" s="106"/>
      <c r="N498" s="106"/>
      <c r="O498" s="106"/>
      <c r="P498" s="106"/>
      <c r="AA498" s="28"/>
    </row>
    <row r="499" spans="1:27" ht="15.75" customHeight="1" x14ac:dyDescent="0.35">
      <c r="A499" s="243"/>
      <c r="B499" s="28"/>
      <c r="C499" s="122"/>
      <c r="D499" s="123"/>
      <c r="E499" s="106"/>
      <c r="F499" s="106"/>
      <c r="L499" s="106"/>
      <c r="M499" s="106"/>
      <c r="N499" s="106"/>
      <c r="O499" s="106"/>
      <c r="P499" s="106"/>
      <c r="AA499" s="28"/>
    </row>
    <row r="500" spans="1:27" ht="15.75" customHeight="1" x14ac:dyDescent="0.35">
      <c r="A500" s="243"/>
      <c r="B500" s="28"/>
      <c r="C500" s="122"/>
      <c r="D500" s="123"/>
      <c r="E500" s="106"/>
      <c r="F500" s="106"/>
      <c r="L500" s="106"/>
      <c r="M500" s="106"/>
      <c r="N500" s="106"/>
      <c r="O500" s="106"/>
      <c r="P500" s="106"/>
      <c r="AA500" s="28"/>
    </row>
    <row r="501" spans="1:27" ht="15.75" customHeight="1" x14ac:dyDescent="0.35">
      <c r="A501" s="243"/>
      <c r="B501" s="28"/>
      <c r="C501" s="122"/>
      <c r="D501" s="123"/>
      <c r="E501" s="106"/>
      <c r="F501" s="106"/>
      <c r="L501" s="106"/>
      <c r="M501" s="106"/>
      <c r="N501" s="106"/>
      <c r="O501" s="106"/>
      <c r="P501" s="106"/>
      <c r="AA501" s="28"/>
    </row>
    <row r="502" spans="1:27" ht="15.75" customHeight="1" x14ac:dyDescent="0.35">
      <c r="A502" s="243"/>
      <c r="B502" s="28"/>
      <c r="C502" s="122"/>
      <c r="D502" s="123"/>
      <c r="E502" s="106"/>
      <c r="F502" s="106"/>
      <c r="L502" s="106"/>
      <c r="M502" s="106"/>
      <c r="N502" s="106"/>
      <c r="O502" s="106"/>
      <c r="P502" s="106"/>
      <c r="AA502" s="28"/>
    </row>
    <row r="503" spans="1:27" ht="15.75" customHeight="1" x14ac:dyDescent="0.35">
      <c r="A503" s="243"/>
      <c r="B503" s="28"/>
      <c r="C503" s="122"/>
      <c r="D503" s="123"/>
      <c r="E503" s="106"/>
      <c r="F503" s="106"/>
      <c r="L503" s="106"/>
      <c r="M503" s="106"/>
      <c r="N503" s="106"/>
      <c r="O503" s="106"/>
      <c r="P503" s="106"/>
      <c r="AA503" s="28"/>
    </row>
    <row r="504" spans="1:27" ht="15.75" customHeight="1" x14ac:dyDescent="0.35">
      <c r="A504" s="243"/>
      <c r="B504" s="28"/>
      <c r="C504" s="122"/>
      <c r="D504" s="123"/>
      <c r="E504" s="106"/>
      <c r="F504" s="106"/>
      <c r="L504" s="106"/>
      <c r="M504" s="106"/>
      <c r="N504" s="106"/>
      <c r="O504" s="106"/>
      <c r="P504" s="106"/>
      <c r="AA504" s="28"/>
    </row>
    <row r="505" spans="1:27" ht="15.75" customHeight="1" x14ac:dyDescent="0.35">
      <c r="A505" s="243"/>
      <c r="B505" s="28"/>
      <c r="C505" s="122"/>
      <c r="D505" s="123"/>
      <c r="E505" s="106"/>
      <c r="F505" s="106"/>
      <c r="L505" s="106"/>
      <c r="M505" s="106"/>
      <c r="N505" s="106"/>
      <c r="O505" s="106"/>
      <c r="P505" s="106"/>
      <c r="AA505" s="28"/>
    </row>
    <row r="506" spans="1:27" ht="15.75" customHeight="1" x14ac:dyDescent="0.35">
      <c r="A506" s="243"/>
      <c r="B506" s="28"/>
      <c r="C506" s="122"/>
      <c r="D506" s="123"/>
      <c r="E506" s="106"/>
      <c r="F506" s="106"/>
      <c r="L506" s="106"/>
      <c r="M506" s="106"/>
      <c r="N506" s="106"/>
      <c r="O506" s="106"/>
      <c r="P506" s="106"/>
      <c r="AA506" s="28"/>
    </row>
    <row r="507" spans="1:27" ht="15.75" customHeight="1" x14ac:dyDescent="0.35">
      <c r="A507" s="243"/>
      <c r="B507" s="28"/>
      <c r="C507" s="122"/>
      <c r="D507" s="123"/>
      <c r="E507" s="106"/>
      <c r="F507" s="106"/>
      <c r="L507" s="106"/>
      <c r="M507" s="106"/>
      <c r="N507" s="106"/>
      <c r="O507" s="106"/>
      <c r="P507" s="106"/>
      <c r="AA507" s="28"/>
    </row>
    <row r="508" spans="1:27" ht="15.75" customHeight="1" x14ac:dyDescent="0.35">
      <c r="A508" s="243"/>
      <c r="B508" s="28"/>
      <c r="C508" s="122"/>
      <c r="D508" s="123"/>
      <c r="E508" s="106"/>
      <c r="F508" s="106"/>
      <c r="L508" s="106"/>
      <c r="M508" s="106"/>
      <c r="N508" s="106"/>
      <c r="O508" s="106"/>
      <c r="P508" s="106"/>
      <c r="AA508" s="28"/>
    </row>
    <row r="509" spans="1:27" ht="15.75" customHeight="1" x14ac:dyDescent="0.35">
      <c r="A509" s="243"/>
      <c r="B509" s="28"/>
      <c r="C509" s="122"/>
      <c r="D509" s="123"/>
      <c r="E509" s="106"/>
      <c r="F509" s="106"/>
      <c r="L509" s="106"/>
      <c r="M509" s="106"/>
      <c r="N509" s="106"/>
      <c r="O509" s="106"/>
      <c r="P509" s="106"/>
      <c r="AA509" s="28"/>
    </row>
    <row r="510" spans="1:27" ht="15.75" customHeight="1" x14ac:dyDescent="0.35">
      <c r="A510" s="243"/>
      <c r="B510" s="28"/>
      <c r="C510" s="122"/>
      <c r="D510" s="123"/>
      <c r="E510" s="106"/>
      <c r="F510" s="106"/>
      <c r="L510" s="106"/>
      <c r="M510" s="106"/>
      <c r="N510" s="106"/>
      <c r="O510" s="106"/>
      <c r="P510" s="106"/>
      <c r="AA510" s="28"/>
    </row>
    <row r="511" spans="1:27" ht="15.75" customHeight="1" x14ac:dyDescent="0.35">
      <c r="A511" s="243"/>
      <c r="B511" s="28"/>
      <c r="C511" s="122"/>
      <c r="D511" s="123"/>
      <c r="E511" s="106"/>
      <c r="F511" s="106"/>
      <c r="L511" s="106"/>
      <c r="M511" s="106"/>
      <c r="N511" s="106"/>
      <c r="O511" s="106"/>
      <c r="P511" s="106"/>
      <c r="AA511" s="28"/>
    </row>
    <row r="512" spans="1:27" ht="15.75" customHeight="1" x14ac:dyDescent="0.35">
      <c r="A512" s="243"/>
      <c r="B512" s="28"/>
      <c r="C512" s="122"/>
      <c r="D512" s="123"/>
      <c r="E512" s="106"/>
      <c r="F512" s="106"/>
      <c r="L512" s="106"/>
      <c r="M512" s="106"/>
      <c r="N512" s="106"/>
      <c r="O512" s="106"/>
      <c r="P512" s="106"/>
      <c r="AA512" s="28"/>
    </row>
    <row r="513" spans="1:27" ht="15.75" customHeight="1" x14ac:dyDescent="0.35">
      <c r="A513" s="243"/>
      <c r="B513" s="28"/>
      <c r="C513" s="122"/>
      <c r="D513" s="123"/>
      <c r="E513" s="106"/>
      <c r="F513" s="106"/>
      <c r="L513" s="106"/>
      <c r="M513" s="106"/>
      <c r="N513" s="106"/>
      <c r="O513" s="106"/>
      <c r="P513" s="106"/>
      <c r="AA513" s="28"/>
    </row>
    <row r="514" spans="1:27" ht="15.75" customHeight="1" x14ac:dyDescent="0.35">
      <c r="A514" s="243"/>
      <c r="B514" s="28"/>
      <c r="C514" s="122"/>
      <c r="D514" s="123"/>
      <c r="E514" s="106"/>
      <c r="F514" s="106"/>
      <c r="L514" s="106"/>
      <c r="M514" s="106"/>
      <c r="N514" s="106"/>
      <c r="O514" s="106"/>
      <c r="P514" s="106"/>
      <c r="AA514" s="28"/>
    </row>
    <row r="515" spans="1:27" ht="15.75" customHeight="1" x14ac:dyDescent="0.35">
      <c r="A515" s="243"/>
      <c r="B515" s="28"/>
      <c r="C515" s="122"/>
      <c r="D515" s="123"/>
      <c r="E515" s="106"/>
      <c r="F515" s="106"/>
      <c r="L515" s="106"/>
      <c r="M515" s="106"/>
      <c r="N515" s="106"/>
      <c r="O515" s="106"/>
      <c r="P515" s="106"/>
      <c r="AA515" s="28"/>
    </row>
    <row r="516" spans="1:27" ht="15.75" customHeight="1" x14ac:dyDescent="0.35">
      <c r="A516" s="243"/>
      <c r="B516" s="28"/>
      <c r="C516" s="122"/>
      <c r="D516" s="123"/>
      <c r="E516" s="106"/>
      <c r="F516" s="106"/>
      <c r="L516" s="106"/>
      <c r="M516" s="106"/>
      <c r="N516" s="106"/>
      <c r="O516" s="106"/>
      <c r="P516" s="106"/>
      <c r="AA516" s="28"/>
    </row>
    <row r="517" spans="1:27" ht="15.75" customHeight="1" x14ac:dyDescent="0.35">
      <c r="A517" s="243"/>
      <c r="B517" s="28"/>
      <c r="C517" s="122"/>
      <c r="D517" s="123"/>
      <c r="E517" s="106"/>
      <c r="F517" s="106"/>
      <c r="L517" s="106"/>
      <c r="M517" s="106"/>
      <c r="N517" s="106"/>
      <c r="O517" s="106"/>
      <c r="P517" s="106"/>
      <c r="AA517" s="28"/>
    </row>
    <row r="518" spans="1:27" ht="15.75" customHeight="1" x14ac:dyDescent="0.35">
      <c r="A518" s="243"/>
      <c r="B518" s="28"/>
      <c r="C518" s="122"/>
      <c r="D518" s="123"/>
      <c r="E518" s="106"/>
      <c r="F518" s="106"/>
      <c r="L518" s="106"/>
      <c r="M518" s="106"/>
      <c r="N518" s="106"/>
      <c r="O518" s="106"/>
      <c r="P518" s="106"/>
      <c r="AA518" s="28"/>
    </row>
    <row r="519" spans="1:27" ht="15.75" customHeight="1" x14ac:dyDescent="0.35">
      <c r="A519" s="243"/>
      <c r="B519" s="28"/>
      <c r="C519" s="122"/>
      <c r="D519" s="123"/>
      <c r="E519" s="106"/>
      <c r="F519" s="106"/>
      <c r="L519" s="106"/>
      <c r="M519" s="106"/>
      <c r="N519" s="106"/>
      <c r="O519" s="106"/>
      <c r="P519" s="106"/>
      <c r="AA519" s="28"/>
    </row>
    <row r="520" spans="1:27" ht="15.75" customHeight="1" x14ac:dyDescent="0.35">
      <c r="A520" s="243"/>
      <c r="B520" s="28"/>
      <c r="C520" s="122"/>
      <c r="D520" s="123"/>
      <c r="E520" s="106"/>
      <c r="F520" s="106"/>
      <c r="L520" s="106"/>
      <c r="M520" s="106"/>
      <c r="N520" s="106"/>
      <c r="O520" s="106"/>
      <c r="P520" s="106"/>
      <c r="AA520" s="28"/>
    </row>
    <row r="521" spans="1:27" ht="15.75" customHeight="1" x14ac:dyDescent="0.35">
      <c r="A521" s="243"/>
      <c r="B521" s="28"/>
      <c r="C521" s="122"/>
      <c r="D521" s="123"/>
      <c r="E521" s="106"/>
      <c r="F521" s="106"/>
      <c r="L521" s="106"/>
      <c r="M521" s="106"/>
      <c r="N521" s="106"/>
      <c r="O521" s="106"/>
      <c r="P521" s="106"/>
      <c r="AA521" s="28"/>
    </row>
    <row r="522" spans="1:27" ht="15.75" customHeight="1" x14ac:dyDescent="0.35">
      <c r="A522" s="243"/>
      <c r="B522" s="28"/>
      <c r="C522" s="122"/>
      <c r="D522" s="123"/>
      <c r="E522" s="106"/>
      <c r="F522" s="106"/>
      <c r="L522" s="106"/>
      <c r="M522" s="106"/>
      <c r="N522" s="106"/>
      <c r="O522" s="106"/>
      <c r="P522" s="106"/>
      <c r="AA522" s="28"/>
    </row>
    <row r="523" spans="1:27" ht="15.75" customHeight="1" x14ac:dyDescent="0.35">
      <c r="A523" s="243"/>
      <c r="B523" s="28"/>
      <c r="C523" s="122"/>
      <c r="D523" s="123"/>
      <c r="E523" s="106"/>
      <c r="F523" s="106"/>
      <c r="L523" s="106"/>
      <c r="M523" s="106"/>
      <c r="N523" s="106"/>
      <c r="O523" s="106"/>
      <c r="P523" s="106"/>
      <c r="AA523" s="28"/>
    </row>
    <row r="524" spans="1:27" ht="15.75" customHeight="1" x14ac:dyDescent="0.35">
      <c r="A524" s="243"/>
      <c r="B524" s="28"/>
      <c r="C524" s="122"/>
      <c r="D524" s="123"/>
      <c r="E524" s="106"/>
      <c r="F524" s="106"/>
      <c r="L524" s="106"/>
      <c r="M524" s="106"/>
      <c r="N524" s="106"/>
      <c r="O524" s="106"/>
      <c r="P524" s="106"/>
      <c r="AA524" s="28"/>
    </row>
    <row r="525" spans="1:27" ht="15.75" customHeight="1" x14ac:dyDescent="0.35">
      <c r="A525" s="243"/>
      <c r="B525" s="28"/>
      <c r="C525" s="122"/>
      <c r="D525" s="123"/>
      <c r="E525" s="106"/>
      <c r="F525" s="106"/>
      <c r="L525" s="106"/>
      <c r="M525" s="106"/>
      <c r="N525" s="106"/>
      <c r="O525" s="106"/>
      <c r="P525" s="106"/>
      <c r="AA525" s="28"/>
    </row>
    <row r="526" spans="1:27" ht="15.75" customHeight="1" x14ac:dyDescent="0.35">
      <c r="A526" s="243"/>
      <c r="B526" s="28"/>
      <c r="C526" s="122"/>
      <c r="D526" s="123"/>
      <c r="E526" s="106"/>
      <c r="F526" s="106"/>
      <c r="L526" s="106"/>
      <c r="M526" s="106"/>
      <c r="N526" s="106"/>
      <c r="O526" s="106"/>
      <c r="P526" s="106"/>
      <c r="AA526" s="28"/>
    </row>
    <row r="527" spans="1:27" ht="15.75" customHeight="1" x14ac:dyDescent="0.35">
      <c r="A527" s="243"/>
      <c r="B527" s="28"/>
      <c r="C527" s="122"/>
      <c r="D527" s="123"/>
      <c r="E527" s="106"/>
      <c r="F527" s="106"/>
      <c r="L527" s="106"/>
      <c r="M527" s="106"/>
      <c r="N527" s="106"/>
      <c r="O527" s="106"/>
      <c r="P527" s="106"/>
      <c r="AA527" s="28"/>
    </row>
    <row r="528" spans="1:27" ht="15.75" customHeight="1" x14ac:dyDescent="0.35">
      <c r="A528" s="243"/>
      <c r="B528" s="28"/>
      <c r="C528" s="122"/>
      <c r="D528" s="123"/>
      <c r="E528" s="106"/>
      <c r="F528" s="106"/>
      <c r="L528" s="106"/>
      <c r="M528" s="106"/>
      <c r="N528" s="106"/>
      <c r="O528" s="106"/>
      <c r="P528" s="106"/>
      <c r="AA528" s="28"/>
    </row>
    <row r="529" spans="1:27" ht="15.75" customHeight="1" x14ac:dyDescent="0.35">
      <c r="A529" s="243"/>
      <c r="B529" s="28"/>
      <c r="C529" s="122"/>
      <c r="D529" s="123"/>
      <c r="E529" s="106"/>
      <c r="F529" s="106"/>
      <c r="L529" s="106"/>
      <c r="M529" s="106"/>
      <c r="N529" s="106"/>
      <c r="O529" s="106"/>
      <c r="P529" s="106"/>
      <c r="AA529" s="28"/>
    </row>
    <row r="530" spans="1:27" ht="15.75" customHeight="1" x14ac:dyDescent="0.35">
      <c r="A530" s="243"/>
      <c r="B530" s="28"/>
      <c r="C530" s="122"/>
      <c r="D530" s="123"/>
      <c r="E530" s="106"/>
      <c r="F530" s="106"/>
      <c r="L530" s="106"/>
      <c r="M530" s="106"/>
      <c r="N530" s="106"/>
      <c r="O530" s="106"/>
      <c r="P530" s="106"/>
      <c r="AA530" s="28"/>
    </row>
    <row r="531" spans="1:27" ht="15.75" customHeight="1" x14ac:dyDescent="0.35">
      <c r="A531" s="243"/>
      <c r="B531" s="28"/>
      <c r="C531" s="122"/>
      <c r="D531" s="123"/>
      <c r="E531" s="106"/>
      <c r="F531" s="106"/>
      <c r="L531" s="106"/>
      <c r="M531" s="106"/>
      <c r="N531" s="106"/>
      <c r="O531" s="106"/>
      <c r="P531" s="106"/>
      <c r="AA531" s="28"/>
    </row>
    <row r="532" spans="1:27" ht="15.75" customHeight="1" x14ac:dyDescent="0.35">
      <c r="A532" s="243"/>
      <c r="B532" s="28"/>
      <c r="C532" s="122"/>
      <c r="D532" s="123"/>
      <c r="E532" s="106"/>
      <c r="F532" s="106"/>
      <c r="L532" s="106"/>
      <c r="M532" s="106"/>
      <c r="N532" s="106"/>
      <c r="O532" s="106"/>
      <c r="P532" s="106"/>
      <c r="AA532" s="28"/>
    </row>
    <row r="533" spans="1:27" ht="15.75" customHeight="1" x14ac:dyDescent="0.35">
      <c r="A533" s="243"/>
      <c r="B533" s="28"/>
      <c r="C533" s="122"/>
      <c r="D533" s="123"/>
      <c r="E533" s="106"/>
      <c r="F533" s="106"/>
      <c r="L533" s="106"/>
      <c r="M533" s="106"/>
      <c r="N533" s="106"/>
      <c r="O533" s="106"/>
      <c r="P533" s="106"/>
      <c r="AA533" s="28"/>
    </row>
    <row r="534" spans="1:27" ht="15.75" customHeight="1" x14ac:dyDescent="0.35">
      <c r="A534" s="243"/>
      <c r="B534" s="28"/>
      <c r="C534" s="122"/>
      <c r="D534" s="123"/>
      <c r="E534" s="106"/>
      <c r="F534" s="106"/>
      <c r="L534" s="106"/>
      <c r="M534" s="106"/>
      <c r="N534" s="106"/>
      <c r="O534" s="106"/>
      <c r="P534" s="106"/>
      <c r="AA534" s="28"/>
    </row>
    <row r="535" spans="1:27" ht="15.75" customHeight="1" x14ac:dyDescent="0.35">
      <c r="A535" s="243"/>
      <c r="B535" s="28"/>
      <c r="C535" s="122"/>
      <c r="D535" s="123"/>
      <c r="E535" s="106"/>
      <c r="F535" s="106"/>
      <c r="L535" s="106"/>
      <c r="M535" s="106"/>
      <c r="N535" s="106"/>
      <c r="O535" s="106"/>
      <c r="P535" s="106"/>
      <c r="AA535" s="28"/>
    </row>
    <row r="536" spans="1:27" ht="15.75" customHeight="1" x14ac:dyDescent="0.35">
      <c r="A536" s="243"/>
      <c r="B536" s="28"/>
      <c r="C536" s="122"/>
      <c r="D536" s="123"/>
      <c r="E536" s="106"/>
      <c r="F536" s="106"/>
      <c r="L536" s="106"/>
      <c r="M536" s="106"/>
      <c r="N536" s="106"/>
      <c r="O536" s="106"/>
      <c r="P536" s="106"/>
      <c r="AA536" s="28"/>
    </row>
    <row r="537" spans="1:27" ht="15.75" customHeight="1" x14ac:dyDescent="0.35">
      <c r="A537" s="243"/>
      <c r="B537" s="28"/>
      <c r="C537" s="122"/>
      <c r="D537" s="123"/>
      <c r="E537" s="106"/>
      <c r="F537" s="106"/>
      <c r="L537" s="106"/>
      <c r="M537" s="106"/>
      <c r="N537" s="106"/>
      <c r="O537" s="106"/>
      <c r="P537" s="106"/>
      <c r="AA537" s="28"/>
    </row>
    <row r="538" spans="1:27" ht="15.75" customHeight="1" x14ac:dyDescent="0.35">
      <c r="A538" s="243"/>
      <c r="B538" s="28"/>
      <c r="C538" s="122"/>
      <c r="D538" s="123"/>
      <c r="E538" s="106"/>
      <c r="F538" s="106"/>
      <c r="L538" s="106"/>
      <c r="M538" s="106"/>
      <c r="N538" s="106"/>
      <c r="O538" s="106"/>
      <c r="P538" s="106"/>
      <c r="AA538" s="28"/>
    </row>
    <row r="539" spans="1:27" ht="15.75" customHeight="1" x14ac:dyDescent="0.35">
      <c r="A539" s="243"/>
      <c r="B539" s="28"/>
      <c r="C539" s="122"/>
      <c r="D539" s="123"/>
      <c r="E539" s="106"/>
      <c r="F539" s="106"/>
      <c r="L539" s="106"/>
      <c r="M539" s="106"/>
      <c r="N539" s="106"/>
      <c r="O539" s="106"/>
      <c r="P539" s="106"/>
      <c r="AA539" s="28"/>
    </row>
    <row r="540" spans="1:27" ht="15.75" customHeight="1" x14ac:dyDescent="0.35">
      <c r="A540" s="243"/>
      <c r="B540" s="28"/>
      <c r="C540" s="122"/>
      <c r="D540" s="123"/>
      <c r="E540" s="106"/>
      <c r="F540" s="106"/>
      <c r="L540" s="106"/>
      <c r="M540" s="106"/>
      <c r="N540" s="106"/>
      <c r="O540" s="106"/>
      <c r="P540" s="106"/>
      <c r="AA540" s="28"/>
    </row>
    <row r="541" spans="1:27" ht="15.75" customHeight="1" x14ac:dyDescent="0.35">
      <c r="A541" s="243"/>
      <c r="B541" s="28"/>
      <c r="C541" s="122"/>
      <c r="D541" s="123"/>
      <c r="E541" s="106"/>
      <c r="F541" s="106"/>
      <c r="L541" s="106"/>
      <c r="M541" s="106"/>
      <c r="N541" s="106"/>
      <c r="O541" s="106"/>
      <c r="P541" s="106"/>
      <c r="AA541" s="28"/>
    </row>
    <row r="542" spans="1:27" ht="15.75" customHeight="1" x14ac:dyDescent="0.35">
      <c r="A542" s="243"/>
      <c r="B542" s="28"/>
      <c r="C542" s="122"/>
      <c r="D542" s="123"/>
      <c r="E542" s="106"/>
      <c r="F542" s="106"/>
      <c r="L542" s="106"/>
      <c r="M542" s="106"/>
      <c r="N542" s="106"/>
      <c r="O542" s="106"/>
      <c r="P542" s="106"/>
      <c r="AA542" s="28"/>
    </row>
    <row r="543" spans="1:27" ht="15.75" customHeight="1" x14ac:dyDescent="0.35">
      <c r="A543" s="243"/>
      <c r="B543" s="28"/>
      <c r="C543" s="122"/>
      <c r="D543" s="123"/>
      <c r="E543" s="106"/>
      <c r="F543" s="106"/>
      <c r="L543" s="106"/>
      <c r="M543" s="106"/>
      <c r="N543" s="106"/>
      <c r="O543" s="106"/>
      <c r="P543" s="106"/>
      <c r="AA543" s="28"/>
    </row>
    <row r="544" spans="1:27" ht="15.75" customHeight="1" x14ac:dyDescent="0.35">
      <c r="A544" s="243"/>
      <c r="B544" s="28"/>
      <c r="C544" s="122"/>
      <c r="D544" s="123"/>
      <c r="E544" s="106"/>
      <c r="F544" s="106"/>
      <c r="L544" s="106"/>
      <c r="M544" s="106"/>
      <c r="N544" s="106"/>
      <c r="O544" s="106"/>
      <c r="P544" s="106"/>
      <c r="AA544" s="28"/>
    </row>
    <row r="545" spans="1:27" ht="15.75" customHeight="1" x14ac:dyDescent="0.35">
      <c r="A545" s="243"/>
      <c r="B545" s="28"/>
      <c r="C545" s="122"/>
      <c r="D545" s="123"/>
      <c r="E545" s="106"/>
      <c r="F545" s="106"/>
      <c r="L545" s="106"/>
      <c r="M545" s="106"/>
      <c r="N545" s="106"/>
      <c r="O545" s="106"/>
      <c r="P545" s="106"/>
      <c r="AA545" s="28"/>
    </row>
    <row r="546" spans="1:27" ht="15.75" customHeight="1" x14ac:dyDescent="0.35">
      <c r="A546" s="243"/>
      <c r="B546" s="28"/>
      <c r="C546" s="122"/>
      <c r="D546" s="123"/>
      <c r="E546" s="106"/>
      <c r="F546" s="106"/>
      <c r="L546" s="106"/>
      <c r="M546" s="106"/>
      <c r="N546" s="106"/>
      <c r="O546" s="106"/>
      <c r="P546" s="106"/>
      <c r="AA546" s="28"/>
    </row>
    <row r="547" spans="1:27" ht="15.75" customHeight="1" x14ac:dyDescent="0.35">
      <c r="A547" s="243"/>
      <c r="B547" s="28"/>
      <c r="C547" s="122"/>
      <c r="D547" s="123"/>
      <c r="E547" s="106"/>
      <c r="F547" s="106"/>
      <c r="L547" s="106"/>
      <c r="M547" s="106"/>
      <c r="N547" s="106"/>
      <c r="O547" s="106"/>
      <c r="P547" s="106"/>
      <c r="AA547" s="28"/>
    </row>
    <row r="548" spans="1:27" ht="15.75" customHeight="1" x14ac:dyDescent="0.35">
      <c r="A548" s="243"/>
      <c r="B548" s="28"/>
      <c r="C548" s="122"/>
      <c r="D548" s="123"/>
      <c r="E548" s="106"/>
      <c r="F548" s="106"/>
      <c r="L548" s="106"/>
      <c r="M548" s="106"/>
      <c r="N548" s="106"/>
      <c r="O548" s="106"/>
      <c r="P548" s="106"/>
      <c r="AA548" s="28"/>
    </row>
    <row r="549" spans="1:27" ht="15.75" customHeight="1" x14ac:dyDescent="0.35">
      <c r="A549" s="243"/>
      <c r="B549" s="28"/>
      <c r="C549" s="122"/>
      <c r="D549" s="123"/>
      <c r="E549" s="106"/>
      <c r="F549" s="106"/>
      <c r="L549" s="106"/>
      <c r="M549" s="106"/>
      <c r="N549" s="106"/>
      <c r="O549" s="106"/>
      <c r="P549" s="106"/>
      <c r="AA549" s="28"/>
    </row>
    <row r="550" spans="1:27" ht="15.75" customHeight="1" x14ac:dyDescent="0.35">
      <c r="A550" s="243"/>
      <c r="B550" s="28"/>
      <c r="C550" s="122"/>
      <c r="D550" s="123"/>
      <c r="E550" s="106"/>
      <c r="F550" s="106"/>
      <c r="L550" s="106"/>
      <c r="M550" s="106"/>
      <c r="N550" s="106"/>
      <c r="O550" s="106"/>
      <c r="P550" s="106"/>
      <c r="AA550" s="28"/>
    </row>
    <row r="551" spans="1:27" ht="15.75" customHeight="1" x14ac:dyDescent="0.35">
      <c r="A551" s="243"/>
      <c r="B551" s="28"/>
      <c r="C551" s="122"/>
      <c r="D551" s="123"/>
      <c r="E551" s="106"/>
      <c r="F551" s="106"/>
      <c r="L551" s="106"/>
      <c r="M551" s="106"/>
      <c r="N551" s="106"/>
      <c r="O551" s="106"/>
      <c r="P551" s="106"/>
      <c r="AA551" s="28"/>
    </row>
    <row r="552" spans="1:27" ht="15.75" customHeight="1" x14ac:dyDescent="0.35">
      <c r="A552" s="243"/>
      <c r="B552" s="28"/>
      <c r="C552" s="122"/>
      <c r="D552" s="123"/>
      <c r="E552" s="106"/>
      <c r="F552" s="106"/>
      <c r="L552" s="106"/>
      <c r="M552" s="106"/>
      <c r="N552" s="106"/>
      <c r="O552" s="106"/>
      <c r="P552" s="106"/>
      <c r="AA552" s="28"/>
    </row>
    <row r="553" spans="1:27" ht="15.75" customHeight="1" x14ac:dyDescent="0.35">
      <c r="A553" s="243"/>
      <c r="B553" s="28"/>
      <c r="C553" s="122"/>
      <c r="D553" s="123"/>
      <c r="E553" s="106"/>
      <c r="F553" s="106"/>
      <c r="L553" s="106"/>
      <c r="M553" s="106"/>
      <c r="N553" s="106"/>
      <c r="O553" s="106"/>
      <c r="P553" s="106"/>
      <c r="AA553" s="28"/>
    </row>
    <row r="554" spans="1:27" ht="15.75" customHeight="1" x14ac:dyDescent="0.35">
      <c r="A554" s="243"/>
      <c r="B554" s="28"/>
      <c r="C554" s="122"/>
      <c r="D554" s="123"/>
      <c r="E554" s="106"/>
      <c r="F554" s="106"/>
      <c r="L554" s="106"/>
      <c r="M554" s="106"/>
      <c r="N554" s="106"/>
      <c r="O554" s="106"/>
      <c r="P554" s="106"/>
      <c r="AA554" s="28"/>
    </row>
    <row r="555" spans="1:27" ht="15.75" customHeight="1" x14ac:dyDescent="0.35">
      <c r="A555" s="243"/>
      <c r="B555" s="28"/>
      <c r="C555" s="122"/>
      <c r="D555" s="123"/>
      <c r="E555" s="106"/>
      <c r="F555" s="106"/>
      <c r="L555" s="106"/>
      <c r="M555" s="106"/>
      <c r="N555" s="106"/>
      <c r="O555" s="106"/>
      <c r="P555" s="106"/>
      <c r="AA555" s="28"/>
    </row>
    <row r="556" spans="1:27" ht="15.75" customHeight="1" x14ac:dyDescent="0.35">
      <c r="A556" s="243"/>
      <c r="B556" s="28"/>
      <c r="C556" s="122"/>
      <c r="D556" s="123"/>
      <c r="E556" s="106"/>
      <c r="F556" s="106"/>
      <c r="L556" s="106"/>
      <c r="M556" s="106"/>
      <c r="N556" s="106"/>
      <c r="O556" s="106"/>
      <c r="P556" s="106"/>
      <c r="AA556" s="28"/>
    </row>
    <row r="557" spans="1:27" ht="15.75" customHeight="1" x14ac:dyDescent="0.35">
      <c r="A557" s="243"/>
      <c r="B557" s="28"/>
      <c r="C557" s="122"/>
      <c r="D557" s="123"/>
      <c r="E557" s="106"/>
      <c r="F557" s="106"/>
      <c r="L557" s="106"/>
      <c r="M557" s="106"/>
      <c r="N557" s="106"/>
      <c r="O557" s="106"/>
      <c r="P557" s="106"/>
      <c r="AA557" s="28"/>
    </row>
    <row r="558" spans="1:27" ht="15.75" customHeight="1" x14ac:dyDescent="0.35">
      <c r="A558" s="243"/>
      <c r="B558" s="28"/>
      <c r="C558" s="122"/>
      <c r="D558" s="123"/>
      <c r="E558" s="106"/>
      <c r="F558" s="106"/>
      <c r="L558" s="106"/>
      <c r="M558" s="106"/>
      <c r="N558" s="106"/>
      <c r="O558" s="106"/>
      <c r="P558" s="106"/>
      <c r="AA558" s="28"/>
    </row>
    <row r="559" spans="1:27" ht="15.75" customHeight="1" x14ac:dyDescent="0.35">
      <c r="A559" s="243"/>
      <c r="B559" s="28"/>
      <c r="C559" s="122"/>
      <c r="D559" s="123"/>
      <c r="E559" s="106"/>
      <c r="F559" s="106"/>
      <c r="L559" s="106"/>
      <c r="M559" s="106"/>
      <c r="N559" s="106"/>
      <c r="O559" s="106"/>
      <c r="P559" s="106"/>
      <c r="AA559" s="28"/>
    </row>
    <row r="560" spans="1:27" ht="15.75" customHeight="1" x14ac:dyDescent="0.35">
      <c r="A560" s="243"/>
      <c r="B560" s="28"/>
      <c r="C560" s="122"/>
      <c r="D560" s="123"/>
      <c r="E560" s="106"/>
      <c r="F560" s="106"/>
      <c r="L560" s="106"/>
      <c r="M560" s="106"/>
      <c r="N560" s="106"/>
      <c r="O560" s="106"/>
      <c r="P560" s="106"/>
      <c r="AA560" s="28"/>
    </row>
    <row r="561" spans="1:27" ht="15.75" customHeight="1" x14ac:dyDescent="0.35">
      <c r="A561" s="243"/>
      <c r="B561" s="28"/>
      <c r="C561" s="122"/>
      <c r="D561" s="123"/>
      <c r="E561" s="106"/>
      <c r="F561" s="106"/>
      <c r="L561" s="106"/>
      <c r="M561" s="106"/>
      <c r="N561" s="106"/>
      <c r="O561" s="106"/>
      <c r="P561" s="106"/>
      <c r="AA561" s="28"/>
    </row>
    <row r="562" spans="1:27" ht="15.75" customHeight="1" x14ac:dyDescent="0.35">
      <c r="A562" s="243"/>
      <c r="B562" s="28"/>
      <c r="C562" s="122"/>
      <c r="D562" s="123"/>
      <c r="E562" s="106"/>
      <c r="F562" s="106"/>
      <c r="L562" s="106"/>
      <c r="M562" s="106"/>
      <c r="N562" s="106"/>
      <c r="O562" s="106"/>
      <c r="P562" s="106"/>
      <c r="AA562" s="28"/>
    </row>
    <row r="563" spans="1:27" ht="15.75" customHeight="1" x14ac:dyDescent="0.35">
      <c r="A563" s="243"/>
      <c r="B563" s="28"/>
      <c r="C563" s="122"/>
      <c r="D563" s="123"/>
      <c r="E563" s="106"/>
      <c r="F563" s="106"/>
      <c r="L563" s="106"/>
      <c r="M563" s="106"/>
      <c r="N563" s="106"/>
      <c r="O563" s="106"/>
      <c r="P563" s="106"/>
      <c r="AA563" s="28"/>
    </row>
    <row r="564" spans="1:27" ht="15.75" customHeight="1" x14ac:dyDescent="0.35">
      <c r="A564" s="243"/>
      <c r="B564" s="28"/>
      <c r="C564" s="122"/>
      <c r="D564" s="123"/>
      <c r="E564" s="106"/>
      <c r="F564" s="106"/>
      <c r="L564" s="106"/>
      <c r="M564" s="106"/>
      <c r="N564" s="106"/>
      <c r="O564" s="106"/>
      <c r="P564" s="106"/>
      <c r="AA564" s="28"/>
    </row>
    <row r="565" spans="1:27" ht="15.75" customHeight="1" x14ac:dyDescent="0.35">
      <c r="A565" s="243"/>
      <c r="B565" s="28"/>
      <c r="C565" s="122"/>
      <c r="D565" s="123"/>
      <c r="E565" s="106"/>
      <c r="F565" s="106"/>
      <c r="L565" s="106"/>
      <c r="M565" s="106"/>
      <c r="N565" s="106"/>
      <c r="O565" s="106"/>
      <c r="P565" s="106"/>
      <c r="AA565" s="28"/>
    </row>
    <row r="566" spans="1:27" ht="15.75" customHeight="1" x14ac:dyDescent="0.35">
      <c r="A566" s="243"/>
      <c r="B566" s="28"/>
      <c r="C566" s="122"/>
      <c r="D566" s="123"/>
      <c r="E566" s="106"/>
      <c r="F566" s="106"/>
      <c r="L566" s="106"/>
      <c r="M566" s="106"/>
      <c r="N566" s="106"/>
      <c r="O566" s="106"/>
      <c r="P566" s="106"/>
      <c r="AA566" s="28"/>
    </row>
    <row r="567" spans="1:27" ht="15.75" customHeight="1" x14ac:dyDescent="0.35">
      <c r="A567" s="243"/>
      <c r="B567" s="28"/>
      <c r="C567" s="122"/>
      <c r="D567" s="123"/>
      <c r="E567" s="106"/>
      <c r="F567" s="106"/>
      <c r="L567" s="106"/>
      <c r="M567" s="106"/>
      <c r="N567" s="106"/>
      <c r="O567" s="106"/>
      <c r="P567" s="106"/>
      <c r="AA567" s="28"/>
    </row>
    <row r="568" spans="1:27" ht="15.75" customHeight="1" x14ac:dyDescent="0.35">
      <c r="A568" s="243"/>
      <c r="B568" s="28"/>
      <c r="C568" s="122"/>
      <c r="D568" s="123"/>
      <c r="E568" s="106"/>
      <c r="F568" s="106"/>
      <c r="L568" s="106"/>
      <c r="M568" s="106"/>
      <c r="N568" s="106"/>
      <c r="O568" s="106"/>
      <c r="P568" s="106"/>
      <c r="AA568" s="28"/>
    </row>
    <row r="569" spans="1:27" ht="15.75" customHeight="1" x14ac:dyDescent="0.35">
      <c r="A569" s="243"/>
      <c r="B569" s="28"/>
      <c r="C569" s="122"/>
      <c r="D569" s="123"/>
      <c r="E569" s="106"/>
      <c r="F569" s="106"/>
      <c r="L569" s="106"/>
      <c r="M569" s="106"/>
      <c r="N569" s="106"/>
      <c r="O569" s="106"/>
      <c r="P569" s="106"/>
      <c r="AA569" s="28"/>
    </row>
    <row r="570" spans="1:27" ht="15.75" customHeight="1" x14ac:dyDescent="0.35">
      <c r="A570" s="243"/>
      <c r="B570" s="28"/>
      <c r="C570" s="122"/>
      <c r="D570" s="123"/>
      <c r="E570" s="106"/>
      <c r="F570" s="106"/>
      <c r="L570" s="106"/>
      <c r="M570" s="106"/>
      <c r="N570" s="106"/>
      <c r="O570" s="106"/>
      <c r="P570" s="106"/>
      <c r="AA570" s="28"/>
    </row>
    <row r="571" spans="1:27" ht="15.75" customHeight="1" x14ac:dyDescent="0.35">
      <c r="A571" s="243"/>
      <c r="B571" s="28"/>
      <c r="C571" s="122"/>
      <c r="D571" s="123"/>
      <c r="E571" s="106"/>
      <c r="F571" s="106"/>
      <c r="L571" s="106"/>
      <c r="M571" s="106"/>
      <c r="N571" s="106"/>
      <c r="O571" s="106"/>
      <c r="P571" s="106"/>
      <c r="AA571" s="28"/>
    </row>
    <row r="572" spans="1:27" ht="15.75" customHeight="1" x14ac:dyDescent="0.35">
      <c r="A572" s="243"/>
      <c r="B572" s="28"/>
      <c r="C572" s="122"/>
      <c r="D572" s="123"/>
      <c r="E572" s="106"/>
      <c r="F572" s="106"/>
      <c r="L572" s="106"/>
      <c r="M572" s="106"/>
      <c r="N572" s="106"/>
      <c r="O572" s="106"/>
      <c r="P572" s="106"/>
      <c r="AA572" s="28"/>
    </row>
    <row r="573" spans="1:27" ht="15.75" customHeight="1" x14ac:dyDescent="0.35">
      <c r="A573" s="243"/>
      <c r="B573" s="28"/>
      <c r="C573" s="122"/>
      <c r="D573" s="123"/>
      <c r="E573" s="106"/>
      <c r="F573" s="106"/>
      <c r="L573" s="106"/>
      <c r="M573" s="106"/>
      <c r="N573" s="106"/>
      <c r="O573" s="106"/>
      <c r="P573" s="106"/>
      <c r="AA573" s="28"/>
    </row>
    <row r="574" spans="1:27" ht="15.75" customHeight="1" x14ac:dyDescent="0.35">
      <c r="A574" s="243"/>
      <c r="B574" s="28"/>
      <c r="C574" s="122"/>
      <c r="D574" s="123"/>
      <c r="E574" s="106"/>
      <c r="F574" s="106"/>
      <c r="L574" s="106"/>
      <c r="M574" s="106"/>
      <c r="N574" s="106"/>
      <c r="O574" s="106"/>
      <c r="P574" s="106"/>
      <c r="AA574" s="28"/>
    </row>
    <row r="575" spans="1:27" ht="15.75" customHeight="1" x14ac:dyDescent="0.35">
      <c r="A575" s="243"/>
      <c r="B575" s="28"/>
      <c r="C575" s="122"/>
      <c r="D575" s="123"/>
      <c r="E575" s="106"/>
      <c r="F575" s="106"/>
      <c r="L575" s="106"/>
      <c r="M575" s="106"/>
      <c r="N575" s="106"/>
      <c r="O575" s="106"/>
      <c r="P575" s="106"/>
      <c r="AA575" s="28"/>
    </row>
    <row r="576" spans="1:27" ht="15.75" customHeight="1" x14ac:dyDescent="0.35">
      <c r="A576" s="243"/>
      <c r="B576" s="28"/>
      <c r="C576" s="122"/>
      <c r="D576" s="123"/>
      <c r="E576" s="106"/>
      <c r="F576" s="106"/>
      <c r="L576" s="106"/>
      <c r="M576" s="106"/>
      <c r="N576" s="106"/>
      <c r="O576" s="106"/>
      <c r="P576" s="106"/>
      <c r="AA576" s="28"/>
    </row>
    <row r="577" spans="1:27" ht="15.75" customHeight="1" x14ac:dyDescent="0.35">
      <c r="A577" s="243"/>
      <c r="B577" s="28"/>
      <c r="C577" s="122"/>
      <c r="D577" s="123"/>
      <c r="E577" s="106"/>
      <c r="F577" s="106"/>
      <c r="L577" s="106"/>
      <c r="M577" s="106"/>
      <c r="N577" s="106"/>
      <c r="O577" s="106"/>
      <c r="P577" s="106"/>
      <c r="AA577" s="28"/>
    </row>
    <row r="578" spans="1:27" ht="15.75" customHeight="1" x14ac:dyDescent="0.35">
      <c r="A578" s="243"/>
      <c r="B578" s="28"/>
      <c r="C578" s="122"/>
      <c r="D578" s="123"/>
      <c r="E578" s="106"/>
      <c r="F578" s="106"/>
      <c r="L578" s="106"/>
      <c r="M578" s="106"/>
      <c r="N578" s="106"/>
      <c r="O578" s="106"/>
      <c r="P578" s="106"/>
      <c r="AA578" s="28"/>
    </row>
    <row r="579" spans="1:27" ht="15.75" customHeight="1" x14ac:dyDescent="0.35">
      <c r="A579" s="243"/>
      <c r="B579" s="28"/>
      <c r="C579" s="122"/>
      <c r="D579" s="123"/>
      <c r="E579" s="106"/>
      <c r="F579" s="106"/>
      <c r="L579" s="106"/>
      <c r="M579" s="106"/>
      <c r="N579" s="106"/>
      <c r="O579" s="106"/>
      <c r="P579" s="106"/>
      <c r="AA579" s="28"/>
    </row>
    <row r="580" spans="1:27" ht="15.75" customHeight="1" x14ac:dyDescent="0.35">
      <c r="A580" s="243"/>
      <c r="B580" s="28"/>
      <c r="C580" s="122"/>
      <c r="D580" s="123"/>
      <c r="E580" s="106"/>
      <c r="F580" s="106"/>
      <c r="L580" s="106"/>
      <c r="M580" s="106"/>
      <c r="N580" s="106"/>
      <c r="O580" s="106"/>
      <c r="P580" s="106"/>
      <c r="AA580" s="28"/>
    </row>
    <row r="581" spans="1:27" ht="15.75" customHeight="1" x14ac:dyDescent="0.35">
      <c r="A581" s="243"/>
      <c r="B581" s="28"/>
      <c r="C581" s="122"/>
      <c r="D581" s="123"/>
      <c r="E581" s="106"/>
      <c r="F581" s="106"/>
      <c r="L581" s="106"/>
      <c r="M581" s="106"/>
      <c r="N581" s="106"/>
      <c r="O581" s="106"/>
      <c r="P581" s="106"/>
      <c r="AA581" s="28"/>
    </row>
    <row r="582" spans="1:27" ht="15.75" customHeight="1" x14ac:dyDescent="0.35">
      <c r="A582" s="243"/>
      <c r="B582" s="28"/>
      <c r="C582" s="122"/>
      <c r="D582" s="123"/>
      <c r="E582" s="106"/>
      <c r="F582" s="106"/>
      <c r="L582" s="106"/>
      <c r="M582" s="106"/>
      <c r="N582" s="106"/>
      <c r="O582" s="106"/>
      <c r="P582" s="106"/>
      <c r="AA582" s="28"/>
    </row>
    <row r="583" spans="1:27" ht="15.75" customHeight="1" x14ac:dyDescent="0.35">
      <c r="A583" s="243"/>
      <c r="B583" s="28"/>
      <c r="C583" s="122"/>
      <c r="D583" s="123"/>
      <c r="E583" s="106"/>
      <c r="F583" s="106"/>
      <c r="L583" s="106"/>
      <c r="M583" s="106"/>
      <c r="N583" s="106"/>
      <c r="O583" s="106"/>
      <c r="P583" s="106"/>
      <c r="AA583" s="28"/>
    </row>
    <row r="584" spans="1:27" ht="15.75" customHeight="1" x14ac:dyDescent="0.35">
      <c r="A584" s="243"/>
      <c r="B584" s="28"/>
      <c r="C584" s="122"/>
      <c r="D584" s="123"/>
      <c r="E584" s="106"/>
      <c r="F584" s="106"/>
      <c r="L584" s="106"/>
      <c r="M584" s="106"/>
      <c r="N584" s="106"/>
      <c r="O584" s="106"/>
      <c r="P584" s="106"/>
      <c r="AA584" s="28"/>
    </row>
    <row r="585" spans="1:27" ht="15.75" customHeight="1" x14ac:dyDescent="0.35">
      <c r="A585" s="243"/>
      <c r="B585" s="28"/>
      <c r="C585" s="122"/>
      <c r="D585" s="123"/>
      <c r="E585" s="106"/>
      <c r="F585" s="106"/>
      <c r="L585" s="106"/>
      <c r="M585" s="106"/>
      <c r="N585" s="106"/>
      <c r="O585" s="106"/>
      <c r="P585" s="106"/>
      <c r="AA585" s="28"/>
    </row>
    <row r="586" spans="1:27" ht="15.75" customHeight="1" x14ac:dyDescent="0.35">
      <c r="A586" s="243"/>
      <c r="B586" s="28"/>
      <c r="C586" s="122"/>
      <c r="D586" s="123"/>
      <c r="E586" s="106"/>
      <c r="F586" s="106"/>
      <c r="L586" s="106"/>
      <c r="M586" s="106"/>
      <c r="N586" s="106"/>
      <c r="O586" s="106"/>
      <c r="P586" s="106"/>
      <c r="AA586" s="28"/>
    </row>
    <row r="587" spans="1:27" ht="15.75" customHeight="1" x14ac:dyDescent="0.35">
      <c r="A587" s="243"/>
      <c r="B587" s="28"/>
      <c r="C587" s="122"/>
      <c r="D587" s="123"/>
      <c r="E587" s="106"/>
      <c r="F587" s="106"/>
      <c r="L587" s="106"/>
      <c r="M587" s="106"/>
      <c r="N587" s="106"/>
      <c r="O587" s="106"/>
      <c r="P587" s="106"/>
      <c r="AA587" s="28"/>
    </row>
    <row r="588" spans="1:27" ht="15.75" customHeight="1" x14ac:dyDescent="0.35">
      <c r="A588" s="243"/>
      <c r="B588" s="28"/>
      <c r="C588" s="122"/>
      <c r="D588" s="123"/>
      <c r="E588" s="106"/>
      <c r="F588" s="106"/>
      <c r="L588" s="106"/>
      <c r="M588" s="106"/>
      <c r="N588" s="106"/>
      <c r="O588" s="106"/>
      <c r="P588" s="106"/>
      <c r="AA588" s="28"/>
    </row>
    <row r="589" spans="1:27" ht="15.75" customHeight="1" x14ac:dyDescent="0.35">
      <c r="A589" s="243"/>
      <c r="B589" s="28"/>
      <c r="C589" s="122"/>
      <c r="D589" s="123"/>
      <c r="E589" s="106"/>
      <c r="F589" s="106"/>
      <c r="L589" s="106"/>
      <c r="M589" s="106"/>
      <c r="N589" s="106"/>
      <c r="O589" s="106"/>
      <c r="P589" s="106"/>
      <c r="AA589" s="28"/>
    </row>
    <row r="590" spans="1:27" ht="15.75" customHeight="1" x14ac:dyDescent="0.35">
      <c r="A590" s="243"/>
      <c r="B590" s="28"/>
      <c r="C590" s="122"/>
      <c r="D590" s="123"/>
      <c r="E590" s="106"/>
      <c r="F590" s="106"/>
      <c r="L590" s="106"/>
      <c r="M590" s="106"/>
      <c r="N590" s="106"/>
      <c r="O590" s="106"/>
      <c r="P590" s="106"/>
      <c r="AA590" s="28"/>
    </row>
    <row r="591" spans="1:27" ht="15.75" customHeight="1" x14ac:dyDescent="0.35">
      <c r="A591" s="243"/>
      <c r="B591" s="28"/>
      <c r="C591" s="122"/>
      <c r="D591" s="123"/>
      <c r="E591" s="106"/>
      <c r="F591" s="106"/>
      <c r="L591" s="106"/>
      <c r="M591" s="106"/>
      <c r="N591" s="106"/>
      <c r="O591" s="106"/>
      <c r="P591" s="106"/>
      <c r="AA591" s="28"/>
    </row>
    <row r="592" spans="1:27" ht="15.75" customHeight="1" x14ac:dyDescent="0.35">
      <c r="A592" s="243"/>
      <c r="B592" s="28"/>
      <c r="C592" s="122"/>
      <c r="D592" s="123"/>
      <c r="E592" s="106"/>
      <c r="F592" s="106"/>
      <c r="L592" s="106"/>
      <c r="M592" s="106"/>
      <c r="N592" s="106"/>
      <c r="O592" s="106"/>
      <c r="P592" s="106"/>
      <c r="AA592" s="28"/>
    </row>
    <row r="593" spans="1:27" ht="15.75" customHeight="1" x14ac:dyDescent="0.35">
      <c r="A593" s="243"/>
      <c r="B593" s="28"/>
      <c r="C593" s="122"/>
      <c r="D593" s="123"/>
      <c r="E593" s="106"/>
      <c r="F593" s="106"/>
      <c r="L593" s="106"/>
      <c r="M593" s="106"/>
      <c r="N593" s="106"/>
      <c r="O593" s="106"/>
      <c r="P593" s="106"/>
      <c r="AA593" s="28"/>
    </row>
    <row r="594" spans="1:27" ht="15.75" customHeight="1" x14ac:dyDescent="0.35">
      <c r="A594" s="243"/>
      <c r="B594" s="28"/>
      <c r="C594" s="122"/>
      <c r="D594" s="123"/>
      <c r="E594" s="106"/>
      <c r="F594" s="106"/>
      <c r="L594" s="106"/>
      <c r="M594" s="106"/>
      <c r="N594" s="106"/>
      <c r="O594" s="106"/>
      <c r="P594" s="106"/>
      <c r="AA594" s="28"/>
    </row>
    <row r="595" spans="1:27" ht="15.75" customHeight="1" x14ac:dyDescent="0.35">
      <c r="A595" s="243"/>
      <c r="B595" s="28"/>
      <c r="C595" s="122"/>
      <c r="D595" s="123"/>
      <c r="E595" s="106"/>
      <c r="F595" s="106"/>
      <c r="L595" s="106"/>
      <c r="M595" s="106"/>
      <c r="N595" s="106"/>
      <c r="O595" s="106"/>
      <c r="P595" s="106"/>
      <c r="AA595" s="28"/>
    </row>
    <row r="596" spans="1:27" ht="15.75" customHeight="1" x14ac:dyDescent="0.35">
      <c r="A596" s="243"/>
      <c r="B596" s="28"/>
      <c r="C596" s="122"/>
      <c r="D596" s="123"/>
      <c r="E596" s="106"/>
      <c r="F596" s="106"/>
      <c r="L596" s="106"/>
      <c r="M596" s="106"/>
      <c r="N596" s="106"/>
      <c r="O596" s="106"/>
      <c r="P596" s="106"/>
      <c r="AA596" s="28"/>
    </row>
    <row r="597" spans="1:27" ht="15.75" customHeight="1" x14ac:dyDescent="0.35">
      <c r="A597" s="243"/>
      <c r="B597" s="28"/>
      <c r="C597" s="122"/>
      <c r="D597" s="123"/>
      <c r="E597" s="106"/>
      <c r="F597" s="106"/>
      <c r="L597" s="106"/>
      <c r="M597" s="106"/>
      <c r="N597" s="106"/>
      <c r="O597" s="106"/>
      <c r="P597" s="106"/>
      <c r="AA597" s="28"/>
    </row>
    <row r="598" spans="1:27" ht="15.75" customHeight="1" x14ac:dyDescent="0.35">
      <c r="A598" s="243"/>
      <c r="B598" s="28"/>
      <c r="C598" s="122"/>
      <c r="D598" s="123"/>
      <c r="E598" s="106"/>
      <c r="F598" s="106"/>
      <c r="L598" s="106"/>
      <c r="M598" s="106"/>
      <c r="N598" s="106"/>
      <c r="O598" s="106"/>
      <c r="P598" s="106"/>
      <c r="AA598" s="28"/>
    </row>
    <row r="599" spans="1:27" ht="15.75" customHeight="1" x14ac:dyDescent="0.35">
      <c r="A599" s="243"/>
      <c r="B599" s="28"/>
      <c r="C599" s="122"/>
      <c r="D599" s="123"/>
      <c r="E599" s="106"/>
      <c r="F599" s="106"/>
      <c r="L599" s="106"/>
      <c r="M599" s="106"/>
      <c r="N599" s="106"/>
      <c r="O599" s="106"/>
      <c r="P599" s="106"/>
      <c r="AA599" s="28"/>
    </row>
    <row r="600" spans="1:27" ht="15.75" customHeight="1" x14ac:dyDescent="0.35">
      <c r="A600" s="243"/>
      <c r="B600" s="28"/>
      <c r="C600" s="122"/>
      <c r="D600" s="123"/>
      <c r="E600" s="106"/>
      <c r="F600" s="106"/>
      <c r="L600" s="106"/>
      <c r="M600" s="106"/>
      <c r="N600" s="106"/>
      <c r="O600" s="106"/>
      <c r="P600" s="106"/>
      <c r="AA600" s="28"/>
    </row>
    <row r="601" spans="1:27" ht="15.75" customHeight="1" x14ac:dyDescent="0.35">
      <c r="A601" s="243"/>
      <c r="B601" s="28"/>
      <c r="C601" s="122"/>
      <c r="D601" s="123"/>
      <c r="E601" s="106"/>
      <c r="F601" s="106"/>
      <c r="L601" s="106"/>
      <c r="M601" s="106"/>
      <c r="N601" s="106"/>
      <c r="O601" s="106"/>
      <c r="P601" s="106"/>
      <c r="AA601" s="28"/>
    </row>
    <row r="602" spans="1:27" ht="15.75" customHeight="1" x14ac:dyDescent="0.35">
      <c r="A602" s="243"/>
      <c r="B602" s="28"/>
      <c r="C602" s="122"/>
      <c r="D602" s="123"/>
      <c r="E602" s="106"/>
      <c r="F602" s="106"/>
      <c r="L602" s="106"/>
      <c r="M602" s="106"/>
      <c r="N602" s="106"/>
      <c r="O602" s="106"/>
      <c r="P602" s="106"/>
      <c r="AA602" s="28"/>
    </row>
    <row r="603" spans="1:27" ht="15.75" customHeight="1" x14ac:dyDescent="0.35">
      <c r="A603" s="243"/>
      <c r="B603" s="28"/>
      <c r="C603" s="122"/>
      <c r="D603" s="123"/>
      <c r="E603" s="106"/>
      <c r="F603" s="106"/>
      <c r="L603" s="106"/>
      <c r="M603" s="106"/>
      <c r="N603" s="106"/>
      <c r="O603" s="106"/>
      <c r="P603" s="106"/>
      <c r="AA603" s="28"/>
    </row>
    <row r="604" spans="1:27" ht="15.75" customHeight="1" x14ac:dyDescent="0.35">
      <c r="A604" s="243"/>
      <c r="B604" s="28"/>
      <c r="C604" s="122"/>
      <c r="D604" s="123"/>
      <c r="E604" s="106"/>
      <c r="F604" s="106"/>
      <c r="L604" s="106"/>
      <c r="M604" s="106"/>
      <c r="N604" s="106"/>
      <c r="O604" s="106"/>
      <c r="P604" s="106"/>
      <c r="AA604" s="28"/>
    </row>
    <row r="605" spans="1:27" ht="15.75" customHeight="1" x14ac:dyDescent="0.35">
      <c r="A605" s="243"/>
      <c r="B605" s="28"/>
      <c r="C605" s="122"/>
      <c r="D605" s="123"/>
      <c r="E605" s="106"/>
      <c r="F605" s="106"/>
      <c r="L605" s="106"/>
      <c r="M605" s="106"/>
      <c r="N605" s="106"/>
      <c r="O605" s="106"/>
      <c r="P605" s="106"/>
      <c r="AA605" s="28"/>
    </row>
    <row r="606" spans="1:27" ht="15.75" customHeight="1" x14ac:dyDescent="0.35">
      <c r="A606" s="243"/>
      <c r="B606" s="28"/>
      <c r="C606" s="122"/>
      <c r="D606" s="123"/>
      <c r="E606" s="106"/>
      <c r="F606" s="106"/>
      <c r="L606" s="106"/>
      <c r="M606" s="106"/>
      <c r="N606" s="106"/>
      <c r="O606" s="106"/>
      <c r="P606" s="106"/>
      <c r="AA606" s="28"/>
    </row>
    <row r="607" spans="1:27" ht="15.75" customHeight="1" x14ac:dyDescent="0.35">
      <c r="A607" s="243"/>
      <c r="B607" s="28"/>
      <c r="C607" s="122"/>
      <c r="D607" s="123"/>
      <c r="E607" s="106"/>
      <c r="F607" s="106"/>
      <c r="L607" s="106"/>
      <c r="M607" s="106"/>
      <c r="N607" s="106"/>
      <c r="O607" s="106"/>
      <c r="P607" s="106"/>
      <c r="AA607" s="28"/>
    </row>
    <row r="608" spans="1:27" ht="15.75" customHeight="1" x14ac:dyDescent="0.35">
      <c r="A608" s="243"/>
      <c r="B608" s="28"/>
      <c r="C608" s="122"/>
      <c r="D608" s="123"/>
      <c r="E608" s="106"/>
      <c r="F608" s="106"/>
      <c r="L608" s="106"/>
      <c r="M608" s="106"/>
      <c r="N608" s="106"/>
      <c r="O608" s="106"/>
      <c r="P608" s="106"/>
      <c r="AA608" s="28"/>
    </row>
    <row r="609" spans="1:27" ht="15.75" customHeight="1" x14ac:dyDescent="0.35">
      <c r="A609" s="243"/>
      <c r="B609" s="28"/>
      <c r="C609" s="122"/>
      <c r="D609" s="123"/>
      <c r="E609" s="106"/>
      <c r="F609" s="106"/>
      <c r="L609" s="106"/>
      <c r="M609" s="106"/>
      <c r="N609" s="106"/>
      <c r="O609" s="106"/>
      <c r="P609" s="106"/>
      <c r="AA609" s="28"/>
    </row>
    <row r="610" spans="1:27" ht="15.75" customHeight="1" x14ac:dyDescent="0.35">
      <c r="A610" s="243"/>
      <c r="B610" s="28"/>
      <c r="C610" s="122"/>
      <c r="D610" s="123"/>
      <c r="E610" s="106"/>
      <c r="F610" s="106"/>
      <c r="L610" s="106"/>
      <c r="M610" s="106"/>
      <c r="N610" s="106"/>
      <c r="O610" s="106"/>
      <c r="P610" s="106"/>
      <c r="AA610" s="28"/>
    </row>
    <row r="611" spans="1:27" ht="15.75" customHeight="1" x14ac:dyDescent="0.35">
      <c r="A611" s="243"/>
      <c r="B611" s="28"/>
      <c r="C611" s="122"/>
      <c r="D611" s="123"/>
      <c r="E611" s="106"/>
      <c r="F611" s="106"/>
      <c r="L611" s="106"/>
      <c r="M611" s="106"/>
      <c r="N611" s="106"/>
      <c r="O611" s="106"/>
      <c r="P611" s="106"/>
      <c r="AA611" s="28"/>
    </row>
    <row r="612" spans="1:27" ht="15.75" customHeight="1" x14ac:dyDescent="0.35">
      <c r="A612" s="243"/>
      <c r="B612" s="28"/>
      <c r="C612" s="122"/>
      <c r="D612" s="123"/>
      <c r="E612" s="106"/>
      <c r="F612" s="106"/>
      <c r="L612" s="106"/>
      <c r="M612" s="106"/>
      <c r="N612" s="106"/>
      <c r="O612" s="106"/>
      <c r="P612" s="106"/>
      <c r="AA612" s="28"/>
    </row>
    <row r="613" spans="1:27" ht="15.75" customHeight="1" x14ac:dyDescent="0.35">
      <c r="A613" s="243"/>
      <c r="B613" s="28"/>
      <c r="C613" s="122"/>
      <c r="D613" s="123"/>
      <c r="E613" s="106"/>
      <c r="F613" s="106"/>
      <c r="L613" s="106"/>
      <c r="M613" s="106"/>
      <c r="N613" s="106"/>
      <c r="O613" s="106"/>
      <c r="P613" s="106"/>
      <c r="AA613" s="28"/>
    </row>
    <row r="614" spans="1:27" ht="15.75" customHeight="1" x14ac:dyDescent="0.35">
      <c r="A614" s="243"/>
      <c r="B614" s="28"/>
      <c r="C614" s="122"/>
      <c r="D614" s="123"/>
      <c r="E614" s="106"/>
      <c r="F614" s="106"/>
      <c r="L614" s="106"/>
      <c r="M614" s="106"/>
      <c r="N614" s="106"/>
      <c r="O614" s="106"/>
      <c r="P614" s="106"/>
      <c r="AA614" s="28"/>
    </row>
    <row r="615" spans="1:27" ht="15.75" customHeight="1" x14ac:dyDescent="0.35">
      <c r="A615" s="243"/>
      <c r="B615" s="28"/>
      <c r="C615" s="122"/>
      <c r="D615" s="123"/>
      <c r="E615" s="106"/>
      <c r="F615" s="106"/>
      <c r="L615" s="106"/>
      <c r="M615" s="106"/>
      <c r="N615" s="106"/>
      <c r="O615" s="106"/>
      <c r="P615" s="106"/>
      <c r="AA615" s="28"/>
    </row>
    <row r="616" spans="1:27" ht="15.75" customHeight="1" x14ac:dyDescent="0.35">
      <c r="A616" s="243"/>
      <c r="B616" s="28"/>
      <c r="C616" s="122"/>
      <c r="D616" s="123"/>
      <c r="E616" s="106"/>
      <c r="F616" s="106"/>
      <c r="L616" s="106"/>
      <c r="M616" s="106"/>
      <c r="N616" s="106"/>
      <c r="O616" s="106"/>
      <c r="P616" s="106"/>
      <c r="AA616" s="28"/>
    </row>
    <row r="617" spans="1:27" ht="15.75" customHeight="1" x14ac:dyDescent="0.35">
      <c r="A617" s="243"/>
      <c r="B617" s="28"/>
      <c r="C617" s="122"/>
      <c r="D617" s="123"/>
      <c r="E617" s="106"/>
      <c r="F617" s="106"/>
      <c r="L617" s="106"/>
      <c r="M617" s="106"/>
      <c r="N617" s="106"/>
      <c r="O617" s="106"/>
      <c r="P617" s="106"/>
      <c r="AA617" s="28"/>
    </row>
    <row r="618" spans="1:27" ht="15.75" customHeight="1" x14ac:dyDescent="0.35">
      <c r="A618" s="243"/>
      <c r="B618" s="28"/>
      <c r="C618" s="122"/>
      <c r="D618" s="123"/>
      <c r="E618" s="106"/>
      <c r="F618" s="106"/>
      <c r="L618" s="106"/>
      <c r="M618" s="106"/>
      <c r="N618" s="106"/>
      <c r="O618" s="106"/>
      <c r="P618" s="106"/>
      <c r="AA618" s="28"/>
    </row>
    <row r="619" spans="1:27" ht="15.75" customHeight="1" x14ac:dyDescent="0.35">
      <c r="A619" s="243"/>
      <c r="B619" s="28"/>
      <c r="C619" s="122"/>
      <c r="D619" s="123"/>
      <c r="E619" s="106"/>
      <c r="F619" s="106"/>
      <c r="L619" s="106"/>
      <c r="M619" s="106"/>
      <c r="N619" s="106"/>
      <c r="O619" s="106"/>
      <c r="P619" s="106"/>
      <c r="AA619" s="28"/>
    </row>
    <row r="620" spans="1:27" ht="15.75" customHeight="1" x14ac:dyDescent="0.35">
      <c r="A620" s="243"/>
      <c r="B620" s="28"/>
      <c r="C620" s="122"/>
      <c r="D620" s="123"/>
      <c r="E620" s="106"/>
      <c r="F620" s="106"/>
      <c r="L620" s="106"/>
      <c r="M620" s="106"/>
      <c r="N620" s="106"/>
      <c r="O620" s="106"/>
      <c r="P620" s="106"/>
      <c r="AA620" s="28"/>
    </row>
    <row r="621" spans="1:27" ht="15.75" customHeight="1" x14ac:dyDescent="0.35">
      <c r="A621" s="243"/>
      <c r="B621" s="28"/>
      <c r="C621" s="122"/>
      <c r="D621" s="123"/>
      <c r="E621" s="106"/>
      <c r="F621" s="106"/>
      <c r="L621" s="106"/>
      <c r="M621" s="106"/>
      <c r="N621" s="106"/>
      <c r="O621" s="106"/>
      <c r="P621" s="106"/>
      <c r="AA621" s="28"/>
    </row>
    <row r="622" spans="1:27" ht="15.75" customHeight="1" x14ac:dyDescent="0.35">
      <c r="A622" s="243"/>
      <c r="B622" s="28"/>
      <c r="C622" s="122"/>
      <c r="D622" s="123"/>
      <c r="E622" s="106"/>
      <c r="F622" s="106"/>
      <c r="L622" s="106"/>
      <c r="M622" s="106"/>
      <c r="N622" s="106"/>
      <c r="O622" s="106"/>
      <c r="P622" s="106"/>
      <c r="AA622" s="28"/>
    </row>
    <row r="623" spans="1:27" ht="15.75" customHeight="1" x14ac:dyDescent="0.35">
      <c r="A623" s="243"/>
      <c r="B623" s="28"/>
      <c r="C623" s="122"/>
      <c r="D623" s="123"/>
      <c r="E623" s="106"/>
      <c r="F623" s="106"/>
      <c r="L623" s="106"/>
      <c r="M623" s="106"/>
      <c r="N623" s="106"/>
      <c r="O623" s="106"/>
      <c r="P623" s="106"/>
      <c r="AA623" s="28"/>
    </row>
    <row r="624" spans="1:27" ht="15.75" customHeight="1" x14ac:dyDescent="0.35">
      <c r="A624" s="243"/>
      <c r="B624" s="28"/>
      <c r="C624" s="122"/>
      <c r="D624" s="123"/>
      <c r="E624" s="106"/>
      <c r="F624" s="106"/>
      <c r="L624" s="106"/>
      <c r="M624" s="106"/>
      <c r="N624" s="106"/>
      <c r="O624" s="106"/>
      <c r="P624" s="106"/>
      <c r="AA624" s="28"/>
    </row>
    <row r="625" spans="1:27" ht="15.75" customHeight="1" x14ac:dyDescent="0.35">
      <c r="A625" s="243"/>
      <c r="B625" s="28"/>
      <c r="C625" s="122"/>
      <c r="D625" s="123"/>
      <c r="E625" s="106"/>
      <c r="F625" s="106"/>
      <c r="L625" s="106"/>
      <c r="M625" s="106"/>
      <c r="N625" s="106"/>
      <c r="O625" s="106"/>
      <c r="P625" s="106"/>
      <c r="AA625" s="28"/>
    </row>
    <row r="626" spans="1:27" ht="15.75" customHeight="1" x14ac:dyDescent="0.35">
      <c r="A626" s="243"/>
      <c r="B626" s="28"/>
      <c r="C626" s="122"/>
      <c r="D626" s="123"/>
      <c r="E626" s="106"/>
      <c r="F626" s="106"/>
      <c r="L626" s="106"/>
      <c r="M626" s="106"/>
      <c r="N626" s="106"/>
      <c r="O626" s="106"/>
      <c r="P626" s="106"/>
      <c r="AA626" s="28"/>
    </row>
    <row r="627" spans="1:27" ht="15.75" customHeight="1" x14ac:dyDescent="0.35">
      <c r="A627" s="243"/>
      <c r="B627" s="28"/>
      <c r="C627" s="122"/>
      <c r="D627" s="123"/>
      <c r="E627" s="106"/>
      <c r="F627" s="106"/>
      <c r="L627" s="106"/>
      <c r="M627" s="106"/>
      <c r="N627" s="106"/>
      <c r="O627" s="106"/>
      <c r="P627" s="106"/>
      <c r="AA627" s="28"/>
    </row>
    <row r="628" spans="1:27" ht="15.75" customHeight="1" x14ac:dyDescent="0.35">
      <c r="A628" s="243"/>
      <c r="B628" s="28"/>
      <c r="C628" s="122"/>
      <c r="D628" s="123"/>
      <c r="E628" s="106"/>
      <c r="F628" s="106"/>
      <c r="L628" s="106"/>
      <c r="M628" s="106"/>
      <c r="N628" s="106"/>
      <c r="O628" s="106"/>
      <c r="P628" s="106"/>
      <c r="AA628" s="28"/>
    </row>
    <row r="629" spans="1:27" ht="15.75" customHeight="1" x14ac:dyDescent="0.35">
      <c r="A629" s="243"/>
      <c r="B629" s="28"/>
      <c r="C629" s="122"/>
      <c r="D629" s="123"/>
      <c r="E629" s="106"/>
      <c r="F629" s="106"/>
      <c r="L629" s="106"/>
      <c r="M629" s="106"/>
      <c r="N629" s="106"/>
      <c r="O629" s="106"/>
      <c r="P629" s="106"/>
      <c r="AA629" s="28"/>
    </row>
    <row r="630" spans="1:27" ht="15.75" customHeight="1" x14ac:dyDescent="0.35">
      <c r="A630" s="243"/>
      <c r="B630" s="28"/>
      <c r="C630" s="122"/>
      <c r="D630" s="123"/>
      <c r="E630" s="106"/>
      <c r="F630" s="106"/>
      <c r="L630" s="106"/>
      <c r="M630" s="106"/>
      <c r="N630" s="106"/>
      <c r="O630" s="106"/>
      <c r="P630" s="106"/>
      <c r="AA630" s="28"/>
    </row>
    <row r="631" spans="1:27" ht="15.75" customHeight="1" x14ac:dyDescent="0.35">
      <c r="A631" s="243"/>
      <c r="B631" s="28"/>
      <c r="C631" s="122"/>
      <c r="D631" s="123"/>
      <c r="E631" s="106"/>
      <c r="F631" s="106"/>
      <c r="L631" s="106"/>
      <c r="M631" s="106"/>
      <c r="N631" s="106"/>
      <c r="O631" s="106"/>
      <c r="P631" s="106"/>
      <c r="AA631" s="28"/>
    </row>
    <row r="632" spans="1:27" ht="15.75" customHeight="1" x14ac:dyDescent="0.35">
      <c r="A632" s="243"/>
      <c r="B632" s="28"/>
      <c r="C632" s="122"/>
      <c r="D632" s="123"/>
      <c r="E632" s="106"/>
      <c r="F632" s="106"/>
      <c r="L632" s="106"/>
      <c r="M632" s="106"/>
      <c r="N632" s="106"/>
      <c r="O632" s="106"/>
      <c r="P632" s="106"/>
      <c r="AA632" s="28"/>
    </row>
    <row r="633" spans="1:27" ht="15.75" customHeight="1" x14ac:dyDescent="0.35">
      <c r="A633" s="243"/>
      <c r="B633" s="28"/>
      <c r="C633" s="122"/>
      <c r="D633" s="123"/>
      <c r="E633" s="106"/>
      <c r="F633" s="106"/>
      <c r="L633" s="106"/>
      <c r="M633" s="106"/>
      <c r="N633" s="106"/>
      <c r="O633" s="106"/>
      <c r="P633" s="106"/>
      <c r="AA633" s="28"/>
    </row>
    <row r="634" spans="1:27" ht="15.75" customHeight="1" x14ac:dyDescent="0.35">
      <c r="A634" s="243"/>
      <c r="B634" s="28"/>
      <c r="C634" s="122"/>
      <c r="D634" s="123"/>
      <c r="E634" s="106"/>
      <c r="F634" s="106"/>
      <c r="L634" s="106"/>
      <c r="M634" s="106"/>
      <c r="N634" s="106"/>
      <c r="O634" s="106"/>
      <c r="P634" s="106"/>
      <c r="AA634" s="28"/>
    </row>
    <row r="635" spans="1:27" ht="15.75" customHeight="1" x14ac:dyDescent="0.35">
      <c r="A635" s="243"/>
      <c r="B635" s="28"/>
      <c r="C635" s="122"/>
      <c r="D635" s="123"/>
      <c r="E635" s="106"/>
      <c r="F635" s="106"/>
      <c r="L635" s="106"/>
      <c r="M635" s="106"/>
      <c r="N635" s="106"/>
      <c r="O635" s="106"/>
      <c r="P635" s="106"/>
      <c r="AA635" s="28"/>
    </row>
    <row r="636" spans="1:27" ht="15.75" customHeight="1" x14ac:dyDescent="0.35">
      <c r="A636" s="243"/>
      <c r="B636" s="28"/>
      <c r="C636" s="122"/>
      <c r="D636" s="123"/>
      <c r="E636" s="106"/>
      <c r="F636" s="106"/>
      <c r="L636" s="106"/>
      <c r="M636" s="106"/>
      <c r="N636" s="106"/>
      <c r="O636" s="106"/>
      <c r="P636" s="106"/>
      <c r="AA636" s="28"/>
    </row>
    <row r="637" spans="1:27" ht="15.75" customHeight="1" x14ac:dyDescent="0.35">
      <c r="A637" s="243"/>
      <c r="B637" s="28"/>
      <c r="C637" s="122"/>
      <c r="D637" s="123"/>
      <c r="E637" s="106"/>
      <c r="F637" s="106"/>
      <c r="L637" s="106"/>
      <c r="M637" s="106"/>
      <c r="N637" s="106"/>
      <c r="O637" s="106"/>
      <c r="P637" s="106"/>
      <c r="AA637" s="28"/>
    </row>
    <row r="638" spans="1:27" ht="15.75" customHeight="1" x14ac:dyDescent="0.35">
      <c r="A638" s="243"/>
      <c r="B638" s="28"/>
      <c r="C638" s="122"/>
      <c r="D638" s="123"/>
      <c r="E638" s="106"/>
      <c r="F638" s="106"/>
      <c r="L638" s="106"/>
      <c r="M638" s="106"/>
      <c r="N638" s="106"/>
      <c r="O638" s="106"/>
      <c r="P638" s="106"/>
      <c r="AA638" s="28"/>
    </row>
    <row r="639" spans="1:27" ht="15.75" customHeight="1" x14ac:dyDescent="0.35">
      <c r="A639" s="243"/>
      <c r="B639" s="28"/>
      <c r="C639" s="122"/>
      <c r="D639" s="123"/>
      <c r="E639" s="106"/>
      <c r="F639" s="106"/>
      <c r="L639" s="106"/>
      <c r="M639" s="106"/>
      <c r="N639" s="106"/>
      <c r="O639" s="106"/>
      <c r="P639" s="106"/>
      <c r="AA639" s="28"/>
    </row>
    <row r="640" spans="1:27" ht="15.75" customHeight="1" x14ac:dyDescent="0.35">
      <c r="A640" s="243"/>
      <c r="B640" s="28"/>
      <c r="C640" s="122"/>
      <c r="D640" s="123"/>
      <c r="E640" s="106"/>
      <c r="F640" s="106"/>
      <c r="L640" s="106"/>
      <c r="M640" s="106"/>
      <c r="N640" s="106"/>
      <c r="O640" s="106"/>
      <c r="P640" s="106"/>
      <c r="AA640" s="28"/>
    </row>
    <row r="641" spans="1:27" ht="15.75" customHeight="1" x14ac:dyDescent="0.35">
      <c r="A641" s="243"/>
      <c r="B641" s="28"/>
      <c r="C641" s="122"/>
      <c r="D641" s="123"/>
      <c r="E641" s="106"/>
      <c r="F641" s="106"/>
      <c r="L641" s="106"/>
      <c r="M641" s="106"/>
      <c r="N641" s="106"/>
      <c r="O641" s="106"/>
      <c r="P641" s="106"/>
      <c r="AA641" s="28"/>
    </row>
    <row r="642" spans="1:27" ht="15.75" customHeight="1" x14ac:dyDescent="0.35">
      <c r="A642" s="243"/>
      <c r="B642" s="28"/>
      <c r="C642" s="122"/>
      <c r="D642" s="123"/>
      <c r="E642" s="106"/>
      <c r="F642" s="106"/>
      <c r="L642" s="106"/>
      <c r="M642" s="106"/>
      <c r="N642" s="106"/>
      <c r="O642" s="106"/>
      <c r="P642" s="106"/>
      <c r="AA642" s="28"/>
    </row>
    <row r="643" spans="1:27" ht="15.75" customHeight="1" x14ac:dyDescent="0.35">
      <c r="A643" s="243"/>
      <c r="B643" s="28"/>
      <c r="C643" s="122"/>
      <c r="D643" s="123"/>
      <c r="E643" s="106"/>
      <c r="F643" s="106"/>
      <c r="L643" s="106"/>
      <c r="M643" s="106"/>
      <c r="N643" s="106"/>
      <c r="O643" s="106"/>
      <c r="P643" s="106"/>
      <c r="AA643" s="28"/>
    </row>
    <row r="644" spans="1:27" ht="15.75" customHeight="1" x14ac:dyDescent="0.35">
      <c r="A644" s="243"/>
      <c r="B644" s="28"/>
      <c r="C644" s="122"/>
      <c r="D644" s="123"/>
      <c r="E644" s="106"/>
      <c r="F644" s="106"/>
      <c r="L644" s="106"/>
      <c r="M644" s="106"/>
      <c r="N644" s="106"/>
      <c r="O644" s="106"/>
      <c r="P644" s="106"/>
      <c r="AA644" s="28"/>
    </row>
    <row r="645" spans="1:27" ht="15.75" customHeight="1" x14ac:dyDescent="0.35">
      <c r="A645" s="243"/>
      <c r="B645" s="28"/>
      <c r="C645" s="122"/>
      <c r="D645" s="123"/>
      <c r="E645" s="106"/>
      <c r="F645" s="106"/>
      <c r="L645" s="106"/>
      <c r="M645" s="106"/>
      <c r="N645" s="106"/>
      <c r="O645" s="106"/>
      <c r="P645" s="106"/>
      <c r="AA645" s="28"/>
    </row>
    <row r="646" spans="1:27" ht="15.75" customHeight="1" x14ac:dyDescent="0.35">
      <c r="A646" s="243"/>
      <c r="B646" s="28"/>
      <c r="C646" s="122"/>
      <c r="D646" s="123"/>
      <c r="E646" s="106"/>
      <c r="F646" s="106"/>
      <c r="L646" s="106"/>
      <c r="M646" s="106"/>
      <c r="N646" s="106"/>
      <c r="O646" s="106"/>
      <c r="P646" s="106"/>
      <c r="AA646" s="28"/>
    </row>
    <row r="647" spans="1:27" ht="15.75" customHeight="1" x14ac:dyDescent="0.35">
      <c r="A647" s="243"/>
      <c r="B647" s="28"/>
      <c r="C647" s="122"/>
      <c r="D647" s="123"/>
      <c r="E647" s="106"/>
      <c r="F647" s="106"/>
      <c r="L647" s="106"/>
      <c r="M647" s="106"/>
      <c r="N647" s="106"/>
      <c r="O647" s="106"/>
      <c r="P647" s="106"/>
      <c r="AA647" s="28"/>
    </row>
    <row r="648" spans="1:27" ht="15.75" customHeight="1" x14ac:dyDescent="0.35">
      <c r="A648" s="243"/>
      <c r="B648" s="28"/>
      <c r="C648" s="122"/>
      <c r="D648" s="123"/>
      <c r="E648" s="106"/>
      <c r="F648" s="106"/>
      <c r="L648" s="106"/>
      <c r="M648" s="106"/>
      <c r="N648" s="106"/>
      <c r="O648" s="106"/>
      <c r="P648" s="106"/>
      <c r="AA648" s="28"/>
    </row>
    <row r="649" spans="1:27" ht="15.75" customHeight="1" x14ac:dyDescent="0.35">
      <c r="A649" s="243"/>
      <c r="B649" s="28"/>
      <c r="C649" s="122"/>
      <c r="D649" s="123"/>
      <c r="E649" s="106"/>
      <c r="F649" s="106"/>
      <c r="L649" s="106"/>
      <c r="M649" s="106"/>
      <c r="N649" s="106"/>
      <c r="O649" s="106"/>
      <c r="P649" s="106"/>
      <c r="AA649" s="28"/>
    </row>
    <row r="650" spans="1:27" ht="15.75" customHeight="1" x14ac:dyDescent="0.35">
      <c r="A650" s="243"/>
      <c r="B650" s="28"/>
      <c r="C650" s="122"/>
      <c r="D650" s="123"/>
      <c r="E650" s="106"/>
      <c r="F650" s="106"/>
      <c r="L650" s="106"/>
      <c r="M650" s="106"/>
      <c r="N650" s="106"/>
      <c r="O650" s="106"/>
      <c r="P650" s="106"/>
      <c r="AA650" s="28"/>
    </row>
    <row r="651" spans="1:27" ht="15.75" customHeight="1" x14ac:dyDescent="0.35">
      <c r="A651" s="243"/>
      <c r="B651" s="28"/>
      <c r="C651" s="122"/>
      <c r="D651" s="123"/>
      <c r="E651" s="106"/>
      <c r="F651" s="106"/>
      <c r="L651" s="106"/>
      <c r="M651" s="106"/>
      <c r="N651" s="106"/>
      <c r="O651" s="106"/>
      <c r="P651" s="106"/>
      <c r="AA651" s="28"/>
    </row>
    <row r="652" spans="1:27" ht="15.75" customHeight="1" x14ac:dyDescent="0.35">
      <c r="A652" s="243"/>
      <c r="B652" s="28"/>
      <c r="C652" s="122"/>
      <c r="D652" s="123"/>
      <c r="E652" s="106"/>
      <c r="F652" s="106"/>
      <c r="L652" s="106"/>
      <c r="M652" s="106"/>
      <c r="N652" s="106"/>
      <c r="O652" s="106"/>
      <c r="P652" s="106"/>
      <c r="AA652" s="28"/>
    </row>
    <row r="653" spans="1:27" ht="15.75" customHeight="1" x14ac:dyDescent="0.35">
      <c r="A653" s="243"/>
      <c r="B653" s="28"/>
      <c r="C653" s="122"/>
      <c r="D653" s="123"/>
      <c r="E653" s="106"/>
      <c r="F653" s="106"/>
      <c r="L653" s="106"/>
      <c r="M653" s="106"/>
      <c r="N653" s="106"/>
      <c r="O653" s="106"/>
      <c r="P653" s="106"/>
      <c r="AA653" s="28"/>
    </row>
    <row r="654" spans="1:27" ht="15.75" customHeight="1" x14ac:dyDescent="0.35">
      <c r="A654" s="243"/>
      <c r="B654" s="28"/>
      <c r="C654" s="122"/>
      <c r="D654" s="123"/>
      <c r="E654" s="106"/>
      <c r="F654" s="106"/>
      <c r="L654" s="106"/>
      <c r="M654" s="106"/>
      <c r="N654" s="106"/>
      <c r="O654" s="106"/>
      <c r="P654" s="106"/>
      <c r="AA654" s="28"/>
    </row>
    <row r="655" spans="1:27" ht="15.75" customHeight="1" x14ac:dyDescent="0.35">
      <c r="A655" s="243"/>
      <c r="B655" s="28"/>
      <c r="C655" s="122"/>
      <c r="D655" s="123"/>
      <c r="E655" s="106"/>
      <c r="F655" s="106"/>
      <c r="L655" s="106"/>
      <c r="M655" s="106"/>
      <c r="N655" s="106"/>
      <c r="O655" s="106"/>
      <c r="P655" s="106"/>
      <c r="AA655" s="28"/>
    </row>
    <row r="656" spans="1:27" ht="15.75" customHeight="1" x14ac:dyDescent="0.35">
      <c r="A656" s="243"/>
      <c r="B656" s="28"/>
      <c r="C656" s="122"/>
      <c r="D656" s="123"/>
      <c r="E656" s="106"/>
      <c r="F656" s="106"/>
      <c r="L656" s="106"/>
      <c r="M656" s="106"/>
      <c r="N656" s="106"/>
      <c r="O656" s="106"/>
      <c r="P656" s="106"/>
      <c r="AA656" s="28"/>
    </row>
    <row r="657" spans="1:27" ht="15.75" customHeight="1" x14ac:dyDescent="0.35">
      <c r="A657" s="243"/>
      <c r="B657" s="28"/>
      <c r="C657" s="122"/>
      <c r="D657" s="123"/>
      <c r="E657" s="106"/>
      <c r="F657" s="106"/>
      <c r="L657" s="106"/>
      <c r="M657" s="106"/>
      <c r="N657" s="106"/>
      <c r="O657" s="106"/>
      <c r="P657" s="106"/>
      <c r="AA657" s="28"/>
    </row>
    <row r="658" spans="1:27" ht="15.75" customHeight="1" x14ac:dyDescent="0.35">
      <c r="A658" s="243"/>
      <c r="B658" s="28"/>
      <c r="C658" s="122"/>
      <c r="D658" s="123"/>
      <c r="E658" s="106"/>
      <c r="F658" s="106"/>
      <c r="L658" s="106"/>
      <c r="M658" s="106"/>
      <c r="N658" s="106"/>
      <c r="O658" s="106"/>
      <c r="P658" s="106"/>
      <c r="AA658" s="28"/>
    </row>
    <row r="659" spans="1:27" ht="15.75" customHeight="1" x14ac:dyDescent="0.35">
      <c r="A659" s="243"/>
      <c r="B659" s="28"/>
      <c r="C659" s="122"/>
      <c r="D659" s="123"/>
      <c r="E659" s="106"/>
      <c r="F659" s="106"/>
      <c r="L659" s="106"/>
      <c r="M659" s="106"/>
      <c r="N659" s="106"/>
      <c r="O659" s="106"/>
      <c r="P659" s="106"/>
      <c r="AA659" s="28"/>
    </row>
    <row r="660" spans="1:27" ht="15.75" customHeight="1" x14ac:dyDescent="0.35">
      <c r="A660" s="243"/>
      <c r="B660" s="28"/>
      <c r="C660" s="122"/>
      <c r="D660" s="123"/>
      <c r="E660" s="106"/>
      <c r="F660" s="106"/>
      <c r="L660" s="106"/>
      <c r="M660" s="106"/>
      <c r="N660" s="106"/>
      <c r="O660" s="106"/>
      <c r="P660" s="106"/>
      <c r="AA660" s="28"/>
    </row>
    <row r="661" spans="1:27" ht="15.75" customHeight="1" x14ac:dyDescent="0.35">
      <c r="A661" s="243"/>
      <c r="B661" s="28"/>
      <c r="C661" s="122"/>
      <c r="D661" s="123"/>
      <c r="E661" s="106"/>
      <c r="F661" s="106"/>
      <c r="L661" s="106"/>
      <c r="M661" s="106"/>
      <c r="N661" s="106"/>
      <c r="O661" s="106"/>
      <c r="P661" s="106"/>
      <c r="AA661" s="28"/>
    </row>
    <row r="662" spans="1:27" ht="15.75" customHeight="1" x14ac:dyDescent="0.35">
      <c r="A662" s="243"/>
      <c r="B662" s="28"/>
      <c r="C662" s="122"/>
      <c r="D662" s="123"/>
      <c r="E662" s="106"/>
      <c r="F662" s="106"/>
      <c r="L662" s="106"/>
      <c r="M662" s="106"/>
      <c r="N662" s="106"/>
      <c r="O662" s="106"/>
      <c r="P662" s="106"/>
      <c r="AA662" s="28"/>
    </row>
    <row r="663" spans="1:27" ht="15.75" customHeight="1" x14ac:dyDescent="0.35">
      <c r="A663" s="243"/>
      <c r="B663" s="28"/>
      <c r="C663" s="122"/>
      <c r="D663" s="123"/>
      <c r="E663" s="106"/>
      <c r="F663" s="106"/>
      <c r="L663" s="106"/>
      <c r="M663" s="106"/>
      <c r="N663" s="106"/>
      <c r="O663" s="106"/>
      <c r="P663" s="106"/>
      <c r="AA663" s="28"/>
    </row>
    <row r="664" spans="1:27" ht="15.75" customHeight="1" x14ac:dyDescent="0.35">
      <c r="A664" s="243"/>
      <c r="B664" s="28"/>
      <c r="C664" s="122"/>
      <c r="D664" s="123"/>
      <c r="E664" s="106"/>
      <c r="F664" s="106"/>
      <c r="L664" s="106"/>
      <c r="M664" s="106"/>
      <c r="N664" s="106"/>
      <c r="O664" s="106"/>
      <c r="P664" s="106"/>
      <c r="AA664" s="28"/>
    </row>
    <row r="665" spans="1:27" ht="15.75" customHeight="1" x14ac:dyDescent="0.35">
      <c r="A665" s="243"/>
      <c r="B665" s="28"/>
      <c r="C665" s="122"/>
      <c r="D665" s="123"/>
      <c r="E665" s="106"/>
      <c r="F665" s="106"/>
      <c r="L665" s="106"/>
      <c r="M665" s="106"/>
      <c r="N665" s="106"/>
      <c r="O665" s="106"/>
      <c r="P665" s="106"/>
      <c r="AA665" s="28"/>
    </row>
    <row r="666" spans="1:27" ht="15.75" customHeight="1" x14ac:dyDescent="0.35">
      <c r="A666" s="243"/>
      <c r="B666" s="28"/>
      <c r="C666" s="122"/>
      <c r="D666" s="123"/>
      <c r="E666" s="106"/>
      <c r="F666" s="106"/>
      <c r="L666" s="106"/>
      <c r="M666" s="106"/>
      <c r="N666" s="106"/>
      <c r="O666" s="106"/>
      <c r="P666" s="106"/>
      <c r="AA666" s="28"/>
    </row>
    <row r="667" spans="1:27" ht="15.75" customHeight="1" x14ac:dyDescent="0.35">
      <c r="A667" s="243"/>
      <c r="B667" s="28"/>
      <c r="C667" s="122"/>
      <c r="D667" s="123"/>
      <c r="E667" s="106"/>
      <c r="F667" s="106"/>
      <c r="L667" s="106"/>
      <c r="M667" s="106"/>
      <c r="N667" s="106"/>
      <c r="O667" s="106"/>
      <c r="P667" s="106"/>
      <c r="AA667" s="28"/>
    </row>
    <row r="668" spans="1:27" ht="15.75" customHeight="1" x14ac:dyDescent="0.35">
      <c r="A668" s="243"/>
      <c r="B668" s="28"/>
      <c r="C668" s="122"/>
      <c r="D668" s="123"/>
      <c r="E668" s="106"/>
      <c r="F668" s="106"/>
      <c r="L668" s="106"/>
      <c r="M668" s="106"/>
      <c r="N668" s="106"/>
      <c r="O668" s="106"/>
      <c r="P668" s="106"/>
      <c r="AA668" s="28"/>
    </row>
    <row r="669" spans="1:27" ht="15.75" customHeight="1" x14ac:dyDescent="0.35">
      <c r="A669" s="243"/>
      <c r="B669" s="28"/>
      <c r="C669" s="122"/>
      <c r="D669" s="123"/>
      <c r="E669" s="106"/>
      <c r="F669" s="106"/>
      <c r="L669" s="106"/>
      <c r="M669" s="106"/>
      <c r="N669" s="106"/>
      <c r="O669" s="106"/>
      <c r="P669" s="106"/>
      <c r="AA669" s="28"/>
    </row>
    <row r="670" spans="1:27" ht="15.75" customHeight="1" x14ac:dyDescent="0.35">
      <c r="A670" s="243"/>
      <c r="B670" s="28"/>
      <c r="C670" s="122"/>
      <c r="D670" s="123"/>
      <c r="E670" s="106"/>
      <c r="F670" s="106"/>
      <c r="L670" s="106"/>
      <c r="M670" s="106"/>
      <c r="N670" s="106"/>
      <c r="O670" s="106"/>
      <c r="P670" s="106"/>
      <c r="AA670" s="28"/>
    </row>
    <row r="671" spans="1:27" ht="15.75" customHeight="1" x14ac:dyDescent="0.35">
      <c r="A671" s="243"/>
      <c r="B671" s="28"/>
      <c r="C671" s="122"/>
      <c r="D671" s="123"/>
      <c r="E671" s="106"/>
      <c r="F671" s="106"/>
      <c r="L671" s="106"/>
      <c r="M671" s="106"/>
      <c r="N671" s="106"/>
      <c r="O671" s="106"/>
      <c r="P671" s="106"/>
      <c r="AA671" s="28"/>
    </row>
  </sheetData>
  <mergeCells count="1">
    <mergeCell ref="E5:T5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B8DE-41ED-4471-8B0D-F4B4172F42AB}">
  <dimension ref="A1:P607"/>
  <sheetViews>
    <sheetView zoomScale="80" zoomScaleNormal="80" workbookViewId="0">
      <pane xSplit="3" ySplit="1" topLeftCell="D2" activePane="bottomRight" state="frozen"/>
      <selection pane="topRight" activeCell="F1" sqref="F1"/>
      <selection pane="bottomLeft" activeCell="A8" sqref="A8"/>
      <selection pane="bottomRight" activeCell="O7" sqref="O7"/>
    </sheetView>
  </sheetViews>
  <sheetFormatPr defaultColWidth="14.42578125" defaultRowHeight="17.25" x14ac:dyDescent="0.35"/>
  <cols>
    <col min="1" max="1" width="4.42578125" style="124" customWidth="1"/>
    <col min="2" max="2" width="15.7109375" style="24" customWidth="1"/>
    <col min="3" max="3" width="15.7109375" style="128" customWidth="1"/>
    <col min="4" max="5" width="15.7109375" style="107" customWidth="1"/>
    <col min="6" max="12" width="14.42578125" style="107"/>
    <col min="13" max="13" width="15.7109375" style="107" customWidth="1"/>
    <col min="14" max="14" width="42.140625" style="24" customWidth="1"/>
    <col min="15" max="15" width="14.42578125" style="24"/>
    <col min="16" max="16" width="14.42578125" style="107"/>
    <col min="17" max="16384" width="14.42578125" style="24"/>
  </cols>
  <sheetData>
    <row r="1" spans="1:16" ht="23.25" x14ac:dyDescent="0.35">
      <c r="A1" s="231" t="s">
        <v>59</v>
      </c>
      <c r="B1" s="223"/>
      <c r="C1" s="223"/>
      <c r="D1" s="223"/>
      <c r="E1"/>
    </row>
    <row r="2" spans="1:16" ht="19.5" customHeight="1" x14ac:dyDescent="0.35">
      <c r="A2" s="121"/>
      <c r="B2" s="28"/>
      <c r="C2" s="127"/>
      <c r="D2" s="232" t="s">
        <v>149</v>
      </c>
      <c r="E2" s="233"/>
      <c r="F2" s="233"/>
      <c r="G2" s="233"/>
      <c r="H2" s="233"/>
      <c r="I2" s="233"/>
      <c r="J2" s="233"/>
      <c r="K2" s="233"/>
      <c r="L2" s="233"/>
    </row>
    <row r="3" spans="1:16" ht="63" customHeight="1" x14ac:dyDescent="0.35">
      <c r="A3" s="121"/>
      <c r="B3" s="28"/>
      <c r="C3" s="127" t="s">
        <v>60</v>
      </c>
      <c r="D3" s="134" t="s">
        <v>63</v>
      </c>
      <c r="E3" s="134" t="s">
        <v>100</v>
      </c>
      <c r="F3" s="134" t="s">
        <v>75</v>
      </c>
      <c r="G3" s="134" t="s">
        <v>152</v>
      </c>
      <c r="H3" s="134" t="s">
        <v>153</v>
      </c>
      <c r="I3" s="134" t="s">
        <v>151</v>
      </c>
      <c r="J3" s="134" t="s">
        <v>150</v>
      </c>
      <c r="K3" s="134" t="s">
        <v>70</v>
      </c>
      <c r="L3" s="134" t="s">
        <v>69</v>
      </c>
      <c r="M3" s="107" t="s">
        <v>33</v>
      </c>
      <c r="N3" s="132" t="s">
        <v>34</v>
      </c>
      <c r="O3" s="133"/>
      <c r="P3" s="107" t="s">
        <v>60</v>
      </c>
    </row>
    <row r="4" spans="1:16" ht="19.5" customHeight="1" x14ac:dyDescent="0.35">
      <c r="A4" s="121"/>
      <c r="B4" s="28" t="s">
        <v>25</v>
      </c>
      <c r="C4" s="127">
        <f>SUM(P4:P20)</f>
        <v>209886.3</v>
      </c>
      <c r="D4" s="107" t="e">
        <f>+' EXPENSES'!#REF!</f>
        <v>#REF!</v>
      </c>
      <c r="L4" s="107" t="e">
        <f>SUM(D4:K4)</f>
        <v>#REF!</v>
      </c>
      <c r="M4" s="107" t="e">
        <f>+C4+L4</f>
        <v>#REF!</v>
      </c>
      <c r="N4" s="164" t="s">
        <v>57</v>
      </c>
      <c r="O4" s="165">
        <v>206413.83</v>
      </c>
      <c r="P4" s="120">
        <f t="shared" ref="P4:P20" si="0">+O4/4</f>
        <v>51603.457499999997</v>
      </c>
    </row>
    <row r="5" spans="1:16" ht="19.5" customHeight="1" x14ac:dyDescent="0.35">
      <c r="A5" s="121"/>
      <c r="B5" s="28" t="s">
        <v>28</v>
      </c>
      <c r="C5" s="127">
        <f>+C4</f>
        <v>209886.3</v>
      </c>
      <c r="D5" s="107">
        <f>+' EXPENSES'!V51+' EXPENSES'!V37</f>
        <v>60875.360000000001</v>
      </c>
      <c r="E5" s="107">
        <f>+' EXPENSES'!V53</f>
        <v>2572.46</v>
      </c>
      <c r="F5" s="107">
        <v>1500</v>
      </c>
      <c r="H5" s="107">
        <f>+' EXPENSES'!V75+' EXPENSES'!V76</f>
        <v>15550</v>
      </c>
      <c r="L5" s="107">
        <f t="shared" ref="L5:L7" si="1">SUM(D5:K5)</f>
        <v>80497.820000000007</v>
      </c>
      <c r="M5" s="107">
        <f>+C5+L5</f>
        <v>290384.12</v>
      </c>
      <c r="N5" s="164" t="s">
        <v>38</v>
      </c>
      <c r="O5" s="165">
        <v>23300</v>
      </c>
      <c r="P5" s="120">
        <f t="shared" si="0"/>
        <v>5825</v>
      </c>
    </row>
    <row r="6" spans="1:16" ht="19.5" customHeight="1" x14ac:dyDescent="0.35">
      <c r="A6" s="121"/>
      <c r="B6" s="28" t="s">
        <v>26</v>
      </c>
      <c r="C6" s="127">
        <f>+C5</f>
        <v>209886.3</v>
      </c>
      <c r="D6" s="107">
        <f>+' EXPENSES'!W51+' EXPENSES'!W37</f>
        <v>38090</v>
      </c>
      <c r="E6" s="107">
        <f>+' EXPENSES'!W53+3000</f>
        <v>7630.43</v>
      </c>
      <c r="F6" s="107">
        <v>1500</v>
      </c>
      <c r="G6" s="107">
        <v>5000</v>
      </c>
      <c r="I6" s="107">
        <f>+' EXPENSES'!W33</f>
        <v>5688</v>
      </c>
      <c r="L6" s="107">
        <f t="shared" si="1"/>
        <v>57908.43</v>
      </c>
      <c r="M6" s="107">
        <f t="shared" ref="M6:M7" si="2">+C6+L6</f>
        <v>267794.73</v>
      </c>
      <c r="N6" s="164" t="s">
        <v>40</v>
      </c>
      <c r="O6" s="165">
        <v>5340.33</v>
      </c>
      <c r="P6" s="120">
        <f t="shared" si="0"/>
        <v>1335.0825</v>
      </c>
    </row>
    <row r="7" spans="1:16" ht="19.5" customHeight="1" x14ac:dyDescent="0.35">
      <c r="A7" s="121"/>
      <c r="B7" s="28" t="s">
        <v>27</v>
      </c>
      <c r="C7" s="127">
        <f>+C6</f>
        <v>209886.3</v>
      </c>
      <c r="D7" s="107">
        <f>+' EXPENSES'!X37+' EXPENSES'!X51</f>
        <v>44850</v>
      </c>
      <c r="E7" s="107">
        <f>+' EXPENSES'!X53+3000</f>
        <v>78330</v>
      </c>
      <c r="J7" s="107">
        <v>17000</v>
      </c>
      <c r="K7" s="107">
        <f>+' EXPENSES'!X50+' EXPENSES'!X32</f>
        <v>13792.74</v>
      </c>
      <c r="L7" s="107">
        <f t="shared" si="1"/>
        <v>153972.74</v>
      </c>
      <c r="M7" s="107">
        <f t="shared" si="2"/>
        <v>363859.04</v>
      </c>
      <c r="N7" s="164" t="s">
        <v>58</v>
      </c>
      <c r="O7" s="165">
        <v>184126</v>
      </c>
      <c r="P7" s="120">
        <f t="shared" si="0"/>
        <v>46031.5</v>
      </c>
    </row>
    <row r="8" spans="1:16" ht="19.5" customHeight="1" x14ac:dyDescent="0.35">
      <c r="A8" s="121"/>
      <c r="B8" s="28"/>
      <c r="C8" s="127"/>
      <c r="M8" s="107" t="e">
        <f>SUM(M4:M7)</f>
        <v>#REF!</v>
      </c>
      <c r="N8" s="164" t="s">
        <v>42</v>
      </c>
      <c r="O8" s="165">
        <v>67192.489999999991</v>
      </c>
      <c r="P8" s="120">
        <f t="shared" si="0"/>
        <v>16798.122499999998</v>
      </c>
    </row>
    <row r="9" spans="1:16" ht="19.5" customHeight="1" x14ac:dyDescent="0.35">
      <c r="A9" s="121"/>
      <c r="B9" s="28"/>
      <c r="C9" s="127"/>
      <c r="M9" s="107">
        <f>+' EXPENSES'!D4</f>
        <v>1168189.9099999999</v>
      </c>
      <c r="N9" s="166" t="s">
        <v>43</v>
      </c>
      <c r="O9" s="165">
        <v>9151</v>
      </c>
      <c r="P9" s="120">
        <f t="shared" si="0"/>
        <v>2287.75</v>
      </c>
    </row>
    <row r="10" spans="1:16" ht="19.5" customHeight="1" x14ac:dyDescent="0.35">
      <c r="A10" s="121"/>
      <c r="B10" s="28"/>
      <c r="C10" s="127"/>
      <c r="M10" s="107" t="e">
        <f>+M8-M9</f>
        <v>#REF!</v>
      </c>
      <c r="N10" s="164" t="s">
        <v>44</v>
      </c>
      <c r="O10" s="165">
        <v>8710</v>
      </c>
      <c r="P10" s="120">
        <f t="shared" si="0"/>
        <v>2177.5</v>
      </c>
    </row>
    <row r="11" spans="1:16" ht="19.5" customHeight="1" x14ac:dyDescent="0.35">
      <c r="A11" s="121"/>
      <c r="B11" s="28"/>
      <c r="C11" s="127"/>
      <c r="N11" s="164" t="s">
        <v>45</v>
      </c>
      <c r="O11" s="165">
        <v>0</v>
      </c>
      <c r="P11" s="120">
        <f t="shared" si="0"/>
        <v>0</v>
      </c>
    </row>
    <row r="12" spans="1:16" ht="19.5" customHeight="1" x14ac:dyDescent="0.35">
      <c r="A12" s="121"/>
      <c r="B12" s="28"/>
      <c r="C12" s="127"/>
      <c r="N12" s="164" t="s">
        <v>68</v>
      </c>
      <c r="O12" s="165">
        <v>0</v>
      </c>
      <c r="P12" s="120">
        <f t="shared" si="0"/>
        <v>0</v>
      </c>
    </row>
    <row r="13" spans="1:16" ht="19.5" customHeight="1" x14ac:dyDescent="0.35">
      <c r="A13" s="121"/>
      <c r="B13" s="28"/>
      <c r="C13" s="127"/>
      <c r="N13" s="164" t="s">
        <v>46</v>
      </c>
      <c r="O13" s="165">
        <v>0</v>
      </c>
      <c r="P13" s="120">
        <f t="shared" si="0"/>
        <v>0</v>
      </c>
    </row>
    <row r="14" spans="1:16" ht="19.5" customHeight="1" x14ac:dyDescent="0.35">
      <c r="A14" s="121"/>
      <c r="B14" s="28"/>
      <c r="C14" s="127"/>
      <c r="N14" s="164" t="s">
        <v>145</v>
      </c>
      <c r="O14" s="165">
        <v>159959.18</v>
      </c>
      <c r="P14" s="120">
        <f t="shared" si="0"/>
        <v>39989.794999999998</v>
      </c>
    </row>
    <row r="15" spans="1:16" ht="19.5" customHeight="1" x14ac:dyDescent="0.35">
      <c r="A15" s="121"/>
      <c r="B15" s="28"/>
      <c r="C15" s="127"/>
      <c r="N15" s="164" t="s">
        <v>146</v>
      </c>
      <c r="O15" s="165">
        <v>37500</v>
      </c>
      <c r="P15" s="120">
        <f t="shared" si="0"/>
        <v>9375</v>
      </c>
    </row>
    <row r="16" spans="1:16" ht="19.5" customHeight="1" x14ac:dyDescent="0.35">
      <c r="A16" s="121"/>
      <c r="B16" s="28"/>
      <c r="C16" s="127"/>
      <c r="N16" s="164" t="s">
        <v>147</v>
      </c>
      <c r="O16" s="165">
        <v>30417.98</v>
      </c>
      <c r="P16" s="120">
        <f t="shared" si="0"/>
        <v>7604.4949999999999</v>
      </c>
    </row>
    <row r="17" spans="1:16" ht="19.5" customHeight="1" x14ac:dyDescent="0.35">
      <c r="A17" s="121"/>
      <c r="B17" s="28"/>
      <c r="C17" s="127"/>
      <c r="N17" s="164" t="s">
        <v>48</v>
      </c>
      <c r="O17" s="165">
        <v>17769.39</v>
      </c>
      <c r="P17" s="120">
        <f t="shared" si="0"/>
        <v>4442.3474999999999</v>
      </c>
    </row>
    <row r="18" spans="1:16" ht="19.5" customHeight="1" x14ac:dyDescent="0.35">
      <c r="A18" s="121"/>
      <c r="B18" s="28"/>
      <c r="C18" s="127"/>
      <c r="N18" s="164" t="s">
        <v>49</v>
      </c>
      <c r="O18" s="165">
        <v>20515</v>
      </c>
      <c r="P18" s="120">
        <f t="shared" si="0"/>
        <v>5128.75</v>
      </c>
    </row>
    <row r="19" spans="1:16" ht="19.5" customHeight="1" x14ac:dyDescent="0.35">
      <c r="A19" s="121"/>
      <c r="B19" s="28"/>
      <c r="C19" s="127"/>
      <c r="N19" s="148" t="s">
        <v>50</v>
      </c>
      <c r="O19" s="165">
        <v>69150</v>
      </c>
      <c r="P19" s="120">
        <f t="shared" si="0"/>
        <v>17287.5</v>
      </c>
    </row>
    <row r="20" spans="1:16" ht="19.5" customHeight="1" x14ac:dyDescent="0.35">
      <c r="A20" s="121"/>
      <c r="B20" s="28"/>
      <c r="C20" s="127"/>
      <c r="N20" s="164" t="s">
        <v>72</v>
      </c>
      <c r="O20" s="165">
        <v>0</v>
      </c>
      <c r="P20" s="120">
        <f t="shared" si="0"/>
        <v>0</v>
      </c>
    </row>
    <row r="21" spans="1:16" ht="19.5" customHeight="1" x14ac:dyDescent="0.35">
      <c r="A21" s="121"/>
      <c r="B21" s="28"/>
      <c r="C21" s="127"/>
      <c r="N21" s="164"/>
      <c r="O21" s="165"/>
      <c r="P21" s="120"/>
    </row>
    <row r="22" spans="1:16" ht="19.5" customHeight="1" x14ac:dyDescent="0.35">
      <c r="A22" s="121"/>
      <c r="B22" s="28"/>
      <c r="C22" s="127"/>
      <c r="N22" s="164"/>
      <c r="O22" s="165"/>
      <c r="P22" s="120"/>
    </row>
    <row r="23" spans="1:16" ht="19.5" customHeight="1" x14ac:dyDescent="0.35">
      <c r="A23" s="121"/>
      <c r="B23" s="28"/>
      <c r="C23" s="127"/>
      <c r="N23" s="164"/>
      <c r="O23" s="165"/>
      <c r="P23" s="120"/>
    </row>
    <row r="24" spans="1:16" ht="19.5" customHeight="1" x14ac:dyDescent="0.35">
      <c r="A24" s="121"/>
      <c r="B24" s="28"/>
      <c r="C24" s="127"/>
      <c r="N24" s="164" t="s">
        <v>51</v>
      </c>
      <c r="O24" s="165">
        <v>36265.715199999999</v>
      </c>
      <c r="P24" s="120">
        <f>+O24</f>
        <v>36265.715199999999</v>
      </c>
    </row>
    <row r="25" spans="1:16" ht="19.5" customHeight="1" x14ac:dyDescent="0.35">
      <c r="A25" s="121"/>
      <c r="B25" s="28"/>
      <c r="C25" s="127"/>
      <c r="N25" s="164" t="s">
        <v>52</v>
      </c>
      <c r="O25" s="120">
        <v>80497.820000000007</v>
      </c>
      <c r="P25" s="120">
        <f>+O25</f>
        <v>80497.820000000007</v>
      </c>
    </row>
    <row r="26" spans="1:16" ht="19.5" customHeight="1" x14ac:dyDescent="0.35">
      <c r="A26" s="121"/>
      <c r="B26" s="28"/>
      <c r="C26" s="127"/>
      <c r="N26" s="164" t="s">
        <v>53</v>
      </c>
      <c r="O26" s="120">
        <v>57908.43</v>
      </c>
      <c r="P26" s="120">
        <f>+O26</f>
        <v>57908.43</v>
      </c>
    </row>
    <row r="27" spans="1:16" ht="19.5" customHeight="1" x14ac:dyDescent="0.35">
      <c r="A27" s="121"/>
      <c r="B27" s="28"/>
      <c r="C27" s="127"/>
      <c r="N27" s="164" t="s">
        <v>54</v>
      </c>
      <c r="O27" s="120">
        <v>153972.74</v>
      </c>
      <c r="P27" s="120">
        <f>+O27</f>
        <v>153972.74</v>
      </c>
    </row>
    <row r="28" spans="1:16" ht="19.5" customHeight="1" x14ac:dyDescent="0.35">
      <c r="A28" s="121"/>
      <c r="B28" s="28"/>
      <c r="C28" s="127"/>
      <c r="O28" s="107"/>
    </row>
    <row r="29" spans="1:16" ht="19.5" customHeight="1" x14ac:dyDescent="0.35">
      <c r="A29" s="121"/>
      <c r="B29" s="28"/>
      <c r="C29" s="127"/>
      <c r="N29" s="24" t="s">
        <v>34</v>
      </c>
      <c r="P29" s="107">
        <f>SUM(P4:P19)</f>
        <v>209886.3</v>
      </c>
    </row>
    <row r="30" spans="1:16" ht="19.5" customHeight="1" x14ac:dyDescent="0.35">
      <c r="A30" s="121"/>
      <c r="B30" s="28"/>
      <c r="C30" s="127"/>
      <c r="N30" s="24" t="s">
        <v>149</v>
      </c>
      <c r="O30" s="107" t="e">
        <f>+' EXPENSES'!#REF!</f>
        <v>#REF!</v>
      </c>
      <c r="P30" s="107">
        <f>SUM(P24:P27)</f>
        <v>328644.70519999997</v>
      </c>
    </row>
    <row r="31" spans="1:16" ht="19.5" customHeight="1" x14ac:dyDescent="0.35">
      <c r="A31" s="121"/>
      <c r="B31" s="28"/>
      <c r="C31" s="127"/>
      <c r="O31" s="107" t="e">
        <f>+O28-O30</f>
        <v>#REF!</v>
      </c>
    </row>
    <row r="32" spans="1:16" ht="19.5" customHeight="1" x14ac:dyDescent="0.35">
      <c r="A32" s="121"/>
      <c r="B32" s="28"/>
      <c r="C32" s="127"/>
    </row>
    <row r="33" spans="1:3" ht="19.5" customHeight="1" x14ac:dyDescent="0.35">
      <c r="A33" s="121"/>
      <c r="B33" s="28"/>
      <c r="C33" s="127"/>
    </row>
    <row r="34" spans="1:3" ht="19.5" customHeight="1" x14ac:dyDescent="0.35">
      <c r="A34" s="121"/>
      <c r="B34" s="28"/>
      <c r="C34" s="127"/>
    </row>
    <row r="35" spans="1:3" ht="19.5" customHeight="1" x14ac:dyDescent="0.35">
      <c r="A35" s="121"/>
      <c r="B35" s="28"/>
      <c r="C35" s="127"/>
    </row>
    <row r="36" spans="1:3" ht="19.5" customHeight="1" x14ac:dyDescent="0.35">
      <c r="A36" s="121"/>
      <c r="B36" s="28"/>
      <c r="C36" s="127"/>
    </row>
    <row r="37" spans="1:3" ht="19.5" customHeight="1" x14ac:dyDescent="0.35">
      <c r="A37" s="121"/>
      <c r="B37" s="28"/>
      <c r="C37" s="127"/>
    </row>
    <row r="38" spans="1:3" ht="19.5" customHeight="1" x14ac:dyDescent="0.35">
      <c r="A38" s="121"/>
      <c r="B38" s="28"/>
      <c r="C38" s="127"/>
    </row>
    <row r="39" spans="1:3" ht="19.5" customHeight="1" x14ac:dyDescent="0.35">
      <c r="A39" s="121"/>
      <c r="B39" s="28"/>
      <c r="C39" s="127"/>
    </row>
    <row r="40" spans="1:3" ht="19.5" customHeight="1" x14ac:dyDescent="0.35">
      <c r="A40" s="121"/>
      <c r="B40" s="28"/>
      <c r="C40" s="127"/>
    </row>
    <row r="41" spans="1:3" ht="19.5" customHeight="1" x14ac:dyDescent="0.35">
      <c r="A41" s="121"/>
      <c r="B41" s="28"/>
      <c r="C41" s="127"/>
    </row>
    <row r="42" spans="1:3" ht="19.5" customHeight="1" x14ac:dyDescent="0.35">
      <c r="A42" s="121"/>
      <c r="B42" s="28"/>
      <c r="C42" s="127"/>
    </row>
    <row r="43" spans="1:3" ht="19.5" customHeight="1" x14ac:dyDescent="0.35">
      <c r="A43" s="121"/>
      <c r="B43" s="28"/>
      <c r="C43" s="127"/>
    </row>
    <row r="44" spans="1:3" ht="15.75" customHeight="1" x14ac:dyDescent="0.35">
      <c r="A44" s="121"/>
      <c r="B44" s="28"/>
      <c r="C44" s="127"/>
    </row>
    <row r="45" spans="1:3" ht="15.75" customHeight="1" x14ac:dyDescent="0.35">
      <c r="A45" s="121"/>
      <c r="B45" s="28"/>
      <c r="C45" s="127"/>
    </row>
    <row r="46" spans="1:3" ht="15.75" customHeight="1" x14ac:dyDescent="0.35">
      <c r="A46" s="121"/>
      <c r="B46" s="28"/>
      <c r="C46" s="127"/>
    </row>
    <row r="47" spans="1:3" ht="15.75" customHeight="1" x14ac:dyDescent="0.35">
      <c r="A47" s="121"/>
      <c r="B47" s="28"/>
      <c r="C47" s="127"/>
    </row>
    <row r="48" spans="1:3" ht="15.75" customHeight="1" x14ac:dyDescent="0.35">
      <c r="A48" s="121"/>
      <c r="B48" s="28"/>
      <c r="C48" s="127"/>
    </row>
    <row r="49" spans="1:3" ht="15.75" customHeight="1" x14ac:dyDescent="0.35">
      <c r="A49" s="121"/>
      <c r="B49" s="28"/>
      <c r="C49" s="127"/>
    </row>
    <row r="50" spans="1:3" ht="15.75" customHeight="1" x14ac:dyDescent="0.35">
      <c r="A50" s="121"/>
      <c r="B50" s="28"/>
      <c r="C50" s="127"/>
    </row>
    <row r="51" spans="1:3" ht="15.75" customHeight="1" x14ac:dyDescent="0.35">
      <c r="A51" s="121"/>
      <c r="B51" s="28"/>
      <c r="C51" s="127"/>
    </row>
    <row r="52" spans="1:3" ht="15.75" customHeight="1" x14ac:dyDescent="0.35">
      <c r="A52" s="121"/>
      <c r="B52" s="28"/>
      <c r="C52" s="127"/>
    </row>
    <row r="53" spans="1:3" ht="15.75" customHeight="1" x14ac:dyDescent="0.35">
      <c r="A53" s="121"/>
      <c r="B53" s="28"/>
      <c r="C53" s="127"/>
    </row>
    <row r="54" spans="1:3" ht="15.75" customHeight="1" x14ac:dyDescent="0.35">
      <c r="A54" s="121"/>
      <c r="B54" s="28"/>
      <c r="C54" s="127"/>
    </row>
    <row r="55" spans="1:3" ht="15.75" customHeight="1" x14ac:dyDescent="0.35">
      <c r="A55" s="121"/>
      <c r="B55" s="28"/>
      <c r="C55" s="127"/>
    </row>
    <row r="56" spans="1:3" ht="15.75" customHeight="1" x14ac:dyDescent="0.35">
      <c r="A56" s="121"/>
      <c r="B56" s="28"/>
      <c r="C56" s="127"/>
    </row>
    <row r="57" spans="1:3" ht="15.75" customHeight="1" x14ac:dyDescent="0.35">
      <c r="A57" s="121"/>
      <c r="B57" s="28"/>
      <c r="C57" s="127"/>
    </row>
    <row r="58" spans="1:3" ht="15.75" customHeight="1" x14ac:dyDescent="0.35">
      <c r="A58" s="121"/>
      <c r="B58" s="28"/>
      <c r="C58" s="127"/>
    </row>
    <row r="59" spans="1:3" ht="15.75" customHeight="1" x14ac:dyDescent="0.35">
      <c r="A59" s="121"/>
      <c r="B59" s="28"/>
      <c r="C59" s="127"/>
    </row>
    <row r="60" spans="1:3" ht="15.75" customHeight="1" x14ac:dyDescent="0.35">
      <c r="A60" s="121"/>
      <c r="B60" s="28"/>
      <c r="C60" s="127"/>
    </row>
    <row r="61" spans="1:3" ht="15.75" customHeight="1" x14ac:dyDescent="0.35">
      <c r="A61" s="121"/>
      <c r="B61" s="28"/>
      <c r="C61" s="127"/>
    </row>
    <row r="62" spans="1:3" ht="15.75" customHeight="1" x14ac:dyDescent="0.35">
      <c r="A62" s="121"/>
      <c r="B62" s="28"/>
      <c r="C62" s="127"/>
    </row>
    <row r="63" spans="1:3" ht="15.75" customHeight="1" x14ac:dyDescent="0.35">
      <c r="A63" s="121"/>
      <c r="B63" s="28"/>
      <c r="C63" s="127"/>
    </row>
    <row r="64" spans="1:3" ht="15.75" customHeight="1" x14ac:dyDescent="0.35">
      <c r="A64" s="121"/>
      <c r="B64" s="28"/>
      <c r="C64" s="127"/>
    </row>
    <row r="65" spans="1:3" ht="15.75" customHeight="1" x14ac:dyDescent="0.35">
      <c r="A65" s="121"/>
      <c r="B65" s="28"/>
      <c r="C65" s="127"/>
    </row>
    <row r="66" spans="1:3" ht="15.75" customHeight="1" x14ac:dyDescent="0.35">
      <c r="A66" s="121"/>
      <c r="B66" s="28"/>
      <c r="C66" s="127"/>
    </row>
    <row r="67" spans="1:3" ht="15.75" customHeight="1" x14ac:dyDescent="0.35">
      <c r="A67" s="121"/>
      <c r="B67" s="28"/>
      <c r="C67" s="127"/>
    </row>
    <row r="68" spans="1:3" ht="15.75" customHeight="1" x14ac:dyDescent="0.35">
      <c r="A68" s="121"/>
      <c r="B68" s="28"/>
      <c r="C68" s="127"/>
    </row>
    <row r="69" spans="1:3" ht="15.75" customHeight="1" x14ac:dyDescent="0.35">
      <c r="A69" s="121"/>
      <c r="B69" s="28"/>
      <c r="C69" s="127"/>
    </row>
    <row r="70" spans="1:3" ht="15.75" customHeight="1" x14ac:dyDescent="0.35">
      <c r="A70" s="121"/>
      <c r="B70" s="28"/>
      <c r="C70" s="127"/>
    </row>
    <row r="71" spans="1:3" ht="15.75" customHeight="1" x14ac:dyDescent="0.35">
      <c r="A71" s="121"/>
      <c r="B71" s="28"/>
      <c r="C71" s="127"/>
    </row>
    <row r="72" spans="1:3" ht="15.75" customHeight="1" x14ac:dyDescent="0.35">
      <c r="A72" s="121"/>
      <c r="B72" s="28"/>
      <c r="C72" s="127"/>
    </row>
    <row r="73" spans="1:3" ht="15.75" customHeight="1" x14ac:dyDescent="0.35">
      <c r="A73" s="121"/>
      <c r="B73" s="28"/>
      <c r="C73" s="127"/>
    </row>
    <row r="74" spans="1:3" ht="15.75" customHeight="1" x14ac:dyDescent="0.35">
      <c r="A74" s="121"/>
      <c r="B74" s="28"/>
      <c r="C74" s="127"/>
    </row>
    <row r="75" spans="1:3" ht="15.75" customHeight="1" x14ac:dyDescent="0.35">
      <c r="A75" s="121"/>
      <c r="B75" s="28"/>
      <c r="C75" s="127"/>
    </row>
    <row r="76" spans="1:3" ht="15.75" customHeight="1" x14ac:dyDescent="0.35">
      <c r="A76" s="121"/>
      <c r="B76" s="28"/>
      <c r="C76" s="127"/>
    </row>
    <row r="77" spans="1:3" ht="15.75" customHeight="1" x14ac:dyDescent="0.35">
      <c r="A77" s="121"/>
      <c r="B77" s="28"/>
      <c r="C77" s="127"/>
    </row>
    <row r="78" spans="1:3" ht="15.75" customHeight="1" x14ac:dyDescent="0.35">
      <c r="A78" s="121"/>
      <c r="B78" s="28"/>
      <c r="C78" s="127"/>
    </row>
    <row r="79" spans="1:3" ht="15.75" customHeight="1" x14ac:dyDescent="0.35">
      <c r="A79" s="121"/>
      <c r="B79" s="28"/>
      <c r="C79" s="127"/>
    </row>
    <row r="80" spans="1:3" ht="15.75" customHeight="1" x14ac:dyDescent="0.35">
      <c r="A80" s="121"/>
      <c r="B80" s="28"/>
      <c r="C80" s="127"/>
    </row>
    <row r="81" spans="1:3" ht="15.75" customHeight="1" x14ac:dyDescent="0.35">
      <c r="A81" s="121"/>
      <c r="B81" s="28"/>
      <c r="C81" s="127"/>
    </row>
    <row r="82" spans="1:3" ht="15.75" customHeight="1" x14ac:dyDescent="0.35">
      <c r="A82" s="121"/>
      <c r="B82" s="28"/>
      <c r="C82" s="127"/>
    </row>
    <row r="83" spans="1:3" ht="15.75" customHeight="1" x14ac:dyDescent="0.35">
      <c r="A83" s="121"/>
      <c r="B83" s="28"/>
      <c r="C83" s="127"/>
    </row>
    <row r="84" spans="1:3" ht="15.75" customHeight="1" x14ac:dyDescent="0.35">
      <c r="A84" s="121"/>
      <c r="B84" s="28"/>
      <c r="C84" s="127"/>
    </row>
    <row r="85" spans="1:3" ht="15.75" customHeight="1" x14ac:dyDescent="0.35">
      <c r="A85" s="121"/>
      <c r="B85" s="28"/>
      <c r="C85" s="127"/>
    </row>
    <row r="86" spans="1:3" ht="15.75" customHeight="1" x14ac:dyDescent="0.35">
      <c r="A86" s="121"/>
      <c r="B86" s="28"/>
      <c r="C86" s="127"/>
    </row>
    <row r="87" spans="1:3" ht="15.75" customHeight="1" x14ac:dyDescent="0.35">
      <c r="A87" s="121"/>
      <c r="B87" s="28"/>
      <c r="C87" s="127"/>
    </row>
    <row r="88" spans="1:3" ht="15.75" customHeight="1" x14ac:dyDescent="0.35">
      <c r="A88" s="121"/>
      <c r="B88" s="28"/>
      <c r="C88" s="127"/>
    </row>
    <row r="89" spans="1:3" ht="15.75" customHeight="1" x14ac:dyDescent="0.35">
      <c r="A89" s="121"/>
      <c r="B89" s="28"/>
      <c r="C89" s="127"/>
    </row>
    <row r="90" spans="1:3" ht="15.75" customHeight="1" x14ac:dyDescent="0.35">
      <c r="A90" s="121"/>
      <c r="B90" s="28"/>
      <c r="C90" s="127"/>
    </row>
    <row r="91" spans="1:3" ht="15.75" customHeight="1" x14ac:dyDescent="0.35">
      <c r="A91" s="121"/>
      <c r="B91" s="28"/>
      <c r="C91" s="127"/>
    </row>
    <row r="92" spans="1:3" ht="15.75" customHeight="1" x14ac:dyDescent="0.35">
      <c r="A92" s="121"/>
      <c r="B92" s="28"/>
      <c r="C92" s="127"/>
    </row>
    <row r="93" spans="1:3" ht="15.75" customHeight="1" x14ac:dyDescent="0.35">
      <c r="A93" s="121"/>
      <c r="B93" s="28"/>
      <c r="C93" s="127"/>
    </row>
    <row r="94" spans="1:3" ht="15.75" customHeight="1" x14ac:dyDescent="0.35">
      <c r="A94" s="121"/>
      <c r="B94" s="28"/>
      <c r="C94" s="127"/>
    </row>
    <row r="95" spans="1:3" ht="15.75" customHeight="1" x14ac:dyDescent="0.35">
      <c r="A95" s="121"/>
      <c r="B95" s="28"/>
      <c r="C95" s="127"/>
    </row>
    <row r="96" spans="1:3" ht="15.75" customHeight="1" x14ac:dyDescent="0.35">
      <c r="A96" s="121"/>
      <c r="B96" s="28"/>
      <c r="C96" s="127"/>
    </row>
    <row r="97" spans="1:3" ht="15.75" customHeight="1" x14ac:dyDescent="0.35">
      <c r="A97" s="121"/>
      <c r="B97" s="28"/>
      <c r="C97" s="127"/>
    </row>
    <row r="98" spans="1:3" ht="15.75" customHeight="1" x14ac:dyDescent="0.35">
      <c r="A98" s="121"/>
      <c r="B98" s="28"/>
      <c r="C98" s="127"/>
    </row>
    <row r="99" spans="1:3" ht="15.75" customHeight="1" x14ac:dyDescent="0.35">
      <c r="A99" s="121"/>
      <c r="B99" s="28"/>
      <c r="C99" s="127"/>
    </row>
    <row r="100" spans="1:3" ht="15.75" customHeight="1" x14ac:dyDescent="0.35">
      <c r="A100" s="121"/>
      <c r="B100" s="28"/>
      <c r="C100" s="127"/>
    </row>
    <row r="101" spans="1:3" ht="15.75" customHeight="1" x14ac:dyDescent="0.35">
      <c r="A101" s="121"/>
      <c r="B101" s="28"/>
      <c r="C101" s="127"/>
    </row>
    <row r="102" spans="1:3" ht="15.75" customHeight="1" x14ac:dyDescent="0.35">
      <c r="A102" s="121"/>
      <c r="B102" s="28"/>
      <c r="C102" s="127"/>
    </row>
    <row r="103" spans="1:3" ht="15.75" customHeight="1" x14ac:dyDescent="0.35">
      <c r="A103" s="121"/>
      <c r="B103" s="28"/>
      <c r="C103" s="127"/>
    </row>
    <row r="104" spans="1:3" ht="15.75" customHeight="1" x14ac:dyDescent="0.35">
      <c r="A104" s="121"/>
      <c r="B104" s="28"/>
      <c r="C104" s="127"/>
    </row>
    <row r="105" spans="1:3" ht="15.75" customHeight="1" x14ac:dyDescent="0.35">
      <c r="A105" s="121"/>
      <c r="B105" s="28"/>
      <c r="C105" s="127"/>
    </row>
    <row r="106" spans="1:3" ht="15.75" customHeight="1" x14ac:dyDescent="0.35">
      <c r="A106" s="121"/>
      <c r="B106" s="28"/>
      <c r="C106" s="127"/>
    </row>
    <row r="107" spans="1:3" ht="15.75" customHeight="1" x14ac:dyDescent="0.35">
      <c r="A107" s="121"/>
      <c r="B107" s="28"/>
      <c r="C107" s="127"/>
    </row>
    <row r="108" spans="1:3" ht="15.75" customHeight="1" x14ac:dyDescent="0.35">
      <c r="A108" s="121"/>
      <c r="B108" s="28"/>
      <c r="C108" s="127"/>
    </row>
    <row r="109" spans="1:3" ht="15.75" customHeight="1" x14ac:dyDescent="0.35">
      <c r="A109" s="121"/>
      <c r="B109" s="28"/>
      <c r="C109" s="127"/>
    </row>
    <row r="110" spans="1:3" ht="15.75" customHeight="1" x14ac:dyDescent="0.35">
      <c r="A110" s="121"/>
      <c r="B110" s="28"/>
      <c r="C110" s="127"/>
    </row>
    <row r="111" spans="1:3" ht="15.75" customHeight="1" x14ac:dyDescent="0.35">
      <c r="A111" s="121"/>
      <c r="B111" s="28"/>
      <c r="C111" s="127"/>
    </row>
    <row r="112" spans="1:3" ht="15.75" customHeight="1" x14ac:dyDescent="0.35">
      <c r="A112" s="121"/>
      <c r="B112" s="28"/>
      <c r="C112" s="127"/>
    </row>
    <row r="113" spans="1:3" ht="15.75" customHeight="1" x14ac:dyDescent="0.35">
      <c r="A113" s="121"/>
      <c r="B113" s="28"/>
      <c r="C113" s="127"/>
    </row>
    <row r="114" spans="1:3" ht="15.75" customHeight="1" x14ac:dyDescent="0.35">
      <c r="A114" s="121"/>
      <c r="B114" s="28"/>
      <c r="C114" s="127"/>
    </row>
    <row r="115" spans="1:3" ht="15.75" customHeight="1" x14ac:dyDescent="0.35">
      <c r="A115" s="121"/>
      <c r="B115" s="28"/>
      <c r="C115" s="127"/>
    </row>
    <row r="116" spans="1:3" ht="15.75" customHeight="1" x14ac:dyDescent="0.35">
      <c r="A116" s="121"/>
      <c r="B116" s="28"/>
      <c r="C116" s="127"/>
    </row>
    <row r="117" spans="1:3" ht="15.75" customHeight="1" x14ac:dyDescent="0.35">
      <c r="A117" s="121"/>
      <c r="B117" s="28"/>
      <c r="C117" s="127"/>
    </row>
    <row r="118" spans="1:3" ht="15.75" customHeight="1" x14ac:dyDescent="0.35">
      <c r="A118" s="121"/>
      <c r="B118" s="28"/>
      <c r="C118" s="127"/>
    </row>
    <row r="119" spans="1:3" ht="15.75" customHeight="1" x14ac:dyDescent="0.35">
      <c r="A119" s="121"/>
      <c r="B119" s="28"/>
      <c r="C119" s="127"/>
    </row>
    <row r="120" spans="1:3" ht="15.75" customHeight="1" x14ac:dyDescent="0.35">
      <c r="A120" s="121"/>
      <c r="B120" s="28"/>
      <c r="C120" s="127"/>
    </row>
    <row r="121" spans="1:3" ht="15.75" customHeight="1" x14ac:dyDescent="0.35">
      <c r="A121" s="121"/>
      <c r="B121" s="28"/>
      <c r="C121" s="127"/>
    </row>
    <row r="122" spans="1:3" ht="15.75" customHeight="1" x14ac:dyDescent="0.35">
      <c r="A122" s="121"/>
      <c r="B122" s="28"/>
      <c r="C122" s="127"/>
    </row>
    <row r="123" spans="1:3" ht="15.75" customHeight="1" x14ac:dyDescent="0.35">
      <c r="A123" s="121"/>
      <c r="B123" s="28"/>
      <c r="C123" s="127"/>
    </row>
    <row r="124" spans="1:3" ht="15.75" customHeight="1" x14ac:dyDescent="0.35">
      <c r="A124" s="121"/>
      <c r="B124" s="28"/>
      <c r="C124" s="127"/>
    </row>
    <row r="125" spans="1:3" ht="15.75" customHeight="1" x14ac:dyDescent="0.35">
      <c r="A125" s="121"/>
      <c r="B125" s="28"/>
      <c r="C125" s="127"/>
    </row>
    <row r="126" spans="1:3" ht="15.75" customHeight="1" x14ac:dyDescent="0.35">
      <c r="A126" s="121"/>
      <c r="B126" s="28"/>
      <c r="C126" s="127"/>
    </row>
    <row r="127" spans="1:3" ht="15.75" customHeight="1" x14ac:dyDescent="0.35">
      <c r="A127" s="121"/>
      <c r="B127" s="28"/>
      <c r="C127" s="127"/>
    </row>
    <row r="128" spans="1:3" ht="15.75" customHeight="1" x14ac:dyDescent="0.35">
      <c r="A128" s="121"/>
      <c r="B128" s="28"/>
      <c r="C128" s="127"/>
    </row>
    <row r="129" spans="1:3" ht="15.75" customHeight="1" x14ac:dyDescent="0.35">
      <c r="A129" s="121"/>
      <c r="B129" s="28"/>
      <c r="C129" s="127"/>
    </row>
    <row r="130" spans="1:3" ht="15.75" customHeight="1" x14ac:dyDescent="0.35">
      <c r="A130" s="121"/>
      <c r="B130" s="28"/>
      <c r="C130" s="127"/>
    </row>
    <row r="131" spans="1:3" ht="15.75" customHeight="1" x14ac:dyDescent="0.35">
      <c r="A131" s="121"/>
      <c r="B131" s="28"/>
      <c r="C131" s="127"/>
    </row>
    <row r="132" spans="1:3" ht="15.75" customHeight="1" x14ac:dyDescent="0.35">
      <c r="A132" s="121"/>
      <c r="B132" s="28"/>
      <c r="C132" s="127"/>
    </row>
    <row r="133" spans="1:3" ht="15.75" customHeight="1" x14ac:dyDescent="0.35">
      <c r="A133" s="121"/>
      <c r="B133" s="28"/>
      <c r="C133" s="127"/>
    </row>
    <row r="134" spans="1:3" ht="15.75" customHeight="1" x14ac:dyDescent="0.35">
      <c r="A134" s="121"/>
      <c r="B134" s="28"/>
      <c r="C134" s="127"/>
    </row>
    <row r="135" spans="1:3" ht="15.75" customHeight="1" x14ac:dyDescent="0.35">
      <c r="A135" s="121"/>
      <c r="B135" s="28"/>
      <c r="C135" s="127"/>
    </row>
    <row r="136" spans="1:3" ht="15.75" customHeight="1" x14ac:dyDescent="0.35">
      <c r="A136" s="121"/>
      <c r="B136" s="28"/>
      <c r="C136" s="127"/>
    </row>
    <row r="137" spans="1:3" ht="15.75" customHeight="1" x14ac:dyDescent="0.35">
      <c r="A137" s="121"/>
      <c r="B137" s="28"/>
      <c r="C137" s="127"/>
    </row>
    <row r="138" spans="1:3" ht="15.75" customHeight="1" x14ac:dyDescent="0.35">
      <c r="A138" s="121"/>
      <c r="B138" s="28"/>
      <c r="C138" s="127"/>
    </row>
    <row r="139" spans="1:3" ht="15.75" customHeight="1" x14ac:dyDescent="0.35">
      <c r="A139" s="121"/>
      <c r="B139" s="28"/>
      <c r="C139" s="127"/>
    </row>
    <row r="140" spans="1:3" ht="15.75" customHeight="1" x14ac:dyDescent="0.35">
      <c r="A140" s="121"/>
      <c r="B140" s="28"/>
      <c r="C140" s="127"/>
    </row>
    <row r="141" spans="1:3" ht="15.75" customHeight="1" x14ac:dyDescent="0.35">
      <c r="A141" s="121"/>
      <c r="B141" s="28"/>
      <c r="C141" s="127"/>
    </row>
    <row r="142" spans="1:3" ht="15.75" customHeight="1" x14ac:dyDescent="0.35">
      <c r="A142" s="121"/>
      <c r="B142" s="28"/>
      <c r="C142" s="127"/>
    </row>
    <row r="143" spans="1:3" ht="15.75" customHeight="1" x14ac:dyDescent="0.35">
      <c r="A143" s="121"/>
      <c r="B143" s="28"/>
      <c r="C143" s="127"/>
    </row>
    <row r="144" spans="1:3" ht="15.75" customHeight="1" x14ac:dyDescent="0.35">
      <c r="A144" s="121"/>
      <c r="B144" s="28"/>
      <c r="C144" s="127"/>
    </row>
    <row r="145" spans="1:3" ht="15.75" customHeight="1" x14ac:dyDescent="0.35">
      <c r="A145" s="121"/>
      <c r="B145" s="28"/>
      <c r="C145" s="127"/>
    </row>
    <row r="146" spans="1:3" ht="15.75" customHeight="1" x14ac:dyDescent="0.35">
      <c r="A146" s="121"/>
      <c r="B146" s="28"/>
      <c r="C146" s="127"/>
    </row>
    <row r="147" spans="1:3" ht="15.75" customHeight="1" x14ac:dyDescent="0.35">
      <c r="A147" s="121"/>
      <c r="B147" s="28"/>
      <c r="C147" s="127"/>
    </row>
    <row r="148" spans="1:3" ht="15.75" customHeight="1" x14ac:dyDescent="0.35">
      <c r="A148" s="121"/>
      <c r="B148" s="28"/>
      <c r="C148" s="127"/>
    </row>
    <row r="149" spans="1:3" ht="15.75" customHeight="1" x14ac:dyDescent="0.35">
      <c r="A149" s="121"/>
      <c r="B149" s="28"/>
      <c r="C149" s="127"/>
    </row>
    <row r="150" spans="1:3" ht="15.75" customHeight="1" x14ac:dyDescent="0.35">
      <c r="A150" s="121"/>
      <c r="B150" s="28"/>
      <c r="C150" s="127"/>
    </row>
    <row r="151" spans="1:3" ht="15.75" customHeight="1" x14ac:dyDescent="0.35">
      <c r="A151" s="121"/>
      <c r="B151" s="28"/>
      <c r="C151" s="127"/>
    </row>
    <row r="152" spans="1:3" ht="15.75" customHeight="1" x14ac:dyDescent="0.35">
      <c r="A152" s="121"/>
      <c r="B152" s="28"/>
      <c r="C152" s="127"/>
    </row>
    <row r="153" spans="1:3" ht="15.75" customHeight="1" x14ac:dyDescent="0.35">
      <c r="A153" s="121"/>
      <c r="B153" s="28"/>
      <c r="C153" s="127"/>
    </row>
    <row r="154" spans="1:3" ht="15.75" customHeight="1" x14ac:dyDescent="0.35">
      <c r="A154" s="121"/>
      <c r="B154" s="28"/>
      <c r="C154" s="127"/>
    </row>
    <row r="155" spans="1:3" ht="15.75" customHeight="1" x14ac:dyDescent="0.35">
      <c r="A155" s="121"/>
      <c r="B155" s="28"/>
      <c r="C155" s="127"/>
    </row>
    <row r="156" spans="1:3" ht="15.75" customHeight="1" x14ac:dyDescent="0.35">
      <c r="A156" s="121"/>
      <c r="B156" s="28"/>
      <c r="C156" s="127"/>
    </row>
    <row r="157" spans="1:3" ht="15.75" customHeight="1" x14ac:dyDescent="0.35">
      <c r="A157" s="121"/>
      <c r="B157" s="28"/>
      <c r="C157" s="127"/>
    </row>
    <row r="158" spans="1:3" ht="15.75" customHeight="1" x14ac:dyDescent="0.35">
      <c r="A158" s="121"/>
      <c r="B158" s="28"/>
      <c r="C158" s="127"/>
    </row>
    <row r="159" spans="1:3" ht="15.75" customHeight="1" x14ac:dyDescent="0.35">
      <c r="A159" s="121"/>
      <c r="B159" s="28"/>
      <c r="C159" s="127"/>
    </row>
    <row r="160" spans="1:3" ht="15.75" customHeight="1" x14ac:dyDescent="0.35">
      <c r="A160" s="121"/>
      <c r="B160" s="28"/>
      <c r="C160" s="127"/>
    </row>
    <row r="161" spans="1:3" ht="15.75" customHeight="1" x14ac:dyDescent="0.35">
      <c r="A161" s="121"/>
      <c r="B161" s="28"/>
      <c r="C161" s="127"/>
    </row>
    <row r="162" spans="1:3" ht="15.75" customHeight="1" x14ac:dyDescent="0.35">
      <c r="A162" s="121"/>
      <c r="B162" s="28"/>
      <c r="C162" s="127"/>
    </row>
    <row r="163" spans="1:3" ht="15.75" customHeight="1" x14ac:dyDescent="0.35">
      <c r="A163" s="121"/>
      <c r="B163" s="28"/>
      <c r="C163" s="127"/>
    </row>
    <row r="164" spans="1:3" ht="15.75" customHeight="1" x14ac:dyDescent="0.35">
      <c r="A164" s="121"/>
      <c r="B164" s="28"/>
      <c r="C164" s="127"/>
    </row>
    <row r="165" spans="1:3" ht="15.75" customHeight="1" x14ac:dyDescent="0.35">
      <c r="A165" s="121"/>
      <c r="B165" s="28"/>
      <c r="C165" s="127"/>
    </row>
    <row r="166" spans="1:3" ht="15.75" customHeight="1" x14ac:dyDescent="0.35">
      <c r="A166" s="121"/>
      <c r="B166" s="28"/>
      <c r="C166" s="127"/>
    </row>
    <row r="167" spans="1:3" ht="15.75" customHeight="1" x14ac:dyDescent="0.35">
      <c r="A167" s="121"/>
      <c r="B167" s="28"/>
      <c r="C167" s="127"/>
    </row>
    <row r="168" spans="1:3" ht="15.75" customHeight="1" x14ac:dyDescent="0.35">
      <c r="A168" s="121"/>
      <c r="B168" s="28"/>
      <c r="C168" s="127"/>
    </row>
    <row r="169" spans="1:3" ht="15.75" customHeight="1" x14ac:dyDescent="0.35">
      <c r="A169" s="121"/>
      <c r="B169" s="28"/>
      <c r="C169" s="127"/>
    </row>
    <row r="170" spans="1:3" ht="15.75" customHeight="1" x14ac:dyDescent="0.35">
      <c r="A170" s="121"/>
      <c r="B170" s="28"/>
      <c r="C170" s="127"/>
    </row>
    <row r="171" spans="1:3" ht="15.75" customHeight="1" x14ac:dyDescent="0.35">
      <c r="A171" s="121"/>
      <c r="B171" s="28"/>
      <c r="C171" s="127"/>
    </row>
    <row r="172" spans="1:3" ht="15.75" customHeight="1" x14ac:dyDescent="0.35">
      <c r="A172" s="121"/>
      <c r="B172" s="28"/>
      <c r="C172" s="127"/>
    </row>
    <row r="173" spans="1:3" ht="15.75" customHeight="1" x14ac:dyDescent="0.35">
      <c r="A173" s="121"/>
      <c r="B173" s="28"/>
      <c r="C173" s="127"/>
    </row>
    <row r="174" spans="1:3" ht="15.75" customHeight="1" x14ac:dyDescent="0.35">
      <c r="A174" s="121"/>
      <c r="B174" s="28"/>
      <c r="C174" s="127"/>
    </row>
    <row r="175" spans="1:3" ht="15.75" customHeight="1" x14ac:dyDescent="0.35">
      <c r="A175" s="121"/>
      <c r="B175" s="28"/>
      <c r="C175" s="127"/>
    </row>
    <row r="176" spans="1:3" ht="15.75" customHeight="1" x14ac:dyDescent="0.35">
      <c r="A176" s="121"/>
      <c r="B176" s="28"/>
      <c r="C176" s="127"/>
    </row>
    <row r="177" spans="1:3" ht="15.75" customHeight="1" x14ac:dyDescent="0.35">
      <c r="A177" s="121"/>
      <c r="B177" s="28"/>
      <c r="C177" s="127"/>
    </row>
    <row r="178" spans="1:3" ht="15.75" customHeight="1" x14ac:dyDescent="0.35">
      <c r="A178" s="121"/>
      <c r="B178" s="28"/>
      <c r="C178" s="127"/>
    </row>
    <row r="179" spans="1:3" ht="15.75" customHeight="1" x14ac:dyDescent="0.35">
      <c r="A179" s="121"/>
      <c r="B179" s="28"/>
      <c r="C179" s="127"/>
    </row>
    <row r="180" spans="1:3" ht="15.75" customHeight="1" x14ac:dyDescent="0.35">
      <c r="A180" s="121"/>
      <c r="B180" s="28"/>
      <c r="C180" s="127"/>
    </row>
    <row r="181" spans="1:3" ht="15.75" customHeight="1" x14ac:dyDescent="0.35">
      <c r="A181" s="121"/>
      <c r="B181" s="28"/>
      <c r="C181" s="127"/>
    </row>
    <row r="182" spans="1:3" ht="15.75" customHeight="1" x14ac:dyDescent="0.35">
      <c r="A182" s="121"/>
      <c r="B182" s="28"/>
      <c r="C182" s="127"/>
    </row>
    <row r="183" spans="1:3" ht="15.75" customHeight="1" x14ac:dyDescent="0.35">
      <c r="A183" s="121"/>
      <c r="B183" s="28"/>
      <c r="C183" s="127"/>
    </row>
    <row r="184" spans="1:3" ht="15.75" customHeight="1" x14ac:dyDescent="0.35">
      <c r="A184" s="121"/>
      <c r="B184" s="28"/>
      <c r="C184" s="127"/>
    </row>
    <row r="185" spans="1:3" ht="15.75" customHeight="1" x14ac:dyDescent="0.35">
      <c r="A185" s="121"/>
      <c r="B185" s="28"/>
      <c r="C185" s="127"/>
    </row>
    <row r="186" spans="1:3" ht="15.75" customHeight="1" x14ac:dyDescent="0.35">
      <c r="A186" s="121"/>
      <c r="B186" s="28"/>
      <c r="C186" s="127"/>
    </row>
    <row r="187" spans="1:3" ht="15.75" customHeight="1" x14ac:dyDescent="0.35">
      <c r="A187" s="121"/>
      <c r="B187" s="28"/>
      <c r="C187" s="127"/>
    </row>
    <row r="188" spans="1:3" ht="15.75" customHeight="1" x14ac:dyDescent="0.35">
      <c r="A188" s="121"/>
      <c r="B188" s="28"/>
      <c r="C188" s="127"/>
    </row>
    <row r="189" spans="1:3" ht="15.75" customHeight="1" x14ac:dyDescent="0.35">
      <c r="A189" s="121"/>
      <c r="B189" s="28"/>
      <c r="C189" s="127"/>
    </row>
    <row r="190" spans="1:3" ht="15.75" customHeight="1" x14ac:dyDescent="0.35">
      <c r="A190" s="121"/>
      <c r="B190" s="28"/>
      <c r="C190" s="127"/>
    </row>
    <row r="191" spans="1:3" ht="15.75" customHeight="1" x14ac:dyDescent="0.35">
      <c r="A191" s="121"/>
      <c r="B191" s="28"/>
      <c r="C191" s="127"/>
    </row>
    <row r="192" spans="1:3" ht="15.75" customHeight="1" x14ac:dyDescent="0.35">
      <c r="A192" s="121"/>
      <c r="B192" s="28"/>
      <c r="C192" s="127"/>
    </row>
    <row r="193" spans="1:3" ht="15.75" customHeight="1" x14ac:dyDescent="0.35">
      <c r="A193" s="121"/>
      <c r="B193" s="28"/>
      <c r="C193" s="127"/>
    </row>
    <row r="194" spans="1:3" ht="15.75" customHeight="1" x14ac:dyDescent="0.35">
      <c r="A194" s="121"/>
      <c r="B194" s="28"/>
      <c r="C194" s="127"/>
    </row>
    <row r="195" spans="1:3" ht="15.75" customHeight="1" x14ac:dyDescent="0.35">
      <c r="A195" s="121"/>
      <c r="B195" s="28"/>
      <c r="C195" s="127"/>
    </row>
    <row r="196" spans="1:3" ht="15.75" customHeight="1" x14ac:dyDescent="0.35">
      <c r="A196" s="121"/>
      <c r="B196" s="28"/>
      <c r="C196" s="127"/>
    </row>
    <row r="197" spans="1:3" ht="15.75" customHeight="1" x14ac:dyDescent="0.35">
      <c r="A197" s="121"/>
      <c r="B197" s="28"/>
      <c r="C197" s="127"/>
    </row>
    <row r="198" spans="1:3" ht="15.75" customHeight="1" x14ac:dyDescent="0.35">
      <c r="A198" s="121"/>
      <c r="B198" s="28"/>
      <c r="C198" s="127"/>
    </row>
    <row r="199" spans="1:3" ht="15.75" customHeight="1" x14ac:dyDescent="0.35">
      <c r="A199" s="121"/>
      <c r="B199" s="28"/>
      <c r="C199" s="127"/>
    </row>
    <row r="200" spans="1:3" ht="15.75" customHeight="1" x14ac:dyDescent="0.35">
      <c r="A200" s="121"/>
      <c r="B200" s="28"/>
      <c r="C200" s="127"/>
    </row>
    <row r="201" spans="1:3" ht="15.75" customHeight="1" x14ac:dyDescent="0.35">
      <c r="A201" s="121"/>
      <c r="B201" s="28"/>
      <c r="C201" s="127"/>
    </row>
    <row r="202" spans="1:3" ht="15.75" customHeight="1" x14ac:dyDescent="0.35">
      <c r="A202" s="121"/>
      <c r="B202" s="28"/>
      <c r="C202" s="127"/>
    </row>
    <row r="203" spans="1:3" ht="15.75" customHeight="1" x14ac:dyDescent="0.35">
      <c r="A203" s="121"/>
      <c r="B203" s="28"/>
      <c r="C203" s="127"/>
    </row>
    <row r="204" spans="1:3" ht="15.75" customHeight="1" x14ac:dyDescent="0.35">
      <c r="A204" s="121"/>
      <c r="B204" s="28"/>
      <c r="C204" s="127"/>
    </row>
    <row r="205" spans="1:3" ht="15.75" customHeight="1" x14ac:dyDescent="0.35">
      <c r="A205" s="121"/>
      <c r="B205" s="28"/>
      <c r="C205" s="127"/>
    </row>
    <row r="206" spans="1:3" ht="15.75" customHeight="1" x14ac:dyDescent="0.35">
      <c r="A206" s="121"/>
      <c r="B206" s="28"/>
      <c r="C206" s="127"/>
    </row>
    <row r="207" spans="1:3" ht="15.75" customHeight="1" x14ac:dyDescent="0.35">
      <c r="A207" s="121"/>
      <c r="B207" s="28"/>
      <c r="C207" s="127"/>
    </row>
    <row r="208" spans="1:3" ht="15.75" customHeight="1" x14ac:dyDescent="0.35">
      <c r="A208" s="121"/>
      <c r="B208" s="28"/>
      <c r="C208" s="127"/>
    </row>
    <row r="209" spans="1:3" ht="15.75" customHeight="1" x14ac:dyDescent="0.35">
      <c r="A209" s="121"/>
      <c r="B209" s="28"/>
      <c r="C209" s="127"/>
    </row>
    <row r="210" spans="1:3" ht="15.75" customHeight="1" x14ac:dyDescent="0.35">
      <c r="A210" s="121"/>
      <c r="B210" s="28"/>
      <c r="C210" s="127"/>
    </row>
    <row r="211" spans="1:3" ht="15.75" customHeight="1" x14ac:dyDescent="0.35">
      <c r="A211" s="121"/>
      <c r="B211" s="28"/>
      <c r="C211" s="127"/>
    </row>
    <row r="212" spans="1:3" ht="15.75" customHeight="1" x14ac:dyDescent="0.35">
      <c r="A212" s="121"/>
      <c r="B212" s="28"/>
      <c r="C212" s="127"/>
    </row>
    <row r="213" spans="1:3" ht="15.75" customHeight="1" x14ac:dyDescent="0.35">
      <c r="A213" s="121"/>
      <c r="B213" s="28"/>
      <c r="C213" s="127"/>
    </row>
    <row r="214" spans="1:3" ht="15.75" customHeight="1" x14ac:dyDescent="0.35">
      <c r="A214" s="121"/>
      <c r="B214" s="28"/>
      <c r="C214" s="127"/>
    </row>
    <row r="215" spans="1:3" ht="15.75" customHeight="1" x14ac:dyDescent="0.35">
      <c r="A215" s="121"/>
      <c r="B215" s="28"/>
      <c r="C215" s="127"/>
    </row>
    <row r="216" spans="1:3" ht="15.75" customHeight="1" x14ac:dyDescent="0.35">
      <c r="A216" s="121"/>
      <c r="B216" s="28"/>
      <c r="C216" s="127"/>
    </row>
    <row r="217" spans="1:3" ht="15.75" customHeight="1" x14ac:dyDescent="0.35">
      <c r="A217" s="121"/>
      <c r="B217" s="28"/>
      <c r="C217" s="127"/>
    </row>
    <row r="218" spans="1:3" ht="15.75" customHeight="1" x14ac:dyDescent="0.35">
      <c r="A218" s="121"/>
      <c r="B218" s="28"/>
      <c r="C218" s="127"/>
    </row>
    <row r="219" spans="1:3" ht="15.75" customHeight="1" x14ac:dyDescent="0.35">
      <c r="A219" s="121"/>
      <c r="B219" s="28"/>
      <c r="C219" s="127"/>
    </row>
    <row r="220" spans="1:3" ht="15.75" customHeight="1" x14ac:dyDescent="0.35">
      <c r="A220" s="121"/>
      <c r="B220" s="28"/>
      <c r="C220" s="127"/>
    </row>
    <row r="221" spans="1:3" ht="15.75" customHeight="1" x14ac:dyDescent="0.35">
      <c r="A221" s="121"/>
      <c r="B221" s="28"/>
      <c r="C221" s="127"/>
    </row>
    <row r="222" spans="1:3" ht="15.75" customHeight="1" x14ac:dyDescent="0.35">
      <c r="A222" s="121"/>
      <c r="B222" s="28"/>
      <c r="C222" s="127"/>
    </row>
    <row r="223" spans="1:3" ht="15.75" customHeight="1" x14ac:dyDescent="0.35">
      <c r="A223" s="121"/>
      <c r="B223" s="28"/>
      <c r="C223" s="127"/>
    </row>
    <row r="224" spans="1:3" ht="15.75" customHeight="1" x14ac:dyDescent="0.35">
      <c r="A224" s="121"/>
      <c r="B224" s="28"/>
      <c r="C224" s="127"/>
    </row>
    <row r="225" spans="1:3" ht="15.75" customHeight="1" x14ac:dyDescent="0.35">
      <c r="A225" s="121"/>
      <c r="B225" s="28"/>
      <c r="C225" s="127"/>
    </row>
    <row r="226" spans="1:3" ht="15.75" customHeight="1" x14ac:dyDescent="0.35">
      <c r="A226" s="121"/>
      <c r="B226" s="28"/>
      <c r="C226" s="127"/>
    </row>
    <row r="227" spans="1:3" ht="15.75" customHeight="1" x14ac:dyDescent="0.35">
      <c r="A227" s="121"/>
      <c r="B227" s="28"/>
      <c r="C227" s="127"/>
    </row>
    <row r="228" spans="1:3" ht="15.75" customHeight="1" x14ac:dyDescent="0.35">
      <c r="A228" s="121"/>
      <c r="B228" s="28"/>
      <c r="C228" s="127"/>
    </row>
    <row r="229" spans="1:3" ht="15.75" customHeight="1" x14ac:dyDescent="0.35">
      <c r="A229" s="121"/>
      <c r="B229" s="28"/>
      <c r="C229" s="127"/>
    </row>
    <row r="230" spans="1:3" ht="15.75" customHeight="1" x14ac:dyDescent="0.35">
      <c r="A230" s="121"/>
      <c r="B230" s="28"/>
      <c r="C230" s="127"/>
    </row>
    <row r="231" spans="1:3" ht="15.75" customHeight="1" x14ac:dyDescent="0.35">
      <c r="A231" s="121"/>
      <c r="B231" s="28"/>
      <c r="C231" s="127"/>
    </row>
    <row r="232" spans="1:3" ht="15.75" customHeight="1" x14ac:dyDescent="0.35">
      <c r="A232" s="121"/>
      <c r="B232" s="28"/>
      <c r="C232" s="127"/>
    </row>
    <row r="233" spans="1:3" ht="15.75" customHeight="1" x14ac:dyDescent="0.35">
      <c r="A233" s="121"/>
      <c r="B233" s="28"/>
      <c r="C233" s="127"/>
    </row>
    <row r="234" spans="1:3" ht="15.75" customHeight="1" x14ac:dyDescent="0.35">
      <c r="A234" s="121"/>
      <c r="B234" s="28"/>
      <c r="C234" s="127"/>
    </row>
    <row r="235" spans="1:3" ht="15.75" customHeight="1" x14ac:dyDescent="0.35">
      <c r="A235" s="121"/>
      <c r="B235" s="28"/>
      <c r="C235" s="127"/>
    </row>
    <row r="236" spans="1:3" ht="15.75" customHeight="1" x14ac:dyDescent="0.35">
      <c r="A236" s="121"/>
      <c r="B236" s="28"/>
      <c r="C236" s="127"/>
    </row>
    <row r="237" spans="1:3" ht="15.75" customHeight="1" x14ac:dyDescent="0.35">
      <c r="A237" s="121"/>
      <c r="B237" s="28"/>
      <c r="C237" s="127"/>
    </row>
    <row r="238" spans="1:3" ht="15.75" customHeight="1" x14ac:dyDescent="0.35">
      <c r="A238" s="121"/>
      <c r="B238" s="28"/>
      <c r="C238" s="127"/>
    </row>
    <row r="239" spans="1:3" ht="15.75" customHeight="1" x14ac:dyDescent="0.35">
      <c r="A239" s="121"/>
      <c r="B239" s="28"/>
      <c r="C239" s="127"/>
    </row>
    <row r="240" spans="1:3" ht="15.75" customHeight="1" x14ac:dyDescent="0.35">
      <c r="A240" s="121"/>
      <c r="B240" s="28"/>
      <c r="C240" s="127"/>
    </row>
    <row r="241" spans="1:3" ht="15.75" customHeight="1" x14ac:dyDescent="0.35">
      <c r="A241" s="121"/>
      <c r="B241" s="28"/>
      <c r="C241" s="127"/>
    </row>
    <row r="242" spans="1:3" ht="15.75" customHeight="1" x14ac:dyDescent="0.35">
      <c r="A242" s="121"/>
      <c r="B242" s="28"/>
      <c r="C242" s="127"/>
    </row>
    <row r="243" spans="1:3" ht="15.75" customHeight="1" x14ac:dyDescent="0.35">
      <c r="A243" s="121"/>
      <c r="B243" s="28"/>
      <c r="C243" s="127"/>
    </row>
    <row r="244" spans="1:3" ht="15.75" customHeight="1" x14ac:dyDescent="0.35">
      <c r="A244" s="121"/>
      <c r="B244" s="28"/>
      <c r="C244" s="127"/>
    </row>
    <row r="245" spans="1:3" ht="15.75" customHeight="1" x14ac:dyDescent="0.35">
      <c r="A245" s="121"/>
      <c r="B245" s="28"/>
      <c r="C245" s="127"/>
    </row>
    <row r="246" spans="1:3" ht="15.75" customHeight="1" x14ac:dyDescent="0.35">
      <c r="A246" s="121"/>
      <c r="B246" s="28"/>
      <c r="C246" s="127"/>
    </row>
    <row r="247" spans="1:3" ht="15.75" customHeight="1" x14ac:dyDescent="0.35">
      <c r="A247" s="121"/>
      <c r="B247" s="28"/>
      <c r="C247" s="127"/>
    </row>
    <row r="248" spans="1:3" ht="15.75" customHeight="1" x14ac:dyDescent="0.35">
      <c r="A248" s="121"/>
      <c r="B248" s="28"/>
      <c r="C248" s="127"/>
    </row>
    <row r="249" spans="1:3" ht="15.75" customHeight="1" x14ac:dyDescent="0.35">
      <c r="A249" s="121"/>
      <c r="B249" s="28"/>
      <c r="C249" s="127"/>
    </row>
    <row r="250" spans="1:3" ht="15.75" customHeight="1" x14ac:dyDescent="0.35">
      <c r="A250" s="121"/>
      <c r="B250" s="28"/>
      <c r="C250" s="127"/>
    </row>
    <row r="251" spans="1:3" ht="15.75" customHeight="1" x14ac:dyDescent="0.35">
      <c r="A251" s="121"/>
      <c r="B251" s="28"/>
      <c r="C251" s="127"/>
    </row>
    <row r="252" spans="1:3" ht="15.75" customHeight="1" x14ac:dyDescent="0.35">
      <c r="A252" s="121"/>
      <c r="B252" s="28"/>
      <c r="C252" s="127"/>
    </row>
    <row r="253" spans="1:3" ht="15.75" customHeight="1" x14ac:dyDescent="0.35">
      <c r="A253" s="121"/>
      <c r="B253" s="28"/>
      <c r="C253" s="127"/>
    </row>
    <row r="254" spans="1:3" ht="15.75" customHeight="1" x14ac:dyDescent="0.35">
      <c r="A254" s="121"/>
      <c r="B254" s="28"/>
      <c r="C254" s="127"/>
    </row>
    <row r="255" spans="1:3" ht="15.75" customHeight="1" x14ac:dyDescent="0.35">
      <c r="A255" s="121"/>
      <c r="B255" s="28"/>
      <c r="C255" s="127"/>
    </row>
    <row r="256" spans="1:3" ht="15.75" customHeight="1" x14ac:dyDescent="0.35">
      <c r="A256" s="121"/>
      <c r="B256" s="28"/>
      <c r="C256" s="127"/>
    </row>
    <row r="257" spans="1:3" ht="15.75" customHeight="1" x14ac:dyDescent="0.35">
      <c r="A257" s="121"/>
      <c r="B257" s="28"/>
      <c r="C257" s="127"/>
    </row>
    <row r="258" spans="1:3" ht="15.75" customHeight="1" x14ac:dyDescent="0.35">
      <c r="A258" s="121"/>
      <c r="B258" s="28"/>
      <c r="C258" s="127"/>
    </row>
    <row r="259" spans="1:3" ht="15.75" customHeight="1" x14ac:dyDescent="0.35">
      <c r="A259" s="121"/>
      <c r="B259" s="28"/>
      <c r="C259" s="127"/>
    </row>
    <row r="260" spans="1:3" ht="15.75" customHeight="1" x14ac:dyDescent="0.35">
      <c r="A260" s="121"/>
      <c r="B260" s="28"/>
      <c r="C260" s="127"/>
    </row>
    <row r="261" spans="1:3" ht="15.75" customHeight="1" x14ac:dyDescent="0.35">
      <c r="A261" s="121"/>
      <c r="B261" s="28"/>
      <c r="C261" s="127"/>
    </row>
    <row r="262" spans="1:3" ht="15.75" customHeight="1" x14ac:dyDescent="0.35">
      <c r="A262" s="121"/>
      <c r="B262" s="28"/>
      <c r="C262" s="127"/>
    </row>
    <row r="263" spans="1:3" ht="15.75" customHeight="1" x14ac:dyDescent="0.35">
      <c r="A263" s="121"/>
      <c r="B263" s="28"/>
      <c r="C263" s="127"/>
    </row>
    <row r="264" spans="1:3" ht="15.75" customHeight="1" x14ac:dyDescent="0.35">
      <c r="A264" s="121"/>
      <c r="B264" s="28"/>
      <c r="C264" s="127"/>
    </row>
    <row r="265" spans="1:3" ht="15.75" customHeight="1" x14ac:dyDescent="0.35">
      <c r="A265" s="121"/>
      <c r="B265" s="28"/>
      <c r="C265" s="127"/>
    </row>
    <row r="266" spans="1:3" ht="15.75" customHeight="1" x14ac:dyDescent="0.35">
      <c r="A266" s="121"/>
      <c r="B266" s="28"/>
      <c r="C266" s="127"/>
    </row>
    <row r="267" spans="1:3" ht="15.75" customHeight="1" x14ac:dyDescent="0.35">
      <c r="A267" s="121"/>
      <c r="B267" s="28"/>
      <c r="C267" s="127"/>
    </row>
    <row r="268" spans="1:3" ht="15.75" customHeight="1" x14ac:dyDescent="0.35">
      <c r="A268" s="121"/>
      <c r="B268" s="28"/>
      <c r="C268" s="127"/>
    </row>
    <row r="269" spans="1:3" ht="15.75" customHeight="1" x14ac:dyDescent="0.35">
      <c r="A269" s="121"/>
      <c r="B269" s="28"/>
      <c r="C269" s="127"/>
    </row>
    <row r="270" spans="1:3" ht="15.75" customHeight="1" x14ac:dyDescent="0.35">
      <c r="A270" s="121"/>
      <c r="B270" s="28"/>
      <c r="C270" s="127"/>
    </row>
    <row r="271" spans="1:3" ht="15.75" customHeight="1" x14ac:dyDescent="0.35">
      <c r="A271" s="121"/>
      <c r="B271" s="28"/>
      <c r="C271" s="127"/>
    </row>
    <row r="272" spans="1:3" ht="15.75" customHeight="1" x14ac:dyDescent="0.35">
      <c r="A272" s="121"/>
      <c r="B272" s="28"/>
      <c r="C272" s="127"/>
    </row>
    <row r="273" spans="1:3" ht="15.75" customHeight="1" x14ac:dyDescent="0.35">
      <c r="A273" s="121"/>
      <c r="B273" s="28"/>
      <c r="C273" s="127"/>
    </row>
    <row r="274" spans="1:3" ht="15.75" customHeight="1" x14ac:dyDescent="0.35">
      <c r="A274" s="121"/>
      <c r="B274" s="28"/>
      <c r="C274" s="127"/>
    </row>
    <row r="275" spans="1:3" ht="15.75" customHeight="1" x14ac:dyDescent="0.35">
      <c r="A275" s="121"/>
      <c r="B275" s="28"/>
      <c r="C275" s="127"/>
    </row>
    <row r="276" spans="1:3" ht="15.75" customHeight="1" x14ac:dyDescent="0.35">
      <c r="A276" s="121"/>
      <c r="B276" s="28"/>
      <c r="C276" s="127"/>
    </row>
    <row r="277" spans="1:3" ht="15.75" customHeight="1" x14ac:dyDescent="0.35">
      <c r="A277" s="121"/>
      <c r="B277" s="28"/>
      <c r="C277" s="127"/>
    </row>
    <row r="278" spans="1:3" ht="15.75" customHeight="1" x14ac:dyDescent="0.35">
      <c r="A278" s="121"/>
      <c r="B278" s="28"/>
      <c r="C278" s="127"/>
    </row>
    <row r="279" spans="1:3" ht="15.75" customHeight="1" x14ac:dyDescent="0.35">
      <c r="A279" s="121"/>
      <c r="B279" s="28"/>
      <c r="C279" s="127"/>
    </row>
    <row r="280" spans="1:3" ht="15.75" customHeight="1" x14ac:dyDescent="0.35">
      <c r="A280" s="121"/>
      <c r="B280" s="28"/>
      <c r="C280" s="127"/>
    </row>
    <row r="281" spans="1:3" ht="15.75" customHeight="1" x14ac:dyDescent="0.35">
      <c r="A281" s="121"/>
      <c r="B281" s="28"/>
      <c r="C281" s="127"/>
    </row>
    <row r="282" spans="1:3" ht="15.75" customHeight="1" x14ac:dyDescent="0.35">
      <c r="A282" s="121"/>
      <c r="B282" s="28"/>
      <c r="C282" s="127"/>
    </row>
    <row r="283" spans="1:3" ht="15.75" customHeight="1" x14ac:dyDescent="0.35">
      <c r="A283" s="121"/>
      <c r="B283" s="28"/>
      <c r="C283" s="127"/>
    </row>
    <row r="284" spans="1:3" ht="15.75" customHeight="1" x14ac:dyDescent="0.35">
      <c r="A284" s="121"/>
      <c r="B284" s="28"/>
      <c r="C284" s="127"/>
    </row>
    <row r="285" spans="1:3" ht="15.75" customHeight="1" x14ac:dyDescent="0.35">
      <c r="A285" s="121"/>
      <c r="B285" s="28"/>
      <c r="C285" s="127"/>
    </row>
    <row r="286" spans="1:3" ht="15.75" customHeight="1" x14ac:dyDescent="0.35">
      <c r="A286" s="121"/>
      <c r="B286" s="28"/>
      <c r="C286" s="127"/>
    </row>
    <row r="287" spans="1:3" ht="15.75" customHeight="1" x14ac:dyDescent="0.35">
      <c r="A287" s="121"/>
      <c r="B287" s="28"/>
      <c r="C287" s="127"/>
    </row>
    <row r="288" spans="1:3" ht="15.75" customHeight="1" x14ac:dyDescent="0.35">
      <c r="A288" s="121"/>
      <c r="B288" s="28"/>
      <c r="C288" s="127"/>
    </row>
    <row r="289" spans="1:3" ht="15.75" customHeight="1" x14ac:dyDescent="0.35">
      <c r="A289" s="121"/>
      <c r="B289" s="28"/>
      <c r="C289" s="127"/>
    </row>
    <row r="290" spans="1:3" ht="15.75" customHeight="1" x14ac:dyDescent="0.35">
      <c r="A290" s="121"/>
      <c r="B290" s="28"/>
      <c r="C290" s="127"/>
    </row>
    <row r="291" spans="1:3" ht="15.75" customHeight="1" x14ac:dyDescent="0.35">
      <c r="A291" s="121"/>
      <c r="B291" s="28"/>
      <c r="C291" s="127"/>
    </row>
    <row r="292" spans="1:3" ht="15.75" customHeight="1" x14ac:dyDescent="0.35">
      <c r="A292" s="121"/>
      <c r="B292" s="28"/>
      <c r="C292" s="127"/>
    </row>
    <row r="293" spans="1:3" ht="15.75" customHeight="1" x14ac:dyDescent="0.35">
      <c r="A293" s="121"/>
      <c r="B293" s="28"/>
      <c r="C293" s="127"/>
    </row>
    <row r="294" spans="1:3" ht="15.75" customHeight="1" x14ac:dyDescent="0.35">
      <c r="A294" s="121"/>
      <c r="B294" s="28"/>
      <c r="C294" s="127"/>
    </row>
    <row r="295" spans="1:3" ht="15.75" customHeight="1" x14ac:dyDescent="0.35">
      <c r="A295" s="121"/>
      <c r="B295" s="28"/>
      <c r="C295" s="127"/>
    </row>
    <row r="296" spans="1:3" ht="15.75" customHeight="1" x14ac:dyDescent="0.35">
      <c r="A296" s="121"/>
      <c r="B296" s="28"/>
      <c r="C296" s="127"/>
    </row>
    <row r="297" spans="1:3" ht="15.75" customHeight="1" x14ac:dyDescent="0.35">
      <c r="A297" s="121"/>
      <c r="B297" s="28"/>
      <c r="C297" s="127"/>
    </row>
    <row r="298" spans="1:3" ht="15.75" customHeight="1" x14ac:dyDescent="0.35">
      <c r="A298" s="121"/>
      <c r="B298" s="28"/>
      <c r="C298" s="127"/>
    </row>
    <row r="299" spans="1:3" ht="15.75" customHeight="1" x14ac:dyDescent="0.35">
      <c r="A299" s="121"/>
      <c r="B299" s="28"/>
      <c r="C299" s="127"/>
    </row>
    <row r="300" spans="1:3" ht="15.75" customHeight="1" x14ac:dyDescent="0.35">
      <c r="A300" s="121"/>
      <c r="B300" s="28"/>
      <c r="C300" s="127"/>
    </row>
    <row r="301" spans="1:3" ht="15.75" customHeight="1" x14ac:dyDescent="0.35">
      <c r="A301" s="121"/>
      <c r="B301" s="28"/>
      <c r="C301" s="127"/>
    </row>
    <row r="302" spans="1:3" ht="15.75" customHeight="1" x14ac:dyDescent="0.35">
      <c r="A302" s="121"/>
      <c r="B302" s="28"/>
      <c r="C302" s="127"/>
    </row>
    <row r="303" spans="1:3" ht="15.75" customHeight="1" x14ac:dyDescent="0.35">
      <c r="A303" s="121"/>
      <c r="B303" s="28"/>
      <c r="C303" s="127"/>
    </row>
    <row r="304" spans="1:3" ht="15.75" customHeight="1" x14ac:dyDescent="0.35">
      <c r="A304" s="121"/>
      <c r="B304" s="28"/>
      <c r="C304" s="127"/>
    </row>
    <row r="305" spans="1:3" ht="15.75" customHeight="1" x14ac:dyDescent="0.35">
      <c r="A305" s="121"/>
      <c r="B305" s="28"/>
      <c r="C305" s="127"/>
    </row>
    <row r="306" spans="1:3" ht="15.75" customHeight="1" x14ac:dyDescent="0.35">
      <c r="A306" s="121"/>
      <c r="B306" s="28"/>
      <c r="C306" s="127"/>
    </row>
    <row r="307" spans="1:3" ht="15.75" customHeight="1" x14ac:dyDescent="0.35">
      <c r="A307" s="121"/>
      <c r="B307" s="28"/>
      <c r="C307" s="127"/>
    </row>
    <row r="308" spans="1:3" ht="15.75" customHeight="1" x14ac:dyDescent="0.35">
      <c r="A308" s="121"/>
      <c r="B308" s="28"/>
      <c r="C308" s="127"/>
    </row>
    <row r="309" spans="1:3" ht="15.75" customHeight="1" x14ac:dyDescent="0.35">
      <c r="A309" s="121"/>
      <c r="B309" s="28"/>
      <c r="C309" s="127"/>
    </row>
    <row r="310" spans="1:3" ht="15.75" customHeight="1" x14ac:dyDescent="0.35">
      <c r="A310" s="121"/>
      <c r="B310" s="28"/>
      <c r="C310" s="127"/>
    </row>
    <row r="311" spans="1:3" ht="15.75" customHeight="1" x14ac:dyDescent="0.35">
      <c r="A311" s="121"/>
      <c r="B311" s="28"/>
      <c r="C311" s="127"/>
    </row>
    <row r="312" spans="1:3" ht="15.75" customHeight="1" x14ac:dyDescent="0.35">
      <c r="A312" s="121"/>
      <c r="B312" s="28"/>
      <c r="C312" s="127"/>
    </row>
    <row r="313" spans="1:3" ht="15.75" customHeight="1" x14ac:dyDescent="0.35">
      <c r="A313" s="121"/>
      <c r="B313" s="28"/>
      <c r="C313" s="127"/>
    </row>
    <row r="314" spans="1:3" ht="15.75" customHeight="1" x14ac:dyDescent="0.35">
      <c r="A314" s="121"/>
      <c r="B314" s="28"/>
      <c r="C314" s="127"/>
    </row>
    <row r="315" spans="1:3" ht="15.75" customHeight="1" x14ac:dyDescent="0.35">
      <c r="A315" s="121"/>
      <c r="B315" s="28"/>
      <c r="C315" s="127"/>
    </row>
    <row r="316" spans="1:3" ht="15.75" customHeight="1" x14ac:dyDescent="0.35">
      <c r="A316" s="121"/>
      <c r="B316" s="28"/>
      <c r="C316" s="127"/>
    </row>
    <row r="317" spans="1:3" ht="15.75" customHeight="1" x14ac:dyDescent="0.35">
      <c r="A317" s="121"/>
      <c r="B317" s="28"/>
      <c r="C317" s="127"/>
    </row>
    <row r="318" spans="1:3" ht="15.75" customHeight="1" x14ac:dyDescent="0.35">
      <c r="A318" s="121"/>
      <c r="B318" s="28"/>
      <c r="C318" s="127"/>
    </row>
    <row r="319" spans="1:3" ht="15.75" customHeight="1" x14ac:dyDescent="0.35">
      <c r="A319" s="121"/>
      <c r="B319" s="28"/>
      <c r="C319" s="127"/>
    </row>
    <row r="320" spans="1:3" ht="15.75" customHeight="1" x14ac:dyDescent="0.35">
      <c r="A320" s="121"/>
      <c r="B320" s="28"/>
      <c r="C320" s="127"/>
    </row>
    <row r="321" spans="1:3" ht="15.75" customHeight="1" x14ac:dyDescent="0.35">
      <c r="A321" s="121"/>
      <c r="B321" s="28"/>
      <c r="C321" s="127"/>
    </row>
    <row r="322" spans="1:3" ht="15.75" customHeight="1" x14ac:dyDescent="0.35">
      <c r="A322" s="121"/>
      <c r="B322" s="28"/>
      <c r="C322" s="127"/>
    </row>
    <row r="323" spans="1:3" ht="15.75" customHeight="1" x14ac:dyDescent="0.35">
      <c r="A323" s="121"/>
      <c r="B323" s="28"/>
      <c r="C323" s="127"/>
    </row>
    <row r="324" spans="1:3" ht="15.75" customHeight="1" x14ac:dyDescent="0.35">
      <c r="A324" s="121"/>
      <c r="B324" s="28"/>
      <c r="C324" s="127"/>
    </row>
    <row r="325" spans="1:3" ht="15.75" customHeight="1" x14ac:dyDescent="0.35">
      <c r="A325" s="121"/>
      <c r="B325" s="28"/>
      <c r="C325" s="127"/>
    </row>
    <row r="326" spans="1:3" ht="15.75" customHeight="1" x14ac:dyDescent="0.35">
      <c r="A326" s="121"/>
      <c r="B326" s="28"/>
      <c r="C326" s="127"/>
    </row>
    <row r="327" spans="1:3" ht="15.75" customHeight="1" x14ac:dyDescent="0.35">
      <c r="A327" s="121"/>
      <c r="B327" s="28"/>
      <c r="C327" s="127"/>
    </row>
    <row r="328" spans="1:3" ht="15.75" customHeight="1" x14ac:dyDescent="0.35">
      <c r="A328" s="121"/>
      <c r="B328" s="28"/>
      <c r="C328" s="127"/>
    </row>
    <row r="329" spans="1:3" ht="15.75" customHeight="1" x14ac:dyDescent="0.35">
      <c r="A329" s="121"/>
      <c r="B329" s="28"/>
      <c r="C329" s="127"/>
    </row>
    <row r="330" spans="1:3" ht="15.75" customHeight="1" x14ac:dyDescent="0.35">
      <c r="A330" s="121"/>
      <c r="B330" s="28"/>
      <c r="C330" s="127"/>
    </row>
    <row r="331" spans="1:3" ht="15.75" customHeight="1" x14ac:dyDescent="0.35">
      <c r="A331" s="121"/>
      <c r="B331" s="28"/>
      <c r="C331" s="127"/>
    </row>
    <row r="332" spans="1:3" ht="15.75" customHeight="1" x14ac:dyDescent="0.35">
      <c r="A332" s="121"/>
      <c r="B332" s="28"/>
      <c r="C332" s="127"/>
    </row>
    <row r="333" spans="1:3" ht="15.75" customHeight="1" x14ac:dyDescent="0.35">
      <c r="A333" s="121"/>
      <c r="B333" s="28"/>
      <c r="C333" s="127"/>
    </row>
    <row r="334" spans="1:3" ht="15.75" customHeight="1" x14ac:dyDescent="0.35">
      <c r="A334" s="121"/>
      <c r="B334" s="28"/>
      <c r="C334" s="127"/>
    </row>
    <row r="335" spans="1:3" ht="15.75" customHeight="1" x14ac:dyDescent="0.35">
      <c r="A335" s="121"/>
      <c r="B335" s="28"/>
      <c r="C335" s="127"/>
    </row>
    <row r="336" spans="1:3" ht="15.75" customHeight="1" x14ac:dyDescent="0.35">
      <c r="A336" s="121"/>
      <c r="B336" s="28"/>
      <c r="C336" s="127"/>
    </row>
    <row r="337" spans="1:3" ht="15.75" customHeight="1" x14ac:dyDescent="0.35">
      <c r="A337" s="121"/>
      <c r="B337" s="28"/>
      <c r="C337" s="127"/>
    </row>
    <row r="338" spans="1:3" ht="15.75" customHeight="1" x14ac:dyDescent="0.35">
      <c r="A338" s="121"/>
      <c r="B338" s="28"/>
      <c r="C338" s="127"/>
    </row>
    <row r="339" spans="1:3" ht="15.75" customHeight="1" x14ac:dyDescent="0.35">
      <c r="A339" s="121"/>
      <c r="B339" s="28"/>
      <c r="C339" s="127"/>
    </row>
    <row r="340" spans="1:3" ht="15.75" customHeight="1" x14ac:dyDescent="0.35">
      <c r="A340" s="121"/>
      <c r="B340" s="28"/>
      <c r="C340" s="127"/>
    </row>
    <row r="341" spans="1:3" ht="15.75" customHeight="1" x14ac:dyDescent="0.35">
      <c r="A341" s="121"/>
      <c r="B341" s="28"/>
      <c r="C341" s="127"/>
    </row>
    <row r="342" spans="1:3" ht="15.75" customHeight="1" x14ac:dyDescent="0.35">
      <c r="A342" s="121"/>
      <c r="B342" s="28"/>
      <c r="C342" s="127"/>
    </row>
    <row r="343" spans="1:3" ht="15.75" customHeight="1" x14ac:dyDescent="0.35">
      <c r="A343" s="121"/>
      <c r="B343" s="28"/>
      <c r="C343" s="127"/>
    </row>
    <row r="344" spans="1:3" ht="15.75" customHeight="1" x14ac:dyDescent="0.35">
      <c r="A344" s="121"/>
      <c r="B344" s="28"/>
      <c r="C344" s="127"/>
    </row>
    <row r="345" spans="1:3" ht="15.75" customHeight="1" x14ac:dyDescent="0.35">
      <c r="A345" s="121"/>
      <c r="B345" s="28"/>
      <c r="C345" s="127"/>
    </row>
    <row r="346" spans="1:3" ht="15.75" customHeight="1" x14ac:dyDescent="0.35">
      <c r="A346" s="121"/>
      <c r="B346" s="28"/>
      <c r="C346" s="127"/>
    </row>
    <row r="347" spans="1:3" ht="15.75" customHeight="1" x14ac:dyDescent="0.35">
      <c r="A347" s="121"/>
      <c r="B347" s="28"/>
      <c r="C347" s="127"/>
    </row>
    <row r="348" spans="1:3" ht="15.75" customHeight="1" x14ac:dyDescent="0.35">
      <c r="A348" s="121"/>
      <c r="B348" s="28"/>
      <c r="C348" s="127"/>
    </row>
    <row r="349" spans="1:3" ht="15.75" customHeight="1" x14ac:dyDescent="0.35">
      <c r="A349" s="121"/>
      <c r="B349" s="28"/>
      <c r="C349" s="127"/>
    </row>
    <row r="350" spans="1:3" ht="15.75" customHeight="1" x14ac:dyDescent="0.35">
      <c r="A350" s="121"/>
      <c r="B350" s="28"/>
      <c r="C350" s="127"/>
    </row>
    <row r="351" spans="1:3" ht="15.75" customHeight="1" x14ac:dyDescent="0.35">
      <c r="A351" s="121"/>
      <c r="B351" s="28"/>
      <c r="C351" s="127"/>
    </row>
    <row r="352" spans="1:3" ht="15.75" customHeight="1" x14ac:dyDescent="0.35">
      <c r="A352" s="121"/>
      <c r="B352" s="28"/>
      <c r="C352" s="127"/>
    </row>
    <row r="353" spans="1:3" ht="15.75" customHeight="1" x14ac:dyDescent="0.35">
      <c r="A353" s="121"/>
      <c r="B353" s="28"/>
      <c r="C353" s="127"/>
    </row>
    <row r="354" spans="1:3" ht="15.75" customHeight="1" x14ac:dyDescent="0.35">
      <c r="A354" s="121"/>
      <c r="B354" s="28"/>
      <c r="C354" s="127"/>
    </row>
    <row r="355" spans="1:3" ht="15.75" customHeight="1" x14ac:dyDescent="0.35">
      <c r="A355" s="121"/>
      <c r="B355" s="28"/>
      <c r="C355" s="127"/>
    </row>
    <row r="356" spans="1:3" ht="15.75" customHeight="1" x14ac:dyDescent="0.35">
      <c r="A356" s="121"/>
      <c r="B356" s="28"/>
      <c r="C356" s="127"/>
    </row>
    <row r="357" spans="1:3" ht="15.75" customHeight="1" x14ac:dyDescent="0.35">
      <c r="A357" s="121"/>
      <c r="B357" s="28"/>
      <c r="C357" s="127"/>
    </row>
    <row r="358" spans="1:3" ht="15.75" customHeight="1" x14ac:dyDescent="0.35">
      <c r="A358" s="121"/>
      <c r="B358" s="28"/>
      <c r="C358" s="127"/>
    </row>
    <row r="359" spans="1:3" ht="15.75" customHeight="1" x14ac:dyDescent="0.35">
      <c r="A359" s="121"/>
      <c r="B359" s="28"/>
      <c r="C359" s="127"/>
    </row>
    <row r="360" spans="1:3" ht="15.75" customHeight="1" x14ac:dyDescent="0.35">
      <c r="A360" s="121"/>
      <c r="B360" s="28"/>
      <c r="C360" s="127"/>
    </row>
    <row r="361" spans="1:3" ht="15.75" customHeight="1" x14ac:dyDescent="0.35">
      <c r="A361" s="121"/>
      <c r="B361" s="28"/>
      <c r="C361" s="127"/>
    </row>
    <row r="362" spans="1:3" ht="15.75" customHeight="1" x14ac:dyDescent="0.35">
      <c r="A362" s="121"/>
      <c r="B362" s="28"/>
      <c r="C362" s="127"/>
    </row>
    <row r="363" spans="1:3" ht="15.75" customHeight="1" x14ac:dyDescent="0.35">
      <c r="A363" s="121"/>
      <c r="B363" s="28"/>
      <c r="C363" s="127"/>
    </row>
    <row r="364" spans="1:3" ht="15.75" customHeight="1" x14ac:dyDescent="0.35">
      <c r="A364" s="121"/>
      <c r="B364" s="28"/>
      <c r="C364" s="127"/>
    </row>
    <row r="365" spans="1:3" ht="15.75" customHeight="1" x14ac:dyDescent="0.35">
      <c r="A365" s="121"/>
      <c r="B365" s="28"/>
      <c r="C365" s="127"/>
    </row>
    <row r="366" spans="1:3" ht="15.75" customHeight="1" x14ac:dyDescent="0.35">
      <c r="A366" s="121"/>
      <c r="B366" s="28"/>
      <c r="C366" s="127"/>
    </row>
    <row r="367" spans="1:3" ht="15.75" customHeight="1" x14ac:dyDescent="0.35">
      <c r="A367" s="121"/>
      <c r="B367" s="28"/>
      <c r="C367" s="127"/>
    </row>
    <row r="368" spans="1:3" ht="15.75" customHeight="1" x14ac:dyDescent="0.35">
      <c r="A368" s="121"/>
      <c r="B368" s="28"/>
      <c r="C368" s="127"/>
    </row>
    <row r="369" spans="1:3" ht="15.75" customHeight="1" x14ac:dyDescent="0.35">
      <c r="A369" s="121"/>
      <c r="B369" s="28"/>
      <c r="C369" s="127"/>
    </row>
    <row r="370" spans="1:3" ht="15.75" customHeight="1" x14ac:dyDescent="0.35">
      <c r="A370" s="121"/>
      <c r="B370" s="28"/>
      <c r="C370" s="127"/>
    </row>
    <row r="371" spans="1:3" ht="15.75" customHeight="1" x14ac:dyDescent="0.35">
      <c r="A371" s="121"/>
      <c r="B371" s="28"/>
      <c r="C371" s="127"/>
    </row>
    <row r="372" spans="1:3" ht="15.75" customHeight="1" x14ac:dyDescent="0.35">
      <c r="A372" s="121"/>
      <c r="B372" s="28"/>
      <c r="C372" s="127"/>
    </row>
    <row r="373" spans="1:3" ht="15.75" customHeight="1" x14ac:dyDescent="0.35">
      <c r="A373" s="121"/>
      <c r="B373" s="28"/>
      <c r="C373" s="127"/>
    </row>
    <row r="374" spans="1:3" ht="15.75" customHeight="1" x14ac:dyDescent="0.35">
      <c r="A374" s="121"/>
      <c r="B374" s="28"/>
      <c r="C374" s="127"/>
    </row>
    <row r="375" spans="1:3" ht="15.75" customHeight="1" x14ac:dyDescent="0.35">
      <c r="A375" s="121"/>
      <c r="B375" s="28"/>
      <c r="C375" s="127"/>
    </row>
    <row r="376" spans="1:3" ht="15.75" customHeight="1" x14ac:dyDescent="0.35">
      <c r="A376" s="121"/>
      <c r="B376" s="28"/>
      <c r="C376" s="127"/>
    </row>
    <row r="377" spans="1:3" ht="15.75" customHeight="1" x14ac:dyDescent="0.35">
      <c r="A377" s="121"/>
      <c r="B377" s="28"/>
      <c r="C377" s="127"/>
    </row>
    <row r="378" spans="1:3" ht="15.75" customHeight="1" x14ac:dyDescent="0.35">
      <c r="A378" s="121"/>
      <c r="B378" s="28"/>
      <c r="C378" s="127"/>
    </row>
    <row r="379" spans="1:3" ht="15.75" customHeight="1" x14ac:dyDescent="0.35">
      <c r="A379" s="121"/>
      <c r="B379" s="28"/>
      <c r="C379" s="127"/>
    </row>
    <row r="380" spans="1:3" ht="15.75" customHeight="1" x14ac:dyDescent="0.35">
      <c r="A380" s="121"/>
      <c r="B380" s="28"/>
      <c r="C380" s="127"/>
    </row>
    <row r="381" spans="1:3" ht="15.75" customHeight="1" x14ac:dyDescent="0.35">
      <c r="A381" s="121"/>
      <c r="B381" s="28"/>
      <c r="C381" s="127"/>
    </row>
    <row r="382" spans="1:3" ht="15.75" customHeight="1" x14ac:dyDescent="0.35">
      <c r="A382" s="121"/>
      <c r="B382" s="28"/>
      <c r="C382" s="127"/>
    </row>
    <row r="383" spans="1:3" ht="15.75" customHeight="1" x14ac:dyDescent="0.35">
      <c r="A383" s="121"/>
      <c r="B383" s="28"/>
      <c r="C383" s="127"/>
    </row>
    <row r="384" spans="1:3" ht="15.75" customHeight="1" x14ac:dyDescent="0.35">
      <c r="A384" s="121"/>
      <c r="B384" s="28"/>
      <c r="C384" s="127"/>
    </row>
    <row r="385" spans="1:3" ht="15.75" customHeight="1" x14ac:dyDescent="0.35">
      <c r="A385" s="121"/>
      <c r="B385" s="28"/>
      <c r="C385" s="127"/>
    </row>
    <row r="386" spans="1:3" ht="15.75" customHeight="1" x14ac:dyDescent="0.35">
      <c r="A386" s="121"/>
      <c r="B386" s="28"/>
      <c r="C386" s="127"/>
    </row>
    <row r="387" spans="1:3" ht="15.75" customHeight="1" x14ac:dyDescent="0.35">
      <c r="A387" s="121"/>
      <c r="B387" s="28"/>
      <c r="C387" s="127"/>
    </row>
    <row r="388" spans="1:3" ht="15.75" customHeight="1" x14ac:dyDescent="0.35">
      <c r="A388" s="121"/>
      <c r="B388" s="28"/>
      <c r="C388" s="127"/>
    </row>
    <row r="389" spans="1:3" ht="15.75" customHeight="1" x14ac:dyDescent="0.35">
      <c r="A389" s="121"/>
      <c r="B389" s="28"/>
      <c r="C389" s="127"/>
    </row>
    <row r="390" spans="1:3" ht="15.75" customHeight="1" x14ac:dyDescent="0.35">
      <c r="A390" s="121"/>
      <c r="B390" s="28"/>
      <c r="C390" s="127"/>
    </row>
    <row r="391" spans="1:3" ht="15.75" customHeight="1" x14ac:dyDescent="0.35">
      <c r="A391" s="121"/>
      <c r="B391" s="28"/>
      <c r="C391" s="127"/>
    </row>
    <row r="392" spans="1:3" ht="15.75" customHeight="1" x14ac:dyDescent="0.35">
      <c r="A392" s="121"/>
      <c r="B392" s="28"/>
      <c r="C392" s="127"/>
    </row>
    <row r="393" spans="1:3" ht="15.75" customHeight="1" x14ac:dyDescent="0.35">
      <c r="A393" s="121"/>
      <c r="B393" s="28"/>
      <c r="C393" s="127"/>
    </row>
    <row r="394" spans="1:3" ht="15.75" customHeight="1" x14ac:dyDescent="0.35">
      <c r="A394" s="121"/>
      <c r="B394" s="28"/>
      <c r="C394" s="127"/>
    </row>
    <row r="395" spans="1:3" ht="15.75" customHeight="1" x14ac:dyDescent="0.35">
      <c r="A395" s="121"/>
      <c r="B395" s="28"/>
      <c r="C395" s="127"/>
    </row>
    <row r="396" spans="1:3" ht="15.75" customHeight="1" x14ac:dyDescent="0.35">
      <c r="A396" s="121"/>
      <c r="B396" s="28"/>
      <c r="C396" s="127"/>
    </row>
    <row r="397" spans="1:3" ht="15.75" customHeight="1" x14ac:dyDescent="0.35">
      <c r="A397" s="121"/>
      <c r="B397" s="28"/>
      <c r="C397" s="127"/>
    </row>
    <row r="398" spans="1:3" ht="15.75" customHeight="1" x14ac:dyDescent="0.35">
      <c r="A398" s="121"/>
      <c r="B398" s="28"/>
      <c r="C398" s="127"/>
    </row>
    <row r="399" spans="1:3" ht="15.75" customHeight="1" x14ac:dyDescent="0.35">
      <c r="A399" s="121"/>
      <c r="B399" s="28"/>
      <c r="C399" s="127"/>
    </row>
    <row r="400" spans="1:3" ht="15.75" customHeight="1" x14ac:dyDescent="0.35">
      <c r="A400" s="121"/>
      <c r="B400" s="28"/>
      <c r="C400" s="127"/>
    </row>
    <row r="401" spans="1:3" ht="15.75" customHeight="1" x14ac:dyDescent="0.35">
      <c r="A401" s="121"/>
      <c r="B401" s="28"/>
      <c r="C401" s="127"/>
    </row>
    <row r="402" spans="1:3" ht="15.75" customHeight="1" x14ac:dyDescent="0.35">
      <c r="A402" s="121"/>
      <c r="B402" s="28"/>
      <c r="C402" s="127"/>
    </row>
    <row r="403" spans="1:3" ht="15.75" customHeight="1" x14ac:dyDescent="0.35">
      <c r="A403" s="121"/>
      <c r="B403" s="28"/>
      <c r="C403" s="127"/>
    </row>
    <row r="404" spans="1:3" ht="15.75" customHeight="1" x14ac:dyDescent="0.35">
      <c r="A404" s="121"/>
      <c r="B404" s="28"/>
      <c r="C404" s="127"/>
    </row>
    <row r="405" spans="1:3" ht="15.75" customHeight="1" x14ac:dyDescent="0.35">
      <c r="A405" s="121"/>
      <c r="B405" s="28"/>
      <c r="C405" s="127"/>
    </row>
    <row r="406" spans="1:3" ht="15.75" customHeight="1" x14ac:dyDescent="0.35">
      <c r="A406" s="121"/>
      <c r="B406" s="28"/>
      <c r="C406" s="127"/>
    </row>
    <row r="407" spans="1:3" ht="15.75" customHeight="1" x14ac:dyDescent="0.35">
      <c r="A407" s="121"/>
      <c r="B407" s="28"/>
      <c r="C407" s="127"/>
    </row>
    <row r="408" spans="1:3" ht="15.75" customHeight="1" x14ac:dyDescent="0.35">
      <c r="A408" s="121"/>
      <c r="B408" s="28"/>
      <c r="C408" s="127"/>
    </row>
    <row r="409" spans="1:3" ht="15.75" customHeight="1" x14ac:dyDescent="0.35">
      <c r="A409" s="121"/>
      <c r="B409" s="28"/>
      <c r="C409" s="127"/>
    </row>
    <row r="410" spans="1:3" ht="15.75" customHeight="1" x14ac:dyDescent="0.35">
      <c r="A410" s="121"/>
      <c r="B410" s="28"/>
      <c r="C410" s="127"/>
    </row>
    <row r="411" spans="1:3" ht="15.75" customHeight="1" x14ac:dyDescent="0.35">
      <c r="A411" s="121"/>
      <c r="B411" s="28"/>
      <c r="C411" s="127"/>
    </row>
    <row r="412" spans="1:3" ht="15.75" customHeight="1" x14ac:dyDescent="0.35">
      <c r="A412" s="121"/>
      <c r="B412" s="28"/>
      <c r="C412" s="127"/>
    </row>
    <row r="413" spans="1:3" ht="15.75" customHeight="1" x14ac:dyDescent="0.35">
      <c r="A413" s="121"/>
      <c r="B413" s="28"/>
      <c r="C413" s="127"/>
    </row>
    <row r="414" spans="1:3" ht="15.75" customHeight="1" x14ac:dyDescent="0.35">
      <c r="A414" s="121"/>
      <c r="B414" s="28"/>
      <c r="C414" s="127"/>
    </row>
    <row r="415" spans="1:3" ht="15.75" customHeight="1" x14ac:dyDescent="0.35">
      <c r="A415" s="121"/>
      <c r="B415" s="28"/>
      <c r="C415" s="127"/>
    </row>
    <row r="416" spans="1:3" ht="15.75" customHeight="1" x14ac:dyDescent="0.35">
      <c r="A416" s="121"/>
      <c r="B416" s="28"/>
      <c r="C416" s="127"/>
    </row>
    <row r="417" spans="1:3" ht="15.75" customHeight="1" x14ac:dyDescent="0.35">
      <c r="A417" s="121"/>
      <c r="B417" s="28"/>
      <c r="C417" s="127"/>
    </row>
    <row r="418" spans="1:3" ht="15.75" customHeight="1" x14ac:dyDescent="0.35">
      <c r="A418" s="121"/>
      <c r="B418" s="28"/>
      <c r="C418" s="127"/>
    </row>
    <row r="419" spans="1:3" ht="15.75" customHeight="1" x14ac:dyDescent="0.35">
      <c r="A419" s="121"/>
      <c r="B419" s="28"/>
      <c r="C419" s="127"/>
    </row>
    <row r="420" spans="1:3" ht="15.75" customHeight="1" x14ac:dyDescent="0.35">
      <c r="A420" s="121"/>
      <c r="B420" s="28"/>
      <c r="C420" s="127"/>
    </row>
    <row r="421" spans="1:3" ht="15.75" customHeight="1" x14ac:dyDescent="0.35">
      <c r="A421" s="121"/>
      <c r="B421" s="28"/>
      <c r="C421" s="127"/>
    </row>
    <row r="422" spans="1:3" ht="15.75" customHeight="1" x14ac:dyDescent="0.35">
      <c r="A422" s="121"/>
      <c r="B422" s="28"/>
      <c r="C422" s="127"/>
    </row>
    <row r="423" spans="1:3" ht="15.75" customHeight="1" x14ac:dyDescent="0.35">
      <c r="A423" s="121"/>
      <c r="B423" s="28"/>
      <c r="C423" s="127"/>
    </row>
    <row r="424" spans="1:3" ht="15.75" customHeight="1" x14ac:dyDescent="0.35">
      <c r="A424" s="121"/>
      <c r="B424" s="28"/>
      <c r="C424" s="127"/>
    </row>
    <row r="425" spans="1:3" ht="15.75" customHeight="1" x14ac:dyDescent="0.35">
      <c r="A425" s="121"/>
      <c r="B425" s="28"/>
      <c r="C425" s="127"/>
    </row>
    <row r="426" spans="1:3" ht="15.75" customHeight="1" x14ac:dyDescent="0.35">
      <c r="A426" s="121"/>
      <c r="B426" s="28"/>
      <c r="C426" s="127"/>
    </row>
    <row r="427" spans="1:3" ht="15.75" customHeight="1" x14ac:dyDescent="0.35">
      <c r="A427" s="121"/>
      <c r="B427" s="28"/>
      <c r="C427" s="127"/>
    </row>
    <row r="428" spans="1:3" ht="15.75" customHeight="1" x14ac:dyDescent="0.35">
      <c r="A428" s="121"/>
      <c r="B428" s="28"/>
      <c r="C428" s="127"/>
    </row>
    <row r="429" spans="1:3" ht="15.75" customHeight="1" x14ac:dyDescent="0.35">
      <c r="A429" s="121"/>
      <c r="B429" s="28"/>
      <c r="C429" s="127"/>
    </row>
    <row r="430" spans="1:3" ht="15.75" customHeight="1" x14ac:dyDescent="0.35">
      <c r="A430" s="121"/>
      <c r="B430" s="28"/>
      <c r="C430" s="127"/>
    </row>
    <row r="431" spans="1:3" ht="15.75" customHeight="1" x14ac:dyDescent="0.35">
      <c r="A431" s="121"/>
      <c r="B431" s="28"/>
      <c r="C431" s="127"/>
    </row>
    <row r="432" spans="1:3" ht="15.75" customHeight="1" x14ac:dyDescent="0.35">
      <c r="A432" s="121"/>
      <c r="B432" s="28"/>
      <c r="C432" s="127"/>
    </row>
    <row r="433" spans="1:3" ht="15.75" customHeight="1" x14ac:dyDescent="0.35">
      <c r="A433" s="121"/>
      <c r="B433" s="28"/>
      <c r="C433" s="127"/>
    </row>
    <row r="434" spans="1:3" ht="15.75" customHeight="1" x14ac:dyDescent="0.35">
      <c r="A434" s="121"/>
      <c r="B434" s="28"/>
      <c r="C434" s="127"/>
    </row>
    <row r="435" spans="1:3" ht="15.75" customHeight="1" x14ac:dyDescent="0.35">
      <c r="A435" s="121"/>
      <c r="B435" s="28"/>
      <c r="C435" s="127"/>
    </row>
    <row r="436" spans="1:3" ht="15.75" customHeight="1" x14ac:dyDescent="0.35">
      <c r="A436" s="121"/>
      <c r="B436" s="28"/>
      <c r="C436" s="127"/>
    </row>
    <row r="437" spans="1:3" ht="15.75" customHeight="1" x14ac:dyDescent="0.35">
      <c r="A437" s="121"/>
      <c r="B437" s="28"/>
      <c r="C437" s="127"/>
    </row>
    <row r="438" spans="1:3" ht="15.75" customHeight="1" x14ac:dyDescent="0.35">
      <c r="A438" s="121"/>
      <c r="B438" s="28"/>
      <c r="C438" s="127"/>
    </row>
    <row r="439" spans="1:3" ht="15.75" customHeight="1" x14ac:dyDescent="0.35">
      <c r="A439" s="121"/>
      <c r="B439" s="28"/>
      <c r="C439" s="127"/>
    </row>
    <row r="440" spans="1:3" ht="15.75" customHeight="1" x14ac:dyDescent="0.35">
      <c r="A440" s="121"/>
      <c r="B440" s="28"/>
      <c r="C440" s="127"/>
    </row>
    <row r="441" spans="1:3" ht="15.75" customHeight="1" x14ac:dyDescent="0.35">
      <c r="A441" s="121"/>
      <c r="B441" s="28"/>
      <c r="C441" s="127"/>
    </row>
    <row r="442" spans="1:3" ht="15.75" customHeight="1" x14ac:dyDescent="0.35">
      <c r="A442" s="121"/>
      <c r="B442" s="28"/>
      <c r="C442" s="127"/>
    </row>
    <row r="443" spans="1:3" ht="15.75" customHeight="1" x14ac:dyDescent="0.35">
      <c r="A443" s="121"/>
      <c r="B443" s="28"/>
      <c r="C443" s="127"/>
    </row>
    <row r="444" spans="1:3" ht="15.75" customHeight="1" x14ac:dyDescent="0.35">
      <c r="A444" s="121"/>
      <c r="B444" s="28"/>
      <c r="C444" s="127"/>
    </row>
    <row r="445" spans="1:3" ht="15.75" customHeight="1" x14ac:dyDescent="0.35">
      <c r="A445" s="121"/>
      <c r="B445" s="28"/>
      <c r="C445" s="127"/>
    </row>
    <row r="446" spans="1:3" ht="15.75" customHeight="1" x14ac:dyDescent="0.35">
      <c r="A446" s="121"/>
      <c r="B446" s="28"/>
      <c r="C446" s="127"/>
    </row>
    <row r="447" spans="1:3" ht="15.75" customHeight="1" x14ac:dyDescent="0.35">
      <c r="A447" s="121"/>
      <c r="B447" s="28"/>
      <c r="C447" s="127"/>
    </row>
    <row r="448" spans="1:3" ht="15.75" customHeight="1" x14ac:dyDescent="0.35">
      <c r="A448" s="121"/>
      <c r="B448" s="28"/>
      <c r="C448" s="127"/>
    </row>
    <row r="449" spans="1:3" ht="15.75" customHeight="1" x14ac:dyDescent="0.35">
      <c r="A449" s="121"/>
      <c r="B449" s="28"/>
      <c r="C449" s="127"/>
    </row>
    <row r="450" spans="1:3" ht="15.75" customHeight="1" x14ac:dyDescent="0.35">
      <c r="A450" s="121"/>
      <c r="B450" s="28"/>
      <c r="C450" s="127"/>
    </row>
    <row r="451" spans="1:3" ht="15.75" customHeight="1" x14ac:dyDescent="0.35">
      <c r="A451" s="121"/>
      <c r="B451" s="28"/>
      <c r="C451" s="127"/>
    </row>
    <row r="452" spans="1:3" ht="15.75" customHeight="1" x14ac:dyDescent="0.35">
      <c r="A452" s="121"/>
      <c r="B452" s="28"/>
      <c r="C452" s="127"/>
    </row>
    <row r="453" spans="1:3" ht="15.75" customHeight="1" x14ac:dyDescent="0.35">
      <c r="A453" s="121"/>
      <c r="B453" s="28"/>
      <c r="C453" s="127"/>
    </row>
    <row r="454" spans="1:3" ht="15.75" customHeight="1" x14ac:dyDescent="0.35">
      <c r="A454" s="121"/>
      <c r="B454" s="28"/>
      <c r="C454" s="127"/>
    </row>
    <row r="455" spans="1:3" ht="15.75" customHeight="1" x14ac:dyDescent="0.35">
      <c r="A455" s="121"/>
      <c r="B455" s="28"/>
      <c r="C455" s="127"/>
    </row>
    <row r="456" spans="1:3" ht="15.75" customHeight="1" x14ac:dyDescent="0.35">
      <c r="A456" s="121"/>
      <c r="B456" s="28"/>
      <c r="C456" s="127"/>
    </row>
    <row r="457" spans="1:3" ht="15.75" customHeight="1" x14ac:dyDescent="0.35">
      <c r="A457" s="121"/>
      <c r="B457" s="28"/>
      <c r="C457" s="127"/>
    </row>
    <row r="458" spans="1:3" ht="15.75" customHeight="1" x14ac:dyDescent="0.35">
      <c r="A458" s="121"/>
      <c r="B458" s="28"/>
      <c r="C458" s="127"/>
    </row>
    <row r="459" spans="1:3" ht="15.75" customHeight="1" x14ac:dyDescent="0.35">
      <c r="A459" s="121"/>
      <c r="B459" s="28"/>
      <c r="C459" s="127"/>
    </row>
    <row r="460" spans="1:3" ht="15.75" customHeight="1" x14ac:dyDescent="0.35">
      <c r="A460" s="121"/>
      <c r="B460" s="28"/>
      <c r="C460" s="127"/>
    </row>
    <row r="461" spans="1:3" ht="15.75" customHeight="1" x14ac:dyDescent="0.35">
      <c r="A461" s="121"/>
      <c r="B461" s="28"/>
      <c r="C461" s="127"/>
    </row>
    <row r="462" spans="1:3" ht="15.75" customHeight="1" x14ac:dyDescent="0.35">
      <c r="A462" s="121"/>
      <c r="B462" s="28"/>
      <c r="C462" s="127"/>
    </row>
    <row r="463" spans="1:3" ht="15.75" customHeight="1" x14ac:dyDescent="0.35">
      <c r="A463" s="121"/>
      <c r="B463" s="28"/>
      <c r="C463" s="127"/>
    </row>
    <row r="464" spans="1:3" ht="15.75" customHeight="1" x14ac:dyDescent="0.35">
      <c r="A464" s="121"/>
      <c r="B464" s="28"/>
      <c r="C464" s="127"/>
    </row>
    <row r="465" spans="1:3" ht="15.75" customHeight="1" x14ac:dyDescent="0.35">
      <c r="A465" s="121"/>
      <c r="B465" s="28"/>
      <c r="C465" s="127"/>
    </row>
    <row r="466" spans="1:3" ht="15.75" customHeight="1" x14ac:dyDescent="0.35">
      <c r="A466" s="121"/>
      <c r="B466" s="28"/>
      <c r="C466" s="127"/>
    </row>
    <row r="467" spans="1:3" ht="15.75" customHeight="1" x14ac:dyDescent="0.35">
      <c r="A467" s="121"/>
      <c r="B467" s="28"/>
      <c r="C467" s="127"/>
    </row>
    <row r="468" spans="1:3" ht="15.75" customHeight="1" x14ac:dyDescent="0.35">
      <c r="A468" s="121"/>
      <c r="B468" s="28"/>
      <c r="C468" s="127"/>
    </row>
    <row r="469" spans="1:3" ht="15.75" customHeight="1" x14ac:dyDescent="0.35">
      <c r="A469" s="121"/>
      <c r="B469" s="28"/>
      <c r="C469" s="127"/>
    </row>
    <row r="470" spans="1:3" ht="15.75" customHeight="1" x14ac:dyDescent="0.35">
      <c r="A470" s="121"/>
      <c r="B470" s="28"/>
      <c r="C470" s="127"/>
    </row>
    <row r="471" spans="1:3" ht="15.75" customHeight="1" x14ac:dyDescent="0.35">
      <c r="A471" s="121"/>
      <c r="B471" s="28"/>
      <c r="C471" s="127"/>
    </row>
    <row r="472" spans="1:3" ht="15.75" customHeight="1" x14ac:dyDescent="0.35">
      <c r="A472" s="121"/>
      <c r="B472" s="28"/>
      <c r="C472" s="127"/>
    </row>
    <row r="473" spans="1:3" ht="15.75" customHeight="1" x14ac:dyDescent="0.35">
      <c r="A473" s="121"/>
      <c r="B473" s="28"/>
      <c r="C473" s="127"/>
    </row>
    <row r="474" spans="1:3" ht="15.75" customHeight="1" x14ac:dyDescent="0.35">
      <c r="A474" s="121"/>
      <c r="B474" s="28"/>
      <c r="C474" s="127"/>
    </row>
    <row r="475" spans="1:3" ht="15.75" customHeight="1" x14ac:dyDescent="0.35">
      <c r="A475" s="121"/>
      <c r="B475" s="28"/>
      <c r="C475" s="127"/>
    </row>
    <row r="476" spans="1:3" ht="15.75" customHeight="1" x14ac:dyDescent="0.35">
      <c r="A476" s="121"/>
      <c r="B476" s="28"/>
      <c r="C476" s="127"/>
    </row>
    <row r="477" spans="1:3" ht="15.75" customHeight="1" x14ac:dyDescent="0.35">
      <c r="A477" s="121"/>
      <c r="B477" s="28"/>
      <c r="C477" s="127"/>
    </row>
    <row r="478" spans="1:3" ht="15.75" customHeight="1" x14ac:dyDescent="0.35">
      <c r="A478" s="121"/>
      <c r="B478" s="28"/>
      <c r="C478" s="127"/>
    </row>
    <row r="479" spans="1:3" ht="15.75" customHeight="1" x14ac:dyDescent="0.35">
      <c r="A479" s="121"/>
      <c r="B479" s="28"/>
      <c r="C479" s="127"/>
    </row>
    <row r="480" spans="1:3" ht="15.75" customHeight="1" x14ac:dyDescent="0.35">
      <c r="A480" s="121"/>
      <c r="B480" s="28"/>
      <c r="C480" s="127"/>
    </row>
    <row r="481" spans="1:3" ht="15.75" customHeight="1" x14ac:dyDescent="0.35">
      <c r="A481" s="121"/>
      <c r="B481" s="28"/>
      <c r="C481" s="127"/>
    </row>
    <row r="482" spans="1:3" ht="15.75" customHeight="1" x14ac:dyDescent="0.35">
      <c r="A482" s="121"/>
      <c r="B482" s="28"/>
      <c r="C482" s="127"/>
    </row>
    <row r="483" spans="1:3" ht="15.75" customHeight="1" x14ac:dyDescent="0.35">
      <c r="A483" s="121"/>
      <c r="B483" s="28"/>
      <c r="C483" s="127"/>
    </row>
    <row r="484" spans="1:3" ht="15.75" customHeight="1" x14ac:dyDescent="0.35">
      <c r="A484" s="121"/>
      <c r="B484" s="28"/>
      <c r="C484" s="127"/>
    </row>
    <row r="485" spans="1:3" ht="15.75" customHeight="1" x14ac:dyDescent="0.35">
      <c r="A485" s="121"/>
      <c r="B485" s="28"/>
      <c r="C485" s="127"/>
    </row>
    <row r="486" spans="1:3" ht="15.75" customHeight="1" x14ac:dyDescent="0.35">
      <c r="A486" s="121"/>
      <c r="B486" s="28"/>
      <c r="C486" s="127"/>
    </row>
    <row r="487" spans="1:3" ht="15.75" customHeight="1" x14ac:dyDescent="0.35">
      <c r="A487" s="121"/>
      <c r="B487" s="28"/>
      <c r="C487" s="127"/>
    </row>
    <row r="488" spans="1:3" ht="15.75" customHeight="1" x14ac:dyDescent="0.35">
      <c r="A488" s="121"/>
      <c r="B488" s="28"/>
      <c r="C488" s="127"/>
    </row>
    <row r="489" spans="1:3" ht="15.75" customHeight="1" x14ac:dyDescent="0.35">
      <c r="A489" s="121"/>
      <c r="B489" s="28"/>
      <c r="C489" s="127"/>
    </row>
    <row r="490" spans="1:3" ht="15.75" customHeight="1" x14ac:dyDescent="0.35">
      <c r="A490" s="121"/>
      <c r="B490" s="28"/>
      <c r="C490" s="127"/>
    </row>
    <row r="491" spans="1:3" ht="15.75" customHeight="1" x14ac:dyDescent="0.35">
      <c r="A491" s="121"/>
      <c r="B491" s="28"/>
      <c r="C491" s="127"/>
    </row>
    <row r="492" spans="1:3" ht="15.75" customHeight="1" x14ac:dyDescent="0.35">
      <c r="A492" s="121"/>
      <c r="B492" s="28"/>
      <c r="C492" s="127"/>
    </row>
    <row r="493" spans="1:3" ht="15.75" customHeight="1" x14ac:dyDescent="0.35">
      <c r="A493" s="121"/>
      <c r="B493" s="28"/>
      <c r="C493" s="127"/>
    </row>
    <row r="494" spans="1:3" ht="15.75" customHeight="1" x14ac:dyDescent="0.35">
      <c r="A494" s="121"/>
      <c r="B494" s="28"/>
      <c r="C494" s="127"/>
    </row>
    <row r="495" spans="1:3" ht="15.75" customHeight="1" x14ac:dyDescent="0.35">
      <c r="A495" s="121"/>
      <c r="B495" s="28"/>
      <c r="C495" s="127"/>
    </row>
    <row r="496" spans="1:3" ht="15.75" customHeight="1" x14ac:dyDescent="0.35">
      <c r="A496" s="121"/>
      <c r="B496" s="28"/>
      <c r="C496" s="127"/>
    </row>
    <row r="497" spans="1:3" ht="15.75" customHeight="1" x14ac:dyDescent="0.35">
      <c r="A497" s="121"/>
      <c r="B497" s="28"/>
      <c r="C497" s="127"/>
    </row>
    <row r="498" spans="1:3" ht="15.75" customHeight="1" x14ac:dyDescent="0.35">
      <c r="A498" s="121"/>
      <c r="B498" s="28"/>
      <c r="C498" s="127"/>
    </row>
    <row r="499" spans="1:3" ht="15.75" customHeight="1" x14ac:dyDescent="0.35">
      <c r="A499" s="121"/>
      <c r="B499" s="28"/>
      <c r="C499" s="127"/>
    </row>
    <row r="500" spans="1:3" ht="15.75" customHeight="1" x14ac:dyDescent="0.35">
      <c r="A500" s="121"/>
      <c r="B500" s="28"/>
      <c r="C500" s="127"/>
    </row>
    <row r="501" spans="1:3" ht="15.75" customHeight="1" x14ac:dyDescent="0.35">
      <c r="A501" s="121"/>
      <c r="B501" s="28"/>
      <c r="C501" s="127"/>
    </row>
    <row r="502" spans="1:3" ht="15.75" customHeight="1" x14ac:dyDescent="0.35">
      <c r="A502" s="121"/>
      <c r="B502" s="28"/>
      <c r="C502" s="127"/>
    </row>
    <row r="503" spans="1:3" ht="15.75" customHeight="1" x14ac:dyDescent="0.35">
      <c r="A503" s="121"/>
      <c r="B503" s="28"/>
      <c r="C503" s="127"/>
    </row>
    <row r="504" spans="1:3" ht="15.75" customHeight="1" x14ac:dyDescent="0.35">
      <c r="A504" s="121"/>
      <c r="B504" s="28"/>
      <c r="C504" s="127"/>
    </row>
    <row r="505" spans="1:3" ht="15.75" customHeight="1" x14ac:dyDescent="0.35">
      <c r="A505" s="121"/>
      <c r="B505" s="28"/>
      <c r="C505" s="127"/>
    </row>
    <row r="506" spans="1:3" ht="15.75" customHeight="1" x14ac:dyDescent="0.35">
      <c r="A506" s="121"/>
      <c r="B506" s="28"/>
      <c r="C506" s="127"/>
    </row>
    <row r="507" spans="1:3" ht="15.75" customHeight="1" x14ac:dyDescent="0.35">
      <c r="A507" s="121"/>
      <c r="B507" s="28"/>
      <c r="C507" s="127"/>
    </row>
    <row r="508" spans="1:3" ht="15.75" customHeight="1" x14ac:dyDescent="0.35">
      <c r="A508" s="121"/>
      <c r="B508" s="28"/>
      <c r="C508" s="127"/>
    </row>
    <row r="509" spans="1:3" ht="15.75" customHeight="1" x14ac:dyDescent="0.35">
      <c r="A509" s="121"/>
      <c r="B509" s="28"/>
      <c r="C509" s="127"/>
    </row>
    <row r="510" spans="1:3" ht="15.75" customHeight="1" x14ac:dyDescent="0.35">
      <c r="A510" s="121"/>
      <c r="B510" s="28"/>
      <c r="C510" s="127"/>
    </row>
    <row r="511" spans="1:3" ht="15.75" customHeight="1" x14ac:dyDescent="0.35">
      <c r="A511" s="121"/>
      <c r="B511" s="28"/>
      <c r="C511" s="127"/>
    </row>
    <row r="512" spans="1:3" ht="15.75" customHeight="1" x14ac:dyDescent="0.35">
      <c r="A512" s="121"/>
      <c r="B512" s="28"/>
      <c r="C512" s="127"/>
    </row>
    <row r="513" spans="1:3" ht="15.75" customHeight="1" x14ac:dyDescent="0.35">
      <c r="A513" s="121"/>
      <c r="B513" s="28"/>
      <c r="C513" s="127"/>
    </row>
    <row r="514" spans="1:3" ht="15.75" customHeight="1" x14ac:dyDescent="0.35">
      <c r="A514" s="121"/>
      <c r="B514" s="28"/>
      <c r="C514" s="127"/>
    </row>
    <row r="515" spans="1:3" ht="15.75" customHeight="1" x14ac:dyDescent="0.35">
      <c r="A515" s="121"/>
      <c r="B515" s="28"/>
      <c r="C515" s="127"/>
    </row>
    <row r="516" spans="1:3" ht="15.75" customHeight="1" x14ac:dyDescent="0.35">
      <c r="A516" s="121"/>
      <c r="B516" s="28"/>
      <c r="C516" s="127"/>
    </row>
    <row r="517" spans="1:3" ht="15.75" customHeight="1" x14ac:dyDescent="0.35">
      <c r="A517" s="121"/>
      <c r="B517" s="28"/>
      <c r="C517" s="127"/>
    </row>
    <row r="518" spans="1:3" ht="15.75" customHeight="1" x14ac:dyDescent="0.35">
      <c r="A518" s="121"/>
      <c r="B518" s="28"/>
      <c r="C518" s="127"/>
    </row>
    <row r="519" spans="1:3" ht="15.75" customHeight="1" x14ac:dyDescent="0.35">
      <c r="A519" s="121"/>
      <c r="B519" s="28"/>
      <c r="C519" s="127"/>
    </row>
    <row r="520" spans="1:3" ht="15.75" customHeight="1" x14ac:dyDescent="0.35">
      <c r="A520" s="121"/>
      <c r="B520" s="28"/>
      <c r="C520" s="127"/>
    </row>
    <row r="521" spans="1:3" ht="15.75" customHeight="1" x14ac:dyDescent="0.35">
      <c r="A521" s="121"/>
      <c r="B521" s="28"/>
      <c r="C521" s="127"/>
    </row>
    <row r="522" spans="1:3" ht="15.75" customHeight="1" x14ac:dyDescent="0.35">
      <c r="A522" s="121"/>
      <c r="B522" s="28"/>
      <c r="C522" s="127"/>
    </row>
    <row r="523" spans="1:3" ht="15.75" customHeight="1" x14ac:dyDescent="0.35">
      <c r="A523" s="121"/>
      <c r="B523" s="28"/>
      <c r="C523" s="127"/>
    </row>
    <row r="524" spans="1:3" ht="15.75" customHeight="1" x14ac:dyDescent="0.35">
      <c r="A524" s="121"/>
      <c r="B524" s="28"/>
      <c r="C524" s="127"/>
    </row>
    <row r="525" spans="1:3" ht="15.75" customHeight="1" x14ac:dyDescent="0.35">
      <c r="A525" s="121"/>
      <c r="B525" s="28"/>
      <c r="C525" s="127"/>
    </row>
    <row r="526" spans="1:3" ht="15.75" customHeight="1" x14ac:dyDescent="0.35">
      <c r="A526" s="121"/>
      <c r="B526" s="28"/>
      <c r="C526" s="127"/>
    </row>
    <row r="527" spans="1:3" ht="15.75" customHeight="1" x14ac:dyDescent="0.35">
      <c r="A527" s="121"/>
      <c r="B527" s="28"/>
      <c r="C527" s="127"/>
    </row>
    <row r="528" spans="1:3" ht="15.75" customHeight="1" x14ac:dyDescent="0.35">
      <c r="A528" s="121"/>
      <c r="B528" s="28"/>
      <c r="C528" s="127"/>
    </row>
    <row r="529" spans="1:3" ht="15.75" customHeight="1" x14ac:dyDescent="0.35">
      <c r="A529" s="121"/>
      <c r="B529" s="28"/>
      <c r="C529" s="127"/>
    </row>
    <row r="530" spans="1:3" ht="15.75" customHeight="1" x14ac:dyDescent="0.35">
      <c r="A530" s="121"/>
      <c r="B530" s="28"/>
      <c r="C530" s="127"/>
    </row>
    <row r="531" spans="1:3" ht="15.75" customHeight="1" x14ac:dyDescent="0.35">
      <c r="A531" s="121"/>
      <c r="B531" s="28"/>
      <c r="C531" s="127"/>
    </row>
    <row r="532" spans="1:3" ht="15.75" customHeight="1" x14ac:dyDescent="0.35">
      <c r="A532" s="121"/>
      <c r="B532" s="28"/>
      <c r="C532" s="127"/>
    </row>
    <row r="533" spans="1:3" ht="15.75" customHeight="1" x14ac:dyDescent="0.35">
      <c r="A533" s="121"/>
      <c r="B533" s="28"/>
      <c r="C533" s="127"/>
    </row>
    <row r="534" spans="1:3" ht="15.75" customHeight="1" x14ac:dyDescent="0.35">
      <c r="A534" s="121"/>
      <c r="B534" s="28"/>
      <c r="C534" s="127"/>
    </row>
    <row r="535" spans="1:3" ht="15.75" customHeight="1" x14ac:dyDescent="0.35">
      <c r="A535" s="121"/>
      <c r="B535" s="28"/>
      <c r="C535" s="127"/>
    </row>
    <row r="536" spans="1:3" ht="15.75" customHeight="1" x14ac:dyDescent="0.35">
      <c r="A536" s="121"/>
      <c r="B536" s="28"/>
      <c r="C536" s="127"/>
    </row>
    <row r="537" spans="1:3" ht="15.75" customHeight="1" x14ac:dyDescent="0.35">
      <c r="A537" s="121"/>
      <c r="B537" s="28"/>
      <c r="C537" s="127"/>
    </row>
    <row r="538" spans="1:3" ht="15.75" customHeight="1" x14ac:dyDescent="0.35">
      <c r="A538" s="121"/>
      <c r="B538" s="28"/>
      <c r="C538" s="127"/>
    </row>
    <row r="539" spans="1:3" ht="15.75" customHeight="1" x14ac:dyDescent="0.35">
      <c r="A539" s="121"/>
      <c r="B539" s="28"/>
      <c r="C539" s="127"/>
    </row>
    <row r="540" spans="1:3" ht="15.75" customHeight="1" x14ac:dyDescent="0.35">
      <c r="A540" s="121"/>
      <c r="B540" s="28"/>
      <c r="C540" s="127"/>
    </row>
    <row r="541" spans="1:3" ht="15.75" customHeight="1" x14ac:dyDescent="0.35">
      <c r="A541" s="121"/>
      <c r="B541" s="28"/>
      <c r="C541" s="127"/>
    </row>
    <row r="542" spans="1:3" ht="15.75" customHeight="1" x14ac:dyDescent="0.35">
      <c r="A542" s="121"/>
      <c r="B542" s="28"/>
      <c r="C542" s="127"/>
    </row>
    <row r="543" spans="1:3" ht="15.75" customHeight="1" x14ac:dyDescent="0.35">
      <c r="A543" s="121"/>
      <c r="B543" s="28"/>
      <c r="C543" s="127"/>
    </row>
    <row r="544" spans="1:3" ht="15.75" customHeight="1" x14ac:dyDescent="0.35">
      <c r="A544" s="121"/>
      <c r="B544" s="28"/>
      <c r="C544" s="127"/>
    </row>
    <row r="545" spans="1:3" ht="15.75" customHeight="1" x14ac:dyDescent="0.35">
      <c r="A545" s="121"/>
      <c r="B545" s="28"/>
      <c r="C545" s="127"/>
    </row>
    <row r="546" spans="1:3" ht="15.75" customHeight="1" x14ac:dyDescent="0.35">
      <c r="A546" s="121"/>
      <c r="B546" s="28"/>
      <c r="C546" s="127"/>
    </row>
    <row r="547" spans="1:3" ht="15.75" customHeight="1" x14ac:dyDescent="0.35">
      <c r="A547" s="121"/>
      <c r="B547" s="28"/>
      <c r="C547" s="127"/>
    </row>
    <row r="548" spans="1:3" ht="15.75" customHeight="1" x14ac:dyDescent="0.35">
      <c r="A548" s="121"/>
      <c r="B548" s="28"/>
      <c r="C548" s="127"/>
    </row>
    <row r="549" spans="1:3" ht="15.75" customHeight="1" x14ac:dyDescent="0.35">
      <c r="A549" s="121"/>
      <c r="B549" s="28"/>
      <c r="C549" s="127"/>
    </row>
    <row r="550" spans="1:3" ht="15.75" customHeight="1" x14ac:dyDescent="0.35">
      <c r="A550" s="121"/>
      <c r="B550" s="28"/>
      <c r="C550" s="127"/>
    </row>
    <row r="551" spans="1:3" ht="15.75" customHeight="1" x14ac:dyDescent="0.35">
      <c r="A551" s="121"/>
      <c r="B551" s="28"/>
      <c r="C551" s="127"/>
    </row>
    <row r="552" spans="1:3" ht="15.75" customHeight="1" x14ac:dyDescent="0.35">
      <c r="A552" s="121"/>
      <c r="B552" s="28"/>
      <c r="C552" s="127"/>
    </row>
    <row r="553" spans="1:3" ht="15.75" customHeight="1" x14ac:dyDescent="0.35">
      <c r="A553" s="121"/>
      <c r="B553" s="28"/>
      <c r="C553" s="127"/>
    </row>
    <row r="554" spans="1:3" ht="15.75" customHeight="1" x14ac:dyDescent="0.35">
      <c r="A554" s="121"/>
      <c r="B554" s="28"/>
      <c r="C554" s="127"/>
    </row>
    <row r="555" spans="1:3" ht="15.75" customHeight="1" x14ac:dyDescent="0.35">
      <c r="A555" s="121"/>
      <c r="B555" s="28"/>
      <c r="C555" s="127"/>
    </row>
    <row r="556" spans="1:3" ht="15.75" customHeight="1" x14ac:dyDescent="0.35">
      <c r="A556" s="121"/>
      <c r="B556" s="28"/>
      <c r="C556" s="127"/>
    </row>
    <row r="557" spans="1:3" ht="15.75" customHeight="1" x14ac:dyDescent="0.35">
      <c r="A557" s="121"/>
      <c r="B557" s="28"/>
      <c r="C557" s="127"/>
    </row>
    <row r="558" spans="1:3" ht="15.75" customHeight="1" x14ac:dyDescent="0.35">
      <c r="A558" s="121"/>
      <c r="B558" s="28"/>
      <c r="C558" s="127"/>
    </row>
    <row r="559" spans="1:3" ht="15.75" customHeight="1" x14ac:dyDescent="0.35">
      <c r="A559" s="121"/>
      <c r="B559" s="28"/>
      <c r="C559" s="127"/>
    </row>
    <row r="560" spans="1:3" ht="15.75" customHeight="1" x14ac:dyDescent="0.35">
      <c r="A560" s="121"/>
      <c r="B560" s="28"/>
      <c r="C560" s="127"/>
    </row>
    <row r="561" spans="1:3" ht="15.75" customHeight="1" x14ac:dyDescent="0.35">
      <c r="A561" s="121"/>
      <c r="B561" s="28"/>
      <c r="C561" s="127"/>
    </row>
    <row r="562" spans="1:3" ht="15.75" customHeight="1" x14ac:dyDescent="0.35">
      <c r="A562" s="121"/>
      <c r="B562" s="28"/>
      <c r="C562" s="127"/>
    </row>
    <row r="563" spans="1:3" ht="15.75" customHeight="1" x14ac:dyDescent="0.35">
      <c r="A563" s="121"/>
      <c r="B563" s="28"/>
      <c r="C563" s="127"/>
    </row>
    <row r="564" spans="1:3" ht="15.75" customHeight="1" x14ac:dyDescent="0.35">
      <c r="A564" s="121"/>
      <c r="B564" s="28"/>
      <c r="C564" s="127"/>
    </row>
    <row r="565" spans="1:3" ht="15.75" customHeight="1" x14ac:dyDescent="0.35">
      <c r="A565" s="121"/>
      <c r="B565" s="28"/>
      <c r="C565" s="127"/>
    </row>
    <row r="566" spans="1:3" ht="15.75" customHeight="1" x14ac:dyDescent="0.35">
      <c r="A566" s="121"/>
      <c r="B566" s="28"/>
      <c r="C566" s="127"/>
    </row>
    <row r="567" spans="1:3" ht="15.75" customHeight="1" x14ac:dyDescent="0.35">
      <c r="A567" s="121"/>
      <c r="B567" s="28"/>
      <c r="C567" s="127"/>
    </row>
    <row r="568" spans="1:3" ht="15.75" customHeight="1" x14ac:dyDescent="0.35">
      <c r="A568" s="121"/>
      <c r="B568" s="28"/>
      <c r="C568" s="127"/>
    </row>
    <row r="569" spans="1:3" ht="15.75" customHeight="1" x14ac:dyDescent="0.35">
      <c r="A569" s="121"/>
      <c r="B569" s="28"/>
      <c r="C569" s="127"/>
    </row>
    <row r="570" spans="1:3" ht="15.75" customHeight="1" x14ac:dyDescent="0.35">
      <c r="A570" s="121"/>
      <c r="B570" s="28"/>
      <c r="C570" s="127"/>
    </row>
    <row r="571" spans="1:3" ht="15.75" customHeight="1" x14ac:dyDescent="0.35">
      <c r="A571" s="121"/>
      <c r="B571" s="28"/>
      <c r="C571" s="127"/>
    </row>
    <row r="572" spans="1:3" ht="15.75" customHeight="1" x14ac:dyDescent="0.35">
      <c r="A572" s="121"/>
      <c r="B572" s="28"/>
      <c r="C572" s="127"/>
    </row>
    <row r="573" spans="1:3" ht="15.75" customHeight="1" x14ac:dyDescent="0.35">
      <c r="A573" s="121"/>
      <c r="B573" s="28"/>
      <c r="C573" s="127"/>
    </row>
    <row r="574" spans="1:3" ht="15.75" customHeight="1" x14ac:dyDescent="0.35">
      <c r="A574" s="121"/>
      <c r="B574" s="28"/>
      <c r="C574" s="127"/>
    </row>
    <row r="575" spans="1:3" ht="15.75" customHeight="1" x14ac:dyDescent="0.35">
      <c r="A575" s="121"/>
      <c r="B575" s="28"/>
      <c r="C575" s="127"/>
    </row>
    <row r="576" spans="1:3" ht="15.75" customHeight="1" x14ac:dyDescent="0.35">
      <c r="A576" s="121"/>
      <c r="B576" s="28"/>
      <c r="C576" s="127"/>
    </row>
    <row r="577" spans="1:3" ht="15.75" customHeight="1" x14ac:dyDescent="0.35">
      <c r="A577" s="121"/>
      <c r="B577" s="28"/>
      <c r="C577" s="127"/>
    </row>
    <row r="578" spans="1:3" ht="15.75" customHeight="1" x14ac:dyDescent="0.35">
      <c r="A578" s="121"/>
      <c r="B578" s="28"/>
      <c r="C578" s="127"/>
    </row>
    <row r="579" spans="1:3" ht="15.75" customHeight="1" x14ac:dyDescent="0.35">
      <c r="A579" s="121"/>
      <c r="B579" s="28"/>
      <c r="C579" s="127"/>
    </row>
    <row r="580" spans="1:3" ht="15.75" customHeight="1" x14ac:dyDescent="0.35">
      <c r="A580" s="121"/>
      <c r="B580" s="28"/>
      <c r="C580" s="127"/>
    </row>
    <row r="581" spans="1:3" ht="15.75" customHeight="1" x14ac:dyDescent="0.35">
      <c r="A581" s="121"/>
      <c r="B581" s="28"/>
      <c r="C581" s="127"/>
    </row>
    <row r="582" spans="1:3" ht="15.75" customHeight="1" x14ac:dyDescent="0.35">
      <c r="A582" s="121"/>
      <c r="B582" s="28"/>
      <c r="C582" s="127"/>
    </row>
    <row r="583" spans="1:3" ht="15.75" customHeight="1" x14ac:dyDescent="0.35">
      <c r="A583" s="121"/>
      <c r="B583" s="28"/>
      <c r="C583" s="127"/>
    </row>
    <row r="584" spans="1:3" ht="15.75" customHeight="1" x14ac:dyDescent="0.35">
      <c r="A584" s="121"/>
      <c r="B584" s="28"/>
      <c r="C584" s="127"/>
    </row>
    <row r="585" spans="1:3" ht="15.75" customHeight="1" x14ac:dyDescent="0.35">
      <c r="A585" s="121"/>
      <c r="B585" s="28"/>
      <c r="C585" s="127"/>
    </row>
    <row r="586" spans="1:3" ht="15.75" customHeight="1" x14ac:dyDescent="0.35">
      <c r="A586" s="121"/>
      <c r="B586" s="28"/>
      <c r="C586" s="127"/>
    </row>
    <row r="587" spans="1:3" ht="15.75" customHeight="1" x14ac:dyDescent="0.35">
      <c r="A587" s="121"/>
      <c r="B587" s="28"/>
      <c r="C587" s="127"/>
    </row>
    <row r="588" spans="1:3" ht="15.75" customHeight="1" x14ac:dyDescent="0.35">
      <c r="A588" s="121"/>
      <c r="B588" s="28"/>
      <c r="C588" s="127"/>
    </row>
    <row r="589" spans="1:3" ht="15.75" customHeight="1" x14ac:dyDescent="0.35">
      <c r="A589" s="121"/>
      <c r="B589" s="28"/>
      <c r="C589" s="127"/>
    </row>
    <row r="590" spans="1:3" ht="15.75" customHeight="1" x14ac:dyDescent="0.35">
      <c r="A590" s="121"/>
      <c r="B590" s="28"/>
      <c r="C590" s="127"/>
    </row>
    <row r="591" spans="1:3" ht="15.75" customHeight="1" x14ac:dyDescent="0.35">
      <c r="A591" s="121"/>
      <c r="B591" s="28"/>
      <c r="C591" s="127"/>
    </row>
    <row r="592" spans="1:3" ht="15.75" customHeight="1" x14ac:dyDescent="0.35">
      <c r="A592" s="121"/>
      <c r="B592" s="28"/>
      <c r="C592" s="127"/>
    </row>
    <row r="593" spans="1:3" ht="15.75" customHeight="1" x14ac:dyDescent="0.35">
      <c r="A593" s="121"/>
      <c r="B593" s="28"/>
      <c r="C593" s="127"/>
    </row>
    <row r="594" spans="1:3" ht="15.75" customHeight="1" x14ac:dyDescent="0.35">
      <c r="A594" s="121"/>
      <c r="B594" s="28"/>
      <c r="C594" s="127"/>
    </row>
    <row r="595" spans="1:3" ht="15.75" customHeight="1" x14ac:dyDescent="0.35">
      <c r="A595" s="121"/>
      <c r="B595" s="28"/>
      <c r="C595" s="127"/>
    </row>
    <row r="596" spans="1:3" ht="15.75" customHeight="1" x14ac:dyDescent="0.35">
      <c r="A596" s="121"/>
      <c r="B596" s="28"/>
      <c r="C596" s="127"/>
    </row>
    <row r="597" spans="1:3" ht="15.75" customHeight="1" x14ac:dyDescent="0.35">
      <c r="A597" s="121"/>
      <c r="B597" s="28"/>
      <c r="C597" s="127"/>
    </row>
    <row r="598" spans="1:3" ht="15.75" customHeight="1" x14ac:dyDescent="0.35">
      <c r="A598" s="121"/>
      <c r="B598" s="28"/>
      <c r="C598" s="127"/>
    </row>
    <row r="599" spans="1:3" ht="15.75" customHeight="1" x14ac:dyDescent="0.35">
      <c r="A599" s="121"/>
      <c r="B599" s="28"/>
      <c r="C599" s="127"/>
    </row>
    <row r="600" spans="1:3" ht="15.75" customHeight="1" x14ac:dyDescent="0.35">
      <c r="A600" s="121"/>
      <c r="B600" s="28"/>
      <c r="C600" s="127"/>
    </row>
    <row r="601" spans="1:3" ht="15.75" customHeight="1" x14ac:dyDescent="0.35">
      <c r="A601" s="121"/>
      <c r="B601" s="28"/>
      <c r="C601" s="127"/>
    </row>
    <row r="602" spans="1:3" ht="15.75" customHeight="1" x14ac:dyDescent="0.35">
      <c r="A602" s="121"/>
      <c r="B602" s="28"/>
      <c r="C602" s="127"/>
    </row>
    <row r="603" spans="1:3" ht="15.75" customHeight="1" x14ac:dyDescent="0.35">
      <c r="A603" s="121"/>
      <c r="B603" s="28"/>
      <c r="C603" s="127"/>
    </row>
    <row r="604" spans="1:3" ht="15.75" customHeight="1" x14ac:dyDescent="0.35">
      <c r="A604" s="121"/>
      <c r="B604" s="28"/>
      <c r="C604" s="127"/>
    </row>
    <row r="605" spans="1:3" ht="15.75" customHeight="1" x14ac:dyDescent="0.35">
      <c r="A605" s="121"/>
      <c r="B605" s="28"/>
      <c r="C605" s="127"/>
    </row>
    <row r="606" spans="1:3" ht="15.75" customHeight="1" x14ac:dyDescent="0.35">
      <c r="A606" s="121"/>
      <c r="B606" s="28"/>
      <c r="C606" s="127"/>
    </row>
    <row r="607" spans="1:3" ht="15.75" customHeight="1" x14ac:dyDescent="0.35">
      <c r="A607" s="121"/>
      <c r="B607" s="28"/>
      <c r="C607" s="127"/>
    </row>
  </sheetData>
  <mergeCells count="2">
    <mergeCell ref="A1:D1"/>
    <mergeCell ref="D2:L2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CF05-7E16-4003-8586-99DD0F6FF07C}">
  <dimension ref="A1:AY520"/>
  <sheetViews>
    <sheetView zoomScale="80" zoomScaleNormal="80" workbookViewId="0">
      <pane xSplit="3" ySplit="2" topLeftCell="D3" activePane="bottomRight" state="frozen"/>
      <selection pane="topRight" activeCell="F1" sqref="F1"/>
      <selection pane="bottomLeft" activeCell="A4" sqref="A4"/>
      <selection pane="bottomRight" activeCell="C5" sqref="C5"/>
    </sheetView>
  </sheetViews>
  <sheetFormatPr defaultColWidth="14.42578125" defaultRowHeight="17.25" x14ac:dyDescent="0.35"/>
  <cols>
    <col min="1" max="1" width="4.7109375" style="24" customWidth="1"/>
    <col min="2" max="2" width="19.5703125" style="86" customWidth="1"/>
    <col min="3" max="3" width="22.85546875" style="97" customWidth="1"/>
    <col min="4" max="4" width="23.85546875" style="24" customWidth="1"/>
    <col min="5" max="16384" width="14.42578125" style="24"/>
  </cols>
  <sheetData>
    <row r="1" spans="1:51" ht="23.25" x14ac:dyDescent="0.35">
      <c r="A1" s="35" t="s">
        <v>29</v>
      </c>
      <c r="B1" s="81"/>
      <c r="C1" s="87"/>
    </row>
    <row r="2" spans="1:51" ht="66.599999999999994" customHeight="1" x14ac:dyDescent="0.35">
      <c r="A2" s="25"/>
      <c r="B2" s="82" t="s">
        <v>22</v>
      </c>
      <c r="C2" s="88" t="s">
        <v>23</v>
      </c>
      <c r="D2" s="24">
        <v>63.25</v>
      </c>
    </row>
    <row r="3" spans="1:51" ht="19.899999999999999" customHeight="1" x14ac:dyDescent="0.35">
      <c r="A3" s="25"/>
      <c r="B3" s="82"/>
      <c r="C3" s="88"/>
    </row>
    <row r="4" spans="1:51" ht="19.899999999999999" customHeight="1" x14ac:dyDescent="0.35">
      <c r="A4" s="25"/>
      <c r="B4" s="83">
        <v>46023</v>
      </c>
      <c r="C4" s="89" t="e">
        <f>+' EXPENSES'!#REF!</f>
        <v>#REF!</v>
      </c>
      <c r="D4" s="98" t="e">
        <f>+C4/$D$2</f>
        <v>#REF!</v>
      </c>
    </row>
    <row r="5" spans="1:51" ht="19.5" customHeight="1" x14ac:dyDescent="0.35">
      <c r="A5" s="74"/>
      <c r="B5" s="83">
        <v>46055</v>
      </c>
      <c r="C5" s="90"/>
      <c r="D5" s="98">
        <f t="shared" ref="D5:D15" si="0">+C5/$D$2</f>
        <v>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1" ht="19.5" customHeight="1" x14ac:dyDescent="0.35">
      <c r="A6" s="26"/>
      <c r="B6" s="83">
        <v>46087</v>
      </c>
      <c r="C6" s="91"/>
      <c r="D6" s="98">
        <f t="shared" si="0"/>
        <v>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51" ht="19.5" customHeight="1" x14ac:dyDescent="0.35">
      <c r="A7" s="26"/>
      <c r="B7" s="83">
        <v>46119</v>
      </c>
      <c r="C7" s="90"/>
      <c r="D7" s="98">
        <f t="shared" si="0"/>
        <v>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 ht="19.5" customHeight="1" x14ac:dyDescent="0.35">
      <c r="A8" s="26"/>
      <c r="B8" s="83">
        <v>46151</v>
      </c>
      <c r="C8" s="90"/>
      <c r="D8" s="98">
        <f t="shared" si="0"/>
        <v>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ht="19.5" customHeight="1" x14ac:dyDescent="0.35">
      <c r="A9" s="26"/>
      <c r="B9" s="83">
        <v>46183</v>
      </c>
      <c r="C9" s="91"/>
      <c r="D9" s="98">
        <f t="shared" si="0"/>
        <v>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ht="19.5" customHeight="1" x14ac:dyDescent="0.35">
      <c r="A10" s="26"/>
      <c r="B10" s="83">
        <v>46215</v>
      </c>
      <c r="C10" s="90"/>
      <c r="D10" s="98">
        <f t="shared" si="0"/>
        <v>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ht="19.5" customHeight="1" x14ac:dyDescent="0.35">
      <c r="A11" s="26"/>
      <c r="B11" s="83">
        <v>46247</v>
      </c>
      <c r="C11" s="90"/>
      <c r="D11" s="98">
        <f t="shared" si="0"/>
        <v>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ht="19.5" customHeight="1" x14ac:dyDescent="0.35">
      <c r="A12" s="26"/>
      <c r="B12" s="83">
        <v>46279</v>
      </c>
      <c r="C12" s="91"/>
      <c r="D12" s="98">
        <f t="shared" si="0"/>
        <v>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ht="19.5" customHeight="1" x14ac:dyDescent="0.35">
      <c r="A13" s="26"/>
      <c r="B13" s="83">
        <v>46311</v>
      </c>
      <c r="C13" s="90"/>
      <c r="D13" s="98">
        <f t="shared" si="0"/>
        <v>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ht="19.5" customHeight="1" x14ac:dyDescent="0.35">
      <c r="A14" s="26"/>
      <c r="B14" s="83">
        <v>46343</v>
      </c>
      <c r="C14" s="91"/>
      <c r="D14" s="98">
        <f t="shared" si="0"/>
        <v>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ht="19.5" customHeight="1" x14ac:dyDescent="0.35">
      <c r="A15" s="26"/>
      <c r="B15" s="83">
        <v>46375</v>
      </c>
      <c r="C15" s="92"/>
      <c r="D15" s="98">
        <f t="shared" si="0"/>
        <v>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ht="19.5" customHeight="1" thickBot="1" x14ac:dyDescent="0.4">
      <c r="A16" s="26"/>
      <c r="B16" s="84"/>
      <c r="C16" s="93" t="e">
        <f>SUM(C4:C15)</f>
        <v>#REF!</v>
      </c>
      <c r="D16" s="99" t="e">
        <f>SUM(D4:D15)</f>
        <v>#REF!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ht="19.5" customHeight="1" thickTop="1" x14ac:dyDescent="0.35">
      <c r="A17" s="26"/>
      <c r="B17" s="84"/>
      <c r="C17" s="94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ht="29.45" customHeight="1" x14ac:dyDescent="0.35">
      <c r="A18" s="26"/>
      <c r="B18" s="84" t="s">
        <v>24</v>
      </c>
      <c r="C18" s="95" t="e">
        <f>+C16/9</f>
        <v>#REF!</v>
      </c>
      <c r="D18" s="100" t="e">
        <f>+D16/9</f>
        <v>#REF!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ht="15.75" customHeight="1" x14ac:dyDescent="0.35">
      <c r="A19" s="28"/>
      <c r="B19" s="85"/>
      <c r="C19" s="96"/>
    </row>
    <row r="20" spans="1:51" ht="15.75" customHeight="1" x14ac:dyDescent="0.35">
      <c r="A20" s="28"/>
      <c r="B20" s="85"/>
      <c r="C20" s="96"/>
    </row>
    <row r="21" spans="1:51" ht="15.75" customHeight="1" x14ac:dyDescent="0.35">
      <c r="A21" s="28"/>
      <c r="B21" s="85"/>
      <c r="C21" s="96"/>
    </row>
    <row r="22" spans="1:51" ht="15.75" customHeight="1" x14ac:dyDescent="0.35">
      <c r="A22" s="28"/>
      <c r="B22" s="85"/>
      <c r="C22" s="96"/>
    </row>
    <row r="23" spans="1:51" ht="15.75" customHeight="1" x14ac:dyDescent="0.35">
      <c r="A23" s="28"/>
      <c r="B23" s="85"/>
      <c r="C23" s="96"/>
    </row>
    <row r="24" spans="1:51" ht="15.75" customHeight="1" x14ac:dyDescent="0.35">
      <c r="A24" s="28"/>
      <c r="B24" s="85"/>
      <c r="C24" s="96"/>
    </row>
    <row r="25" spans="1:51" ht="15.75" customHeight="1" x14ac:dyDescent="0.35">
      <c r="A25" s="28"/>
      <c r="B25" s="85"/>
      <c r="C25" s="96"/>
    </row>
    <row r="26" spans="1:51" ht="15.75" customHeight="1" x14ac:dyDescent="0.35">
      <c r="A26" s="28"/>
      <c r="B26" s="85"/>
      <c r="C26" s="96"/>
    </row>
    <row r="27" spans="1:51" ht="15.75" customHeight="1" x14ac:dyDescent="0.35">
      <c r="A27" s="28"/>
      <c r="B27" s="85"/>
      <c r="C27" s="96"/>
    </row>
    <row r="28" spans="1:51" ht="15.75" customHeight="1" x14ac:dyDescent="0.35">
      <c r="A28" s="28"/>
      <c r="B28" s="85"/>
      <c r="C28" s="96"/>
    </row>
    <row r="29" spans="1:51" ht="15.75" customHeight="1" x14ac:dyDescent="0.35">
      <c r="A29" s="28"/>
      <c r="B29" s="85"/>
      <c r="C29" s="96"/>
    </row>
    <row r="30" spans="1:51" ht="15.75" customHeight="1" x14ac:dyDescent="0.35">
      <c r="A30" s="28"/>
      <c r="B30" s="85"/>
      <c r="C30" s="96"/>
    </row>
    <row r="31" spans="1:51" ht="15.75" customHeight="1" x14ac:dyDescent="0.35">
      <c r="A31" s="28"/>
      <c r="B31" s="85"/>
      <c r="C31" s="96"/>
    </row>
    <row r="32" spans="1:51" ht="15.75" customHeight="1" x14ac:dyDescent="0.35">
      <c r="A32" s="28"/>
      <c r="B32" s="85"/>
      <c r="C32" s="96"/>
    </row>
    <row r="33" spans="1:3" ht="15.75" customHeight="1" x14ac:dyDescent="0.35">
      <c r="A33" s="28"/>
      <c r="B33" s="85"/>
      <c r="C33" s="96"/>
    </row>
    <row r="34" spans="1:3" ht="15.75" customHeight="1" x14ac:dyDescent="0.35">
      <c r="A34" s="28"/>
      <c r="B34" s="85"/>
      <c r="C34" s="96"/>
    </row>
    <row r="35" spans="1:3" ht="15.75" customHeight="1" x14ac:dyDescent="0.35">
      <c r="A35" s="28"/>
      <c r="B35" s="85"/>
      <c r="C35" s="96"/>
    </row>
    <row r="36" spans="1:3" ht="15.75" customHeight="1" x14ac:dyDescent="0.35">
      <c r="A36" s="28"/>
      <c r="B36" s="85"/>
      <c r="C36" s="96"/>
    </row>
    <row r="37" spans="1:3" ht="15.75" customHeight="1" x14ac:dyDescent="0.35">
      <c r="A37" s="28"/>
      <c r="B37" s="85"/>
      <c r="C37" s="96"/>
    </row>
    <row r="38" spans="1:3" ht="15.75" customHeight="1" x14ac:dyDescent="0.35">
      <c r="A38" s="28"/>
      <c r="B38" s="85"/>
      <c r="C38" s="96"/>
    </row>
    <row r="39" spans="1:3" ht="15.75" customHeight="1" x14ac:dyDescent="0.35">
      <c r="A39" s="28"/>
      <c r="B39" s="85"/>
      <c r="C39" s="96"/>
    </row>
    <row r="40" spans="1:3" ht="15.75" customHeight="1" x14ac:dyDescent="0.35">
      <c r="A40" s="28"/>
      <c r="B40" s="85"/>
      <c r="C40" s="96"/>
    </row>
    <row r="41" spans="1:3" ht="15.75" customHeight="1" x14ac:dyDescent="0.35">
      <c r="A41" s="28"/>
      <c r="B41" s="85"/>
      <c r="C41" s="96"/>
    </row>
    <row r="42" spans="1:3" ht="15.75" customHeight="1" x14ac:dyDescent="0.35">
      <c r="A42" s="28"/>
      <c r="B42" s="85"/>
      <c r="C42" s="96"/>
    </row>
    <row r="43" spans="1:3" ht="15.75" customHeight="1" x14ac:dyDescent="0.35">
      <c r="A43" s="28"/>
      <c r="B43" s="85"/>
      <c r="C43" s="96"/>
    </row>
    <row r="44" spans="1:3" ht="15.75" customHeight="1" x14ac:dyDescent="0.35">
      <c r="A44" s="28"/>
      <c r="B44" s="85"/>
      <c r="C44" s="96"/>
    </row>
    <row r="45" spans="1:3" ht="15.75" customHeight="1" x14ac:dyDescent="0.35">
      <c r="A45" s="28"/>
      <c r="B45" s="85"/>
      <c r="C45" s="96"/>
    </row>
    <row r="46" spans="1:3" ht="15.75" customHeight="1" x14ac:dyDescent="0.35">
      <c r="A46" s="28"/>
      <c r="B46" s="85"/>
      <c r="C46" s="96"/>
    </row>
    <row r="47" spans="1:3" ht="15.75" customHeight="1" x14ac:dyDescent="0.35">
      <c r="A47" s="28"/>
      <c r="B47" s="85"/>
      <c r="C47" s="96"/>
    </row>
    <row r="48" spans="1:3" ht="15.75" customHeight="1" x14ac:dyDescent="0.35">
      <c r="A48" s="28"/>
      <c r="B48" s="85"/>
      <c r="C48" s="96"/>
    </row>
    <row r="49" spans="1:3" ht="15.75" customHeight="1" x14ac:dyDescent="0.35">
      <c r="A49" s="28"/>
      <c r="B49" s="85"/>
      <c r="C49" s="96"/>
    </row>
    <row r="50" spans="1:3" ht="15.75" customHeight="1" x14ac:dyDescent="0.35">
      <c r="A50" s="28"/>
      <c r="B50" s="85"/>
      <c r="C50" s="96"/>
    </row>
    <row r="51" spans="1:3" ht="15.75" customHeight="1" x14ac:dyDescent="0.35">
      <c r="A51" s="28"/>
      <c r="B51" s="85"/>
      <c r="C51" s="96"/>
    </row>
    <row r="52" spans="1:3" ht="15.75" customHeight="1" x14ac:dyDescent="0.35">
      <c r="A52" s="28"/>
      <c r="B52" s="85"/>
      <c r="C52" s="96"/>
    </row>
    <row r="53" spans="1:3" ht="15.75" customHeight="1" x14ac:dyDescent="0.35">
      <c r="A53" s="28"/>
      <c r="B53" s="85"/>
      <c r="C53" s="96"/>
    </row>
    <row r="54" spans="1:3" ht="15.75" customHeight="1" x14ac:dyDescent="0.35">
      <c r="A54" s="28"/>
      <c r="B54" s="85"/>
      <c r="C54" s="96"/>
    </row>
    <row r="55" spans="1:3" ht="15.75" customHeight="1" x14ac:dyDescent="0.35">
      <c r="A55" s="28"/>
      <c r="B55" s="85"/>
      <c r="C55" s="96"/>
    </row>
    <row r="56" spans="1:3" ht="15.75" customHeight="1" x14ac:dyDescent="0.35">
      <c r="A56" s="28"/>
      <c r="B56" s="85"/>
      <c r="C56" s="96"/>
    </row>
    <row r="57" spans="1:3" ht="15.75" customHeight="1" x14ac:dyDescent="0.35">
      <c r="A57" s="28"/>
      <c r="B57" s="85"/>
      <c r="C57" s="96"/>
    </row>
    <row r="58" spans="1:3" ht="15.75" customHeight="1" x14ac:dyDescent="0.35">
      <c r="A58" s="28"/>
      <c r="B58" s="85"/>
      <c r="C58" s="96"/>
    </row>
    <row r="59" spans="1:3" ht="15.75" customHeight="1" x14ac:dyDescent="0.35">
      <c r="A59" s="28"/>
      <c r="B59" s="85"/>
      <c r="C59" s="96"/>
    </row>
    <row r="60" spans="1:3" ht="15.75" customHeight="1" x14ac:dyDescent="0.35">
      <c r="A60" s="28"/>
      <c r="B60" s="85"/>
      <c r="C60" s="96"/>
    </row>
    <row r="61" spans="1:3" ht="15.75" customHeight="1" x14ac:dyDescent="0.35">
      <c r="A61" s="28"/>
      <c r="B61" s="85"/>
      <c r="C61" s="96"/>
    </row>
    <row r="62" spans="1:3" ht="15.75" customHeight="1" x14ac:dyDescent="0.35">
      <c r="A62" s="28"/>
      <c r="B62" s="85"/>
      <c r="C62" s="96"/>
    </row>
    <row r="63" spans="1:3" ht="15.75" customHeight="1" x14ac:dyDescent="0.35">
      <c r="A63" s="28"/>
      <c r="B63" s="85"/>
      <c r="C63" s="96"/>
    </row>
    <row r="64" spans="1:3" ht="15.75" customHeight="1" x14ac:dyDescent="0.35">
      <c r="A64" s="28"/>
      <c r="B64" s="85"/>
      <c r="C64" s="96"/>
    </row>
    <row r="65" spans="1:3" ht="15.75" customHeight="1" x14ac:dyDescent="0.35">
      <c r="A65" s="28"/>
      <c r="B65" s="85"/>
      <c r="C65" s="96"/>
    </row>
    <row r="66" spans="1:3" ht="15.75" customHeight="1" x14ac:dyDescent="0.35">
      <c r="A66" s="28"/>
      <c r="B66" s="85"/>
      <c r="C66" s="96"/>
    </row>
    <row r="67" spans="1:3" ht="15.75" customHeight="1" x14ac:dyDescent="0.35">
      <c r="A67" s="28"/>
      <c r="B67" s="85"/>
      <c r="C67" s="96"/>
    </row>
    <row r="68" spans="1:3" ht="15.75" customHeight="1" x14ac:dyDescent="0.35">
      <c r="A68" s="28"/>
      <c r="B68" s="85"/>
      <c r="C68" s="96"/>
    </row>
    <row r="69" spans="1:3" ht="15.75" customHeight="1" x14ac:dyDescent="0.35">
      <c r="A69" s="28"/>
      <c r="B69" s="85"/>
      <c r="C69" s="96"/>
    </row>
    <row r="70" spans="1:3" ht="15.75" customHeight="1" x14ac:dyDescent="0.35">
      <c r="A70" s="28"/>
      <c r="B70" s="85"/>
      <c r="C70" s="96"/>
    </row>
    <row r="71" spans="1:3" ht="15.75" customHeight="1" x14ac:dyDescent="0.35">
      <c r="A71" s="28"/>
      <c r="B71" s="85"/>
      <c r="C71" s="96"/>
    </row>
    <row r="72" spans="1:3" ht="15.75" customHeight="1" x14ac:dyDescent="0.35">
      <c r="A72" s="28"/>
      <c r="B72" s="85"/>
      <c r="C72" s="96"/>
    </row>
    <row r="73" spans="1:3" ht="15.75" customHeight="1" x14ac:dyDescent="0.35">
      <c r="A73" s="28"/>
      <c r="B73" s="85"/>
      <c r="C73" s="96"/>
    </row>
    <row r="74" spans="1:3" ht="15.75" customHeight="1" x14ac:dyDescent="0.35">
      <c r="A74" s="28"/>
      <c r="B74" s="85"/>
      <c r="C74" s="96"/>
    </row>
    <row r="75" spans="1:3" ht="15.75" customHeight="1" x14ac:dyDescent="0.35">
      <c r="A75" s="28"/>
      <c r="B75" s="85"/>
      <c r="C75" s="96"/>
    </row>
    <row r="76" spans="1:3" ht="15.75" customHeight="1" x14ac:dyDescent="0.35">
      <c r="A76" s="28"/>
      <c r="B76" s="85"/>
      <c r="C76" s="96"/>
    </row>
    <row r="77" spans="1:3" ht="15.75" customHeight="1" x14ac:dyDescent="0.35">
      <c r="A77" s="28"/>
      <c r="B77" s="85"/>
      <c r="C77" s="96"/>
    </row>
    <row r="78" spans="1:3" ht="15.75" customHeight="1" x14ac:dyDescent="0.35">
      <c r="A78" s="28"/>
      <c r="B78" s="85"/>
      <c r="C78" s="96"/>
    </row>
    <row r="79" spans="1:3" ht="15.75" customHeight="1" x14ac:dyDescent="0.35">
      <c r="A79" s="28"/>
      <c r="B79" s="85"/>
      <c r="C79" s="96"/>
    </row>
    <row r="80" spans="1:3" ht="15.75" customHeight="1" x14ac:dyDescent="0.35">
      <c r="A80" s="28"/>
      <c r="B80" s="85"/>
      <c r="C80" s="96"/>
    </row>
    <row r="81" spans="1:3" ht="15.75" customHeight="1" x14ac:dyDescent="0.35">
      <c r="A81" s="28"/>
      <c r="B81" s="85"/>
      <c r="C81" s="96"/>
    </row>
    <row r="82" spans="1:3" ht="15.75" customHeight="1" x14ac:dyDescent="0.35">
      <c r="A82" s="28"/>
      <c r="B82" s="85"/>
      <c r="C82" s="96"/>
    </row>
    <row r="83" spans="1:3" ht="15.75" customHeight="1" x14ac:dyDescent="0.35">
      <c r="A83" s="28"/>
      <c r="B83" s="85"/>
      <c r="C83" s="96"/>
    </row>
    <row r="84" spans="1:3" ht="15.75" customHeight="1" x14ac:dyDescent="0.35">
      <c r="A84" s="28"/>
      <c r="B84" s="85"/>
      <c r="C84" s="96"/>
    </row>
    <row r="85" spans="1:3" ht="15.75" customHeight="1" x14ac:dyDescent="0.35">
      <c r="A85" s="28"/>
      <c r="B85" s="85"/>
      <c r="C85" s="96"/>
    </row>
    <row r="86" spans="1:3" ht="15.75" customHeight="1" x14ac:dyDescent="0.35">
      <c r="A86" s="28"/>
      <c r="B86" s="85"/>
      <c r="C86" s="96"/>
    </row>
    <row r="87" spans="1:3" ht="15.75" customHeight="1" x14ac:dyDescent="0.35">
      <c r="A87" s="28"/>
      <c r="B87" s="85"/>
      <c r="C87" s="96"/>
    </row>
    <row r="88" spans="1:3" ht="15.75" customHeight="1" x14ac:dyDescent="0.35">
      <c r="A88" s="28"/>
      <c r="B88" s="85"/>
      <c r="C88" s="96"/>
    </row>
    <row r="89" spans="1:3" ht="15.75" customHeight="1" x14ac:dyDescent="0.35">
      <c r="A89" s="28"/>
      <c r="B89" s="85"/>
      <c r="C89" s="96"/>
    </row>
    <row r="90" spans="1:3" ht="15.75" customHeight="1" x14ac:dyDescent="0.35">
      <c r="A90" s="28"/>
      <c r="B90" s="85"/>
      <c r="C90" s="96"/>
    </row>
    <row r="91" spans="1:3" ht="15.75" customHeight="1" x14ac:dyDescent="0.35">
      <c r="A91" s="28"/>
      <c r="B91" s="85"/>
      <c r="C91" s="96"/>
    </row>
    <row r="92" spans="1:3" ht="15.75" customHeight="1" x14ac:dyDescent="0.35">
      <c r="A92" s="28"/>
      <c r="B92" s="85"/>
      <c r="C92" s="96"/>
    </row>
    <row r="93" spans="1:3" ht="15.75" customHeight="1" x14ac:dyDescent="0.35">
      <c r="A93" s="28"/>
      <c r="B93" s="85"/>
      <c r="C93" s="96"/>
    </row>
    <row r="94" spans="1:3" ht="15.75" customHeight="1" x14ac:dyDescent="0.35">
      <c r="A94" s="28"/>
      <c r="B94" s="85"/>
      <c r="C94" s="96"/>
    </row>
    <row r="95" spans="1:3" ht="15.75" customHeight="1" x14ac:dyDescent="0.35">
      <c r="A95" s="28"/>
      <c r="B95" s="85"/>
      <c r="C95" s="96"/>
    </row>
    <row r="96" spans="1:3" ht="15.75" customHeight="1" x14ac:dyDescent="0.35">
      <c r="A96" s="28"/>
      <c r="B96" s="85"/>
      <c r="C96" s="96"/>
    </row>
    <row r="97" spans="1:3" ht="15.75" customHeight="1" x14ac:dyDescent="0.35">
      <c r="A97" s="28"/>
      <c r="B97" s="85"/>
      <c r="C97" s="96"/>
    </row>
    <row r="98" spans="1:3" ht="15.75" customHeight="1" x14ac:dyDescent="0.35">
      <c r="A98" s="28"/>
      <c r="B98" s="85"/>
      <c r="C98" s="96"/>
    </row>
    <row r="99" spans="1:3" ht="15.75" customHeight="1" x14ac:dyDescent="0.35">
      <c r="A99" s="28"/>
      <c r="B99" s="85"/>
      <c r="C99" s="96"/>
    </row>
    <row r="100" spans="1:3" ht="15.75" customHeight="1" x14ac:dyDescent="0.35">
      <c r="A100" s="28"/>
      <c r="B100" s="85"/>
      <c r="C100" s="96"/>
    </row>
    <row r="101" spans="1:3" ht="15.75" customHeight="1" x14ac:dyDescent="0.35">
      <c r="A101" s="28"/>
      <c r="B101" s="85"/>
      <c r="C101" s="96"/>
    </row>
    <row r="102" spans="1:3" ht="15.75" customHeight="1" x14ac:dyDescent="0.35">
      <c r="A102" s="28"/>
      <c r="B102" s="85"/>
      <c r="C102" s="96"/>
    </row>
    <row r="103" spans="1:3" ht="15.75" customHeight="1" x14ac:dyDescent="0.35">
      <c r="A103" s="28"/>
      <c r="B103" s="85"/>
      <c r="C103" s="96"/>
    </row>
    <row r="104" spans="1:3" ht="15.75" customHeight="1" x14ac:dyDescent="0.35">
      <c r="A104" s="28"/>
      <c r="B104" s="85"/>
      <c r="C104" s="96"/>
    </row>
    <row r="105" spans="1:3" ht="15.75" customHeight="1" x14ac:dyDescent="0.35">
      <c r="A105" s="28"/>
      <c r="B105" s="85"/>
      <c r="C105" s="96"/>
    </row>
    <row r="106" spans="1:3" ht="15.75" customHeight="1" x14ac:dyDescent="0.35">
      <c r="A106" s="28"/>
      <c r="B106" s="85"/>
      <c r="C106" s="96"/>
    </row>
    <row r="107" spans="1:3" ht="15.75" customHeight="1" x14ac:dyDescent="0.35">
      <c r="A107" s="28"/>
      <c r="B107" s="85"/>
      <c r="C107" s="96"/>
    </row>
    <row r="108" spans="1:3" ht="15.75" customHeight="1" x14ac:dyDescent="0.35">
      <c r="A108" s="28"/>
      <c r="B108" s="85"/>
      <c r="C108" s="96"/>
    </row>
    <row r="109" spans="1:3" ht="15.75" customHeight="1" x14ac:dyDescent="0.35">
      <c r="A109" s="28"/>
      <c r="B109" s="85"/>
      <c r="C109" s="96"/>
    </row>
    <row r="110" spans="1:3" ht="15.75" customHeight="1" x14ac:dyDescent="0.35">
      <c r="A110" s="28"/>
      <c r="B110" s="85"/>
      <c r="C110" s="96"/>
    </row>
    <row r="111" spans="1:3" ht="15.75" customHeight="1" x14ac:dyDescent="0.35">
      <c r="A111" s="28"/>
      <c r="B111" s="85"/>
      <c r="C111" s="96"/>
    </row>
    <row r="112" spans="1:3" ht="15.75" customHeight="1" x14ac:dyDescent="0.35">
      <c r="A112" s="28"/>
      <c r="B112" s="85"/>
      <c r="C112" s="96"/>
    </row>
    <row r="113" spans="1:3" ht="15.75" customHeight="1" x14ac:dyDescent="0.35">
      <c r="A113" s="28"/>
      <c r="B113" s="85"/>
      <c r="C113" s="96"/>
    </row>
    <row r="114" spans="1:3" ht="15.75" customHeight="1" x14ac:dyDescent="0.35">
      <c r="A114" s="28"/>
      <c r="B114" s="85"/>
      <c r="C114" s="96"/>
    </row>
    <row r="115" spans="1:3" ht="15.75" customHeight="1" x14ac:dyDescent="0.35">
      <c r="A115" s="28"/>
      <c r="B115" s="85"/>
      <c r="C115" s="96"/>
    </row>
    <row r="116" spans="1:3" ht="15.75" customHeight="1" x14ac:dyDescent="0.35">
      <c r="A116" s="28"/>
      <c r="B116" s="85"/>
      <c r="C116" s="96"/>
    </row>
    <row r="117" spans="1:3" ht="15.75" customHeight="1" x14ac:dyDescent="0.35">
      <c r="A117" s="28"/>
      <c r="B117" s="85"/>
      <c r="C117" s="96"/>
    </row>
    <row r="118" spans="1:3" ht="15.75" customHeight="1" x14ac:dyDescent="0.35">
      <c r="A118" s="28"/>
      <c r="B118" s="85"/>
      <c r="C118" s="96"/>
    </row>
    <row r="119" spans="1:3" ht="15.75" customHeight="1" x14ac:dyDescent="0.35">
      <c r="A119" s="28"/>
      <c r="B119" s="85"/>
      <c r="C119" s="96"/>
    </row>
    <row r="120" spans="1:3" ht="15.75" customHeight="1" x14ac:dyDescent="0.35">
      <c r="A120" s="28"/>
      <c r="B120" s="85"/>
      <c r="C120" s="96"/>
    </row>
    <row r="121" spans="1:3" ht="15.75" customHeight="1" x14ac:dyDescent="0.35">
      <c r="A121" s="28"/>
      <c r="B121" s="85"/>
      <c r="C121" s="96"/>
    </row>
    <row r="122" spans="1:3" ht="15.75" customHeight="1" x14ac:dyDescent="0.35">
      <c r="A122" s="28"/>
      <c r="B122" s="85"/>
      <c r="C122" s="96"/>
    </row>
    <row r="123" spans="1:3" ht="15.75" customHeight="1" x14ac:dyDescent="0.35">
      <c r="A123" s="28"/>
      <c r="B123" s="85"/>
      <c r="C123" s="96"/>
    </row>
    <row r="124" spans="1:3" ht="15.75" customHeight="1" x14ac:dyDescent="0.35">
      <c r="A124" s="28"/>
      <c r="B124" s="85"/>
      <c r="C124" s="96"/>
    </row>
    <row r="125" spans="1:3" ht="15.75" customHeight="1" x14ac:dyDescent="0.35">
      <c r="A125" s="28"/>
      <c r="B125" s="85"/>
      <c r="C125" s="96"/>
    </row>
    <row r="126" spans="1:3" ht="15.75" customHeight="1" x14ac:dyDescent="0.35">
      <c r="A126" s="28"/>
      <c r="B126" s="85"/>
      <c r="C126" s="96"/>
    </row>
    <row r="127" spans="1:3" ht="15.75" customHeight="1" x14ac:dyDescent="0.35">
      <c r="A127" s="28"/>
      <c r="B127" s="85"/>
      <c r="C127" s="96"/>
    </row>
    <row r="128" spans="1:3" ht="15.75" customHeight="1" x14ac:dyDescent="0.35">
      <c r="A128" s="28"/>
      <c r="B128" s="85"/>
      <c r="C128" s="96"/>
    </row>
    <row r="129" spans="1:3" ht="15.75" customHeight="1" x14ac:dyDescent="0.35">
      <c r="A129" s="28"/>
      <c r="B129" s="85"/>
      <c r="C129" s="96"/>
    </row>
    <row r="130" spans="1:3" ht="15.75" customHeight="1" x14ac:dyDescent="0.35">
      <c r="A130" s="28"/>
      <c r="B130" s="85"/>
      <c r="C130" s="96"/>
    </row>
    <row r="131" spans="1:3" ht="15.75" customHeight="1" x14ac:dyDescent="0.35">
      <c r="A131" s="28"/>
      <c r="B131" s="85"/>
      <c r="C131" s="96"/>
    </row>
    <row r="132" spans="1:3" ht="15.75" customHeight="1" x14ac:dyDescent="0.35">
      <c r="A132" s="28"/>
      <c r="B132" s="85"/>
      <c r="C132" s="96"/>
    </row>
    <row r="133" spans="1:3" ht="15.75" customHeight="1" x14ac:dyDescent="0.35">
      <c r="A133" s="28"/>
      <c r="B133" s="85"/>
      <c r="C133" s="96"/>
    </row>
    <row r="134" spans="1:3" ht="15.75" customHeight="1" x14ac:dyDescent="0.35">
      <c r="A134" s="28"/>
      <c r="B134" s="85"/>
      <c r="C134" s="96"/>
    </row>
    <row r="135" spans="1:3" ht="15.75" customHeight="1" x14ac:dyDescent="0.35">
      <c r="A135" s="28"/>
      <c r="B135" s="85"/>
      <c r="C135" s="96"/>
    </row>
    <row r="136" spans="1:3" ht="15.75" customHeight="1" x14ac:dyDescent="0.35">
      <c r="A136" s="28"/>
      <c r="B136" s="85"/>
      <c r="C136" s="96"/>
    </row>
    <row r="137" spans="1:3" ht="15.75" customHeight="1" x14ac:dyDescent="0.35">
      <c r="A137" s="28"/>
      <c r="B137" s="85"/>
      <c r="C137" s="96"/>
    </row>
    <row r="138" spans="1:3" ht="15.75" customHeight="1" x14ac:dyDescent="0.35">
      <c r="A138" s="28"/>
      <c r="B138" s="85"/>
      <c r="C138" s="96"/>
    </row>
    <row r="139" spans="1:3" ht="15.75" customHeight="1" x14ac:dyDescent="0.35">
      <c r="A139" s="28"/>
      <c r="B139" s="85"/>
      <c r="C139" s="96"/>
    </row>
    <row r="140" spans="1:3" ht="15.75" customHeight="1" x14ac:dyDescent="0.35">
      <c r="A140" s="28"/>
      <c r="B140" s="85"/>
      <c r="C140" s="96"/>
    </row>
    <row r="141" spans="1:3" ht="15.75" customHeight="1" x14ac:dyDescent="0.35">
      <c r="A141" s="28"/>
      <c r="B141" s="85"/>
      <c r="C141" s="96"/>
    </row>
    <row r="142" spans="1:3" ht="15.75" customHeight="1" x14ac:dyDescent="0.35">
      <c r="A142" s="28"/>
      <c r="B142" s="85"/>
      <c r="C142" s="96"/>
    </row>
    <row r="143" spans="1:3" ht="15.75" customHeight="1" x14ac:dyDescent="0.35">
      <c r="A143" s="28"/>
      <c r="B143" s="85"/>
      <c r="C143" s="96"/>
    </row>
    <row r="144" spans="1:3" ht="15.75" customHeight="1" x14ac:dyDescent="0.35">
      <c r="A144" s="28"/>
      <c r="B144" s="85"/>
      <c r="C144" s="96"/>
    </row>
    <row r="145" spans="1:3" ht="15.75" customHeight="1" x14ac:dyDescent="0.35">
      <c r="A145" s="28"/>
      <c r="B145" s="85"/>
      <c r="C145" s="96"/>
    </row>
    <row r="146" spans="1:3" ht="15.75" customHeight="1" x14ac:dyDescent="0.35">
      <c r="A146" s="28"/>
      <c r="B146" s="85"/>
      <c r="C146" s="96"/>
    </row>
    <row r="147" spans="1:3" ht="15.75" customHeight="1" x14ac:dyDescent="0.35">
      <c r="A147" s="28"/>
      <c r="B147" s="85"/>
      <c r="C147" s="96"/>
    </row>
    <row r="148" spans="1:3" ht="15.75" customHeight="1" x14ac:dyDescent="0.35">
      <c r="A148" s="28"/>
      <c r="B148" s="85"/>
      <c r="C148" s="96"/>
    </row>
    <row r="149" spans="1:3" ht="15.75" customHeight="1" x14ac:dyDescent="0.35">
      <c r="A149" s="28"/>
      <c r="B149" s="85"/>
      <c r="C149" s="96"/>
    </row>
    <row r="150" spans="1:3" ht="15.75" customHeight="1" x14ac:dyDescent="0.35">
      <c r="A150" s="28"/>
      <c r="B150" s="85"/>
      <c r="C150" s="96"/>
    </row>
    <row r="151" spans="1:3" ht="15.75" customHeight="1" x14ac:dyDescent="0.35">
      <c r="A151" s="28"/>
      <c r="B151" s="85"/>
      <c r="C151" s="96"/>
    </row>
    <row r="152" spans="1:3" ht="15.75" customHeight="1" x14ac:dyDescent="0.35">
      <c r="A152" s="28"/>
      <c r="B152" s="85"/>
      <c r="C152" s="96"/>
    </row>
    <row r="153" spans="1:3" ht="15.75" customHeight="1" x14ac:dyDescent="0.35">
      <c r="A153" s="28"/>
      <c r="B153" s="85"/>
      <c r="C153" s="96"/>
    </row>
    <row r="154" spans="1:3" ht="15.75" customHeight="1" x14ac:dyDescent="0.35">
      <c r="A154" s="28"/>
      <c r="B154" s="85"/>
      <c r="C154" s="96"/>
    </row>
    <row r="155" spans="1:3" ht="15.75" customHeight="1" x14ac:dyDescent="0.35">
      <c r="A155" s="28"/>
      <c r="B155" s="85"/>
      <c r="C155" s="96"/>
    </row>
    <row r="156" spans="1:3" ht="15.75" customHeight="1" x14ac:dyDescent="0.35">
      <c r="A156" s="28"/>
      <c r="B156" s="85"/>
      <c r="C156" s="96"/>
    </row>
    <row r="157" spans="1:3" ht="15.75" customHeight="1" x14ac:dyDescent="0.35">
      <c r="A157" s="28"/>
      <c r="B157" s="85"/>
      <c r="C157" s="96"/>
    </row>
    <row r="158" spans="1:3" ht="15.75" customHeight="1" x14ac:dyDescent="0.35">
      <c r="A158" s="28"/>
      <c r="B158" s="85"/>
      <c r="C158" s="96"/>
    </row>
    <row r="159" spans="1:3" ht="15.75" customHeight="1" x14ac:dyDescent="0.35">
      <c r="A159" s="28"/>
      <c r="B159" s="85"/>
      <c r="C159" s="96"/>
    </row>
    <row r="160" spans="1:3" ht="15.75" customHeight="1" x14ac:dyDescent="0.35">
      <c r="A160" s="28"/>
      <c r="B160" s="85"/>
      <c r="C160" s="96"/>
    </row>
    <row r="161" spans="1:3" ht="15.75" customHeight="1" x14ac:dyDescent="0.35">
      <c r="A161" s="28"/>
      <c r="B161" s="85"/>
      <c r="C161" s="96"/>
    </row>
    <row r="162" spans="1:3" ht="15.75" customHeight="1" x14ac:dyDescent="0.35">
      <c r="A162" s="28"/>
      <c r="B162" s="85"/>
      <c r="C162" s="96"/>
    </row>
    <row r="163" spans="1:3" ht="15.75" customHeight="1" x14ac:dyDescent="0.35">
      <c r="A163" s="28"/>
      <c r="B163" s="85"/>
      <c r="C163" s="96"/>
    </row>
    <row r="164" spans="1:3" ht="15.75" customHeight="1" x14ac:dyDescent="0.35">
      <c r="A164" s="28"/>
      <c r="B164" s="85"/>
      <c r="C164" s="96"/>
    </row>
    <row r="165" spans="1:3" ht="15.75" customHeight="1" x14ac:dyDescent="0.35">
      <c r="A165" s="28"/>
      <c r="B165" s="85"/>
      <c r="C165" s="96"/>
    </row>
    <row r="166" spans="1:3" ht="15.75" customHeight="1" x14ac:dyDescent="0.35">
      <c r="A166" s="28"/>
      <c r="B166" s="85"/>
      <c r="C166" s="96"/>
    </row>
    <row r="167" spans="1:3" ht="15.75" customHeight="1" x14ac:dyDescent="0.35">
      <c r="A167" s="28"/>
      <c r="B167" s="85"/>
      <c r="C167" s="96"/>
    </row>
    <row r="168" spans="1:3" ht="15.75" customHeight="1" x14ac:dyDescent="0.35">
      <c r="A168" s="28"/>
      <c r="B168" s="85"/>
      <c r="C168" s="96"/>
    </row>
    <row r="169" spans="1:3" ht="15.75" customHeight="1" x14ac:dyDescent="0.35">
      <c r="A169" s="28"/>
      <c r="B169" s="85"/>
      <c r="C169" s="96"/>
    </row>
    <row r="170" spans="1:3" ht="15.75" customHeight="1" x14ac:dyDescent="0.35">
      <c r="A170" s="28"/>
      <c r="B170" s="85"/>
      <c r="C170" s="96"/>
    </row>
    <row r="171" spans="1:3" ht="15.75" customHeight="1" x14ac:dyDescent="0.35">
      <c r="A171" s="28"/>
      <c r="B171" s="85"/>
      <c r="C171" s="96"/>
    </row>
    <row r="172" spans="1:3" ht="15.75" customHeight="1" x14ac:dyDescent="0.35">
      <c r="A172" s="28"/>
      <c r="B172" s="85"/>
      <c r="C172" s="96"/>
    </row>
    <row r="173" spans="1:3" ht="15.75" customHeight="1" x14ac:dyDescent="0.35">
      <c r="A173" s="28"/>
      <c r="B173" s="85"/>
      <c r="C173" s="96"/>
    </row>
    <row r="174" spans="1:3" ht="15.75" customHeight="1" x14ac:dyDescent="0.35">
      <c r="A174" s="28"/>
      <c r="B174" s="85"/>
      <c r="C174" s="96"/>
    </row>
    <row r="175" spans="1:3" ht="15.75" customHeight="1" x14ac:dyDescent="0.35">
      <c r="A175" s="28"/>
      <c r="B175" s="85"/>
      <c r="C175" s="96"/>
    </row>
    <row r="176" spans="1:3" ht="15.75" customHeight="1" x14ac:dyDescent="0.35">
      <c r="A176" s="28"/>
      <c r="B176" s="85"/>
      <c r="C176" s="96"/>
    </row>
    <row r="177" spans="1:3" ht="15.75" customHeight="1" x14ac:dyDescent="0.35">
      <c r="A177" s="28"/>
      <c r="B177" s="85"/>
      <c r="C177" s="96"/>
    </row>
    <row r="178" spans="1:3" ht="15.75" customHeight="1" x14ac:dyDescent="0.35">
      <c r="A178" s="28"/>
      <c r="B178" s="85"/>
      <c r="C178" s="96"/>
    </row>
    <row r="179" spans="1:3" ht="15.75" customHeight="1" x14ac:dyDescent="0.35">
      <c r="A179" s="28"/>
      <c r="B179" s="85"/>
      <c r="C179" s="96"/>
    </row>
    <row r="180" spans="1:3" ht="15.75" customHeight="1" x14ac:dyDescent="0.35">
      <c r="A180" s="28"/>
      <c r="B180" s="85"/>
      <c r="C180" s="96"/>
    </row>
    <row r="181" spans="1:3" ht="15.75" customHeight="1" x14ac:dyDescent="0.35">
      <c r="A181" s="28"/>
      <c r="B181" s="85"/>
      <c r="C181" s="96"/>
    </row>
    <row r="182" spans="1:3" ht="15.75" customHeight="1" x14ac:dyDescent="0.35">
      <c r="A182" s="28"/>
      <c r="B182" s="85"/>
      <c r="C182" s="96"/>
    </row>
    <row r="183" spans="1:3" ht="15.75" customHeight="1" x14ac:dyDescent="0.35">
      <c r="A183" s="28"/>
      <c r="B183" s="85"/>
      <c r="C183" s="96"/>
    </row>
    <row r="184" spans="1:3" ht="15.75" customHeight="1" x14ac:dyDescent="0.35">
      <c r="A184" s="28"/>
      <c r="B184" s="85"/>
      <c r="C184" s="96"/>
    </row>
    <row r="185" spans="1:3" ht="15.75" customHeight="1" x14ac:dyDescent="0.35">
      <c r="A185" s="28"/>
      <c r="B185" s="85"/>
      <c r="C185" s="96"/>
    </row>
    <row r="186" spans="1:3" ht="15.75" customHeight="1" x14ac:dyDescent="0.35">
      <c r="A186" s="28"/>
      <c r="B186" s="85"/>
      <c r="C186" s="96"/>
    </row>
    <row r="187" spans="1:3" ht="15.75" customHeight="1" x14ac:dyDescent="0.35">
      <c r="A187" s="28"/>
      <c r="B187" s="85"/>
      <c r="C187" s="96"/>
    </row>
    <row r="188" spans="1:3" ht="15.75" customHeight="1" x14ac:dyDescent="0.35">
      <c r="A188" s="28"/>
      <c r="B188" s="85"/>
      <c r="C188" s="96"/>
    </row>
    <row r="189" spans="1:3" ht="15.75" customHeight="1" x14ac:dyDescent="0.35">
      <c r="A189" s="28"/>
      <c r="B189" s="85"/>
      <c r="C189" s="96"/>
    </row>
    <row r="190" spans="1:3" ht="15.75" customHeight="1" x14ac:dyDescent="0.35">
      <c r="A190" s="28"/>
      <c r="B190" s="85"/>
      <c r="C190" s="96"/>
    </row>
    <row r="191" spans="1:3" ht="15.75" customHeight="1" x14ac:dyDescent="0.35">
      <c r="A191" s="28"/>
      <c r="B191" s="85"/>
      <c r="C191" s="96"/>
    </row>
    <row r="192" spans="1:3" ht="15.75" customHeight="1" x14ac:dyDescent="0.35">
      <c r="A192" s="28"/>
      <c r="B192" s="85"/>
      <c r="C192" s="96"/>
    </row>
    <row r="193" spans="1:3" ht="15.75" customHeight="1" x14ac:dyDescent="0.35">
      <c r="A193" s="28"/>
      <c r="B193" s="85"/>
      <c r="C193" s="96"/>
    </row>
    <row r="194" spans="1:3" ht="15.75" customHeight="1" x14ac:dyDescent="0.35">
      <c r="A194" s="28"/>
      <c r="B194" s="85"/>
      <c r="C194" s="96"/>
    </row>
    <row r="195" spans="1:3" ht="15.75" customHeight="1" x14ac:dyDescent="0.35">
      <c r="A195" s="28"/>
      <c r="B195" s="85"/>
      <c r="C195" s="96"/>
    </row>
    <row r="196" spans="1:3" ht="15.75" customHeight="1" x14ac:dyDescent="0.35">
      <c r="A196" s="28"/>
      <c r="B196" s="85"/>
      <c r="C196" s="96"/>
    </row>
    <row r="197" spans="1:3" ht="15.75" customHeight="1" x14ac:dyDescent="0.35">
      <c r="A197" s="28"/>
      <c r="B197" s="85"/>
      <c r="C197" s="96"/>
    </row>
    <row r="198" spans="1:3" ht="15.75" customHeight="1" x14ac:dyDescent="0.35">
      <c r="A198" s="28"/>
      <c r="B198" s="85"/>
      <c r="C198" s="96"/>
    </row>
    <row r="199" spans="1:3" ht="15.75" customHeight="1" x14ac:dyDescent="0.35">
      <c r="A199" s="28"/>
      <c r="B199" s="85"/>
      <c r="C199" s="96"/>
    </row>
    <row r="200" spans="1:3" ht="15.75" customHeight="1" x14ac:dyDescent="0.35">
      <c r="A200" s="28"/>
      <c r="B200" s="85"/>
      <c r="C200" s="96"/>
    </row>
    <row r="201" spans="1:3" ht="15.75" customHeight="1" x14ac:dyDescent="0.35">
      <c r="A201" s="28"/>
      <c r="B201" s="85"/>
      <c r="C201" s="96"/>
    </row>
    <row r="202" spans="1:3" ht="15.75" customHeight="1" x14ac:dyDescent="0.35">
      <c r="A202" s="28"/>
      <c r="B202" s="85"/>
      <c r="C202" s="96"/>
    </row>
    <row r="203" spans="1:3" ht="15.75" customHeight="1" x14ac:dyDescent="0.35">
      <c r="A203" s="28"/>
      <c r="B203" s="85"/>
      <c r="C203" s="96"/>
    </row>
    <row r="204" spans="1:3" ht="15.75" customHeight="1" x14ac:dyDescent="0.35">
      <c r="A204" s="28"/>
      <c r="B204" s="85"/>
      <c r="C204" s="96"/>
    </row>
    <row r="205" spans="1:3" ht="15.75" customHeight="1" x14ac:dyDescent="0.35">
      <c r="A205" s="28"/>
      <c r="B205" s="85"/>
      <c r="C205" s="96"/>
    </row>
    <row r="206" spans="1:3" ht="15.75" customHeight="1" x14ac:dyDescent="0.35">
      <c r="A206" s="28"/>
      <c r="B206" s="85"/>
      <c r="C206" s="96"/>
    </row>
    <row r="207" spans="1:3" ht="15.75" customHeight="1" x14ac:dyDescent="0.35">
      <c r="A207" s="28"/>
      <c r="B207" s="85"/>
      <c r="C207" s="96"/>
    </row>
    <row r="208" spans="1:3" ht="15.75" customHeight="1" x14ac:dyDescent="0.35">
      <c r="A208" s="28"/>
      <c r="B208" s="85"/>
      <c r="C208" s="96"/>
    </row>
    <row r="209" spans="1:3" ht="15.75" customHeight="1" x14ac:dyDescent="0.35">
      <c r="A209" s="28"/>
      <c r="B209" s="85"/>
      <c r="C209" s="96"/>
    </row>
    <row r="210" spans="1:3" ht="15.75" customHeight="1" x14ac:dyDescent="0.35">
      <c r="A210" s="28"/>
      <c r="B210" s="85"/>
      <c r="C210" s="96"/>
    </row>
    <row r="211" spans="1:3" ht="15.75" customHeight="1" x14ac:dyDescent="0.35">
      <c r="A211" s="28"/>
      <c r="B211" s="85"/>
      <c r="C211" s="96"/>
    </row>
    <row r="212" spans="1:3" ht="15.75" customHeight="1" x14ac:dyDescent="0.35">
      <c r="A212" s="28"/>
      <c r="B212" s="85"/>
      <c r="C212" s="96"/>
    </row>
    <row r="213" spans="1:3" ht="15.75" customHeight="1" x14ac:dyDescent="0.35">
      <c r="A213" s="28"/>
      <c r="B213" s="85"/>
      <c r="C213" s="96"/>
    </row>
    <row r="214" spans="1:3" ht="15.75" customHeight="1" x14ac:dyDescent="0.35">
      <c r="A214" s="28"/>
      <c r="B214" s="85"/>
      <c r="C214" s="96"/>
    </row>
    <row r="215" spans="1:3" ht="15.75" customHeight="1" x14ac:dyDescent="0.35">
      <c r="A215" s="28"/>
      <c r="B215" s="85"/>
      <c r="C215" s="96"/>
    </row>
    <row r="216" spans="1:3" ht="15.75" customHeight="1" x14ac:dyDescent="0.35">
      <c r="A216" s="28"/>
      <c r="B216" s="85"/>
      <c r="C216" s="96"/>
    </row>
    <row r="217" spans="1:3" ht="15.75" customHeight="1" x14ac:dyDescent="0.35">
      <c r="A217" s="28"/>
      <c r="B217" s="85"/>
      <c r="C217" s="96"/>
    </row>
    <row r="218" spans="1:3" ht="15.75" customHeight="1" x14ac:dyDescent="0.35">
      <c r="A218" s="28"/>
      <c r="B218" s="85"/>
      <c r="C218" s="96"/>
    </row>
    <row r="219" spans="1:3" ht="15.75" customHeight="1" x14ac:dyDescent="0.35">
      <c r="A219" s="28"/>
      <c r="B219" s="85"/>
      <c r="C219" s="96"/>
    </row>
    <row r="220" spans="1:3" ht="15.75" customHeight="1" x14ac:dyDescent="0.35">
      <c r="A220" s="28"/>
      <c r="B220" s="85"/>
      <c r="C220" s="96"/>
    </row>
    <row r="221" spans="1:3" ht="15.75" customHeight="1" x14ac:dyDescent="0.35">
      <c r="A221" s="28"/>
      <c r="B221" s="85"/>
      <c r="C221" s="96"/>
    </row>
    <row r="222" spans="1:3" ht="15.75" customHeight="1" x14ac:dyDescent="0.35">
      <c r="A222" s="28"/>
      <c r="B222" s="85"/>
      <c r="C222" s="96"/>
    </row>
    <row r="223" spans="1:3" ht="15.75" customHeight="1" x14ac:dyDescent="0.35">
      <c r="A223" s="28"/>
      <c r="B223" s="85"/>
      <c r="C223" s="96"/>
    </row>
    <row r="224" spans="1:3" ht="15.75" customHeight="1" x14ac:dyDescent="0.35">
      <c r="A224" s="28"/>
      <c r="B224" s="85"/>
      <c r="C224" s="96"/>
    </row>
    <row r="225" spans="1:3" ht="15.75" customHeight="1" x14ac:dyDescent="0.35">
      <c r="A225" s="28"/>
      <c r="B225" s="85"/>
      <c r="C225" s="96"/>
    </row>
    <row r="226" spans="1:3" ht="15.75" customHeight="1" x14ac:dyDescent="0.35">
      <c r="A226" s="28"/>
      <c r="B226" s="85"/>
      <c r="C226" s="96"/>
    </row>
    <row r="227" spans="1:3" ht="15.75" customHeight="1" x14ac:dyDescent="0.35">
      <c r="A227" s="28"/>
      <c r="B227" s="85"/>
      <c r="C227" s="96"/>
    </row>
    <row r="228" spans="1:3" ht="15.75" customHeight="1" x14ac:dyDescent="0.35">
      <c r="A228" s="28"/>
      <c r="B228" s="85"/>
      <c r="C228" s="96"/>
    </row>
    <row r="229" spans="1:3" ht="15.75" customHeight="1" x14ac:dyDescent="0.35">
      <c r="A229" s="28"/>
      <c r="B229" s="85"/>
      <c r="C229" s="96"/>
    </row>
    <row r="230" spans="1:3" ht="15.75" customHeight="1" x14ac:dyDescent="0.35">
      <c r="A230" s="28"/>
      <c r="B230" s="85"/>
      <c r="C230" s="96"/>
    </row>
    <row r="231" spans="1:3" ht="15.75" customHeight="1" x14ac:dyDescent="0.35">
      <c r="A231" s="28"/>
      <c r="B231" s="85"/>
      <c r="C231" s="96"/>
    </row>
    <row r="232" spans="1:3" ht="15.75" customHeight="1" x14ac:dyDescent="0.35">
      <c r="A232" s="28"/>
      <c r="B232" s="85"/>
      <c r="C232" s="96"/>
    </row>
    <row r="233" spans="1:3" ht="15.75" customHeight="1" x14ac:dyDescent="0.35">
      <c r="A233" s="28"/>
      <c r="B233" s="85"/>
      <c r="C233" s="96"/>
    </row>
    <row r="234" spans="1:3" ht="15.75" customHeight="1" x14ac:dyDescent="0.35">
      <c r="A234" s="28"/>
      <c r="B234" s="85"/>
      <c r="C234" s="96"/>
    </row>
    <row r="235" spans="1:3" ht="15.75" customHeight="1" x14ac:dyDescent="0.35">
      <c r="A235" s="28"/>
      <c r="B235" s="85"/>
      <c r="C235" s="96"/>
    </row>
    <row r="236" spans="1:3" ht="15.75" customHeight="1" x14ac:dyDescent="0.35">
      <c r="A236" s="28"/>
      <c r="B236" s="85"/>
      <c r="C236" s="96"/>
    </row>
    <row r="237" spans="1:3" ht="15.75" customHeight="1" x14ac:dyDescent="0.35">
      <c r="A237" s="28"/>
      <c r="B237" s="85"/>
      <c r="C237" s="96"/>
    </row>
    <row r="238" spans="1:3" ht="15.75" customHeight="1" x14ac:dyDescent="0.35">
      <c r="A238" s="28"/>
      <c r="B238" s="85"/>
      <c r="C238" s="96"/>
    </row>
    <row r="239" spans="1:3" ht="15.75" customHeight="1" x14ac:dyDescent="0.35">
      <c r="A239" s="28"/>
      <c r="B239" s="85"/>
      <c r="C239" s="96"/>
    </row>
    <row r="240" spans="1:3" ht="15.75" customHeight="1" x14ac:dyDescent="0.35">
      <c r="A240" s="28"/>
      <c r="B240" s="85"/>
      <c r="C240" s="96"/>
    </row>
    <row r="241" spans="1:3" ht="15.75" customHeight="1" x14ac:dyDescent="0.35">
      <c r="A241" s="28"/>
      <c r="B241" s="85"/>
      <c r="C241" s="96"/>
    </row>
    <row r="242" spans="1:3" ht="15.75" customHeight="1" x14ac:dyDescent="0.35">
      <c r="A242" s="28"/>
      <c r="B242" s="85"/>
      <c r="C242" s="96"/>
    </row>
    <row r="243" spans="1:3" ht="15.75" customHeight="1" x14ac:dyDescent="0.35">
      <c r="A243" s="28"/>
      <c r="B243" s="85"/>
      <c r="C243" s="96"/>
    </row>
    <row r="244" spans="1:3" ht="15.75" customHeight="1" x14ac:dyDescent="0.35">
      <c r="A244" s="28"/>
      <c r="B244" s="85"/>
      <c r="C244" s="96"/>
    </row>
    <row r="245" spans="1:3" ht="15.75" customHeight="1" x14ac:dyDescent="0.35">
      <c r="A245" s="28"/>
      <c r="B245" s="85"/>
      <c r="C245" s="96"/>
    </row>
    <row r="246" spans="1:3" ht="15.75" customHeight="1" x14ac:dyDescent="0.35">
      <c r="A246" s="28"/>
      <c r="B246" s="85"/>
      <c r="C246" s="96"/>
    </row>
    <row r="247" spans="1:3" ht="15.75" customHeight="1" x14ac:dyDescent="0.35">
      <c r="A247" s="28"/>
      <c r="B247" s="85"/>
      <c r="C247" s="96"/>
    </row>
    <row r="248" spans="1:3" ht="15.75" customHeight="1" x14ac:dyDescent="0.35">
      <c r="A248" s="28"/>
      <c r="B248" s="85"/>
      <c r="C248" s="96"/>
    </row>
    <row r="249" spans="1:3" ht="15.75" customHeight="1" x14ac:dyDescent="0.35">
      <c r="A249" s="28"/>
      <c r="B249" s="85"/>
      <c r="C249" s="96"/>
    </row>
    <row r="250" spans="1:3" ht="15.75" customHeight="1" x14ac:dyDescent="0.35">
      <c r="A250" s="28"/>
      <c r="B250" s="85"/>
      <c r="C250" s="96"/>
    </row>
    <row r="251" spans="1:3" ht="15.75" customHeight="1" x14ac:dyDescent="0.35">
      <c r="A251" s="28"/>
      <c r="B251" s="85"/>
      <c r="C251" s="96"/>
    </row>
    <row r="252" spans="1:3" ht="15.75" customHeight="1" x14ac:dyDescent="0.35">
      <c r="A252" s="28"/>
      <c r="B252" s="85"/>
      <c r="C252" s="96"/>
    </row>
    <row r="253" spans="1:3" ht="15.75" customHeight="1" x14ac:dyDescent="0.35">
      <c r="A253" s="28"/>
      <c r="B253" s="85"/>
      <c r="C253" s="96"/>
    </row>
    <row r="254" spans="1:3" ht="15.75" customHeight="1" x14ac:dyDescent="0.35">
      <c r="A254" s="28"/>
      <c r="B254" s="85"/>
      <c r="C254" s="96"/>
    </row>
    <row r="255" spans="1:3" ht="15.75" customHeight="1" x14ac:dyDescent="0.35">
      <c r="A255" s="28"/>
      <c r="B255" s="85"/>
      <c r="C255" s="96"/>
    </row>
    <row r="256" spans="1:3" ht="15.75" customHeight="1" x14ac:dyDescent="0.35">
      <c r="A256" s="28"/>
      <c r="B256" s="85"/>
      <c r="C256" s="96"/>
    </row>
    <row r="257" spans="1:3" ht="15.75" customHeight="1" x14ac:dyDescent="0.35">
      <c r="A257" s="28"/>
      <c r="B257" s="85"/>
      <c r="C257" s="96"/>
    </row>
    <row r="258" spans="1:3" ht="15.75" customHeight="1" x14ac:dyDescent="0.35">
      <c r="A258" s="28"/>
      <c r="B258" s="85"/>
      <c r="C258" s="96"/>
    </row>
    <row r="259" spans="1:3" ht="15.75" customHeight="1" x14ac:dyDescent="0.35">
      <c r="A259" s="28"/>
      <c r="B259" s="85"/>
      <c r="C259" s="96"/>
    </row>
    <row r="260" spans="1:3" ht="15.75" customHeight="1" x14ac:dyDescent="0.35">
      <c r="A260" s="28"/>
      <c r="B260" s="85"/>
      <c r="C260" s="96"/>
    </row>
    <row r="261" spans="1:3" ht="15.75" customHeight="1" x14ac:dyDescent="0.35">
      <c r="A261" s="28"/>
      <c r="B261" s="85"/>
      <c r="C261" s="96"/>
    </row>
    <row r="262" spans="1:3" ht="15.75" customHeight="1" x14ac:dyDescent="0.35">
      <c r="A262" s="28"/>
      <c r="B262" s="85"/>
      <c r="C262" s="96"/>
    </row>
    <row r="263" spans="1:3" ht="15.75" customHeight="1" x14ac:dyDescent="0.35">
      <c r="A263" s="28"/>
      <c r="B263" s="85"/>
      <c r="C263" s="96"/>
    </row>
    <row r="264" spans="1:3" ht="15.75" customHeight="1" x14ac:dyDescent="0.35">
      <c r="A264" s="28"/>
      <c r="B264" s="85"/>
      <c r="C264" s="96"/>
    </row>
    <row r="265" spans="1:3" ht="15.75" customHeight="1" x14ac:dyDescent="0.35">
      <c r="A265" s="28"/>
      <c r="B265" s="85"/>
      <c r="C265" s="96"/>
    </row>
    <row r="266" spans="1:3" ht="15.75" customHeight="1" x14ac:dyDescent="0.35">
      <c r="A266" s="28"/>
      <c r="B266" s="85"/>
      <c r="C266" s="96"/>
    </row>
    <row r="267" spans="1:3" ht="15.75" customHeight="1" x14ac:dyDescent="0.35">
      <c r="A267" s="28"/>
      <c r="B267" s="85"/>
      <c r="C267" s="96"/>
    </row>
    <row r="268" spans="1:3" ht="15.75" customHeight="1" x14ac:dyDescent="0.35">
      <c r="A268" s="28"/>
      <c r="B268" s="85"/>
      <c r="C268" s="96"/>
    </row>
    <row r="269" spans="1:3" ht="15.75" customHeight="1" x14ac:dyDescent="0.35">
      <c r="A269" s="28"/>
      <c r="B269" s="85"/>
      <c r="C269" s="96"/>
    </row>
    <row r="270" spans="1:3" ht="15.75" customHeight="1" x14ac:dyDescent="0.35">
      <c r="A270" s="28"/>
      <c r="B270" s="85"/>
      <c r="C270" s="96"/>
    </row>
    <row r="271" spans="1:3" ht="15.75" customHeight="1" x14ac:dyDescent="0.35">
      <c r="A271" s="28"/>
      <c r="B271" s="85"/>
      <c r="C271" s="96"/>
    </row>
    <row r="272" spans="1:3" ht="15.75" customHeight="1" x14ac:dyDescent="0.35">
      <c r="A272" s="28"/>
      <c r="B272" s="85"/>
      <c r="C272" s="96"/>
    </row>
    <row r="273" spans="1:3" ht="15.75" customHeight="1" x14ac:dyDescent="0.35">
      <c r="A273" s="28"/>
      <c r="B273" s="85"/>
      <c r="C273" s="96"/>
    </row>
    <row r="274" spans="1:3" ht="15.75" customHeight="1" x14ac:dyDescent="0.35">
      <c r="A274" s="28"/>
      <c r="B274" s="85"/>
      <c r="C274" s="96"/>
    </row>
    <row r="275" spans="1:3" ht="15.75" customHeight="1" x14ac:dyDescent="0.35">
      <c r="A275" s="28"/>
      <c r="B275" s="85"/>
      <c r="C275" s="96"/>
    </row>
    <row r="276" spans="1:3" ht="15.75" customHeight="1" x14ac:dyDescent="0.35">
      <c r="A276" s="28"/>
      <c r="B276" s="85"/>
      <c r="C276" s="96"/>
    </row>
    <row r="277" spans="1:3" ht="15.75" customHeight="1" x14ac:dyDescent="0.35">
      <c r="A277" s="28"/>
      <c r="B277" s="85"/>
      <c r="C277" s="96"/>
    </row>
    <row r="278" spans="1:3" ht="15.75" customHeight="1" x14ac:dyDescent="0.35">
      <c r="A278" s="28"/>
      <c r="B278" s="85"/>
      <c r="C278" s="96"/>
    </row>
    <row r="279" spans="1:3" ht="15.75" customHeight="1" x14ac:dyDescent="0.35">
      <c r="A279" s="28"/>
      <c r="B279" s="85"/>
      <c r="C279" s="96"/>
    </row>
    <row r="280" spans="1:3" ht="15.75" customHeight="1" x14ac:dyDescent="0.35">
      <c r="A280" s="28"/>
      <c r="B280" s="85"/>
      <c r="C280" s="96"/>
    </row>
    <row r="281" spans="1:3" ht="15.75" customHeight="1" x14ac:dyDescent="0.35">
      <c r="A281" s="28"/>
      <c r="B281" s="85"/>
      <c r="C281" s="96"/>
    </row>
    <row r="282" spans="1:3" ht="15.75" customHeight="1" x14ac:dyDescent="0.35">
      <c r="A282" s="28"/>
      <c r="B282" s="85"/>
      <c r="C282" s="96"/>
    </row>
    <row r="283" spans="1:3" ht="15.75" customHeight="1" x14ac:dyDescent="0.35">
      <c r="A283" s="28"/>
      <c r="B283" s="85"/>
      <c r="C283" s="96"/>
    </row>
    <row r="284" spans="1:3" ht="15.75" customHeight="1" x14ac:dyDescent="0.35">
      <c r="A284" s="28"/>
      <c r="B284" s="85"/>
      <c r="C284" s="96"/>
    </row>
    <row r="285" spans="1:3" ht="15.75" customHeight="1" x14ac:dyDescent="0.35">
      <c r="A285" s="28"/>
      <c r="B285" s="85"/>
      <c r="C285" s="96"/>
    </row>
    <row r="286" spans="1:3" ht="15.75" customHeight="1" x14ac:dyDescent="0.35">
      <c r="A286" s="28"/>
      <c r="B286" s="85"/>
      <c r="C286" s="96"/>
    </row>
    <row r="287" spans="1:3" ht="15.75" customHeight="1" x14ac:dyDescent="0.35">
      <c r="A287" s="28"/>
      <c r="B287" s="85"/>
      <c r="C287" s="96"/>
    </row>
    <row r="288" spans="1:3" ht="15.75" customHeight="1" x14ac:dyDescent="0.35">
      <c r="A288" s="28"/>
      <c r="B288" s="85"/>
      <c r="C288" s="96"/>
    </row>
    <row r="289" spans="1:3" ht="15.75" customHeight="1" x14ac:dyDescent="0.35">
      <c r="A289" s="28"/>
      <c r="B289" s="85"/>
      <c r="C289" s="96"/>
    </row>
    <row r="290" spans="1:3" ht="15.75" customHeight="1" x14ac:dyDescent="0.35">
      <c r="A290" s="28"/>
      <c r="B290" s="85"/>
      <c r="C290" s="96"/>
    </row>
    <row r="291" spans="1:3" ht="15.75" customHeight="1" x14ac:dyDescent="0.35">
      <c r="A291" s="28"/>
      <c r="B291" s="85"/>
      <c r="C291" s="96"/>
    </row>
    <row r="292" spans="1:3" ht="15.75" customHeight="1" x14ac:dyDescent="0.35">
      <c r="A292" s="28"/>
      <c r="B292" s="85"/>
      <c r="C292" s="96"/>
    </row>
    <row r="293" spans="1:3" ht="15.75" customHeight="1" x14ac:dyDescent="0.35">
      <c r="A293" s="28"/>
      <c r="B293" s="85"/>
      <c r="C293" s="96"/>
    </row>
    <row r="294" spans="1:3" ht="15.75" customHeight="1" x14ac:dyDescent="0.35">
      <c r="A294" s="28"/>
      <c r="B294" s="85"/>
      <c r="C294" s="96"/>
    </row>
    <row r="295" spans="1:3" ht="15.75" customHeight="1" x14ac:dyDescent="0.35">
      <c r="A295" s="28"/>
      <c r="B295" s="85"/>
      <c r="C295" s="96"/>
    </row>
    <row r="296" spans="1:3" ht="15.75" customHeight="1" x14ac:dyDescent="0.35">
      <c r="A296" s="28"/>
      <c r="B296" s="85"/>
      <c r="C296" s="96"/>
    </row>
    <row r="297" spans="1:3" ht="15.75" customHeight="1" x14ac:dyDescent="0.35">
      <c r="A297" s="28"/>
      <c r="B297" s="85"/>
      <c r="C297" s="96"/>
    </row>
    <row r="298" spans="1:3" ht="15.75" customHeight="1" x14ac:dyDescent="0.35">
      <c r="A298" s="28"/>
      <c r="B298" s="85"/>
      <c r="C298" s="96"/>
    </row>
    <row r="299" spans="1:3" ht="15.75" customHeight="1" x14ac:dyDescent="0.35">
      <c r="A299" s="28"/>
      <c r="B299" s="85"/>
      <c r="C299" s="96"/>
    </row>
    <row r="300" spans="1:3" ht="15.75" customHeight="1" x14ac:dyDescent="0.35">
      <c r="A300" s="28"/>
      <c r="B300" s="85"/>
      <c r="C300" s="96"/>
    </row>
    <row r="301" spans="1:3" ht="15.75" customHeight="1" x14ac:dyDescent="0.35">
      <c r="A301" s="28"/>
      <c r="B301" s="85"/>
      <c r="C301" s="96"/>
    </row>
    <row r="302" spans="1:3" ht="15.75" customHeight="1" x14ac:dyDescent="0.35">
      <c r="A302" s="28"/>
      <c r="B302" s="85"/>
      <c r="C302" s="96"/>
    </row>
    <row r="303" spans="1:3" ht="15.75" customHeight="1" x14ac:dyDescent="0.35">
      <c r="A303" s="28"/>
      <c r="B303" s="85"/>
      <c r="C303" s="96"/>
    </row>
    <row r="304" spans="1:3" ht="15.75" customHeight="1" x14ac:dyDescent="0.35">
      <c r="A304" s="28"/>
      <c r="B304" s="85"/>
      <c r="C304" s="96"/>
    </row>
    <row r="305" spans="1:3" ht="15.75" customHeight="1" x14ac:dyDescent="0.35">
      <c r="A305" s="28"/>
      <c r="B305" s="85"/>
      <c r="C305" s="96"/>
    </row>
    <row r="306" spans="1:3" ht="15.75" customHeight="1" x14ac:dyDescent="0.35">
      <c r="A306" s="28"/>
      <c r="B306" s="85"/>
      <c r="C306" s="96"/>
    </row>
    <row r="307" spans="1:3" ht="15.75" customHeight="1" x14ac:dyDescent="0.35">
      <c r="A307" s="28"/>
      <c r="B307" s="85"/>
      <c r="C307" s="96"/>
    </row>
    <row r="308" spans="1:3" ht="15.75" customHeight="1" x14ac:dyDescent="0.35">
      <c r="A308" s="28"/>
      <c r="B308" s="85"/>
      <c r="C308" s="96"/>
    </row>
    <row r="309" spans="1:3" ht="15.75" customHeight="1" x14ac:dyDescent="0.35">
      <c r="A309" s="28"/>
      <c r="B309" s="85"/>
      <c r="C309" s="96"/>
    </row>
    <row r="310" spans="1:3" ht="15.75" customHeight="1" x14ac:dyDescent="0.35">
      <c r="A310" s="28"/>
      <c r="B310" s="85"/>
      <c r="C310" s="96"/>
    </row>
    <row r="311" spans="1:3" ht="15.75" customHeight="1" x14ac:dyDescent="0.35">
      <c r="A311" s="28"/>
      <c r="B311" s="85"/>
      <c r="C311" s="96"/>
    </row>
    <row r="312" spans="1:3" ht="15.75" customHeight="1" x14ac:dyDescent="0.35">
      <c r="A312" s="28"/>
      <c r="B312" s="85"/>
      <c r="C312" s="96"/>
    </row>
    <row r="313" spans="1:3" ht="15.75" customHeight="1" x14ac:dyDescent="0.35">
      <c r="A313" s="28"/>
      <c r="B313" s="85"/>
      <c r="C313" s="96"/>
    </row>
    <row r="314" spans="1:3" ht="15.75" customHeight="1" x14ac:dyDescent="0.35">
      <c r="A314" s="28"/>
      <c r="B314" s="85"/>
      <c r="C314" s="96"/>
    </row>
    <row r="315" spans="1:3" ht="15.75" customHeight="1" x14ac:dyDescent="0.35">
      <c r="A315" s="28"/>
      <c r="B315" s="85"/>
      <c r="C315" s="96"/>
    </row>
    <row r="316" spans="1:3" ht="15.75" customHeight="1" x14ac:dyDescent="0.35">
      <c r="A316" s="28"/>
      <c r="B316" s="85"/>
      <c r="C316" s="96"/>
    </row>
    <row r="317" spans="1:3" ht="15.75" customHeight="1" x14ac:dyDescent="0.35">
      <c r="A317" s="28"/>
      <c r="B317" s="85"/>
      <c r="C317" s="96"/>
    </row>
    <row r="318" spans="1:3" ht="15.75" customHeight="1" x14ac:dyDescent="0.35">
      <c r="A318" s="28"/>
      <c r="B318" s="85"/>
      <c r="C318" s="96"/>
    </row>
    <row r="319" spans="1:3" ht="15.75" customHeight="1" x14ac:dyDescent="0.35">
      <c r="A319" s="28"/>
      <c r="B319" s="85"/>
      <c r="C319" s="96"/>
    </row>
    <row r="320" spans="1:3" ht="15.75" customHeight="1" x14ac:dyDescent="0.35">
      <c r="A320" s="28"/>
      <c r="B320" s="85"/>
      <c r="C320" s="96"/>
    </row>
    <row r="321" spans="1:3" ht="15.75" customHeight="1" x14ac:dyDescent="0.35">
      <c r="A321" s="28"/>
      <c r="B321" s="85"/>
      <c r="C321" s="96"/>
    </row>
    <row r="322" spans="1:3" ht="15.75" customHeight="1" x14ac:dyDescent="0.35">
      <c r="A322" s="28"/>
      <c r="B322" s="85"/>
      <c r="C322" s="96"/>
    </row>
    <row r="323" spans="1:3" ht="15.75" customHeight="1" x14ac:dyDescent="0.35">
      <c r="A323" s="28"/>
      <c r="B323" s="85"/>
      <c r="C323" s="96"/>
    </row>
    <row r="324" spans="1:3" ht="15.75" customHeight="1" x14ac:dyDescent="0.35">
      <c r="A324" s="28"/>
      <c r="B324" s="85"/>
      <c r="C324" s="96"/>
    </row>
    <row r="325" spans="1:3" ht="15.75" customHeight="1" x14ac:dyDescent="0.35">
      <c r="A325" s="28"/>
      <c r="B325" s="85"/>
      <c r="C325" s="96"/>
    </row>
    <row r="326" spans="1:3" ht="15.75" customHeight="1" x14ac:dyDescent="0.35">
      <c r="A326" s="28"/>
      <c r="B326" s="85"/>
      <c r="C326" s="96"/>
    </row>
    <row r="327" spans="1:3" ht="15.75" customHeight="1" x14ac:dyDescent="0.35">
      <c r="A327" s="28"/>
      <c r="B327" s="85"/>
      <c r="C327" s="96"/>
    </row>
    <row r="328" spans="1:3" ht="15.75" customHeight="1" x14ac:dyDescent="0.35">
      <c r="A328" s="28"/>
      <c r="B328" s="85"/>
      <c r="C328" s="96"/>
    </row>
    <row r="329" spans="1:3" ht="15.75" customHeight="1" x14ac:dyDescent="0.35">
      <c r="A329" s="28"/>
      <c r="B329" s="85"/>
      <c r="C329" s="96"/>
    </row>
    <row r="330" spans="1:3" ht="15.75" customHeight="1" x14ac:dyDescent="0.35">
      <c r="A330" s="28"/>
      <c r="B330" s="85"/>
      <c r="C330" s="96"/>
    </row>
    <row r="331" spans="1:3" ht="15.75" customHeight="1" x14ac:dyDescent="0.35">
      <c r="A331" s="28"/>
      <c r="B331" s="85"/>
      <c r="C331" s="96"/>
    </row>
    <row r="332" spans="1:3" ht="15.75" customHeight="1" x14ac:dyDescent="0.35">
      <c r="A332" s="28"/>
      <c r="B332" s="85"/>
      <c r="C332" s="96"/>
    </row>
    <row r="333" spans="1:3" ht="15.75" customHeight="1" x14ac:dyDescent="0.35">
      <c r="A333" s="28"/>
      <c r="B333" s="85"/>
      <c r="C333" s="96"/>
    </row>
    <row r="334" spans="1:3" ht="15.75" customHeight="1" x14ac:dyDescent="0.35">
      <c r="A334" s="28"/>
      <c r="B334" s="85"/>
      <c r="C334" s="96"/>
    </row>
    <row r="335" spans="1:3" ht="15.75" customHeight="1" x14ac:dyDescent="0.35">
      <c r="A335" s="28"/>
      <c r="B335" s="85"/>
      <c r="C335" s="96"/>
    </row>
    <row r="336" spans="1:3" ht="15.75" customHeight="1" x14ac:dyDescent="0.35">
      <c r="A336" s="28"/>
      <c r="B336" s="85"/>
      <c r="C336" s="96"/>
    </row>
    <row r="337" spans="1:3" ht="15.75" customHeight="1" x14ac:dyDescent="0.35">
      <c r="A337" s="28"/>
      <c r="B337" s="85"/>
      <c r="C337" s="96"/>
    </row>
    <row r="338" spans="1:3" ht="15.75" customHeight="1" x14ac:dyDescent="0.35">
      <c r="A338" s="28"/>
      <c r="B338" s="85"/>
      <c r="C338" s="96"/>
    </row>
    <row r="339" spans="1:3" ht="15.75" customHeight="1" x14ac:dyDescent="0.35">
      <c r="A339" s="28"/>
      <c r="B339" s="85"/>
      <c r="C339" s="96"/>
    </row>
    <row r="340" spans="1:3" ht="15.75" customHeight="1" x14ac:dyDescent="0.35">
      <c r="A340" s="28"/>
      <c r="B340" s="85"/>
      <c r="C340" s="96"/>
    </row>
    <row r="341" spans="1:3" ht="15.75" customHeight="1" x14ac:dyDescent="0.35">
      <c r="A341" s="28"/>
      <c r="B341" s="85"/>
      <c r="C341" s="96"/>
    </row>
    <row r="342" spans="1:3" ht="15.75" customHeight="1" x14ac:dyDescent="0.35">
      <c r="A342" s="28"/>
      <c r="B342" s="85"/>
      <c r="C342" s="96"/>
    </row>
    <row r="343" spans="1:3" ht="15.75" customHeight="1" x14ac:dyDescent="0.35">
      <c r="A343" s="28"/>
      <c r="B343" s="85"/>
      <c r="C343" s="96"/>
    </row>
    <row r="344" spans="1:3" ht="15.75" customHeight="1" x14ac:dyDescent="0.35">
      <c r="A344" s="28"/>
      <c r="B344" s="85"/>
      <c r="C344" s="96"/>
    </row>
    <row r="345" spans="1:3" ht="15.75" customHeight="1" x14ac:dyDescent="0.35">
      <c r="A345" s="28"/>
      <c r="B345" s="85"/>
      <c r="C345" s="96"/>
    </row>
    <row r="346" spans="1:3" ht="15.75" customHeight="1" x14ac:dyDescent="0.35">
      <c r="A346" s="28"/>
      <c r="B346" s="85"/>
      <c r="C346" s="96"/>
    </row>
    <row r="347" spans="1:3" ht="15.75" customHeight="1" x14ac:dyDescent="0.35">
      <c r="A347" s="28"/>
      <c r="B347" s="85"/>
      <c r="C347" s="96"/>
    </row>
    <row r="348" spans="1:3" ht="15.75" customHeight="1" x14ac:dyDescent="0.35">
      <c r="A348" s="28"/>
      <c r="B348" s="85"/>
      <c r="C348" s="96"/>
    </row>
    <row r="349" spans="1:3" ht="15.75" customHeight="1" x14ac:dyDescent="0.35">
      <c r="A349" s="28"/>
      <c r="B349" s="85"/>
      <c r="C349" s="96"/>
    </row>
    <row r="350" spans="1:3" ht="15.75" customHeight="1" x14ac:dyDescent="0.35">
      <c r="A350" s="28"/>
      <c r="B350" s="85"/>
      <c r="C350" s="96"/>
    </row>
    <row r="351" spans="1:3" ht="15.75" customHeight="1" x14ac:dyDescent="0.35">
      <c r="A351" s="28"/>
      <c r="B351" s="85"/>
      <c r="C351" s="96"/>
    </row>
    <row r="352" spans="1:3" ht="15.75" customHeight="1" x14ac:dyDescent="0.35">
      <c r="A352" s="28"/>
      <c r="B352" s="85"/>
      <c r="C352" s="96"/>
    </row>
    <row r="353" spans="1:3" ht="15.75" customHeight="1" x14ac:dyDescent="0.35">
      <c r="A353" s="28"/>
      <c r="B353" s="85"/>
      <c r="C353" s="96"/>
    </row>
    <row r="354" spans="1:3" ht="15.75" customHeight="1" x14ac:dyDescent="0.35">
      <c r="A354" s="28"/>
      <c r="B354" s="85"/>
      <c r="C354" s="96"/>
    </row>
    <row r="355" spans="1:3" ht="15.75" customHeight="1" x14ac:dyDescent="0.35">
      <c r="A355" s="28"/>
      <c r="B355" s="85"/>
      <c r="C355" s="96"/>
    </row>
    <row r="356" spans="1:3" ht="15.75" customHeight="1" x14ac:dyDescent="0.35">
      <c r="A356" s="28"/>
      <c r="B356" s="85"/>
      <c r="C356" s="96"/>
    </row>
    <row r="357" spans="1:3" ht="15.75" customHeight="1" x14ac:dyDescent="0.35">
      <c r="A357" s="28"/>
      <c r="B357" s="85"/>
      <c r="C357" s="96"/>
    </row>
    <row r="358" spans="1:3" ht="15.75" customHeight="1" x14ac:dyDescent="0.35">
      <c r="A358" s="28"/>
      <c r="B358" s="85"/>
      <c r="C358" s="96"/>
    </row>
    <row r="359" spans="1:3" ht="15.75" customHeight="1" x14ac:dyDescent="0.35">
      <c r="A359" s="28"/>
      <c r="B359" s="85"/>
      <c r="C359" s="96"/>
    </row>
    <row r="360" spans="1:3" ht="15.75" customHeight="1" x14ac:dyDescent="0.35">
      <c r="A360" s="28"/>
      <c r="B360" s="85"/>
      <c r="C360" s="96"/>
    </row>
    <row r="361" spans="1:3" ht="15.75" customHeight="1" x14ac:dyDescent="0.35">
      <c r="A361" s="28"/>
      <c r="B361" s="85"/>
      <c r="C361" s="96"/>
    </row>
    <row r="362" spans="1:3" ht="15.75" customHeight="1" x14ac:dyDescent="0.35">
      <c r="A362" s="28"/>
      <c r="B362" s="85"/>
      <c r="C362" s="96"/>
    </row>
    <row r="363" spans="1:3" ht="15.75" customHeight="1" x14ac:dyDescent="0.35">
      <c r="A363" s="28"/>
      <c r="B363" s="85"/>
      <c r="C363" s="96"/>
    </row>
    <row r="364" spans="1:3" ht="15.75" customHeight="1" x14ac:dyDescent="0.35">
      <c r="A364" s="28"/>
      <c r="B364" s="85"/>
      <c r="C364" s="96"/>
    </row>
    <row r="365" spans="1:3" ht="15.75" customHeight="1" x14ac:dyDescent="0.35">
      <c r="A365" s="28"/>
      <c r="B365" s="85"/>
      <c r="C365" s="96"/>
    </row>
    <row r="366" spans="1:3" ht="15.75" customHeight="1" x14ac:dyDescent="0.35">
      <c r="A366" s="28"/>
      <c r="B366" s="85"/>
      <c r="C366" s="96"/>
    </row>
    <row r="367" spans="1:3" ht="15.75" customHeight="1" x14ac:dyDescent="0.35">
      <c r="A367" s="28"/>
      <c r="B367" s="85"/>
      <c r="C367" s="96"/>
    </row>
    <row r="368" spans="1:3" ht="15.75" customHeight="1" x14ac:dyDescent="0.35">
      <c r="A368" s="28"/>
      <c r="B368" s="85"/>
      <c r="C368" s="96"/>
    </row>
    <row r="369" spans="1:3" ht="15.75" customHeight="1" x14ac:dyDescent="0.35">
      <c r="A369" s="28"/>
      <c r="B369" s="85"/>
      <c r="C369" s="96"/>
    </row>
    <row r="370" spans="1:3" ht="15.75" customHeight="1" x14ac:dyDescent="0.35">
      <c r="A370" s="28"/>
      <c r="B370" s="85"/>
      <c r="C370" s="96"/>
    </row>
    <row r="371" spans="1:3" ht="15.75" customHeight="1" x14ac:dyDescent="0.35">
      <c r="A371" s="28"/>
      <c r="B371" s="85"/>
      <c r="C371" s="96"/>
    </row>
    <row r="372" spans="1:3" ht="15.75" customHeight="1" x14ac:dyDescent="0.35">
      <c r="A372" s="28"/>
      <c r="B372" s="85"/>
      <c r="C372" s="96"/>
    </row>
    <row r="373" spans="1:3" ht="15.75" customHeight="1" x14ac:dyDescent="0.35">
      <c r="A373" s="28"/>
      <c r="B373" s="85"/>
      <c r="C373" s="96"/>
    </row>
    <row r="374" spans="1:3" ht="15.75" customHeight="1" x14ac:dyDescent="0.35">
      <c r="A374" s="28"/>
      <c r="B374" s="85"/>
      <c r="C374" s="96"/>
    </row>
    <row r="375" spans="1:3" ht="15.75" customHeight="1" x14ac:dyDescent="0.35">
      <c r="A375" s="28"/>
      <c r="B375" s="85"/>
      <c r="C375" s="96"/>
    </row>
    <row r="376" spans="1:3" ht="15.75" customHeight="1" x14ac:dyDescent="0.35">
      <c r="A376" s="28"/>
      <c r="B376" s="85"/>
      <c r="C376" s="96"/>
    </row>
    <row r="377" spans="1:3" ht="15.75" customHeight="1" x14ac:dyDescent="0.35">
      <c r="A377" s="28"/>
      <c r="B377" s="85"/>
      <c r="C377" s="96"/>
    </row>
    <row r="378" spans="1:3" ht="15.75" customHeight="1" x14ac:dyDescent="0.35">
      <c r="A378" s="28"/>
      <c r="B378" s="85"/>
      <c r="C378" s="96"/>
    </row>
    <row r="379" spans="1:3" ht="15.75" customHeight="1" x14ac:dyDescent="0.35">
      <c r="A379" s="28"/>
      <c r="B379" s="85"/>
      <c r="C379" s="96"/>
    </row>
    <row r="380" spans="1:3" ht="15.75" customHeight="1" x14ac:dyDescent="0.35">
      <c r="A380" s="28"/>
      <c r="B380" s="85"/>
      <c r="C380" s="96"/>
    </row>
    <row r="381" spans="1:3" ht="15.75" customHeight="1" x14ac:dyDescent="0.35">
      <c r="A381" s="28"/>
      <c r="B381" s="85"/>
      <c r="C381" s="96"/>
    </row>
    <row r="382" spans="1:3" ht="15.75" customHeight="1" x14ac:dyDescent="0.35">
      <c r="A382" s="28"/>
      <c r="B382" s="85"/>
      <c r="C382" s="96"/>
    </row>
    <row r="383" spans="1:3" ht="15.75" customHeight="1" x14ac:dyDescent="0.35">
      <c r="A383" s="28"/>
      <c r="B383" s="85"/>
      <c r="C383" s="96"/>
    </row>
    <row r="384" spans="1:3" ht="15.75" customHeight="1" x14ac:dyDescent="0.35">
      <c r="A384" s="28"/>
      <c r="B384" s="85"/>
      <c r="C384" s="96"/>
    </row>
    <row r="385" spans="1:3" ht="15.75" customHeight="1" x14ac:dyDescent="0.35">
      <c r="A385" s="28"/>
      <c r="B385" s="85"/>
      <c r="C385" s="96"/>
    </row>
    <row r="386" spans="1:3" ht="15.75" customHeight="1" x14ac:dyDescent="0.35">
      <c r="A386" s="28"/>
      <c r="B386" s="85"/>
      <c r="C386" s="96"/>
    </row>
    <row r="387" spans="1:3" ht="15.75" customHeight="1" x14ac:dyDescent="0.35">
      <c r="A387" s="28"/>
      <c r="B387" s="85"/>
      <c r="C387" s="96"/>
    </row>
    <row r="388" spans="1:3" ht="15.75" customHeight="1" x14ac:dyDescent="0.35">
      <c r="A388" s="28"/>
      <c r="B388" s="85"/>
      <c r="C388" s="96"/>
    </row>
    <row r="389" spans="1:3" ht="15.75" customHeight="1" x14ac:dyDescent="0.35">
      <c r="A389" s="28"/>
      <c r="B389" s="85"/>
      <c r="C389" s="96"/>
    </row>
    <row r="390" spans="1:3" ht="15.75" customHeight="1" x14ac:dyDescent="0.35">
      <c r="A390" s="28"/>
      <c r="B390" s="85"/>
      <c r="C390" s="96"/>
    </row>
    <row r="391" spans="1:3" ht="15.75" customHeight="1" x14ac:dyDescent="0.35">
      <c r="A391" s="28"/>
      <c r="B391" s="85"/>
      <c r="C391" s="96"/>
    </row>
    <row r="392" spans="1:3" ht="15.75" customHeight="1" x14ac:dyDescent="0.35">
      <c r="A392" s="28"/>
      <c r="B392" s="85"/>
      <c r="C392" s="96"/>
    </row>
    <row r="393" spans="1:3" ht="15.75" customHeight="1" x14ac:dyDescent="0.35">
      <c r="A393" s="28"/>
      <c r="B393" s="85"/>
      <c r="C393" s="96"/>
    </row>
    <row r="394" spans="1:3" ht="15.75" customHeight="1" x14ac:dyDescent="0.35">
      <c r="A394" s="28"/>
      <c r="B394" s="85"/>
      <c r="C394" s="96"/>
    </row>
    <row r="395" spans="1:3" ht="15.75" customHeight="1" x14ac:dyDescent="0.35">
      <c r="A395" s="28"/>
      <c r="B395" s="85"/>
      <c r="C395" s="96"/>
    </row>
    <row r="396" spans="1:3" ht="15.75" customHeight="1" x14ac:dyDescent="0.35">
      <c r="A396" s="28"/>
      <c r="B396" s="85"/>
      <c r="C396" s="96"/>
    </row>
    <row r="397" spans="1:3" ht="15.75" customHeight="1" x14ac:dyDescent="0.35">
      <c r="A397" s="28"/>
      <c r="B397" s="85"/>
      <c r="C397" s="96"/>
    </row>
    <row r="398" spans="1:3" ht="15.75" customHeight="1" x14ac:dyDescent="0.35">
      <c r="A398" s="28"/>
      <c r="B398" s="85"/>
      <c r="C398" s="96"/>
    </row>
    <row r="399" spans="1:3" ht="15.75" customHeight="1" x14ac:dyDescent="0.35">
      <c r="A399" s="28"/>
      <c r="B399" s="85"/>
      <c r="C399" s="96"/>
    </row>
    <row r="400" spans="1:3" ht="15.75" customHeight="1" x14ac:dyDescent="0.35">
      <c r="A400" s="28"/>
      <c r="B400" s="85"/>
      <c r="C400" s="96"/>
    </row>
    <row r="401" spans="1:3" ht="15.75" customHeight="1" x14ac:dyDescent="0.35">
      <c r="A401" s="28"/>
      <c r="B401" s="85"/>
      <c r="C401" s="96"/>
    </row>
    <row r="402" spans="1:3" ht="15.75" customHeight="1" x14ac:dyDescent="0.35">
      <c r="A402" s="28"/>
      <c r="B402" s="85"/>
      <c r="C402" s="96"/>
    </row>
    <row r="403" spans="1:3" ht="15.75" customHeight="1" x14ac:dyDescent="0.35">
      <c r="A403" s="28"/>
      <c r="B403" s="85"/>
      <c r="C403" s="96"/>
    </row>
    <row r="404" spans="1:3" ht="15.75" customHeight="1" x14ac:dyDescent="0.35">
      <c r="A404" s="28"/>
      <c r="B404" s="85"/>
      <c r="C404" s="96"/>
    </row>
    <row r="405" spans="1:3" ht="15.75" customHeight="1" x14ac:dyDescent="0.35">
      <c r="A405" s="28"/>
      <c r="B405" s="85"/>
      <c r="C405" s="96"/>
    </row>
    <row r="406" spans="1:3" ht="15.75" customHeight="1" x14ac:dyDescent="0.35">
      <c r="A406" s="28"/>
      <c r="B406" s="85"/>
      <c r="C406" s="96"/>
    </row>
    <row r="407" spans="1:3" ht="15.75" customHeight="1" x14ac:dyDescent="0.35">
      <c r="A407" s="28"/>
      <c r="B407" s="85"/>
      <c r="C407" s="96"/>
    </row>
    <row r="408" spans="1:3" ht="15.75" customHeight="1" x14ac:dyDescent="0.35">
      <c r="A408" s="28"/>
      <c r="B408" s="85"/>
      <c r="C408" s="96"/>
    </row>
    <row r="409" spans="1:3" ht="15.75" customHeight="1" x14ac:dyDescent="0.35">
      <c r="A409" s="28"/>
      <c r="B409" s="85"/>
      <c r="C409" s="96"/>
    </row>
    <row r="410" spans="1:3" ht="15.75" customHeight="1" x14ac:dyDescent="0.35">
      <c r="A410" s="28"/>
      <c r="B410" s="85"/>
      <c r="C410" s="96"/>
    </row>
    <row r="411" spans="1:3" ht="15.75" customHeight="1" x14ac:dyDescent="0.35">
      <c r="A411" s="28"/>
      <c r="B411" s="85"/>
      <c r="C411" s="96"/>
    </row>
    <row r="412" spans="1:3" ht="15.75" customHeight="1" x14ac:dyDescent="0.35">
      <c r="A412" s="28"/>
      <c r="B412" s="85"/>
      <c r="C412" s="96"/>
    </row>
    <row r="413" spans="1:3" ht="15.75" customHeight="1" x14ac:dyDescent="0.35">
      <c r="A413" s="28"/>
      <c r="B413" s="85"/>
      <c r="C413" s="96"/>
    </row>
    <row r="414" spans="1:3" ht="15.75" customHeight="1" x14ac:dyDescent="0.35">
      <c r="A414" s="28"/>
      <c r="B414" s="85"/>
      <c r="C414" s="96"/>
    </row>
    <row r="415" spans="1:3" ht="15.75" customHeight="1" x14ac:dyDescent="0.35">
      <c r="A415" s="28"/>
      <c r="B415" s="85"/>
      <c r="C415" s="96"/>
    </row>
    <row r="416" spans="1:3" ht="15.75" customHeight="1" x14ac:dyDescent="0.35">
      <c r="A416" s="28"/>
      <c r="B416" s="85"/>
      <c r="C416" s="96"/>
    </row>
    <row r="417" spans="1:3" ht="15.75" customHeight="1" x14ac:dyDescent="0.35">
      <c r="A417" s="28"/>
      <c r="B417" s="85"/>
      <c r="C417" s="96"/>
    </row>
    <row r="418" spans="1:3" ht="15.75" customHeight="1" x14ac:dyDescent="0.35">
      <c r="A418" s="28"/>
      <c r="B418" s="85"/>
      <c r="C418" s="96"/>
    </row>
    <row r="419" spans="1:3" ht="15.75" customHeight="1" x14ac:dyDescent="0.35">
      <c r="A419" s="28"/>
      <c r="B419" s="85"/>
      <c r="C419" s="96"/>
    </row>
    <row r="420" spans="1:3" ht="15.75" customHeight="1" x14ac:dyDescent="0.35">
      <c r="A420" s="28"/>
      <c r="B420" s="85"/>
      <c r="C420" s="96"/>
    </row>
    <row r="421" spans="1:3" ht="15.75" customHeight="1" x14ac:dyDescent="0.35">
      <c r="A421" s="28"/>
      <c r="B421" s="85"/>
      <c r="C421" s="96"/>
    </row>
    <row r="422" spans="1:3" ht="15.75" customHeight="1" x14ac:dyDescent="0.35">
      <c r="A422" s="28"/>
      <c r="B422" s="85"/>
      <c r="C422" s="96"/>
    </row>
    <row r="423" spans="1:3" ht="15.75" customHeight="1" x14ac:dyDescent="0.35">
      <c r="A423" s="28"/>
      <c r="B423" s="85"/>
      <c r="C423" s="96"/>
    </row>
    <row r="424" spans="1:3" ht="15.75" customHeight="1" x14ac:dyDescent="0.35">
      <c r="A424" s="28"/>
      <c r="B424" s="85"/>
      <c r="C424" s="96"/>
    </row>
    <row r="425" spans="1:3" ht="15.75" customHeight="1" x14ac:dyDescent="0.35">
      <c r="A425" s="28"/>
      <c r="B425" s="85"/>
      <c r="C425" s="96"/>
    </row>
    <row r="426" spans="1:3" ht="15.75" customHeight="1" x14ac:dyDescent="0.35">
      <c r="A426" s="28"/>
      <c r="B426" s="85"/>
      <c r="C426" s="96"/>
    </row>
    <row r="427" spans="1:3" ht="15.75" customHeight="1" x14ac:dyDescent="0.35">
      <c r="A427" s="28"/>
      <c r="B427" s="85"/>
      <c r="C427" s="96"/>
    </row>
    <row r="428" spans="1:3" ht="15.75" customHeight="1" x14ac:dyDescent="0.35">
      <c r="A428" s="28"/>
      <c r="B428" s="85"/>
      <c r="C428" s="96"/>
    </row>
    <row r="429" spans="1:3" ht="15.75" customHeight="1" x14ac:dyDescent="0.35">
      <c r="A429" s="28"/>
      <c r="B429" s="85"/>
      <c r="C429" s="96"/>
    </row>
    <row r="430" spans="1:3" ht="15.75" customHeight="1" x14ac:dyDescent="0.35">
      <c r="A430" s="28"/>
      <c r="B430" s="85"/>
      <c r="C430" s="96"/>
    </row>
    <row r="431" spans="1:3" ht="15.75" customHeight="1" x14ac:dyDescent="0.35">
      <c r="A431" s="28"/>
      <c r="B431" s="85"/>
      <c r="C431" s="96"/>
    </row>
    <row r="432" spans="1:3" ht="15.75" customHeight="1" x14ac:dyDescent="0.35">
      <c r="A432" s="28"/>
      <c r="B432" s="85"/>
      <c r="C432" s="96"/>
    </row>
    <row r="433" spans="1:3" ht="15.75" customHeight="1" x14ac:dyDescent="0.35">
      <c r="A433" s="28"/>
      <c r="B433" s="85"/>
      <c r="C433" s="96"/>
    </row>
    <row r="434" spans="1:3" ht="15.75" customHeight="1" x14ac:dyDescent="0.35">
      <c r="A434" s="28"/>
      <c r="B434" s="85"/>
      <c r="C434" s="96"/>
    </row>
    <row r="435" spans="1:3" ht="15.75" customHeight="1" x14ac:dyDescent="0.35">
      <c r="A435" s="28"/>
      <c r="B435" s="85"/>
      <c r="C435" s="96"/>
    </row>
    <row r="436" spans="1:3" ht="15.75" customHeight="1" x14ac:dyDescent="0.35">
      <c r="A436" s="28"/>
      <c r="B436" s="85"/>
      <c r="C436" s="96"/>
    </row>
    <row r="437" spans="1:3" ht="15.75" customHeight="1" x14ac:dyDescent="0.35">
      <c r="A437" s="28"/>
      <c r="B437" s="85"/>
      <c r="C437" s="96"/>
    </row>
    <row r="438" spans="1:3" ht="15.75" customHeight="1" x14ac:dyDescent="0.35">
      <c r="A438" s="28"/>
      <c r="B438" s="85"/>
      <c r="C438" s="96"/>
    </row>
    <row r="439" spans="1:3" ht="15.75" customHeight="1" x14ac:dyDescent="0.35">
      <c r="A439" s="28"/>
      <c r="B439" s="85"/>
      <c r="C439" s="96"/>
    </row>
    <row r="440" spans="1:3" ht="15.75" customHeight="1" x14ac:dyDescent="0.35">
      <c r="A440" s="28"/>
      <c r="B440" s="85"/>
      <c r="C440" s="96"/>
    </row>
    <row r="441" spans="1:3" ht="15.75" customHeight="1" x14ac:dyDescent="0.35">
      <c r="A441" s="28"/>
      <c r="B441" s="85"/>
      <c r="C441" s="96"/>
    </row>
    <row r="442" spans="1:3" ht="15.75" customHeight="1" x14ac:dyDescent="0.35">
      <c r="A442" s="28"/>
      <c r="B442" s="85"/>
      <c r="C442" s="96"/>
    </row>
    <row r="443" spans="1:3" ht="15.75" customHeight="1" x14ac:dyDescent="0.35">
      <c r="A443" s="28"/>
      <c r="B443" s="85"/>
      <c r="C443" s="96"/>
    </row>
    <row r="444" spans="1:3" ht="15.75" customHeight="1" x14ac:dyDescent="0.35">
      <c r="A444" s="28"/>
      <c r="B444" s="85"/>
      <c r="C444" s="96"/>
    </row>
    <row r="445" spans="1:3" ht="15.75" customHeight="1" x14ac:dyDescent="0.35">
      <c r="A445" s="28"/>
      <c r="B445" s="85"/>
      <c r="C445" s="96"/>
    </row>
    <row r="446" spans="1:3" ht="15.75" customHeight="1" x14ac:dyDescent="0.35">
      <c r="A446" s="28"/>
      <c r="B446" s="85"/>
      <c r="C446" s="96"/>
    </row>
    <row r="447" spans="1:3" ht="15.75" customHeight="1" x14ac:dyDescent="0.35">
      <c r="A447" s="28"/>
      <c r="B447" s="85"/>
      <c r="C447" s="96"/>
    </row>
    <row r="448" spans="1:3" ht="15.75" customHeight="1" x14ac:dyDescent="0.35">
      <c r="A448" s="28"/>
      <c r="B448" s="85"/>
      <c r="C448" s="96"/>
    </row>
    <row r="449" spans="1:3" ht="15.75" customHeight="1" x14ac:dyDescent="0.35">
      <c r="A449" s="28"/>
      <c r="B449" s="85"/>
      <c r="C449" s="96"/>
    </row>
    <row r="450" spans="1:3" ht="15.75" customHeight="1" x14ac:dyDescent="0.35">
      <c r="A450" s="28"/>
      <c r="B450" s="85"/>
      <c r="C450" s="96"/>
    </row>
    <row r="451" spans="1:3" ht="15.75" customHeight="1" x14ac:dyDescent="0.35">
      <c r="A451" s="28"/>
      <c r="B451" s="85"/>
      <c r="C451" s="96"/>
    </row>
    <row r="452" spans="1:3" ht="15.75" customHeight="1" x14ac:dyDescent="0.35">
      <c r="A452" s="28"/>
      <c r="B452" s="85"/>
      <c r="C452" s="96"/>
    </row>
    <row r="453" spans="1:3" ht="15.75" customHeight="1" x14ac:dyDescent="0.35">
      <c r="A453" s="28"/>
      <c r="B453" s="85"/>
      <c r="C453" s="96"/>
    </row>
    <row r="454" spans="1:3" ht="15.75" customHeight="1" x14ac:dyDescent="0.35">
      <c r="A454" s="28"/>
      <c r="B454" s="85"/>
      <c r="C454" s="96"/>
    </row>
    <row r="455" spans="1:3" ht="15.75" customHeight="1" x14ac:dyDescent="0.35">
      <c r="A455" s="28"/>
      <c r="B455" s="85"/>
      <c r="C455" s="96"/>
    </row>
    <row r="456" spans="1:3" ht="15.75" customHeight="1" x14ac:dyDescent="0.35">
      <c r="A456" s="28"/>
      <c r="B456" s="85"/>
      <c r="C456" s="96"/>
    </row>
    <row r="457" spans="1:3" ht="15.75" customHeight="1" x14ac:dyDescent="0.35">
      <c r="A457" s="28"/>
      <c r="B457" s="85"/>
      <c r="C457" s="96"/>
    </row>
    <row r="458" spans="1:3" ht="15.75" customHeight="1" x14ac:dyDescent="0.35">
      <c r="A458" s="28"/>
      <c r="B458" s="85"/>
      <c r="C458" s="96"/>
    </row>
    <row r="459" spans="1:3" ht="15.75" customHeight="1" x14ac:dyDescent="0.35">
      <c r="A459" s="28"/>
      <c r="B459" s="85"/>
      <c r="C459" s="96"/>
    </row>
    <row r="460" spans="1:3" ht="15.75" customHeight="1" x14ac:dyDescent="0.35">
      <c r="A460" s="28"/>
      <c r="B460" s="85"/>
      <c r="C460" s="96"/>
    </row>
    <row r="461" spans="1:3" ht="15.75" customHeight="1" x14ac:dyDescent="0.35">
      <c r="A461" s="28"/>
      <c r="B461" s="85"/>
      <c r="C461" s="96"/>
    </row>
    <row r="462" spans="1:3" ht="15.75" customHeight="1" x14ac:dyDescent="0.35">
      <c r="A462" s="28"/>
      <c r="B462" s="85"/>
      <c r="C462" s="96"/>
    </row>
    <row r="463" spans="1:3" ht="15.75" customHeight="1" x14ac:dyDescent="0.35">
      <c r="A463" s="28"/>
      <c r="B463" s="85"/>
      <c r="C463" s="96"/>
    </row>
    <row r="464" spans="1:3" ht="15.75" customHeight="1" x14ac:dyDescent="0.35">
      <c r="A464" s="28"/>
      <c r="B464" s="85"/>
      <c r="C464" s="96"/>
    </row>
    <row r="465" spans="1:3" ht="15.75" customHeight="1" x14ac:dyDescent="0.35">
      <c r="A465" s="28"/>
      <c r="B465" s="85"/>
      <c r="C465" s="96"/>
    </row>
    <row r="466" spans="1:3" ht="15.75" customHeight="1" x14ac:dyDescent="0.35">
      <c r="A466" s="28"/>
      <c r="B466" s="85"/>
      <c r="C466" s="96"/>
    </row>
    <row r="467" spans="1:3" ht="15.75" customHeight="1" x14ac:dyDescent="0.35">
      <c r="A467" s="28"/>
      <c r="B467" s="85"/>
      <c r="C467" s="96"/>
    </row>
    <row r="468" spans="1:3" ht="15.75" customHeight="1" x14ac:dyDescent="0.35">
      <c r="A468" s="28"/>
      <c r="B468" s="85"/>
      <c r="C468" s="96"/>
    </row>
    <row r="469" spans="1:3" ht="15.75" customHeight="1" x14ac:dyDescent="0.35">
      <c r="A469" s="28"/>
      <c r="B469" s="85"/>
      <c r="C469" s="96"/>
    </row>
    <row r="470" spans="1:3" ht="15.75" customHeight="1" x14ac:dyDescent="0.35">
      <c r="A470" s="28"/>
      <c r="B470" s="85"/>
      <c r="C470" s="96"/>
    </row>
    <row r="471" spans="1:3" ht="15.75" customHeight="1" x14ac:dyDescent="0.35">
      <c r="A471" s="28"/>
      <c r="B471" s="85"/>
      <c r="C471" s="96"/>
    </row>
    <row r="472" spans="1:3" ht="15.75" customHeight="1" x14ac:dyDescent="0.35">
      <c r="A472" s="28"/>
      <c r="B472" s="85"/>
      <c r="C472" s="96"/>
    </row>
    <row r="473" spans="1:3" ht="15.75" customHeight="1" x14ac:dyDescent="0.35">
      <c r="A473" s="28"/>
      <c r="B473" s="85"/>
      <c r="C473" s="96"/>
    </row>
    <row r="474" spans="1:3" ht="15.75" customHeight="1" x14ac:dyDescent="0.35">
      <c r="A474" s="28"/>
      <c r="B474" s="85"/>
      <c r="C474" s="96"/>
    </row>
    <row r="475" spans="1:3" ht="15.75" customHeight="1" x14ac:dyDescent="0.35">
      <c r="A475" s="28"/>
      <c r="B475" s="85"/>
      <c r="C475" s="96"/>
    </row>
    <row r="476" spans="1:3" ht="15.75" customHeight="1" x14ac:dyDescent="0.35">
      <c r="A476" s="28"/>
      <c r="B476" s="85"/>
      <c r="C476" s="96"/>
    </row>
    <row r="477" spans="1:3" ht="15.75" customHeight="1" x14ac:dyDescent="0.35">
      <c r="A477" s="28"/>
      <c r="B477" s="85"/>
      <c r="C477" s="96"/>
    </row>
    <row r="478" spans="1:3" ht="15.75" customHeight="1" x14ac:dyDescent="0.35">
      <c r="A478" s="28"/>
      <c r="B478" s="85"/>
      <c r="C478" s="96"/>
    </row>
    <row r="479" spans="1:3" ht="15.75" customHeight="1" x14ac:dyDescent="0.35">
      <c r="A479" s="28"/>
      <c r="B479" s="85"/>
      <c r="C479" s="96"/>
    </row>
    <row r="480" spans="1:3" ht="15.75" customHeight="1" x14ac:dyDescent="0.35">
      <c r="A480" s="28"/>
      <c r="B480" s="85"/>
      <c r="C480" s="96"/>
    </row>
    <row r="481" spans="1:3" ht="15.75" customHeight="1" x14ac:dyDescent="0.35">
      <c r="A481" s="28"/>
      <c r="B481" s="85"/>
      <c r="C481" s="96"/>
    </row>
    <row r="482" spans="1:3" ht="15.75" customHeight="1" x14ac:dyDescent="0.35">
      <c r="A482" s="28"/>
      <c r="B482" s="85"/>
      <c r="C482" s="96"/>
    </row>
    <row r="483" spans="1:3" ht="15.75" customHeight="1" x14ac:dyDescent="0.35">
      <c r="A483" s="28"/>
      <c r="B483" s="85"/>
      <c r="C483" s="96"/>
    </row>
    <row r="484" spans="1:3" ht="15.75" customHeight="1" x14ac:dyDescent="0.35">
      <c r="A484" s="28"/>
      <c r="B484" s="85"/>
      <c r="C484" s="96"/>
    </row>
    <row r="485" spans="1:3" ht="15.75" customHeight="1" x14ac:dyDescent="0.35">
      <c r="A485" s="28"/>
      <c r="B485" s="85"/>
      <c r="C485" s="96"/>
    </row>
    <row r="486" spans="1:3" ht="15.75" customHeight="1" x14ac:dyDescent="0.35">
      <c r="A486" s="28"/>
      <c r="B486" s="85"/>
      <c r="C486" s="96"/>
    </row>
    <row r="487" spans="1:3" ht="15.75" customHeight="1" x14ac:dyDescent="0.35">
      <c r="A487" s="28"/>
      <c r="B487" s="85"/>
      <c r="C487" s="96"/>
    </row>
    <row r="488" spans="1:3" ht="15.75" customHeight="1" x14ac:dyDescent="0.35">
      <c r="A488" s="28"/>
      <c r="B488" s="85"/>
      <c r="C488" s="96"/>
    </row>
    <row r="489" spans="1:3" ht="15.75" customHeight="1" x14ac:dyDescent="0.35">
      <c r="A489" s="28"/>
      <c r="B489" s="85"/>
      <c r="C489" s="96"/>
    </row>
    <row r="490" spans="1:3" ht="15.75" customHeight="1" x14ac:dyDescent="0.35">
      <c r="A490" s="28"/>
      <c r="B490" s="85"/>
      <c r="C490" s="96"/>
    </row>
    <row r="491" spans="1:3" ht="15.75" customHeight="1" x14ac:dyDescent="0.35">
      <c r="A491" s="28"/>
      <c r="B491" s="85"/>
      <c r="C491" s="96"/>
    </row>
    <row r="492" spans="1:3" ht="15.75" customHeight="1" x14ac:dyDescent="0.35">
      <c r="A492" s="28"/>
      <c r="B492" s="85"/>
      <c r="C492" s="96"/>
    </row>
    <row r="493" spans="1:3" ht="15.75" customHeight="1" x14ac:dyDescent="0.35">
      <c r="A493" s="28"/>
      <c r="B493" s="85"/>
      <c r="C493" s="96"/>
    </row>
    <row r="494" spans="1:3" ht="15.75" customHeight="1" x14ac:dyDescent="0.35">
      <c r="A494" s="28"/>
      <c r="B494" s="85"/>
      <c r="C494" s="96"/>
    </row>
    <row r="495" spans="1:3" ht="15.75" customHeight="1" x14ac:dyDescent="0.35">
      <c r="A495" s="28"/>
      <c r="B495" s="85"/>
      <c r="C495" s="96"/>
    </row>
    <row r="496" spans="1:3" ht="15.75" customHeight="1" x14ac:dyDescent="0.35">
      <c r="A496" s="28"/>
      <c r="B496" s="85"/>
      <c r="C496" s="96"/>
    </row>
    <row r="497" spans="1:3" ht="15.75" customHeight="1" x14ac:dyDescent="0.35">
      <c r="A497" s="28"/>
      <c r="B497" s="85"/>
      <c r="C497" s="96"/>
    </row>
    <row r="498" spans="1:3" ht="15.75" customHeight="1" x14ac:dyDescent="0.35">
      <c r="A498" s="28"/>
      <c r="B498" s="85"/>
      <c r="C498" s="96"/>
    </row>
    <row r="499" spans="1:3" ht="15.75" customHeight="1" x14ac:dyDescent="0.35">
      <c r="A499" s="28"/>
      <c r="B499" s="85"/>
      <c r="C499" s="96"/>
    </row>
    <row r="500" spans="1:3" ht="15.75" customHeight="1" x14ac:dyDescent="0.35">
      <c r="A500" s="28"/>
      <c r="B500" s="85"/>
      <c r="C500" s="96"/>
    </row>
    <row r="501" spans="1:3" ht="15.75" customHeight="1" x14ac:dyDescent="0.35">
      <c r="A501" s="28"/>
      <c r="B501" s="85"/>
      <c r="C501" s="96"/>
    </row>
    <row r="502" spans="1:3" ht="15.75" customHeight="1" x14ac:dyDescent="0.35">
      <c r="A502" s="28"/>
      <c r="B502" s="85"/>
      <c r="C502" s="96"/>
    </row>
    <row r="503" spans="1:3" ht="15.75" customHeight="1" x14ac:dyDescent="0.35">
      <c r="A503" s="28"/>
      <c r="B503" s="85"/>
      <c r="C503" s="96"/>
    </row>
    <row r="504" spans="1:3" ht="15.75" customHeight="1" x14ac:dyDescent="0.35">
      <c r="A504" s="28"/>
      <c r="B504" s="85"/>
      <c r="C504" s="96"/>
    </row>
    <row r="505" spans="1:3" ht="15.75" customHeight="1" x14ac:dyDescent="0.35">
      <c r="A505" s="28"/>
      <c r="B505" s="85"/>
      <c r="C505" s="96"/>
    </row>
    <row r="506" spans="1:3" ht="15.75" customHeight="1" x14ac:dyDescent="0.35">
      <c r="A506" s="28"/>
      <c r="B506" s="85"/>
      <c r="C506" s="96"/>
    </row>
    <row r="507" spans="1:3" ht="15.75" customHeight="1" x14ac:dyDescent="0.35">
      <c r="A507" s="28"/>
      <c r="B507" s="85"/>
      <c r="C507" s="96"/>
    </row>
    <row r="508" spans="1:3" ht="15.75" customHeight="1" x14ac:dyDescent="0.35">
      <c r="A508" s="28"/>
      <c r="B508" s="85"/>
      <c r="C508" s="96"/>
    </row>
    <row r="509" spans="1:3" ht="15.75" customHeight="1" x14ac:dyDescent="0.35">
      <c r="A509" s="28"/>
      <c r="B509" s="85"/>
      <c r="C509" s="96"/>
    </row>
    <row r="510" spans="1:3" ht="15.75" customHeight="1" x14ac:dyDescent="0.35">
      <c r="A510" s="28"/>
      <c r="B510" s="85"/>
      <c r="C510" s="96"/>
    </row>
    <row r="511" spans="1:3" ht="15.75" customHeight="1" x14ac:dyDescent="0.35">
      <c r="A511" s="28"/>
      <c r="B511" s="85"/>
      <c r="C511" s="96"/>
    </row>
    <row r="512" spans="1:3" ht="15.75" customHeight="1" x14ac:dyDescent="0.35">
      <c r="A512" s="28"/>
      <c r="B512" s="85"/>
      <c r="C512" s="96"/>
    </row>
    <row r="513" spans="1:3" ht="15.75" customHeight="1" x14ac:dyDescent="0.35">
      <c r="A513" s="28"/>
      <c r="B513" s="85"/>
      <c r="C513" s="96"/>
    </row>
    <row r="514" spans="1:3" ht="15.75" customHeight="1" x14ac:dyDescent="0.35">
      <c r="A514" s="28"/>
      <c r="B514" s="85"/>
      <c r="C514" s="96"/>
    </row>
    <row r="515" spans="1:3" ht="15.75" customHeight="1" x14ac:dyDescent="0.35">
      <c r="A515" s="28"/>
      <c r="B515" s="85"/>
      <c r="C515" s="96"/>
    </row>
    <row r="516" spans="1:3" ht="15.75" customHeight="1" x14ac:dyDescent="0.35">
      <c r="A516" s="28"/>
      <c r="B516" s="85"/>
      <c r="C516" s="96"/>
    </row>
    <row r="517" spans="1:3" ht="15.75" customHeight="1" x14ac:dyDescent="0.35">
      <c r="A517" s="28"/>
      <c r="B517" s="85"/>
      <c r="C517" s="96"/>
    </row>
    <row r="518" spans="1:3" ht="15.75" customHeight="1" x14ac:dyDescent="0.35">
      <c r="A518" s="28"/>
      <c r="B518" s="85"/>
      <c r="C518" s="96"/>
    </row>
    <row r="519" spans="1:3" ht="15.75" customHeight="1" x14ac:dyDescent="0.35">
      <c r="A519" s="28"/>
      <c r="B519" s="85"/>
      <c r="C519" s="96"/>
    </row>
    <row r="520" spans="1:3" ht="15.75" customHeight="1" x14ac:dyDescent="0.35">
      <c r="A520" s="28"/>
      <c r="B520" s="85"/>
      <c r="C520" s="96"/>
    </row>
  </sheetData>
  <pageMargins left="0.7" right="0.7" top="0.75" bottom="0.75" header="0.511811023622047" footer="0.511811023622047"/>
  <pageSetup paperSize="9" scale="8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INCOME</vt:lpstr>
      <vt:lpstr>RECON</vt:lpstr>
      <vt:lpstr> EXPENSES</vt:lpstr>
      <vt:lpstr> EXPENSES HOUSE</vt:lpstr>
      <vt:lpstr>MONTHLY FOR THE YEAR</vt:lpstr>
      <vt:lpstr>RECON!Print_Area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Chris Schnell</cp:lastModifiedBy>
  <cp:revision>2</cp:revision>
  <cp:lastPrinted>2026-01-20T06:48:50Z</cp:lastPrinted>
  <dcterms:created xsi:type="dcterms:W3CDTF">2020-05-26T08:43:05Z</dcterms:created>
  <dcterms:modified xsi:type="dcterms:W3CDTF">2026-05-06T06:00:01Z</dcterms:modified>
  <dc:language>en-US</dc:language>
</cp:coreProperties>
</file>