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4 APRIL ACCOUNTS\"/>
    </mc:Choice>
  </mc:AlternateContent>
  <xr:revisionPtr revIDLastSave="0" documentId="13_ncr:1_{D95705C9-CECB-47B9-86E3-D741187CB618}" xr6:coauthVersionLast="47" xr6:coauthVersionMax="47" xr10:uidLastSave="{00000000-0000-0000-0000-000000000000}"/>
  <bookViews>
    <workbookView xWindow="-108" yWindow="-108" windowWidth="23256" windowHeight="12456" firstSheet="1" activeTab="1" xr2:uid="{7530348A-2D9B-D147-BBFE-7340475C451A}"/>
  </bookViews>
  <sheets>
    <sheet name="LANDCO" sheetId="6" r:id="rId1"/>
    <sheet name="AURORA SUMMARY" sheetId="1" r:id="rId2"/>
    <sheet name="AURORA INCOME" sheetId="2" r:id="rId3"/>
    <sheet name="AURORA EXPENSES" sheetId="3" r:id="rId4"/>
    <sheet name="Warren Stead" sheetId="11" r:id="rId5"/>
    <sheet name="RSDFuel" sheetId="7" r:id="rId6"/>
    <sheet name="Brendon" sheetId="9" r:id="rId7"/>
  </sheets>
  <externalReferences>
    <externalReference r:id="rId8"/>
    <externalReference r:id="rId9"/>
    <externalReference r:id="rId10"/>
  </externalReferences>
  <definedNames>
    <definedName name="_xlnm.Print_Area" localSheetId="5">RSDFuel!$B$2:$H$41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N8" i="11" l="1"/>
  <c r="L7" i="11" l="1"/>
  <c r="L8" i="11"/>
  <c r="L9" i="11" s="1"/>
  <c r="L10" i="11" s="1"/>
  <c r="L11" i="11" s="1"/>
  <c r="L12" i="11" s="1"/>
  <c r="L6" i="11"/>
  <c r="L5" i="11"/>
  <c r="O6" i="11"/>
  <c r="O7" i="11" s="1"/>
  <c r="O8" i="11" s="1"/>
  <c r="O9" i="11" s="1"/>
  <c r="O10" i="11" s="1"/>
  <c r="O11" i="11" s="1"/>
  <c r="O12" i="11" s="1"/>
  <c r="O13" i="11" s="1"/>
  <c r="E2" i="7"/>
  <c r="D66" i="7"/>
  <c r="E66" i="7"/>
  <c r="C66" i="7"/>
  <c r="E7" i="7"/>
  <c r="E8" i="7"/>
  <c r="E9" i="7"/>
  <c r="E10" i="7"/>
  <c r="E11" i="7"/>
  <c r="E12" i="7"/>
  <c r="E13" i="7"/>
  <c r="E14" i="7"/>
  <c r="E6" i="7"/>
  <c r="E57" i="11"/>
  <c r="E58" i="11" s="1"/>
  <c r="N56" i="11"/>
  <c r="M56" i="11"/>
  <c r="K56" i="11"/>
  <c r="J56" i="11"/>
  <c r="O5" i="11"/>
  <c r="F1" i="11"/>
  <c r="L56" i="11" l="1"/>
  <c r="J2" i="11" s="1"/>
  <c r="O56" i="11"/>
  <c r="O2" i="11" s="1"/>
  <c r="B5" i="1" l="1"/>
  <c r="C35" i="3"/>
  <c r="C34" i="3"/>
  <c r="C32" i="3"/>
  <c r="B4" i="1"/>
  <c r="F1" i="9" l="1"/>
  <c r="O3" i="9"/>
  <c r="O2" i="9" s="1"/>
  <c r="J5" i="9"/>
  <c r="O5" i="9"/>
  <c r="J6" i="9"/>
  <c r="J3" i="9" s="1"/>
  <c r="J2" i="9" s="1"/>
  <c r="O6" i="9"/>
  <c r="J7" i="9"/>
  <c r="O7" i="9"/>
  <c r="J8" i="9"/>
  <c r="O8" i="9"/>
  <c r="J9" i="9"/>
  <c r="O9" i="9"/>
  <c r="J10" i="9"/>
  <c r="O10" i="9"/>
  <c r="F18" i="9"/>
  <c r="L18" i="9"/>
  <c r="O18" i="9"/>
  <c r="O19" i="9"/>
  <c r="O20" i="9" s="1"/>
  <c r="F21" i="9"/>
  <c r="F22" i="9" s="1"/>
  <c r="O22" i="9"/>
  <c r="F23" i="9"/>
  <c r="F24" i="9" s="1"/>
  <c r="F25" i="9" s="1"/>
  <c r="F26" i="9" s="1"/>
  <c r="F27" i="9" s="1"/>
  <c r="F28" i="9" s="1"/>
  <c r="F29" i="9" s="1"/>
  <c r="F30" i="9" s="1"/>
  <c r="F31" i="9" s="1"/>
  <c r="F32" i="9" s="1"/>
  <c r="O23" i="9"/>
  <c r="O24" i="9" s="1"/>
  <c r="O25" i="9" s="1"/>
  <c r="O26" i="9" s="1"/>
  <c r="O27" i="9" s="1"/>
  <c r="O28" i="9" s="1"/>
  <c r="O29" i="9" s="1"/>
  <c r="O30" i="9" s="1"/>
  <c r="O31" i="9" s="1"/>
  <c r="O32" i="9" s="1"/>
  <c r="E24" i="9"/>
  <c r="J67" i="9"/>
  <c r="L67" i="9" s="1"/>
  <c r="L1" i="9" s="1"/>
  <c r="K67" i="9"/>
  <c r="M67" i="9"/>
  <c r="N67" i="9"/>
  <c r="O67" i="9"/>
  <c r="O1" i="9" s="1"/>
  <c r="E68" i="9"/>
  <c r="E69" i="9" s="1"/>
  <c r="G13" i="7"/>
  <c r="G12" i="7"/>
  <c r="G66" i="7" s="1"/>
  <c r="I9" i="7"/>
  <c r="F9" i="7"/>
  <c r="F66" i="7" s="1"/>
  <c r="H6" i="7"/>
  <c r="H7" i="7" s="1"/>
  <c r="H8" i="7" s="1"/>
  <c r="H9" i="7" s="1"/>
  <c r="H10" i="7" s="1"/>
  <c r="H11" i="7" s="1"/>
  <c r="H12" i="7" s="1"/>
  <c r="H13" i="7" s="1"/>
  <c r="H1" i="7"/>
  <c r="H66" i="7" l="1"/>
  <c r="H2" i="7"/>
  <c r="E18" i="6"/>
  <c r="E8" i="6"/>
  <c r="C7" i="6"/>
  <c r="C9" i="6" s="1"/>
  <c r="E6" i="6"/>
  <c r="E5" i="6"/>
  <c r="E7" i="6" l="1"/>
  <c r="E4" i="6"/>
  <c r="E9" i="6" l="1"/>
  <c r="C3" i="2" l="1"/>
  <c r="E16" i="6" l="1"/>
  <c r="C17" i="2" l="1"/>
  <c r="C30" i="3" l="1"/>
  <c r="C3" i="3" s="1"/>
  <c r="C39" i="3" l="1"/>
  <c r="C4" i="3" s="1"/>
  <c r="C5" i="3" s="1"/>
  <c r="B18" i="1"/>
  <c r="E18" i="1"/>
  <c r="E21" i="1" l="1"/>
</calcChain>
</file>

<file path=xl/sharedStrings.xml><?xml version="1.0" encoding="utf-8"?>
<sst xmlns="http://schemas.openxmlformats.org/spreadsheetml/2006/main" count="209" uniqueCount="116">
  <si>
    <t>CASA COCO</t>
  </si>
  <si>
    <t>SHARED</t>
  </si>
  <si>
    <t>SALARIES &amp; WAGES</t>
  </si>
  <si>
    <t>CASUAL WORKERS AND FOOD ALLOWANCE</t>
  </si>
  <si>
    <t>OFFICE AND BANK CHARGES</t>
  </si>
  <si>
    <t>GAS AND ELECTRISITY</t>
  </si>
  <si>
    <t>MAINTENANCE GENERAL</t>
  </si>
  <si>
    <t>MAINTENANCE GARDEN &amp; POOL</t>
  </si>
  <si>
    <t>SMALL TOOLS</t>
  </si>
  <si>
    <t>MAINTENANCE VEHICLES</t>
  </si>
  <si>
    <t>DIESEL AND PETROL</t>
  </si>
  <si>
    <t>HOUSE KEEPING</t>
  </si>
  <si>
    <t>MARINTINE &amp; MUNICIPAL TAXES IPRA &amp;TAE</t>
  </si>
  <si>
    <t>COMMUNITY</t>
  </si>
  <si>
    <t>PERSONAL</t>
  </si>
  <si>
    <t>MZN</t>
  </si>
  <si>
    <t>US$</t>
  </si>
  <si>
    <t>DATE</t>
  </si>
  <si>
    <t>DETAILS</t>
  </si>
  <si>
    <t>DR</t>
  </si>
  <si>
    <t>CR</t>
  </si>
  <si>
    <t>BAL</t>
  </si>
  <si>
    <t>TOTAL</t>
  </si>
  <si>
    <t>BALANCE</t>
  </si>
  <si>
    <t>OPENING BALANCE</t>
  </si>
  <si>
    <t>CASA LUZ</t>
  </si>
  <si>
    <t>CASA AURORA</t>
  </si>
  <si>
    <t>CASA CAJU</t>
  </si>
  <si>
    <t>BANK</t>
  </si>
  <si>
    <t>CASH</t>
  </si>
  <si>
    <t>DOLLAR BANK</t>
  </si>
  <si>
    <t>DESCRIPTION</t>
  </si>
  <si>
    <t xml:space="preserve">OPENING BALANCE JAN 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</si>
  <si>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</si>
  <si>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</si>
  <si>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</si>
  <si>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</si>
  <si>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</si>
  <si>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</si>
  <si>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</si>
  <si>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</si>
  <si>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</si>
  <si>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</si>
  <si>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</si>
  <si>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</si>
  <si>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HOUSE</t>
  </si>
  <si>
    <t xml:space="preserve">CASH AVAILABLE </t>
  </si>
  <si>
    <t>MONTH</t>
  </si>
  <si>
    <t>TOTAL INCOME YTD</t>
  </si>
  <si>
    <t>SHARED/PERSONAL</t>
  </si>
  <si>
    <t>AMOUNT MZN</t>
  </si>
  <si>
    <t xml:space="preserve">AMOUNT MZN </t>
  </si>
  <si>
    <t>BREAKDOWN</t>
  </si>
  <si>
    <t>SUMMARY SHARED EXPENSES</t>
  </si>
  <si>
    <t>SUMMARY PERSONAL EXPENSES</t>
  </si>
  <si>
    <t>TOTAL EXPENSES</t>
  </si>
  <si>
    <t>INCOME AMOUNT</t>
  </si>
  <si>
    <t>EXPENSES AMOUNT</t>
  </si>
  <si>
    <t xml:space="preserve">BALANCED </t>
  </si>
  <si>
    <t>BALANCED</t>
  </si>
  <si>
    <t>YES</t>
  </si>
  <si>
    <t>NEGU</t>
  </si>
  <si>
    <t>ADMIN CHARGES (BDO &amp; ANDRISA ENS )</t>
  </si>
  <si>
    <t xml:space="preserve">EQUIPMENT PRESSURE PUMP X 2 </t>
  </si>
  <si>
    <t>INSURANCE &amp; LICENSE VEHICLES</t>
  </si>
  <si>
    <t>INSURANCE PUBLIC LIBILITY</t>
  </si>
  <si>
    <t>WORKMENS COMPENSATION</t>
  </si>
  <si>
    <t>COMMUNITY DONATION</t>
  </si>
  <si>
    <t>RATE APRIL 63,25</t>
  </si>
  <si>
    <t>LANDCO BALANCES  MARCH 2026</t>
  </si>
  <si>
    <t>INCOME MARCH</t>
  </si>
  <si>
    <t>EXPENSES MARCH</t>
  </si>
  <si>
    <t>Total</t>
  </si>
  <si>
    <t>BALANCE END FEB 2026</t>
  </si>
  <si>
    <t>CASA AURORA SUMMARY 2026</t>
  </si>
  <si>
    <t>CASA AURORA INCOME 2026</t>
  </si>
  <si>
    <t>CASA AURORA  EXPENSES 2026</t>
  </si>
  <si>
    <t>RSD FUEL ACCOUNT</t>
  </si>
  <si>
    <t>CURRENT BALANCE MET</t>
  </si>
  <si>
    <t>METICAIS</t>
  </si>
  <si>
    <t>DEPOSIT WARREN BILL</t>
  </si>
  <si>
    <t>FUEL 800 LITERS @ 88,96</t>
  </si>
  <si>
    <t xml:space="preserve">DEPOSIT BRENDON FUEL BILL </t>
  </si>
  <si>
    <t>DEPOSIT BRENDON FUEL BILL $960</t>
  </si>
  <si>
    <t>FUEL 1000 LITERS @ 88,96</t>
  </si>
  <si>
    <t>WARREN PAID AT TOTAL</t>
  </si>
  <si>
    <t>Checked</t>
  </si>
  <si>
    <t>FUEL 625 LITERS @ 88,96</t>
  </si>
  <si>
    <t>FUEL 400 LITERS @ 88,96</t>
  </si>
  <si>
    <t>CURRENT BALANCE</t>
  </si>
  <si>
    <t>KEVIN STEAD - MZN</t>
  </si>
  <si>
    <t>CURRENT BALANCE MZN</t>
  </si>
  <si>
    <t>Warren Stead Personal Cash</t>
  </si>
  <si>
    <t>CURRENT BALANCE US$</t>
  </si>
  <si>
    <t>Over from Overtime paid to workers</t>
  </si>
  <si>
    <t>REFUND STOVE AND GEYSER</t>
  </si>
  <si>
    <t>PAID VNX MARINE ROCK STEADY</t>
  </si>
  <si>
    <t>CHANGE US$ FOR MET</t>
  </si>
  <si>
    <t>PAID LULA</t>
  </si>
  <si>
    <t>BEBE LULA</t>
  </si>
  <si>
    <t>CASH IN TIN</t>
  </si>
  <si>
    <t>DIFF</t>
  </si>
  <si>
    <t xml:space="preserve"> SALARIES</t>
  </si>
  <si>
    <t>BOAT CLEAN SKIPPERS</t>
  </si>
  <si>
    <t xml:space="preserve">INSURANCE VEHICLES </t>
  </si>
  <si>
    <t>BOAT AND SKIPPER LICENSE</t>
  </si>
  <si>
    <t>PAID TO BANK</t>
  </si>
  <si>
    <t>PAID FISHING LICENSE</t>
  </si>
  <si>
    <t>OVERTIME H2 WORKERS</t>
  </si>
  <si>
    <t>RECEIVED WARREN</t>
  </si>
  <si>
    <t>DOLLARS</t>
  </si>
  <si>
    <t>CURRENT BALANCE DOLLARS</t>
  </si>
  <si>
    <t>PAID PARK FEES</t>
  </si>
  <si>
    <t>SKIPPERS 12 DAYS ON BOAT</t>
  </si>
  <si>
    <t xml:space="preserve">RECEIVED WARREN </t>
  </si>
  <si>
    <t>Shaheen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</si>
</sst>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&quot;$&quot;#,##0.00"/>
    <numFmt numFmtId="165" formatCode="[$-409]mmmm\-yy;@"/>
    <numFmt numFmtId="166" formatCode="_-* #,##0_-;\-* #,##0_-;_-* &quot;-&quot;??_-;_-@"/>
    <numFmt numFmtId="167" formatCode="_-* #,##0.00_-;\-* #,##0.00_-;_-* &quot;-&quot;??_-;_-@"/>
    <numFmt numFmtId="168" formatCode="[$MZN]\ #,##0.00"/>
    <numFmt numFmtId="169" formatCode="[$-1C09]General"/>
    <numFmt numFmtId="170" formatCode="[$-1C09]dd\-mmm\-yy"/>
    <numFmt numFmtId="171" formatCode="_(* #,##0.00_);_(* \(#,##0.00\);_(* &quot;-&quot;??_);_(@_)"/>
    <numFmt numFmtId="172" formatCode="[$$-409]#,##0.00"/>
    <numFmt numFmtId="173" formatCode="[$$-540A]#,##0.00"/>
    <numFmt numFmtId="174" formatCode="[$-1C09]dd\ mmmm\ yyyy;@"/>
  </numFmts>
  <fonts count="5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0"/>
      <name val="Arial"/>
      <family val="2"/>
      <charset val="1"/>
    </font>
    <font>
      <b/>
      <sz val="11"/>
      <color theme="1"/>
      <name val="Calibri"/>
      <family val="2"/>
    </font>
    <font>
      <b/>
      <u/>
      <sz val="2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9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rgb="FF000000"/>
      <name val="Times New Roman"/>
      <family val="1"/>
    </font>
    <font>
      <u/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theme="1" tint="0.34998626667073579"/>
      <name val="Times New Roman"/>
      <family val="1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  <charset val="1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Aptos Display"/>
      <family val="2"/>
    </font>
    <font>
      <sz val="11"/>
      <color rgb="FF000000"/>
      <name val="Gill Sans MT"/>
      <family val="2"/>
      <charset val="1"/>
    </font>
    <font>
      <sz val="11"/>
      <name val="Calibri"/>
      <family val="2"/>
    </font>
    <font>
      <b/>
      <sz val="11"/>
      <color theme="9"/>
      <name val="Times New Roman"/>
      <family val="1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Aptos Narrow"/>
      <family val="2"/>
    </font>
    <font>
      <b/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i/>
      <sz val="10"/>
      <color theme="1"/>
      <name val="Arial"/>
      <family val="2"/>
    </font>
    <font>
      <sz val="12"/>
      <color rgb="FFFF0000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9"/>
      <name val="Aptos Display"/>
      <family val="2"/>
      <scheme val="maj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/>
      <right style="hair">
        <color rgb="FF000000"/>
      </right>
      <top style="hair">
        <color rgb="FF000000"/>
      </top>
      <bottom style="thin">
        <color auto="1"/>
      </bottom>
      <diagonal/>
    </border>
  </borders>
  <cellStyleXfs count="20">
    <xf numFmtId="0" fontId="0" fillId="0" borderId="0"/>
    <xf numFmtId="0" fontId="5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6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41" fillId="0" borderId="0"/>
    <xf numFmtId="0" fontId="2" fillId="0" borderId="0"/>
    <xf numFmtId="169" fontId="42" fillId="0" borderId="0" applyBorder="0" applyProtection="0"/>
    <xf numFmtId="43" fontId="2" fillId="0" borderId="0" applyFont="0" applyFill="0" applyBorder="0" applyAlignment="0" applyProtection="0"/>
    <xf numFmtId="0" fontId="2" fillId="0" borderId="0"/>
    <xf numFmtId="0" fontId="57" fillId="0" borderId="0"/>
    <xf numFmtId="43" fontId="1" fillId="0" borderId="0" applyFont="0" applyFill="0" applyBorder="0" applyAlignment="0" applyProtection="0"/>
  </cellStyleXfs>
  <cellXfs count="386">
    <xf numFmtId="0" fontId="0" fillId="0" borderId="0" xfId="0"/>
    <xf numFmtId="0" fontId="5" fillId="0" borderId="0" xfId="1"/>
    <xf numFmtId="0" fontId="7" fillId="2" borderId="0" xfId="1" applyFont="1" applyFill="1"/>
    <xf numFmtId="0" fontId="7" fillId="2" borderId="0" xfId="1" applyFont="1" applyFill="1" applyAlignment="1">
      <alignment horizontal="left"/>
    </xf>
    <xf numFmtId="4" fontId="7" fillId="2" borderId="0" xfId="1" applyNumberFormat="1" applyFont="1" applyFill="1" applyAlignment="1">
      <alignment horizontal="right"/>
    </xf>
    <xf numFmtId="0" fontId="6" fillId="0" borderId="0" xfId="6"/>
    <xf numFmtId="168" fontId="0" fillId="0" borderId="0" xfId="0" applyNumberFormat="1"/>
    <xf numFmtId="17" fontId="7" fillId="2" borderId="0" xfId="1" applyNumberFormat="1" applyFont="1" applyFill="1" applyAlignment="1">
      <alignment horizontal="left"/>
    </xf>
    <xf numFmtId="17" fontId="5" fillId="0" borderId="0" xfId="1" applyNumberFormat="1"/>
    <xf numFmtId="4" fontId="5" fillId="0" borderId="0" xfId="1" applyNumberFormat="1" applyAlignment="1">
      <alignment horizontal="right"/>
    </xf>
    <xf numFmtId="0" fontId="12" fillId="0" borderId="0" xfId="0" applyFont="1"/>
    <xf numFmtId="0" fontId="13" fillId="0" borderId="0" xfId="6" applyFont="1"/>
    <xf numFmtId="4" fontId="13" fillId="0" borderId="0" xfId="6" applyNumberFormat="1" applyFont="1"/>
    <xf numFmtId="4" fontId="14" fillId="0" borderId="0" xfId="6" applyNumberFormat="1" applyFont="1"/>
    <xf numFmtId="4" fontId="15" fillId="0" borderId="0" xfId="6" applyNumberFormat="1" applyFont="1"/>
    <xf numFmtId="168" fontId="12" fillId="0" borderId="0" xfId="0" applyNumberFormat="1" applyFont="1"/>
    <xf numFmtId="0" fontId="12" fillId="0" borderId="0" xfId="1" applyFont="1"/>
    <xf numFmtId="0" fontId="17" fillId="2" borderId="0" xfId="1" applyFont="1" applyFill="1"/>
    <xf numFmtId="0" fontId="12" fillId="2" borderId="0" xfId="1" applyFont="1" applyFill="1"/>
    <xf numFmtId="0" fontId="13" fillId="0" borderId="0" xfId="3" applyFont="1"/>
    <xf numFmtId="0" fontId="17" fillId="2" borderId="1" xfId="1" applyFont="1" applyFill="1" applyBorder="1" applyAlignment="1">
      <alignment horizontal="left"/>
    </xf>
    <xf numFmtId="0" fontId="17" fillId="3" borderId="1" xfId="3" applyFont="1" applyFill="1" applyBorder="1"/>
    <xf numFmtId="4" fontId="17" fillId="0" borderId="1" xfId="3" applyNumberFormat="1" applyFont="1" applyBorder="1"/>
    <xf numFmtId="0" fontId="17" fillId="2" borderId="1" xfId="1" applyFont="1" applyFill="1" applyBorder="1"/>
    <xf numFmtId="4" fontId="17" fillId="2" borderId="1" xfId="1" applyNumberFormat="1" applyFont="1" applyFill="1" applyBorder="1" applyAlignment="1">
      <alignment horizontal="right"/>
    </xf>
    <xf numFmtId="0" fontId="20" fillId="0" borderId="1" xfId="3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/>
    </xf>
    <xf numFmtId="0" fontId="12" fillId="0" borderId="1" xfId="0" applyFont="1" applyBorder="1"/>
    <xf numFmtId="0" fontId="6" fillId="0" borderId="1" xfId="6" applyBorder="1"/>
    <xf numFmtId="0" fontId="6" fillId="5" borderId="1" xfId="6" applyFill="1" applyBorder="1"/>
    <xf numFmtId="0" fontId="13" fillId="0" borderId="1" xfId="6" applyFont="1" applyBorder="1"/>
    <xf numFmtId="4" fontId="13" fillId="0" borderId="1" xfId="6" applyNumberFormat="1" applyFont="1" applyBorder="1"/>
    <xf numFmtId="4" fontId="13" fillId="5" borderId="1" xfId="6" applyNumberFormat="1" applyFont="1" applyFill="1" applyBorder="1"/>
    <xf numFmtId="4" fontId="15" fillId="5" borderId="1" xfId="6" applyNumberFormat="1" applyFont="1" applyFill="1" applyBorder="1"/>
    <xf numFmtId="4" fontId="16" fillId="5" borderId="1" xfId="6" applyNumberFormat="1" applyFont="1" applyFill="1" applyBorder="1"/>
    <xf numFmtId="164" fontId="13" fillId="0" borderId="1" xfId="6" applyNumberFormat="1" applyFont="1" applyBorder="1"/>
    <xf numFmtId="168" fontId="12" fillId="0" borderId="1" xfId="0" applyNumberFormat="1" applyFont="1" applyBorder="1"/>
    <xf numFmtId="4" fontId="12" fillId="0" borderId="1" xfId="0" applyNumberFormat="1" applyFont="1" applyBorder="1"/>
    <xf numFmtId="0" fontId="25" fillId="0" borderId="1" xfId="6" applyFont="1" applyBorder="1"/>
    <xf numFmtId="4" fontId="25" fillId="0" borderId="1" xfId="6" applyNumberFormat="1" applyFont="1" applyBorder="1"/>
    <xf numFmtId="4" fontId="25" fillId="5" borderId="1" xfId="6" applyNumberFormat="1" applyFont="1" applyFill="1" applyBorder="1"/>
    <xf numFmtId="4" fontId="25" fillId="0" borderId="0" xfId="6" applyNumberFormat="1" applyFont="1"/>
    <xf numFmtId="0" fontId="25" fillId="0" borderId="0" xfId="6" applyFont="1"/>
    <xf numFmtId="0" fontId="25" fillId="0" borderId="1" xfId="6" applyFont="1" applyBorder="1" applyAlignment="1">
      <alignment horizontal="center"/>
    </xf>
    <xf numFmtId="0" fontId="25" fillId="0" borderId="1" xfId="6" applyFont="1" applyBorder="1" applyAlignment="1">
      <alignment horizontal="center" wrapText="1"/>
    </xf>
    <xf numFmtId="0" fontId="12" fillId="0" borderId="0" xfId="6" applyFont="1" applyAlignment="1">
      <alignment horizontal="center"/>
    </xf>
    <xf numFmtId="0" fontId="24" fillId="5" borderId="1" xfId="6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4" fontId="24" fillId="0" borderId="0" xfId="6" applyNumberFormat="1" applyFont="1"/>
    <xf numFmtId="0" fontId="24" fillId="0" borderId="0" xfId="6" applyFont="1"/>
    <xf numFmtId="0" fontId="25" fillId="0" borderId="1" xfId="0" applyFont="1" applyBorder="1"/>
    <xf numFmtId="0" fontId="0" fillId="0" borderId="1" xfId="0" applyBorder="1"/>
    <xf numFmtId="164" fontId="12" fillId="2" borderId="1" xfId="1" applyNumberFormat="1" applyFont="1" applyFill="1" applyBorder="1"/>
    <xf numFmtId="0" fontId="18" fillId="2" borderId="1" xfId="1" applyFont="1" applyFill="1" applyBorder="1"/>
    <xf numFmtId="4" fontId="12" fillId="2" borderId="1" xfId="1" applyNumberFormat="1" applyFont="1" applyFill="1" applyBorder="1"/>
    <xf numFmtId="0" fontId="13" fillId="2" borderId="1" xfId="1" applyFont="1" applyFill="1" applyBorder="1"/>
    <xf numFmtId="4" fontId="13" fillId="2" borderId="1" xfId="1" applyNumberFormat="1" applyFont="1" applyFill="1" applyBorder="1"/>
    <xf numFmtId="164" fontId="13" fillId="2" borderId="1" xfId="1" applyNumberFormat="1" applyFont="1" applyFill="1" applyBorder="1"/>
    <xf numFmtId="0" fontId="23" fillId="2" borderId="1" xfId="1" applyFont="1" applyFill="1" applyBorder="1" applyAlignment="1">
      <alignment horizontal="center"/>
    </xf>
    <xf numFmtId="4" fontId="22" fillId="3" borderId="1" xfId="0" applyNumberFormat="1" applyFont="1" applyFill="1" applyBorder="1"/>
    <xf numFmtId="0" fontId="25" fillId="0" borderId="0" xfId="0" applyFont="1"/>
    <xf numFmtId="4" fontId="25" fillId="2" borderId="1" xfId="1" applyNumberFormat="1" applyFont="1" applyFill="1" applyBorder="1"/>
    <xf numFmtId="164" fontId="25" fillId="2" borderId="1" xfId="1" applyNumberFormat="1" applyFont="1" applyFill="1" applyBorder="1"/>
    <xf numFmtId="0" fontId="25" fillId="2" borderId="1" xfId="1" applyFont="1" applyFill="1" applyBorder="1"/>
    <xf numFmtId="0" fontId="11" fillId="0" borderId="1" xfId="3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7" fontId="18" fillId="2" borderId="1" xfId="1" applyNumberFormat="1" applyFont="1" applyFill="1" applyBorder="1" applyAlignment="1">
      <alignment horizontal="left"/>
    </xf>
    <xf numFmtId="4" fontId="18" fillId="2" borderId="1" xfId="1" applyNumberFormat="1" applyFont="1" applyFill="1" applyBorder="1" applyAlignment="1">
      <alignment horizontal="right"/>
    </xf>
    <xf numFmtId="17" fontId="25" fillId="2" borderId="1" xfId="1" applyNumberFormat="1" applyFont="1" applyFill="1" applyBorder="1" applyAlignment="1">
      <alignment horizontal="left"/>
    </xf>
    <xf numFmtId="4" fontId="25" fillId="2" borderId="1" xfId="1" applyNumberFormat="1" applyFont="1" applyFill="1" applyBorder="1" applyAlignment="1">
      <alignment horizontal="right"/>
    </xf>
    <xf numFmtId="0" fontId="25" fillId="0" borderId="1" xfId="1" applyFont="1" applyBorder="1"/>
    <xf numFmtId="0" fontId="25" fillId="0" borderId="1" xfId="1" applyFont="1" applyBorder="1" applyAlignment="1">
      <alignment horizontal="center"/>
    </xf>
    <xf numFmtId="0" fontId="24" fillId="0" borderId="1" xfId="2" applyFont="1" applyBorder="1" applyAlignment="1">
      <alignment horizontal="center"/>
    </xf>
    <xf numFmtId="0" fontId="25" fillId="0" borderId="0" xfId="0" applyFont="1" applyAlignment="1">
      <alignment horizontal="center"/>
    </xf>
    <xf numFmtId="4" fontId="25" fillId="0" borderId="1" xfId="1" applyNumberFormat="1" applyFont="1" applyBorder="1"/>
    <xf numFmtId="164" fontId="25" fillId="0" borderId="1" xfId="1" applyNumberFormat="1" applyFont="1" applyBorder="1"/>
    <xf numFmtId="0" fontId="18" fillId="2" borderId="13" xfId="1" applyFont="1" applyFill="1" applyBorder="1" applyAlignment="1">
      <alignment horizontal="left"/>
    </xf>
    <xf numFmtId="0" fontId="21" fillId="2" borderId="13" xfId="1" applyFont="1" applyFill="1" applyBorder="1" applyAlignment="1">
      <alignment horizontal="left"/>
    </xf>
    <xf numFmtId="0" fontId="12" fillId="2" borderId="13" xfId="1" applyFont="1" applyFill="1" applyBorder="1" applyAlignment="1">
      <alignment horizontal="left"/>
    </xf>
    <xf numFmtId="0" fontId="17" fillId="2" borderId="13" xfId="1" applyFont="1" applyFill="1" applyBorder="1" applyAlignment="1">
      <alignment horizontal="left"/>
    </xf>
    <xf numFmtId="0" fontId="0" fillId="0" borderId="13" xfId="0" applyBorder="1"/>
    <xf numFmtId="0" fontId="12" fillId="2" borderId="14" xfId="1" applyFont="1" applyFill="1" applyBorder="1" applyAlignment="1">
      <alignment horizontal="left"/>
    </xf>
    <xf numFmtId="0" fontId="17" fillId="2" borderId="14" xfId="1" applyFont="1" applyFill="1" applyBorder="1" applyAlignment="1">
      <alignment horizontal="left"/>
    </xf>
    <xf numFmtId="0" fontId="17" fillId="0" borderId="1" xfId="3" applyFont="1" applyBorder="1"/>
    <xf numFmtId="4" fontId="19" fillId="0" borderId="1" xfId="3" applyNumberFormat="1" applyFont="1" applyBorder="1"/>
    <xf numFmtId="0" fontId="13" fillId="2" borderId="1" xfId="1" applyFont="1" applyFill="1" applyBorder="1" applyAlignment="1">
      <alignment horizontal="left"/>
    </xf>
    <xf numFmtId="0" fontId="18" fillId="0" borderId="1" xfId="3" applyFont="1" applyBorder="1"/>
    <xf numFmtId="4" fontId="18" fillId="0" borderId="1" xfId="3" applyNumberFormat="1" applyFont="1" applyBorder="1"/>
    <xf numFmtId="0" fontId="25" fillId="2" borderId="1" xfId="1" applyFont="1" applyFill="1" applyBorder="1" applyAlignment="1">
      <alignment horizontal="left"/>
    </xf>
    <xf numFmtId="0" fontId="25" fillId="3" borderId="1" xfId="3" applyFont="1" applyFill="1" applyBorder="1"/>
    <xf numFmtId="4" fontId="25" fillId="0" borderId="1" xfId="3" applyNumberFormat="1" applyFont="1" applyBorder="1"/>
    <xf numFmtId="4" fontId="25" fillId="2" borderId="1" xfId="1" applyNumberFormat="1" applyFont="1" applyFill="1" applyBorder="1" applyAlignment="1">
      <alignment horizontal="left"/>
    </xf>
    <xf numFmtId="0" fontId="25" fillId="2" borderId="0" xfId="1" applyFont="1" applyFill="1" applyAlignment="1">
      <alignment horizontal="left"/>
    </xf>
    <xf numFmtId="0" fontId="27" fillId="0" borderId="0" xfId="1" applyFont="1" applyAlignment="1">
      <alignment horizontal="left"/>
    </xf>
    <xf numFmtId="0" fontId="24" fillId="0" borderId="1" xfId="6" applyFont="1" applyBorder="1"/>
    <xf numFmtId="4" fontId="12" fillId="0" borderId="1" xfId="6" applyNumberFormat="1" applyFont="1" applyBorder="1" applyAlignment="1">
      <alignment horizontal="left"/>
    </xf>
    <xf numFmtId="0" fontId="25" fillId="5" borderId="1" xfId="6" applyFont="1" applyFill="1" applyBorder="1" applyAlignment="1">
      <alignment horizontal="left"/>
    </xf>
    <xf numFmtId="4" fontId="30" fillId="5" borderId="1" xfId="6" applyNumberFormat="1" applyFont="1" applyFill="1" applyBorder="1" applyAlignment="1">
      <alignment horizontal="left"/>
    </xf>
    <xf numFmtId="4" fontId="25" fillId="5" borderId="1" xfId="6" applyNumberFormat="1" applyFont="1" applyFill="1" applyBorder="1" applyAlignment="1">
      <alignment horizontal="left"/>
    </xf>
    <xf numFmtId="4" fontId="26" fillId="0" borderId="1" xfId="0" applyNumberFormat="1" applyFont="1" applyBorder="1"/>
    <xf numFmtId="4" fontId="13" fillId="2" borderId="1" xfId="1" applyNumberFormat="1" applyFont="1" applyFill="1" applyBorder="1" applyAlignment="1">
      <alignment horizontal="right"/>
    </xf>
    <xf numFmtId="0" fontId="22" fillId="3" borderId="1" xfId="0" applyFont="1" applyFill="1" applyBorder="1" applyAlignment="1">
      <alignment horizontal="left"/>
    </xf>
    <xf numFmtId="0" fontId="25" fillId="0" borderId="1" xfId="3" applyFont="1" applyBorder="1"/>
    <xf numFmtId="165" fontId="25" fillId="0" borderId="1" xfId="1" applyNumberFormat="1" applyFont="1" applyBorder="1" applyAlignment="1">
      <alignment horizontal="right"/>
    </xf>
    <xf numFmtId="17" fontId="25" fillId="0" borderId="1" xfId="1" applyNumberFormat="1" applyFont="1" applyBorder="1"/>
    <xf numFmtId="0" fontId="6" fillId="5" borderId="0" xfId="6" applyFill="1"/>
    <xf numFmtId="0" fontId="33" fillId="0" borderId="0" xfId="6" applyFont="1" applyAlignment="1">
      <alignment wrapText="1"/>
    </xf>
    <xf numFmtId="0" fontId="33" fillId="0" borderId="0" xfId="6" applyFont="1"/>
    <xf numFmtId="0" fontId="4" fillId="0" borderId="0" xfId="6" applyFont="1"/>
    <xf numFmtId="4" fontId="6" fillId="0" borderId="0" xfId="6" applyNumberFormat="1"/>
    <xf numFmtId="4" fontId="13" fillId="0" borderId="1" xfId="0" applyNumberFormat="1" applyFont="1" applyBorder="1"/>
    <xf numFmtId="0" fontId="36" fillId="3" borderId="1" xfId="0" applyFont="1" applyFill="1" applyBorder="1"/>
    <xf numFmtId="0" fontId="36" fillId="3" borderId="1" xfId="0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wrapText="1"/>
    </xf>
    <xf numFmtId="4" fontId="37" fillId="0" borderId="1" xfId="0" applyNumberFormat="1" applyFont="1" applyBorder="1"/>
    <xf numFmtId="0" fontId="3" fillId="0" borderId="1" xfId="6" applyFont="1" applyBorder="1"/>
    <xf numFmtId="4" fontId="6" fillId="0" borderId="1" xfId="6" applyNumberFormat="1" applyBorder="1"/>
    <xf numFmtId="4" fontId="39" fillId="5" borderId="1" xfId="6" applyNumberFormat="1" applyFont="1" applyFill="1" applyBorder="1"/>
    <xf numFmtId="16" fontId="2" fillId="0" borderId="0" xfId="12" applyNumberFormat="1"/>
    <xf numFmtId="168" fontId="2" fillId="0" borderId="0" xfId="14" applyNumberFormat="1"/>
    <xf numFmtId="170" fontId="42" fillId="0" borderId="0" xfId="15" applyNumberFormat="1" applyBorder="1" applyAlignment="1" applyProtection="1">
      <alignment horizontal="right"/>
    </xf>
    <xf numFmtId="0" fontId="2" fillId="0" borderId="0" xfId="12"/>
    <xf numFmtId="0" fontId="10" fillId="0" borderId="0" xfId="12" applyFont="1"/>
    <xf numFmtId="168" fontId="10" fillId="0" borderId="0" xfId="14" applyNumberFormat="1" applyFont="1"/>
    <xf numFmtId="16" fontId="2" fillId="0" borderId="3" xfId="12" applyNumberFormat="1" applyBorder="1"/>
    <xf numFmtId="0" fontId="8" fillId="0" borderId="3" xfId="12" applyFont="1" applyBorder="1"/>
    <xf numFmtId="0" fontId="8" fillId="0" borderId="8" xfId="12" applyFont="1" applyBorder="1"/>
    <xf numFmtId="168" fontId="8" fillId="0" borderId="8" xfId="14" applyNumberFormat="1" applyFont="1" applyBorder="1"/>
    <xf numFmtId="168" fontId="10" fillId="0" borderId="9" xfId="14" applyNumberFormat="1" applyFont="1" applyBorder="1"/>
    <xf numFmtId="16" fontId="2" fillId="0" borderId="8" xfId="12" applyNumberFormat="1" applyBorder="1"/>
    <xf numFmtId="168" fontId="8" fillId="0" borderId="8" xfId="16" applyNumberFormat="1" applyFont="1" applyBorder="1"/>
    <xf numFmtId="168" fontId="10" fillId="0" borderId="9" xfId="16" applyNumberFormat="1" applyFont="1" applyBorder="1"/>
    <xf numFmtId="4" fontId="2" fillId="0" borderId="0" xfId="12" applyNumberFormat="1"/>
    <xf numFmtId="0" fontId="40" fillId="0" borderId="0" xfId="12" applyFont="1"/>
    <xf numFmtId="166" fontId="8" fillId="0" borderId="0" xfId="12" applyNumberFormat="1" applyFont="1"/>
    <xf numFmtId="0" fontId="8" fillId="0" borderId="8" xfId="12" applyFont="1" applyBorder="1" applyAlignment="1">
      <alignment wrapText="1"/>
    </xf>
    <xf numFmtId="166" fontId="43" fillId="0" borderId="0" xfId="12" applyNumberFormat="1" applyFont="1"/>
    <xf numFmtId="15" fontId="44" fillId="0" borderId="0" xfId="12" applyNumberFormat="1" applyFont="1"/>
    <xf numFmtId="0" fontId="44" fillId="0" borderId="0" xfId="12" applyFont="1"/>
    <xf numFmtId="166" fontId="8" fillId="0" borderId="8" xfId="12" applyNumberFormat="1" applyFont="1" applyBorder="1"/>
    <xf numFmtId="0" fontId="38" fillId="0" borderId="8" xfId="12" applyFont="1" applyBorder="1"/>
    <xf numFmtId="0" fontId="45" fillId="0" borderId="0" xfId="12" applyFont="1"/>
    <xf numFmtId="0" fontId="8" fillId="0" borderId="0" xfId="14" applyFont="1"/>
    <xf numFmtId="0" fontId="8" fillId="5" borderId="0" xfId="14" applyFont="1" applyFill="1"/>
    <xf numFmtId="167" fontId="8" fillId="0" borderId="0" xfId="12" applyNumberFormat="1" applyFont="1"/>
    <xf numFmtId="166" fontId="8" fillId="0" borderId="0" xfId="14" applyNumberFormat="1" applyFont="1"/>
    <xf numFmtId="0" fontId="10" fillId="0" borderId="0" xfId="14" applyFont="1"/>
    <xf numFmtId="167" fontId="8" fillId="0" borderId="0" xfId="12" applyNumberFormat="1" applyFont="1" applyAlignment="1">
      <alignment vertical="center"/>
    </xf>
    <xf numFmtId="0" fontId="2" fillId="0" borderId="0" xfId="14"/>
    <xf numFmtId="0" fontId="2" fillId="5" borderId="0" xfId="14" applyFill="1"/>
    <xf numFmtId="0" fontId="2" fillId="5" borderId="0" xfId="12" applyFill="1"/>
    <xf numFmtId="168" fontId="8" fillId="0" borderId="16" xfId="14" applyNumberFormat="1" applyFont="1" applyBorder="1"/>
    <xf numFmtId="168" fontId="38" fillId="0" borderId="9" xfId="16" applyNumberFormat="1" applyFont="1" applyBorder="1"/>
    <xf numFmtId="168" fontId="8" fillId="0" borderId="7" xfId="16" applyNumberFormat="1" applyFont="1" applyBorder="1"/>
    <xf numFmtId="168" fontId="8" fillId="0" borderId="16" xfId="16" applyNumberFormat="1" applyFont="1" applyBorder="1"/>
    <xf numFmtId="43" fontId="2" fillId="0" borderId="0" xfId="12" applyNumberFormat="1"/>
    <xf numFmtId="171" fontId="2" fillId="0" borderId="0" xfId="12" applyNumberFormat="1"/>
    <xf numFmtId="0" fontId="8" fillId="5" borderId="8" xfId="12" applyFont="1" applyFill="1" applyBorder="1"/>
    <xf numFmtId="168" fontId="8" fillId="5" borderId="16" xfId="16" applyNumberFormat="1" applyFont="1" applyFill="1" applyBorder="1"/>
    <xf numFmtId="168" fontId="38" fillId="5" borderId="9" xfId="16" applyNumberFormat="1" applyFont="1" applyFill="1" applyBorder="1"/>
    <xf numFmtId="0" fontId="44" fillId="0" borderId="8" xfId="12" applyFont="1" applyBorder="1"/>
    <xf numFmtId="0" fontId="8" fillId="0" borderId="20" xfId="12" applyFont="1" applyBorder="1"/>
    <xf numFmtId="168" fontId="8" fillId="0" borderId="20" xfId="16" applyNumberFormat="1" applyFont="1" applyBorder="1"/>
    <xf numFmtId="168" fontId="8" fillId="0" borderId="21" xfId="16" applyNumberFormat="1" applyFont="1" applyBorder="1"/>
    <xf numFmtId="168" fontId="8" fillId="0" borderId="22" xfId="16" applyNumberFormat="1" applyFont="1" applyBorder="1"/>
    <xf numFmtId="168" fontId="44" fillId="0" borderId="23" xfId="16" applyNumberFormat="1" applyFont="1" applyBorder="1"/>
    <xf numFmtId="168" fontId="44" fillId="0" borderId="9" xfId="16" applyNumberFormat="1" applyFont="1" applyBorder="1"/>
    <xf numFmtId="0" fontId="46" fillId="4" borderId="0" xfId="13" applyFont="1" applyFill="1"/>
    <xf numFmtId="0" fontId="8" fillId="4" borderId="0" xfId="13" applyFont="1" applyFill="1"/>
    <xf numFmtId="0" fontId="44" fillId="4" borderId="0" xfId="13" applyFont="1" applyFill="1"/>
    <xf numFmtId="0" fontId="44" fillId="4" borderId="0" xfId="13" applyFont="1" applyFill="1" applyAlignment="1">
      <alignment horizontal="right"/>
    </xf>
    <xf numFmtId="166" fontId="44" fillId="4" borderId="0" xfId="13" applyNumberFormat="1" applyFont="1" applyFill="1"/>
    <xf numFmtId="0" fontId="10" fillId="0" borderId="0" xfId="13" applyFont="1"/>
    <xf numFmtId="164" fontId="46" fillId="0" borderId="0" xfId="13" applyNumberFormat="1" applyFont="1"/>
    <xf numFmtId="0" fontId="41" fillId="0" borderId="0" xfId="13"/>
    <xf numFmtId="164" fontId="10" fillId="0" borderId="0" xfId="13" applyNumberFormat="1" applyFont="1" applyAlignment="1">
      <alignment horizontal="right"/>
    </xf>
    <xf numFmtId="0" fontId="8" fillId="0" borderId="24" xfId="13" applyFont="1" applyBorder="1"/>
    <xf numFmtId="0" fontId="8" fillId="0" borderId="2" xfId="13" applyFont="1" applyBorder="1"/>
    <xf numFmtId="0" fontId="8" fillId="0" borderId="3" xfId="13" applyFont="1" applyBorder="1"/>
    <xf numFmtId="164" fontId="8" fillId="0" borderId="5" xfId="13" applyNumberFormat="1" applyFont="1" applyBorder="1" applyAlignment="1">
      <alignment horizontal="center" wrapText="1"/>
    </xf>
    <xf numFmtId="164" fontId="8" fillId="0" borderId="4" xfId="13" applyNumberFormat="1" applyFont="1" applyBorder="1" applyAlignment="1">
      <alignment horizontal="center" wrapText="1"/>
    </xf>
    <xf numFmtId="0" fontId="50" fillId="0" borderId="5" xfId="13" applyFont="1" applyBorder="1" applyAlignment="1">
      <alignment horizontal="center" vertical="center"/>
    </xf>
    <xf numFmtId="0" fontId="8" fillId="0" borderId="15" xfId="13" applyFont="1" applyBorder="1"/>
    <xf numFmtId="0" fontId="8" fillId="0" borderId="7" xfId="13" applyFont="1" applyBorder="1"/>
    <xf numFmtId="0" fontId="8" fillId="0" borderId="8" xfId="13" applyFont="1" applyBorder="1"/>
    <xf numFmtId="0" fontId="8" fillId="0" borderId="9" xfId="13" applyFont="1" applyBorder="1"/>
    <xf numFmtId="164" fontId="8" fillId="0" borderId="8" xfId="13" applyNumberFormat="1" applyFont="1" applyBorder="1"/>
    <xf numFmtId="16" fontId="8" fillId="0" borderId="15" xfId="13" applyNumberFormat="1" applyFont="1" applyBorder="1"/>
    <xf numFmtId="164" fontId="10" fillId="0" borderId="9" xfId="13" applyNumberFormat="1" applyFont="1" applyBorder="1"/>
    <xf numFmtId="15" fontId="8" fillId="0" borderId="15" xfId="13" applyNumberFormat="1" applyFont="1" applyBorder="1"/>
    <xf numFmtId="15" fontId="8" fillId="0" borderId="7" xfId="13" applyNumberFormat="1" applyFont="1" applyBorder="1"/>
    <xf numFmtId="166" fontId="8" fillId="0" borderId="8" xfId="13" applyNumberFormat="1" applyFont="1" applyBorder="1"/>
    <xf numFmtId="166" fontId="8" fillId="0" borderId="9" xfId="13" applyNumberFormat="1" applyFont="1" applyBorder="1"/>
    <xf numFmtId="167" fontId="8" fillId="0" borderId="8" xfId="13" applyNumberFormat="1" applyFont="1" applyBorder="1"/>
    <xf numFmtId="0" fontId="8" fillId="0" borderId="0" xfId="13" applyFont="1"/>
    <xf numFmtId="0" fontId="8" fillId="0" borderId="8" xfId="13" applyFont="1" applyBorder="1" applyAlignment="1">
      <alignment horizontal="left" vertical="center"/>
    </xf>
    <xf numFmtId="166" fontId="8" fillId="0" borderId="9" xfId="13" applyNumberFormat="1" applyFont="1" applyBorder="1" applyAlignment="1">
      <alignment vertical="center"/>
    </xf>
    <xf numFmtId="0" fontId="8" fillId="0" borderId="0" xfId="13" applyFont="1" applyAlignment="1">
      <alignment vertical="center"/>
    </xf>
    <xf numFmtId="166" fontId="8" fillId="0" borderId="0" xfId="13" applyNumberFormat="1" applyFont="1"/>
    <xf numFmtId="15" fontId="44" fillId="4" borderId="15" xfId="13" applyNumberFormat="1" applyFont="1" applyFill="1" applyBorder="1"/>
    <xf numFmtId="0" fontId="44" fillId="4" borderId="8" xfId="13" applyFont="1" applyFill="1" applyBorder="1"/>
    <xf numFmtId="166" fontId="44" fillId="4" borderId="8" xfId="13" applyNumberFormat="1" applyFont="1" applyFill="1" applyBorder="1"/>
    <xf numFmtId="166" fontId="44" fillId="4" borderId="9" xfId="13" applyNumberFormat="1" applyFont="1" applyFill="1" applyBorder="1"/>
    <xf numFmtId="15" fontId="8" fillId="0" borderId="0" xfId="13" applyNumberFormat="1" applyFont="1"/>
    <xf numFmtId="166" fontId="43" fillId="0" borderId="0" xfId="13" applyNumberFormat="1" applyFont="1"/>
    <xf numFmtId="0" fontId="29" fillId="0" borderId="0" xfId="13" applyFont="1"/>
    <xf numFmtId="0" fontId="38" fillId="0" borderId="8" xfId="13" applyFont="1" applyBorder="1"/>
    <xf numFmtId="164" fontId="38" fillId="0" borderId="8" xfId="13" applyNumberFormat="1" applyFont="1" applyBorder="1"/>
    <xf numFmtId="164" fontId="52" fillId="0" borderId="9" xfId="13" applyNumberFormat="1" applyFont="1" applyBorder="1"/>
    <xf numFmtId="0" fontId="8" fillId="0" borderId="21" xfId="13" applyFont="1" applyBorder="1"/>
    <xf numFmtId="0" fontId="8" fillId="0" borderId="25" xfId="13" applyFont="1" applyBorder="1"/>
    <xf numFmtId="0" fontId="8" fillId="0" borderId="20" xfId="13" applyFont="1" applyBorder="1"/>
    <xf numFmtId="166" fontId="8" fillId="0" borderId="20" xfId="13" applyNumberFormat="1" applyFont="1" applyBorder="1"/>
    <xf numFmtId="166" fontId="8" fillId="0" borderId="26" xfId="13" applyNumberFormat="1" applyFont="1" applyBorder="1"/>
    <xf numFmtId="16" fontId="8" fillId="0" borderId="27" xfId="13" applyNumberFormat="1" applyFont="1" applyBorder="1"/>
    <xf numFmtId="0" fontId="38" fillId="0" borderId="16" xfId="13" applyFont="1" applyBorder="1"/>
    <xf numFmtId="164" fontId="38" fillId="0" borderId="16" xfId="13" applyNumberFormat="1" applyFont="1" applyBorder="1"/>
    <xf numFmtId="0" fontId="8" fillId="0" borderId="27" xfId="13" applyFont="1" applyBorder="1"/>
    <xf numFmtId="0" fontId="8" fillId="0" borderId="18" xfId="13" applyFont="1" applyBorder="1"/>
    <xf numFmtId="0" fontId="8" fillId="0" borderId="16" xfId="13" applyFont="1" applyBorder="1"/>
    <xf numFmtId="166" fontId="8" fillId="0" borderId="16" xfId="13" applyNumberFormat="1" applyFont="1" applyBorder="1"/>
    <xf numFmtId="166" fontId="8" fillId="0" borderId="17" xfId="13" applyNumberFormat="1" applyFont="1" applyBorder="1"/>
    <xf numFmtId="164" fontId="8" fillId="0" borderId="16" xfId="13" applyNumberFormat="1" applyFont="1" applyBorder="1"/>
    <xf numFmtId="0" fontId="44" fillId="0" borderId="16" xfId="13" applyFont="1" applyBorder="1"/>
    <xf numFmtId="164" fontId="44" fillId="0" borderId="17" xfId="13" applyNumberFormat="1" applyFont="1" applyBorder="1"/>
    <xf numFmtId="0" fontId="41" fillId="0" borderId="28" xfId="13" applyBorder="1"/>
    <xf numFmtId="0" fontId="8" fillId="0" borderId="29" xfId="13" applyFont="1" applyBorder="1"/>
    <xf numFmtId="164" fontId="2" fillId="0" borderId="28" xfId="13" applyNumberFormat="1" applyFont="1" applyBorder="1"/>
    <xf numFmtId="164" fontId="10" fillId="0" borderId="28" xfId="13" applyNumberFormat="1" applyFont="1" applyBorder="1"/>
    <xf numFmtId="167" fontId="8" fillId="0" borderId="0" xfId="13" applyNumberFormat="1" applyFont="1"/>
    <xf numFmtId="164" fontId="2" fillId="0" borderId="0" xfId="13" applyNumberFormat="1" applyFont="1"/>
    <xf numFmtId="164" fontId="10" fillId="0" borderId="0" xfId="13" applyNumberFormat="1" applyFont="1"/>
    <xf numFmtId="4" fontId="10" fillId="0" borderId="30" xfId="13" applyNumberFormat="1" applyFont="1" applyBorder="1"/>
    <xf numFmtId="4" fontId="2" fillId="0" borderId="28" xfId="13" applyNumberFormat="1" applyFont="1" applyBorder="1"/>
    <xf numFmtId="43" fontId="44" fillId="0" borderId="9" xfId="16" applyFont="1" applyBorder="1"/>
    <xf numFmtId="43" fontId="8" fillId="0" borderId="16" xfId="16" applyFont="1" applyBorder="1"/>
    <xf numFmtId="43" fontId="8" fillId="0" borderId="7" xfId="16" applyFont="1" applyBorder="1"/>
    <xf numFmtId="43" fontId="8" fillId="0" borderId="8" xfId="16" applyFont="1" applyBorder="1"/>
    <xf numFmtId="4" fontId="8" fillId="0" borderId="16" xfId="13" applyNumberFormat="1" applyFont="1" applyBorder="1"/>
    <xf numFmtId="43" fontId="10" fillId="0" borderId="9" xfId="16" applyFont="1" applyBorder="1"/>
    <xf numFmtId="164" fontId="51" fillId="0" borderId="5" xfId="13" applyNumberFormat="1" applyFont="1" applyBorder="1" applyAlignment="1">
      <alignment vertical="center"/>
    </xf>
    <xf numFmtId="164" fontId="51" fillId="0" borderId="0" xfId="13" applyNumberFormat="1" applyFont="1" applyAlignment="1">
      <alignment vertical="center"/>
    </xf>
    <xf numFmtId="0" fontId="50" fillId="0" borderId="0" xfId="13" applyFont="1" applyAlignment="1">
      <alignment horizontal="center" vertical="center"/>
    </xf>
    <xf numFmtId="4" fontId="51" fillId="0" borderId="0" xfId="13" applyNumberFormat="1" applyFont="1" applyAlignment="1">
      <alignment vertical="center"/>
    </xf>
    <xf numFmtId="0" fontId="53" fillId="0" borderId="0" xfId="13" applyFont="1" applyAlignment="1">
      <alignment horizontal="center" vertical="center"/>
    </xf>
    <xf numFmtId="0" fontId="51" fillId="0" borderId="0" xfId="13" applyFont="1" applyAlignment="1">
      <alignment horizontal="center" vertical="center"/>
    </xf>
    <xf numFmtId="0" fontId="8" fillId="0" borderId="0" xfId="13" applyFont="1" applyAlignment="1">
      <alignment horizontal="center" vertical="center"/>
    </xf>
    <xf numFmtId="0" fontId="34" fillId="0" borderId="0" xfId="13" applyFont="1" applyAlignment="1">
      <alignment horizontal="center" vertical="center"/>
    </xf>
    <xf numFmtId="4" fontId="54" fillId="0" borderId="0" xfId="13" applyNumberFormat="1" applyFont="1"/>
    <xf numFmtId="0" fontId="44" fillId="0" borderId="0" xfId="13" applyFont="1"/>
    <xf numFmtId="15" fontId="44" fillId="0" borderId="0" xfId="13" applyNumberFormat="1" applyFont="1"/>
    <xf numFmtId="4" fontId="10" fillId="0" borderId="0" xfId="13" applyNumberFormat="1" applyFont="1"/>
    <xf numFmtId="164" fontId="35" fillId="0" borderId="0" xfId="13" applyNumberFormat="1" applyFont="1" applyAlignment="1">
      <alignment horizontal="right"/>
    </xf>
    <xf numFmtId="0" fontId="55" fillId="2" borderId="1" xfId="1" applyFont="1" applyFill="1" applyBorder="1"/>
    <xf numFmtId="4" fontId="55" fillId="2" borderId="1" xfId="1" applyNumberFormat="1" applyFont="1" applyFill="1" applyBorder="1" applyAlignment="1">
      <alignment horizontal="right"/>
    </xf>
    <xf numFmtId="0" fontId="55" fillId="0" borderId="1" xfId="17" applyFont="1" applyBorder="1" applyAlignment="1">
      <alignment horizontal="left" vertical="center" wrapText="1"/>
    </xf>
    <xf numFmtId="0" fontId="56" fillId="0" borderId="1" xfId="17" applyFont="1" applyBorder="1" applyAlignment="1">
      <alignment horizontal="left" vertical="center" wrapText="1"/>
    </xf>
    <xf numFmtId="0" fontId="46" fillId="4" borderId="0" xfId="18" applyFont="1" applyFill="1"/>
    <xf numFmtId="0" fontId="8" fillId="4" borderId="0" xfId="18" applyFont="1" applyFill="1"/>
    <xf numFmtId="0" fontId="44" fillId="4" borderId="0" xfId="18" applyFont="1" applyFill="1"/>
    <xf numFmtId="0" fontId="44" fillId="4" borderId="0" xfId="18" applyFont="1" applyFill="1" applyAlignment="1">
      <alignment horizontal="right"/>
    </xf>
    <xf numFmtId="166" fontId="44" fillId="4" borderId="0" xfId="18" applyNumberFormat="1" applyFont="1" applyFill="1"/>
    <xf numFmtId="0" fontId="10" fillId="0" borderId="0" xfId="18" applyFont="1"/>
    <xf numFmtId="0" fontId="57" fillId="0" borderId="0" xfId="18"/>
    <xf numFmtId="164" fontId="35" fillId="0" borderId="0" xfId="18" applyNumberFormat="1" applyFont="1"/>
    <xf numFmtId="168" fontId="57" fillId="0" borderId="0" xfId="18" applyNumberFormat="1"/>
    <xf numFmtId="164" fontId="10" fillId="0" borderId="0" xfId="18" applyNumberFormat="1" applyFont="1" applyAlignment="1">
      <alignment horizontal="right"/>
    </xf>
    <xf numFmtId="164" fontId="47" fillId="0" borderId="0" xfId="18" applyNumberFormat="1" applyFont="1"/>
    <xf numFmtId="168" fontId="47" fillId="0" borderId="0" xfId="18" applyNumberFormat="1" applyFont="1" applyAlignment="1">
      <alignment horizontal="right"/>
    </xf>
    <xf numFmtId="168" fontId="47" fillId="0" borderId="0" xfId="18" applyNumberFormat="1" applyFont="1"/>
    <xf numFmtId="15" fontId="48" fillId="0" borderId="0" xfId="18" applyNumberFormat="1" applyFont="1"/>
    <xf numFmtId="0" fontId="48" fillId="0" borderId="0" xfId="18" applyFont="1"/>
    <xf numFmtId="4" fontId="49" fillId="0" borderId="0" xfId="18" applyNumberFormat="1" applyFont="1"/>
    <xf numFmtId="0" fontId="8" fillId="0" borderId="24" xfId="18" applyFont="1" applyBorder="1"/>
    <xf numFmtId="0" fontId="8" fillId="0" borderId="2" xfId="18" applyFont="1" applyBorder="1"/>
    <xf numFmtId="0" fontId="8" fillId="0" borderId="3" xfId="18" applyFont="1" applyBorder="1"/>
    <xf numFmtId="164" fontId="8" fillId="0" borderId="5" xfId="18" applyNumberFormat="1" applyFont="1" applyBorder="1" applyAlignment="1">
      <alignment horizontal="center" wrapText="1"/>
    </xf>
    <xf numFmtId="164" fontId="8" fillId="0" borderId="4" xfId="18" applyNumberFormat="1" applyFont="1" applyBorder="1" applyAlignment="1">
      <alignment horizontal="center" wrapText="1"/>
    </xf>
    <xf numFmtId="0" fontId="50" fillId="0" borderId="5" xfId="18" applyFont="1" applyBorder="1" applyAlignment="1">
      <alignment horizontal="center" vertical="center"/>
    </xf>
    <xf numFmtId="168" fontId="50" fillId="0" borderId="5" xfId="18" applyNumberFormat="1" applyFont="1" applyBorder="1" applyAlignment="1">
      <alignment horizontal="center" vertical="center"/>
    </xf>
    <xf numFmtId="168" fontId="51" fillId="0" borderId="5" xfId="18" applyNumberFormat="1" applyFont="1" applyBorder="1" applyAlignment="1">
      <alignment vertical="center"/>
    </xf>
    <xf numFmtId="0" fontId="8" fillId="0" borderId="15" xfId="18" applyFont="1" applyBorder="1"/>
    <xf numFmtId="0" fontId="8" fillId="0" borderId="7" xfId="18" applyFont="1" applyBorder="1"/>
    <xf numFmtId="0" fontId="8" fillId="0" borderId="8" xfId="18" applyFont="1" applyBorder="1"/>
    <xf numFmtId="0" fontId="8" fillId="0" borderId="9" xfId="18" applyFont="1" applyBorder="1"/>
    <xf numFmtId="164" fontId="8" fillId="0" borderId="8" xfId="18" applyNumberFormat="1" applyFont="1" applyBorder="1"/>
    <xf numFmtId="164" fontId="8" fillId="0" borderId="9" xfId="18" applyNumberFormat="1" applyFont="1" applyBorder="1"/>
    <xf numFmtId="168" fontId="8" fillId="0" borderId="8" xfId="18" applyNumberFormat="1" applyFont="1" applyBorder="1"/>
    <xf numFmtId="168" fontId="10" fillId="0" borderId="9" xfId="18" applyNumberFormat="1" applyFont="1" applyBorder="1"/>
    <xf numFmtId="164" fontId="10" fillId="0" borderId="9" xfId="18" applyNumberFormat="1" applyFont="1" applyBorder="1"/>
    <xf numFmtId="15" fontId="8" fillId="0" borderId="15" xfId="18" applyNumberFormat="1" applyFont="1" applyBorder="1"/>
    <xf numFmtId="15" fontId="8" fillId="0" borderId="7" xfId="18" applyNumberFormat="1" applyFont="1" applyBorder="1"/>
    <xf numFmtId="166" fontId="8" fillId="0" borderId="8" xfId="18" applyNumberFormat="1" applyFont="1" applyBorder="1"/>
    <xf numFmtId="166" fontId="8" fillId="0" borderId="9" xfId="18" applyNumberFormat="1" applyFont="1" applyBorder="1"/>
    <xf numFmtId="168" fontId="8" fillId="0" borderId="8" xfId="19" applyNumberFormat="1" applyFont="1" applyBorder="1"/>
    <xf numFmtId="168" fontId="10" fillId="0" borderId="9" xfId="19" applyNumberFormat="1" applyFont="1" applyBorder="1"/>
    <xf numFmtId="167" fontId="8" fillId="0" borderId="8" xfId="18" applyNumberFormat="1" applyFont="1" applyBorder="1"/>
    <xf numFmtId="0" fontId="8" fillId="0" borderId="0" xfId="18" applyFont="1"/>
    <xf numFmtId="0" fontId="8" fillId="0" borderId="8" xfId="18" applyFont="1" applyBorder="1" applyAlignment="1">
      <alignment horizontal="left" vertical="center"/>
    </xf>
    <xf numFmtId="166" fontId="8" fillId="0" borderId="9" xfId="18" applyNumberFormat="1" applyFont="1" applyBorder="1" applyAlignment="1">
      <alignment vertical="center"/>
    </xf>
    <xf numFmtId="0" fontId="8" fillId="0" borderId="0" xfId="18" applyFont="1" applyAlignment="1">
      <alignment vertical="center"/>
    </xf>
    <xf numFmtId="166" fontId="8" fillId="0" borderId="0" xfId="18" applyNumberFormat="1" applyFont="1"/>
    <xf numFmtId="166" fontId="57" fillId="0" borderId="0" xfId="18" applyNumberFormat="1"/>
    <xf numFmtId="15" fontId="44" fillId="4" borderId="15" xfId="18" applyNumberFormat="1" applyFont="1" applyFill="1" applyBorder="1"/>
    <xf numFmtId="0" fontId="44" fillId="4" borderId="8" xfId="18" applyFont="1" applyFill="1" applyBorder="1"/>
    <xf numFmtId="166" fontId="44" fillId="4" borderId="8" xfId="18" applyNumberFormat="1" applyFont="1" applyFill="1" applyBorder="1"/>
    <xf numFmtId="166" fontId="44" fillId="4" borderId="9" xfId="18" applyNumberFormat="1" applyFont="1" applyFill="1" applyBorder="1"/>
    <xf numFmtId="15" fontId="8" fillId="0" borderId="0" xfId="18" applyNumberFormat="1" applyFont="1"/>
    <xf numFmtId="166" fontId="43" fillId="0" borderId="0" xfId="18" applyNumberFormat="1" applyFont="1"/>
    <xf numFmtId="0" fontId="29" fillId="0" borderId="0" xfId="18" applyFont="1"/>
    <xf numFmtId="0" fontId="38" fillId="0" borderId="8" xfId="18" applyFont="1" applyBorder="1"/>
    <xf numFmtId="164" fontId="38" fillId="0" borderId="8" xfId="18" applyNumberFormat="1" applyFont="1" applyBorder="1"/>
    <xf numFmtId="164" fontId="52" fillId="0" borderId="9" xfId="18" applyNumberFormat="1" applyFont="1" applyBorder="1"/>
    <xf numFmtId="168" fontId="44" fillId="0" borderId="9" xfId="19" applyNumberFormat="1" applyFont="1" applyBorder="1"/>
    <xf numFmtId="0" fontId="8" fillId="0" borderId="21" xfId="18" applyFont="1" applyBorder="1"/>
    <xf numFmtId="0" fontId="8" fillId="0" borderId="25" xfId="18" applyFont="1" applyBorder="1"/>
    <xf numFmtId="0" fontId="8" fillId="0" borderId="20" xfId="18" applyFont="1" applyBorder="1"/>
    <xf numFmtId="166" fontId="8" fillId="0" borderId="20" xfId="18" applyNumberFormat="1" applyFont="1" applyBorder="1"/>
    <xf numFmtId="166" fontId="8" fillId="0" borderId="26" xfId="18" applyNumberFormat="1" applyFont="1" applyBorder="1"/>
    <xf numFmtId="0" fontId="38" fillId="0" borderId="16" xfId="18" applyFont="1" applyBorder="1"/>
    <xf numFmtId="164" fontId="38" fillId="0" borderId="16" xfId="18" applyNumberFormat="1" applyFont="1" applyBorder="1"/>
    <xf numFmtId="168" fontId="8" fillId="0" borderId="16" xfId="18" applyNumberFormat="1" applyFont="1" applyBorder="1"/>
    <xf numFmtId="0" fontId="8" fillId="0" borderId="27" xfId="18" applyFont="1" applyBorder="1"/>
    <xf numFmtId="0" fontId="8" fillId="0" borderId="18" xfId="18" applyFont="1" applyBorder="1"/>
    <xf numFmtId="0" fontId="8" fillId="0" borderId="16" xfId="18" applyFont="1" applyBorder="1"/>
    <xf numFmtId="166" fontId="8" fillId="0" borderId="16" xfId="18" applyNumberFormat="1" applyFont="1" applyBorder="1"/>
    <xf numFmtId="166" fontId="8" fillId="0" borderId="17" xfId="18" applyNumberFormat="1" applyFont="1" applyBorder="1"/>
    <xf numFmtId="168" fontId="8" fillId="0" borderId="7" xfId="19" applyNumberFormat="1" applyFont="1" applyBorder="1"/>
    <xf numFmtId="168" fontId="8" fillId="0" borderId="16" xfId="19" applyNumberFormat="1" applyFont="1" applyBorder="1"/>
    <xf numFmtId="164" fontId="8" fillId="0" borderId="16" xfId="18" applyNumberFormat="1" applyFont="1" applyBorder="1"/>
    <xf numFmtId="0" fontId="44" fillId="0" borderId="16" xfId="18" applyFont="1" applyBorder="1"/>
    <xf numFmtId="164" fontId="44" fillId="0" borderId="17" xfId="18" applyNumberFormat="1" applyFont="1" applyBorder="1"/>
    <xf numFmtId="0" fontId="8" fillId="0" borderId="29" xfId="18" applyFont="1" applyBorder="1"/>
    <xf numFmtId="164" fontId="1" fillId="0" borderId="28" xfId="18" applyNumberFormat="1" applyFont="1" applyBorder="1"/>
    <xf numFmtId="164" fontId="10" fillId="0" borderId="28" xfId="18" applyNumberFormat="1" applyFont="1" applyBorder="1"/>
    <xf numFmtId="168" fontId="1" fillId="0" borderId="28" xfId="18" applyNumberFormat="1" applyFont="1" applyBorder="1"/>
    <xf numFmtId="168" fontId="10" fillId="0" borderId="30" xfId="18" applyNumberFormat="1" applyFont="1" applyBorder="1"/>
    <xf numFmtId="167" fontId="8" fillId="0" borderId="0" xfId="18" applyNumberFormat="1" applyFont="1"/>
    <xf numFmtId="164" fontId="1" fillId="0" borderId="0" xfId="18" applyNumberFormat="1" applyFont="1"/>
    <xf numFmtId="164" fontId="10" fillId="0" borderId="0" xfId="18" applyNumberFormat="1" applyFont="1"/>
    <xf numFmtId="168" fontId="1" fillId="0" borderId="0" xfId="18" applyNumberFormat="1" applyFont="1"/>
    <xf numFmtId="168" fontId="10" fillId="0" borderId="0" xfId="18" applyNumberFormat="1" applyFont="1"/>
    <xf numFmtId="173" fontId="2" fillId="0" borderId="0" xfId="12" applyNumberFormat="1"/>
    <xf numFmtId="173" fontId="8" fillId="0" borderId="8" xfId="14" applyNumberFormat="1" applyFont="1" applyBorder="1"/>
    <xf numFmtId="173" fontId="10" fillId="0" borderId="9" xfId="14" applyNumberFormat="1" applyFont="1" applyBorder="1"/>
    <xf numFmtId="173" fontId="8" fillId="0" borderId="8" xfId="12" applyNumberFormat="1" applyFont="1" applyBorder="1"/>
    <xf numFmtId="173" fontId="8" fillId="0" borderId="8" xfId="12" applyNumberFormat="1" applyFont="1" applyBorder="1" applyAlignment="1">
      <alignment wrapText="1"/>
    </xf>
    <xf numFmtId="173" fontId="38" fillId="0" borderId="8" xfId="12" applyNumberFormat="1" applyFont="1" applyBorder="1"/>
    <xf numFmtId="173" fontId="38" fillId="0" borderId="16" xfId="12" applyNumberFormat="1" applyFont="1" applyBorder="1"/>
    <xf numFmtId="173" fontId="8" fillId="0" borderId="16" xfId="12" applyNumberFormat="1" applyFont="1" applyBorder="1"/>
    <xf numFmtId="173" fontId="8" fillId="5" borderId="16" xfId="12" applyNumberFormat="1" applyFont="1" applyFill="1" applyBorder="1"/>
    <xf numFmtId="173" fontId="44" fillId="0" borderId="16" xfId="12" applyNumberFormat="1" applyFont="1" applyBorder="1"/>
    <xf numFmtId="173" fontId="8" fillId="0" borderId="20" xfId="12" applyNumberFormat="1" applyFont="1" applyBorder="1"/>
    <xf numFmtId="174" fontId="46" fillId="0" borderId="0" xfId="18" applyNumberFormat="1" applyFont="1"/>
    <xf numFmtId="174" fontId="8" fillId="0" borderId="24" xfId="18" applyNumberFormat="1" applyFont="1" applyBorder="1"/>
    <xf numFmtId="174" fontId="8" fillId="0" borderId="15" xfId="18" applyNumberFormat="1" applyFont="1" applyBorder="1"/>
    <xf numFmtId="174" fontId="8" fillId="0" borderId="27" xfId="18" applyNumberFormat="1" applyFont="1" applyBorder="1"/>
    <xf numFmtId="174" fontId="57" fillId="0" borderId="28" xfId="18" applyNumberFormat="1" applyBorder="1"/>
    <xf numFmtId="174" fontId="57" fillId="0" borderId="0" xfId="18" applyNumberFormat="1"/>
    <xf numFmtId="164" fontId="10" fillId="0" borderId="0" xfId="18" applyNumberFormat="1" applyFont="1" applyAlignment="1">
      <alignment horizontal="left"/>
    </xf>
    <xf numFmtId="0" fontId="57" fillId="0" borderId="0" xfId="18" applyAlignment="1">
      <alignment horizontal="left"/>
    </xf>
    <xf numFmtId="0" fontId="8" fillId="0" borderId="4" xfId="18" applyFont="1" applyBorder="1" applyAlignment="1">
      <alignment horizontal="center" wrapText="1"/>
    </xf>
    <xf numFmtId="0" fontId="38" fillId="0" borderId="5" xfId="18" applyFont="1" applyBorder="1"/>
    <xf numFmtId="0" fontId="38" fillId="0" borderId="6" xfId="18" applyFont="1" applyBorder="1"/>
    <xf numFmtId="0" fontId="11" fillId="0" borderId="10" xfId="3" applyFont="1" applyBorder="1" applyAlignment="1">
      <alignment horizontal="center"/>
    </xf>
    <xf numFmtId="0" fontId="11" fillId="0" borderId="11" xfId="3" applyFont="1" applyBorder="1" applyAlignment="1">
      <alignment horizontal="center"/>
    </xf>
    <xf numFmtId="0" fontId="24" fillId="5" borderId="1" xfId="6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17" fontId="31" fillId="0" borderId="0" xfId="6" applyNumberFormat="1" applyFont="1" applyAlignment="1">
      <alignment horizontal="center"/>
    </xf>
    <xf numFmtId="17" fontId="32" fillId="0" borderId="0" xfId="0" applyNumberFormat="1" applyFont="1" applyAlignment="1">
      <alignment horizontal="center"/>
    </xf>
    <xf numFmtId="0" fontId="11" fillId="0" borderId="12" xfId="3" applyFont="1" applyBorder="1" applyAlignment="1">
      <alignment horizontal="center"/>
    </xf>
    <xf numFmtId="0" fontId="11" fillId="0" borderId="1" xfId="3" applyFont="1" applyBorder="1" applyAlignment="1">
      <alignment horizontal="center"/>
    </xf>
    <xf numFmtId="172" fontId="29" fillId="0" borderId="0" xfId="12" applyNumberFormat="1" applyFont="1" applyAlignment="1">
      <alignment horizontal="center"/>
    </xf>
    <xf numFmtId="172" fontId="29" fillId="0" borderId="0" xfId="13" applyNumberFormat="1" applyFont="1" applyAlignment="1">
      <alignment horizontal="center"/>
    </xf>
    <xf numFmtId="168" fontId="38" fillId="0" borderId="19" xfId="14" applyNumberFormat="1" applyFont="1" applyBorder="1" applyAlignment="1">
      <alignment horizontal="center"/>
    </xf>
    <xf numFmtId="168" fontId="2" fillId="0" borderId="5" xfId="14" applyNumberFormat="1" applyBorder="1" applyAlignment="1">
      <alignment horizontal="center"/>
    </xf>
    <xf numFmtId="168" fontId="2" fillId="0" borderId="6" xfId="14" applyNumberFormat="1" applyBorder="1" applyAlignment="1">
      <alignment horizontal="center"/>
    </xf>
    <xf numFmtId="0" fontId="8" fillId="0" borderId="0" xfId="14" applyFont="1" applyAlignment="1">
      <alignment horizontal="center"/>
    </xf>
    <xf numFmtId="173" fontId="38" fillId="0" borderId="19" xfId="14" applyNumberFormat="1" applyFont="1" applyBorder="1" applyAlignment="1">
      <alignment horizontal="center"/>
    </xf>
    <xf numFmtId="173" fontId="2" fillId="0" borderId="5" xfId="14" applyNumberFormat="1" applyBorder="1" applyAlignment="1">
      <alignment horizontal="center"/>
    </xf>
    <xf numFmtId="173" fontId="2" fillId="0" borderId="6" xfId="14" applyNumberFormat="1" applyBorder="1" applyAlignment="1">
      <alignment horizontal="center"/>
    </xf>
    <xf numFmtId="168" fontId="35" fillId="0" borderId="0" xfId="14" applyNumberFormat="1" applyFont="1" applyAlignment="1">
      <alignment horizontal="left"/>
    </xf>
    <xf numFmtId="0" fontId="0" fillId="0" borderId="0" xfId="0" applyAlignment="1">
      <alignment horizontal="left"/>
    </xf>
    <xf numFmtId="0" fontId="8" fillId="0" borderId="4" xfId="13" applyFont="1" applyBorder="1" applyAlignment="1">
      <alignment horizontal="center" wrapText="1"/>
    </xf>
    <xf numFmtId="0" fontId="38" fillId="0" borderId="5" xfId="13" applyFont="1" applyBorder="1"/>
    <xf numFmtId="0" fontId="38" fillId="0" borderId="6" xfId="13" applyFont="1" applyBorder="1"/>
  </cellXfs>
  <cellStyles count="20">
    <cellStyle name="Comma 2" xfId="19" xr:uid="{AF3D8A9D-774B-458B-923D-C133737E86AE}"/>
    <cellStyle name="Comma 5 2" xfId="9" xr:uid="{AEBC4B8E-E73D-4D05-94BB-F71420667898}"/>
    <cellStyle name="Comma 5 2 2" xfId="16" xr:uid="{BF5D3083-5194-4799-9A30-204DB7DF99BB}"/>
    <cellStyle name="Excel Built-in Normal 2" xfId="15" xr:uid="{3E3A208D-96A6-402B-A002-B91FAD2C3709}"/>
    <cellStyle name="Normal" xfId="0" builtinId="0"/>
    <cellStyle name="Normal 2" xfId="4" xr:uid="{05F83D9A-ECBE-8E4A-941E-F07EBCD2ECAC}"/>
    <cellStyle name="Normal 2 3 2" xfId="2" xr:uid="{587AC36D-8614-9945-8173-6750200A8486}"/>
    <cellStyle name="Normal 2 3 3 3" xfId="11" xr:uid="{428E2AED-00B3-4469-BD79-7F2A1B0BE0D1}"/>
    <cellStyle name="Normal 20 2" xfId="6" xr:uid="{B458068C-72A1-CA40-A0F1-9749128C879C}"/>
    <cellStyle name="Normal 3" xfId="13" xr:uid="{B83791A3-0199-4AA9-9F3A-F63850B31A83}"/>
    <cellStyle name="Normal 4" xfId="1" xr:uid="{A743C894-7B54-FA4C-9851-985F17A305A0}"/>
    <cellStyle name="Normal 5" xfId="5" xr:uid="{CA5A6F46-D852-0143-B3CF-AE80B4CA6568}"/>
    <cellStyle name="Normal 5 2 2" xfId="7" xr:uid="{BA0A348F-A2DA-4EF5-B2E3-322CCFAEF17E}"/>
    <cellStyle name="Normal 5 2 2 2" xfId="12" xr:uid="{944D57F9-455D-422C-87C4-49640C1DEEEE}"/>
    <cellStyle name="Normal 6" xfId="3" xr:uid="{BC83C051-70B0-424F-ACF4-1ADAEA571CE3}"/>
    <cellStyle name="Normal 7" xfId="17" xr:uid="{7CED75C8-ECC5-4EBF-AE11-8ABE4C6F4461}"/>
    <cellStyle name="Normal 7 3" xfId="10" xr:uid="{2F1B2F5A-6EDC-4FE0-9EB4-A3FEF81C2D5B}"/>
    <cellStyle name="Normal 8" xfId="18" xr:uid="{D86908C8-2D1E-4A6E-8316-06F3FE3089C2}"/>
    <cellStyle name="Normal 8 2" xfId="8" xr:uid="{2AE227C5-D612-472E-B1B7-6D662102A3BA}"/>
    <cellStyle name="Normal 8 2 2" xfId="14" xr:uid="{7FDEDC35-B1C0-4F1D-8A40-478F8769FF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ASA%20AURORA/Guests%20bills/Warren/Warren%20Bill%20April%202026/Warren%20bill%20April%202026.xlsx" TargetMode="External"/><Relationship Id="rId2" Type="http://schemas.openxmlformats.org/officeDocument/2006/relationships/externalLinkPath" Target="file:///C:\Users\Andrisa\Dropbox\Andrisa\Landco\CASA%20AURORA\Guests%20bills\Warren\Warren%20Bill%20April%202026\Warren%20bill%20April%202026.xlsx" TargetMode="External"/><Relationship Id="rId1" Type="http://schemas.openxmlformats.org/officeDocument/2006/relationships/externalLinkPath" Target="/Users/Andrisa/Dropbox/Andrisa/Landco/CASA%20AURORA/Guests%20bills/Warren/Warren%20Bill%20April%202026/Warren%20bill%20April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3%20Shareholders/03%20AURORA%20STEAD%202026.xlsx" TargetMode="External"/><Relationship Id="rId2" Type="http://schemas.openxmlformats.org/officeDocument/2006/relationships/externalLinkPath" Target="file:///C:\Users\Andrisa\Dropbox\Andrisa\Landco\Accounts%202026\Shareholders%202026\03%20Shareholders\03%20AURORA%20STEAD%202026.xlsx" TargetMode="External"/><Relationship Id="rId1" Type="http://schemas.openxmlformats.org/officeDocument/2006/relationships/externalLinkPath" Target="/Users/Andrisa/Dropbox/Andrisa/Landco/Accounts%202026/Shareholders%202026/03%20Shareholders/03%20AURORA%20STEAD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%20MARCH%20ACCOUNTS/03%20MARCH%20MONTH%20END%202026.xlsx" TargetMode="External"/><Relationship Id="rId2" Type="http://schemas.openxmlformats.org/officeDocument/2006/relationships/externalLinkPath" Target="file:///C:\Users\Andrisa\Dropbox\Andrisa\Landco\Accounts%202026\Landco%20Accounts%202026\03%20MARCH%20ACCOUNTS\03%20MARCH%20MONTH%20END%202026.xlsx" TargetMode="External"/><Relationship Id="rId1" Type="http://schemas.openxmlformats.org/officeDocument/2006/relationships/externalLinkPath" Target="/Users/Andrisa/Dropbox/Andrisa/Landco/Accounts%202026/Landco%20Accounts%202026/03%20MARCH%20ACCOUNTS/03%20MARCH%20MONTH%20END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trol and Parks (2)"/>
    </sheetNames>
    <sheetDataSet>
      <sheetData sheetId="0">
        <row r="23">
          <cell r="G23">
            <v>19200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 SUMMERY "/>
      <sheetName val="INCOME "/>
      <sheetName val=" Expenses "/>
      <sheetName val="INCOME VS EXPENSES"/>
    </sheetNames>
    <sheetDataSet>
      <sheetData sheetId="0">
        <row r="3">
          <cell r="C3">
            <v>-9572.7775000000838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/>
      <sheetData sheetId="1"/>
      <sheetData sheetId="2"/>
      <sheetData sheetId="3">
        <row r="5">
          <cell r="D5">
            <v>60875.360000000001</v>
          </cell>
          <cell r="E5">
            <v>2572.46</v>
          </cell>
          <cell r="H5">
            <v>15550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1A65-5AD3-BF4A-8F42-72A9983F49D6}">
  <dimension ref="A1:L31"/>
  <sheetViews>
    <sheetView workbookViewId="0">
      <selection activeCell="B26" sqref="B26"/>
    </sheetView>
  </sheetViews>
  <sheetFormatPr defaultColWidth="8.5" defaultRowHeight="15.6" x14ac:dyDescent="0.3"/>
  <cols>
    <col min="1" max="1" width="17.69921875" customWidth="1"/>
    <col min="2" max="2" width="19.19921875" customWidth="1"/>
    <col min="3" max="3" width="18.69921875" style="6" customWidth="1"/>
    <col min="4" max="4" width="20.296875" customWidth="1"/>
    <col min="5" max="5" width="18.19921875" bestFit="1" customWidth="1"/>
    <col min="6" max="6" width="12.19921875" customWidth="1"/>
    <col min="7" max="7" width="13.19921875" customWidth="1"/>
    <col min="8" max="8" width="11.5" customWidth="1"/>
    <col min="9" max="9" width="14.3984375" customWidth="1"/>
    <col min="12" max="12" width="12.5" customWidth="1"/>
  </cols>
  <sheetData>
    <row r="1" spans="1:12" s="10" customFormat="1" ht="24.6" x14ac:dyDescent="0.4">
      <c r="A1" s="364" t="s">
        <v>69</v>
      </c>
      <c r="B1" s="365"/>
      <c r="C1" s="365"/>
      <c r="D1" s="365"/>
      <c r="E1" s="365"/>
    </row>
    <row r="2" spans="1:12" s="5" customFormat="1" ht="14.4" x14ac:dyDescent="0.3">
      <c r="A2" s="28"/>
      <c r="B2" s="28"/>
      <c r="C2" s="28"/>
      <c r="D2" s="28"/>
      <c r="E2" s="29"/>
    </row>
    <row r="3" spans="1:12" s="45" customFormat="1" ht="31.8" x14ac:dyDescent="0.35">
      <c r="A3" s="43" t="s">
        <v>45</v>
      </c>
      <c r="B3" s="44" t="s">
        <v>73</v>
      </c>
      <c r="C3" s="43" t="s">
        <v>70</v>
      </c>
      <c r="D3" s="43" t="s">
        <v>71</v>
      </c>
      <c r="E3" s="43" t="s">
        <v>23</v>
      </c>
      <c r="H3" s="5"/>
      <c r="I3" s="5"/>
      <c r="J3" s="368"/>
      <c r="K3" s="369"/>
      <c r="L3" s="369"/>
    </row>
    <row r="4" spans="1:12" s="11" customFormat="1" ht="14.4" x14ac:dyDescent="0.3">
      <c r="A4" s="115" t="s">
        <v>25</v>
      </c>
      <c r="B4" s="116">
        <v>307122.1433000004</v>
      </c>
      <c r="C4" s="116">
        <v>38400</v>
      </c>
      <c r="D4" s="116">
        <v>246152.01519999999</v>
      </c>
      <c r="E4" s="116">
        <f>+B4+C4-D4</f>
        <v>99370.128100000409</v>
      </c>
      <c r="F4" s="12"/>
      <c r="G4" s="12"/>
      <c r="H4" s="5"/>
      <c r="I4" s="5"/>
      <c r="J4" s="5"/>
      <c r="K4" s="5"/>
      <c r="L4" s="105"/>
    </row>
    <row r="5" spans="1:12" s="11" customFormat="1" ht="14.4" x14ac:dyDescent="0.3">
      <c r="A5" s="115" t="s">
        <v>26</v>
      </c>
      <c r="B5" s="116">
        <v>488315.50333333324</v>
      </c>
      <c r="C5" s="116"/>
      <c r="D5" s="116">
        <v>290384.12</v>
      </c>
      <c r="E5" s="116">
        <f t="shared" ref="E5:E8" si="0">+B5+C5-D5</f>
        <v>197931.38333333324</v>
      </c>
      <c r="F5" s="12"/>
      <c r="G5" s="12"/>
      <c r="H5" s="5"/>
      <c r="I5" s="106"/>
      <c r="J5" s="107"/>
      <c r="K5" s="107"/>
      <c r="L5" s="107"/>
    </row>
    <row r="6" spans="1:12" s="11" customFormat="1" ht="14.4" x14ac:dyDescent="0.3">
      <c r="A6" s="115" t="s">
        <v>27</v>
      </c>
      <c r="B6" s="116">
        <v>307359.50999999989</v>
      </c>
      <c r="C6" s="116"/>
      <c r="D6" s="116">
        <v>267794.73</v>
      </c>
      <c r="E6" s="116">
        <f t="shared" si="0"/>
        <v>39564.779999999912</v>
      </c>
      <c r="F6" s="12"/>
      <c r="G6" s="12"/>
      <c r="H6" s="108"/>
      <c r="I6" s="109"/>
      <c r="J6" s="109"/>
      <c r="K6" s="109"/>
      <c r="L6" s="109"/>
    </row>
    <row r="7" spans="1:12" s="11" customFormat="1" ht="14.4" x14ac:dyDescent="0.3">
      <c r="A7" s="115" t="s">
        <v>0</v>
      </c>
      <c r="B7" s="116">
        <v>-86324.163333333359</v>
      </c>
      <c r="C7" s="116">
        <f>21000*63.25</f>
        <v>1328250</v>
      </c>
      <c r="D7" s="116">
        <v>363859.04</v>
      </c>
      <c r="E7" s="116">
        <f t="shared" si="0"/>
        <v>878066.79666666663</v>
      </c>
      <c r="F7" s="12"/>
      <c r="G7" s="12"/>
      <c r="H7" s="108"/>
      <c r="I7" s="109"/>
      <c r="J7" s="109"/>
      <c r="K7" s="109"/>
      <c r="L7" s="109"/>
    </row>
    <row r="8" spans="1:12" s="11" customFormat="1" ht="14.4" x14ac:dyDescent="0.3">
      <c r="A8" s="115" t="s">
        <v>61</v>
      </c>
      <c r="B8" s="116">
        <v>170900</v>
      </c>
      <c r="C8" s="116"/>
      <c r="D8" s="116"/>
      <c r="E8" s="116">
        <f t="shared" si="0"/>
        <v>170900</v>
      </c>
      <c r="G8" s="12"/>
      <c r="H8" s="108"/>
      <c r="I8" s="109"/>
      <c r="J8" s="109"/>
      <c r="K8" s="109"/>
      <c r="L8" s="109"/>
    </row>
    <row r="9" spans="1:12" s="42" customFormat="1" x14ac:dyDescent="0.3">
      <c r="A9" s="28" t="s">
        <v>72</v>
      </c>
      <c r="B9" s="116">
        <v>1187372.9933000002</v>
      </c>
      <c r="C9" s="116">
        <f>SUM(C4:C7)</f>
        <v>1366650</v>
      </c>
      <c r="D9" s="116">
        <v>1168189.9051999999</v>
      </c>
      <c r="E9" s="116">
        <f>SUM(E4:E8)</f>
        <v>1385833.0881000003</v>
      </c>
      <c r="F9" s="41"/>
      <c r="G9" s="41"/>
      <c r="H9" s="108"/>
      <c r="I9" s="109"/>
      <c r="J9" s="109"/>
      <c r="K9" s="109"/>
      <c r="L9" s="109"/>
    </row>
    <row r="10" spans="1:12" s="11" customFormat="1" ht="14.4" x14ac:dyDescent="0.3">
      <c r="A10" s="30"/>
      <c r="B10" s="30"/>
      <c r="C10" s="32"/>
      <c r="D10" s="32"/>
      <c r="E10" s="30"/>
      <c r="H10" s="5"/>
      <c r="I10" s="109"/>
      <c r="J10" s="109"/>
      <c r="K10" s="109"/>
      <c r="L10" s="109"/>
    </row>
    <row r="11" spans="1:12" s="49" customFormat="1" x14ac:dyDescent="0.3">
      <c r="A11" s="366"/>
      <c r="B11" s="367"/>
      <c r="C11" s="46"/>
      <c r="D11" s="46"/>
      <c r="E11" s="46"/>
      <c r="F11" s="48"/>
      <c r="H11" s="5"/>
      <c r="I11" s="109"/>
      <c r="J11" s="109"/>
      <c r="K11" s="109"/>
      <c r="L11" s="109"/>
    </row>
    <row r="12" spans="1:12" s="11" customFormat="1" x14ac:dyDescent="0.3">
      <c r="A12" s="96" t="s">
        <v>29</v>
      </c>
      <c r="B12" s="94"/>
      <c r="C12" s="50"/>
      <c r="D12" s="94"/>
      <c r="E12" s="110">
        <v>475192.96250000014</v>
      </c>
      <c r="F12" s="13"/>
      <c r="G12" s="12"/>
      <c r="H12" s="12"/>
    </row>
    <row r="13" spans="1:12" s="11" customFormat="1" x14ac:dyDescent="0.3">
      <c r="A13" s="97" t="s">
        <v>28</v>
      </c>
      <c r="B13" s="33"/>
      <c r="C13" s="32"/>
      <c r="D13" s="32"/>
      <c r="E13" s="32">
        <v>304534.10999999987</v>
      </c>
      <c r="F13" s="14"/>
      <c r="G13" s="12"/>
      <c r="H13" s="12"/>
    </row>
    <row r="14" spans="1:12" s="11" customFormat="1" x14ac:dyDescent="0.3">
      <c r="A14" s="98" t="s">
        <v>30</v>
      </c>
      <c r="B14" s="33"/>
      <c r="C14" s="32"/>
      <c r="D14" s="32"/>
      <c r="E14" s="32">
        <v>606105.77500000002</v>
      </c>
      <c r="F14" s="12"/>
      <c r="H14" s="12"/>
    </row>
    <row r="15" spans="1:12" s="11" customFormat="1" x14ac:dyDescent="0.3">
      <c r="A15" s="95"/>
      <c r="B15" s="32"/>
      <c r="C15" s="32"/>
      <c r="D15" s="32"/>
      <c r="E15" s="32"/>
      <c r="F15" s="12"/>
      <c r="G15" s="12"/>
      <c r="H15" s="12"/>
    </row>
    <row r="16" spans="1:12" s="11" customFormat="1" x14ac:dyDescent="0.3">
      <c r="A16" s="40" t="s">
        <v>22</v>
      </c>
      <c r="B16" s="32"/>
      <c r="C16" s="32"/>
      <c r="D16" s="34"/>
      <c r="E16" s="117">
        <f>SUM(E12:E15)</f>
        <v>1385832.8475000001</v>
      </c>
      <c r="H16" s="12"/>
    </row>
    <row r="17" spans="1:11" s="11" customFormat="1" ht="13.8" x14ac:dyDescent="0.25">
      <c r="A17" s="32"/>
      <c r="B17" s="32"/>
      <c r="C17" s="32"/>
      <c r="D17" s="32"/>
      <c r="E17" s="32"/>
    </row>
    <row r="18" spans="1:11" s="42" customFormat="1" x14ac:dyDescent="0.3">
      <c r="A18" s="38" t="s">
        <v>58</v>
      </c>
      <c r="B18" s="47" t="s">
        <v>60</v>
      </c>
      <c r="C18" s="50"/>
      <c r="D18" s="38"/>
      <c r="E18" s="39">
        <f>+E9-E16</f>
        <v>0.24060000013560057</v>
      </c>
      <c r="I18" s="41"/>
      <c r="J18" s="41"/>
      <c r="K18" s="41"/>
    </row>
    <row r="19" spans="1:11" s="11" customFormat="1" ht="13.8" x14ac:dyDescent="0.25">
      <c r="A19" s="30"/>
      <c r="B19" s="31"/>
      <c r="C19" s="35"/>
      <c r="D19" s="31"/>
      <c r="E19" s="30"/>
      <c r="I19" s="12"/>
      <c r="J19" s="12"/>
      <c r="K19" s="12"/>
    </row>
    <row r="20" spans="1:11" s="11" customFormat="1" ht="13.8" x14ac:dyDescent="0.25">
      <c r="A20" s="30"/>
      <c r="B20" s="31"/>
      <c r="C20" s="35"/>
      <c r="D20" s="31"/>
      <c r="E20" s="30"/>
      <c r="I20" s="12"/>
      <c r="J20" s="12"/>
      <c r="K20" s="12"/>
    </row>
    <row r="21" spans="1:11" s="11" customFormat="1" ht="13.8" x14ac:dyDescent="0.25">
      <c r="A21" s="30"/>
      <c r="B21" s="31"/>
      <c r="C21" s="35"/>
      <c r="D21" s="31"/>
      <c r="E21" s="30"/>
    </row>
    <row r="22" spans="1:11" s="11" customFormat="1" ht="13.8" x14ac:dyDescent="0.25">
      <c r="A22" s="30"/>
      <c r="B22" s="31"/>
      <c r="C22" s="35"/>
      <c r="D22" s="31"/>
      <c r="E22" s="30"/>
    </row>
    <row r="23" spans="1:11" s="11" customFormat="1" ht="13.8" x14ac:dyDescent="0.25">
      <c r="A23" s="30"/>
      <c r="B23" s="31"/>
      <c r="C23" s="35"/>
      <c r="D23" s="31"/>
      <c r="E23" s="30"/>
    </row>
    <row r="24" spans="1:11" s="11" customFormat="1" ht="13.8" x14ac:dyDescent="0.25">
      <c r="A24" s="30"/>
      <c r="B24" s="31"/>
      <c r="C24" s="35"/>
      <c r="D24" s="31"/>
      <c r="E24" s="30"/>
    </row>
    <row r="25" spans="1:11" s="11" customFormat="1" ht="13.8" x14ac:dyDescent="0.25">
      <c r="A25" s="30"/>
      <c r="B25" s="31"/>
      <c r="C25" s="35"/>
      <c r="D25" s="30"/>
      <c r="E25" s="30"/>
    </row>
    <row r="26" spans="1:11" s="11" customFormat="1" ht="13.8" x14ac:dyDescent="0.25">
      <c r="A26" s="30"/>
      <c r="B26" s="31"/>
      <c r="C26" s="35"/>
      <c r="D26" s="30"/>
      <c r="E26" s="30"/>
    </row>
    <row r="27" spans="1:11" s="10" customFormat="1" x14ac:dyDescent="0.3">
      <c r="A27" s="27"/>
      <c r="B27" s="27"/>
      <c r="C27" s="36"/>
      <c r="D27" s="27"/>
      <c r="E27" s="27"/>
    </row>
    <row r="28" spans="1:11" s="10" customFormat="1" x14ac:dyDescent="0.3">
      <c r="A28" s="27"/>
      <c r="B28" s="37"/>
      <c r="C28" s="36"/>
      <c r="D28" s="27"/>
      <c r="E28" s="27"/>
    </row>
    <row r="29" spans="1:11" s="10" customFormat="1" x14ac:dyDescent="0.3">
      <c r="A29" s="27"/>
      <c r="B29" s="27"/>
      <c r="C29" s="36"/>
      <c r="D29" s="27"/>
      <c r="E29" s="27"/>
    </row>
    <row r="30" spans="1:11" s="10" customFormat="1" x14ac:dyDescent="0.3">
      <c r="C30" s="15"/>
    </row>
    <row r="31" spans="1:11" s="10" customFormat="1" x14ac:dyDescent="0.3">
      <c r="C31" s="15"/>
    </row>
  </sheetData>
  <mergeCells count="3">
    <mergeCell ref="A1:E1"/>
    <mergeCell ref="A11:B11"/>
    <mergeCell ref="J3:L3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5405-4E5A-144C-A56E-B03BBD356513}">
  <dimension ref="A1:F23"/>
  <sheetViews>
    <sheetView tabSelected="1" workbookViewId="0">
      <selection activeCell="E20" sqref="E20"/>
    </sheetView>
  </sheetViews>
  <sheetFormatPr defaultColWidth="11.19921875" defaultRowHeight="15.6" x14ac:dyDescent="0.3"/>
  <cols>
    <col min="1" max="1" width="22.5" customWidth="1"/>
    <col min="2" max="2" width="17.69921875" bestFit="1" customWidth="1"/>
    <col min="4" max="4" width="11.69921875" bestFit="1" customWidth="1"/>
    <col min="5" max="5" width="20.19921875" customWidth="1"/>
    <col min="6" max="6" width="12.69921875" bestFit="1" customWidth="1"/>
  </cols>
  <sheetData>
    <row r="1" spans="1:6" s="10" customFormat="1" ht="24.6" x14ac:dyDescent="0.4">
      <c r="A1" s="364" t="s">
        <v>74</v>
      </c>
      <c r="B1" s="365"/>
      <c r="C1" s="365"/>
      <c r="D1" s="365"/>
      <c r="E1" s="365"/>
      <c r="F1" s="370"/>
    </row>
    <row r="2" spans="1:6" x14ac:dyDescent="0.3">
      <c r="A2" s="51"/>
      <c r="B2" s="51"/>
      <c r="C2" s="51"/>
      <c r="D2" s="51"/>
      <c r="E2" s="51"/>
      <c r="F2" s="51"/>
    </row>
    <row r="3" spans="1:6" s="73" customFormat="1" x14ac:dyDescent="0.3">
      <c r="A3" s="71" t="s">
        <v>47</v>
      </c>
      <c r="B3" s="72" t="s">
        <v>56</v>
      </c>
      <c r="C3" s="72"/>
      <c r="D3" s="71" t="s">
        <v>47</v>
      </c>
      <c r="E3" s="72" t="s">
        <v>57</v>
      </c>
      <c r="F3" s="47" t="s">
        <v>59</v>
      </c>
    </row>
    <row r="4" spans="1:6" s="10" customFormat="1" x14ac:dyDescent="0.3">
      <c r="A4" s="55" t="s">
        <v>24</v>
      </c>
      <c r="B4" s="56">
        <f>+'[2] SUMMERY '!$C$3</f>
        <v>-9572.7775000000838</v>
      </c>
      <c r="C4" s="57"/>
      <c r="D4" s="58"/>
      <c r="E4" s="57"/>
      <c r="F4" s="27"/>
    </row>
    <row r="5" spans="1:6" s="10" customFormat="1" x14ac:dyDescent="0.3">
      <c r="A5" s="55" t="s">
        <v>34</v>
      </c>
      <c r="B5" s="56">
        <f>+'AURORA INCOME'!C4</f>
        <v>948750</v>
      </c>
      <c r="C5" s="57"/>
      <c r="D5" s="55" t="s">
        <v>34</v>
      </c>
      <c r="E5" s="27">
        <v>211718.57</v>
      </c>
      <c r="F5" s="65"/>
    </row>
    <row r="6" spans="1:6" s="10" customFormat="1" x14ac:dyDescent="0.3">
      <c r="A6" s="55" t="s">
        <v>35</v>
      </c>
      <c r="B6" s="56"/>
      <c r="C6" s="57"/>
      <c r="D6" s="55" t="s">
        <v>35</v>
      </c>
      <c r="E6" s="27">
        <v>239143.15</v>
      </c>
      <c r="F6" s="65"/>
    </row>
    <row r="7" spans="1:6" s="10" customFormat="1" x14ac:dyDescent="0.3">
      <c r="A7" s="55" t="s">
        <v>36</v>
      </c>
      <c r="B7" s="59"/>
      <c r="C7" s="57"/>
      <c r="D7" s="55" t="s">
        <v>36</v>
      </c>
      <c r="E7" s="27">
        <v>290384.12</v>
      </c>
      <c r="F7" s="65"/>
    </row>
    <row r="8" spans="1:6" s="10" customFormat="1" x14ac:dyDescent="0.3">
      <c r="A8" s="55" t="s">
        <v>37</v>
      </c>
      <c r="B8" s="56"/>
      <c r="C8" s="57"/>
      <c r="D8" s="55" t="s">
        <v>37</v>
      </c>
      <c r="E8" s="56"/>
      <c r="F8" s="27"/>
    </row>
    <row r="9" spans="1:6" s="10" customFormat="1" x14ac:dyDescent="0.3">
      <c r="A9" s="55" t="s">
        <v>38</v>
      </c>
      <c r="B9" s="56"/>
      <c r="C9" s="57"/>
      <c r="D9" s="55" t="s">
        <v>38</v>
      </c>
      <c r="E9" s="56"/>
      <c r="F9" s="27"/>
    </row>
    <row r="10" spans="1:6" s="10" customFormat="1" x14ac:dyDescent="0.3">
      <c r="A10" s="55" t="s">
        <v>39</v>
      </c>
      <c r="B10" s="56"/>
      <c r="C10" s="57"/>
      <c r="D10" s="55" t="s">
        <v>39</v>
      </c>
      <c r="E10" s="56"/>
      <c r="F10" s="27"/>
    </row>
    <row r="11" spans="1:6" s="10" customFormat="1" x14ac:dyDescent="0.3">
      <c r="A11" s="55" t="s">
        <v>40</v>
      </c>
      <c r="B11" s="56"/>
      <c r="C11" s="57"/>
      <c r="D11" s="55" t="s">
        <v>40</v>
      </c>
      <c r="E11" s="56"/>
      <c r="F11" s="27"/>
    </row>
    <row r="12" spans="1:6" s="10" customFormat="1" x14ac:dyDescent="0.3">
      <c r="A12" s="55" t="s">
        <v>41</v>
      </c>
      <c r="B12" s="56"/>
      <c r="C12" s="57"/>
      <c r="D12" s="55" t="s">
        <v>41</v>
      </c>
      <c r="E12" s="56"/>
      <c r="F12" s="27"/>
    </row>
    <row r="13" spans="1:6" s="10" customFormat="1" x14ac:dyDescent="0.3">
      <c r="A13" s="55" t="s">
        <v>42</v>
      </c>
      <c r="B13" s="56"/>
      <c r="C13" s="57"/>
      <c r="D13" s="55" t="s">
        <v>42</v>
      </c>
      <c r="E13" s="56"/>
      <c r="F13" s="27"/>
    </row>
    <row r="14" spans="1:6" s="10" customFormat="1" x14ac:dyDescent="0.3">
      <c r="A14" s="55" t="s">
        <v>43</v>
      </c>
      <c r="B14" s="56"/>
      <c r="C14" s="57"/>
      <c r="D14" s="55" t="s">
        <v>43</v>
      </c>
      <c r="E14" s="56"/>
      <c r="F14" s="27"/>
    </row>
    <row r="15" spans="1:6" s="10" customFormat="1" x14ac:dyDescent="0.3">
      <c r="A15" s="55" t="s">
        <v>44</v>
      </c>
      <c r="B15" s="56"/>
      <c r="C15" s="57"/>
      <c r="D15" s="55" t="s">
        <v>44</v>
      </c>
      <c r="E15" s="56"/>
      <c r="F15" s="27"/>
    </row>
    <row r="16" spans="1:6" s="10" customFormat="1" x14ac:dyDescent="0.3">
      <c r="A16" s="55" t="s">
        <v>33</v>
      </c>
      <c r="B16" s="56"/>
      <c r="C16" s="57"/>
      <c r="D16" s="55" t="s">
        <v>33</v>
      </c>
      <c r="E16" s="56"/>
      <c r="F16" s="27"/>
    </row>
    <row r="17" spans="1:6" s="10" customFormat="1" x14ac:dyDescent="0.3">
      <c r="A17" s="55"/>
      <c r="B17" s="56"/>
      <c r="C17" s="57"/>
      <c r="D17" s="55"/>
      <c r="E17" s="56"/>
      <c r="F17" s="27"/>
    </row>
    <row r="18" spans="1:6" s="60" customFormat="1" x14ac:dyDescent="0.3">
      <c r="A18" s="70" t="s">
        <v>22</v>
      </c>
      <c r="B18" s="74">
        <f>SUM(B4:B16)</f>
        <v>939177.22249999992</v>
      </c>
      <c r="C18" s="75"/>
      <c r="D18" s="70" t="s">
        <v>22</v>
      </c>
      <c r="E18" s="74">
        <f>SUM(E5:E16)</f>
        <v>741245.84</v>
      </c>
      <c r="F18" s="50"/>
    </row>
    <row r="19" spans="1:6" s="10" customFormat="1" x14ac:dyDescent="0.3">
      <c r="A19" s="53"/>
      <c r="B19" s="54"/>
      <c r="C19" s="52"/>
      <c r="D19" s="53"/>
      <c r="E19" s="54"/>
      <c r="F19" s="27"/>
    </row>
    <row r="20" spans="1:6" s="60" customFormat="1" x14ac:dyDescent="0.3">
      <c r="A20" s="63" t="s">
        <v>46</v>
      </c>
      <c r="B20" s="61"/>
      <c r="C20" s="62"/>
      <c r="D20" s="63"/>
      <c r="E20" s="61">
        <f>+B18-E18</f>
        <v>197931.38249999995</v>
      </c>
      <c r="F20" s="50"/>
    </row>
    <row r="21" spans="1:6" s="60" customFormat="1" x14ac:dyDescent="0.3">
      <c r="A21" s="63" t="s">
        <v>68</v>
      </c>
      <c r="B21" s="61"/>
      <c r="C21" s="62"/>
      <c r="D21" s="63"/>
      <c r="E21" s="62">
        <f>+E20/63.25</f>
        <v>3129.3499209486158</v>
      </c>
      <c r="F21" s="50"/>
    </row>
    <row r="22" spans="1:6" s="10" customFormat="1" x14ac:dyDescent="0.3"/>
    <row r="23" spans="1:6" s="10" customFormat="1" x14ac:dyDescent="0.3"/>
  </sheetData>
  <mergeCells count="1">
    <mergeCell ref="A1:F1"/>
  </mergeCells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E3FA-FAA4-BC4B-84BD-94475A158BF5}">
  <dimension ref="A1:W997"/>
  <sheetViews>
    <sheetView workbookViewId="0">
      <selection activeCell="B14" sqref="B14"/>
    </sheetView>
  </sheetViews>
  <sheetFormatPr defaultColWidth="12.5" defaultRowHeight="15.6" x14ac:dyDescent="0.3"/>
  <cols>
    <col min="1" max="1" width="11.69921875" style="8" bestFit="1" customWidth="1"/>
    <col min="2" max="2" width="43.69921875" style="1" customWidth="1"/>
    <col min="3" max="3" width="24.5" style="9" customWidth="1"/>
    <col min="4" max="23" width="11.69921875" style="1" customWidth="1"/>
    <col min="24" max="16384" width="12.5" style="1"/>
  </cols>
  <sheetData>
    <row r="1" spans="1:23" s="10" customFormat="1" ht="24.6" x14ac:dyDescent="0.4">
      <c r="A1" s="371" t="s">
        <v>75</v>
      </c>
      <c r="B1" s="371"/>
      <c r="C1" s="371"/>
    </row>
    <row r="2" spans="1:23" s="93" customFormat="1" ht="15.75" customHeight="1" x14ac:dyDescent="0.3">
      <c r="A2" s="68" t="s">
        <v>17</v>
      </c>
      <c r="B2" s="88" t="s">
        <v>31</v>
      </c>
      <c r="C2" s="91" t="s">
        <v>50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 spans="1:23" s="16" customFormat="1" ht="19.95" customHeight="1" x14ac:dyDescent="0.3">
      <c r="A3" s="55" t="s">
        <v>34</v>
      </c>
      <c r="B3" s="85" t="s">
        <v>32</v>
      </c>
      <c r="C3" s="99">
        <f>+'AURORA SUMMARY'!B4</f>
        <v>-9572.7775000000838</v>
      </c>
      <c r="D3" s="17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s="16" customFormat="1" ht="19.95" customHeight="1" x14ac:dyDescent="0.3">
      <c r="A4" s="55" t="s">
        <v>34</v>
      </c>
      <c r="B4" s="85" t="s">
        <v>106</v>
      </c>
      <c r="C4" s="99">
        <v>948750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3" s="16" customFormat="1" ht="19.95" customHeight="1" x14ac:dyDescent="0.3">
      <c r="A5" s="55" t="s">
        <v>35</v>
      </c>
      <c r="B5" s="85"/>
      <c r="C5" s="100">
        <v>0</v>
      </c>
      <c r="D5" s="17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3" s="16" customFormat="1" ht="19.95" customHeight="1" x14ac:dyDescent="0.3">
      <c r="A6" s="55" t="s">
        <v>36</v>
      </c>
      <c r="B6" s="101"/>
      <c r="C6" s="100"/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s="16" customFormat="1" ht="19.95" customHeight="1" x14ac:dyDescent="0.3">
      <c r="A7" s="55" t="s">
        <v>37</v>
      </c>
      <c r="B7" s="85"/>
      <c r="C7" s="100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3" s="16" customFormat="1" ht="19.95" customHeight="1" x14ac:dyDescent="0.3">
      <c r="A8" s="55" t="s">
        <v>38</v>
      </c>
      <c r="B8" s="85"/>
      <c r="C8" s="100"/>
      <c r="D8" s="17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3" s="16" customFormat="1" ht="19.95" customHeight="1" x14ac:dyDescent="0.3">
      <c r="A9" s="55" t="s">
        <v>39</v>
      </c>
      <c r="B9" s="85"/>
      <c r="C9" s="100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s="16" customFormat="1" ht="19.95" customHeight="1" x14ac:dyDescent="0.3">
      <c r="A10" s="55" t="s">
        <v>40</v>
      </c>
      <c r="B10" s="85"/>
      <c r="C10" s="100"/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s="16" customFormat="1" ht="19.95" customHeight="1" x14ac:dyDescent="0.3">
      <c r="A11" s="55" t="s">
        <v>41</v>
      </c>
      <c r="B11" s="85"/>
      <c r="C11" s="100"/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23" s="16" customFormat="1" ht="19.95" customHeight="1" x14ac:dyDescent="0.3">
      <c r="A12" s="55" t="s">
        <v>42</v>
      </c>
      <c r="B12" s="85"/>
      <c r="C12" s="100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s="16" customFormat="1" ht="19.95" customHeight="1" x14ac:dyDescent="0.3">
      <c r="A13" s="55" t="s">
        <v>43</v>
      </c>
      <c r="B13" s="85"/>
      <c r="C13" s="100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s="16" customFormat="1" ht="19.95" customHeight="1" x14ac:dyDescent="0.3">
      <c r="A14" s="55" t="s">
        <v>44</v>
      </c>
      <c r="B14" s="85"/>
      <c r="C14" s="100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s="16" customFormat="1" ht="19.95" customHeight="1" x14ac:dyDescent="0.3">
      <c r="A15" s="55" t="s">
        <v>33</v>
      </c>
      <c r="B15" s="85"/>
      <c r="C15" s="100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 s="16" customFormat="1" ht="19.95" customHeight="1" x14ac:dyDescent="0.3">
      <c r="A16" s="55"/>
      <c r="B16" s="20"/>
      <c r="C16" s="24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s="16" customFormat="1" x14ac:dyDescent="0.3">
      <c r="A17" s="68" t="s">
        <v>48</v>
      </c>
      <c r="B17" s="66"/>
      <c r="C17" s="67">
        <f>SUM(C4:C15)</f>
        <v>948750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ht="15.75" customHeight="1" x14ac:dyDescent="0.3">
      <c r="A18" s="7"/>
      <c r="B18" s="3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3">
      <c r="A19" s="7"/>
      <c r="B19" s="3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3">
      <c r="A20" s="7"/>
      <c r="B20" s="3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3">
      <c r="A21" s="7"/>
      <c r="B21" s="3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3">
      <c r="A22" s="7"/>
      <c r="B22" s="3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3">
      <c r="A23" s="7"/>
      <c r="B23" s="3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3">
      <c r="A24" s="7"/>
      <c r="B24" s="3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3">
      <c r="A25" s="7"/>
      <c r="B25" s="3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3">
      <c r="A26" s="7"/>
      <c r="B26" s="3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3">
      <c r="A27" s="7"/>
      <c r="B27" s="3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3">
      <c r="A28" s="7"/>
      <c r="B28" s="3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3">
      <c r="A29" s="7"/>
      <c r="B29" s="3"/>
      <c r="C29" s="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 x14ac:dyDescent="0.3">
      <c r="A30" s="7"/>
      <c r="B30" s="3"/>
      <c r="C30" s="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 x14ac:dyDescent="0.3">
      <c r="A31" s="7"/>
      <c r="B31" s="3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 x14ac:dyDescent="0.3">
      <c r="A32" s="7"/>
      <c r="B32" s="3"/>
      <c r="C32" s="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 x14ac:dyDescent="0.3">
      <c r="A33" s="7"/>
      <c r="B33" s="3"/>
      <c r="C33" s="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 x14ac:dyDescent="0.3">
      <c r="A34" s="7"/>
      <c r="B34" s="3"/>
      <c r="C34" s="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 x14ac:dyDescent="0.3">
      <c r="A35" s="7"/>
      <c r="B35" s="3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 x14ac:dyDescent="0.3">
      <c r="A36" s="7"/>
      <c r="B36" s="3"/>
      <c r="C36" s="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 x14ac:dyDescent="0.3">
      <c r="A37" s="7"/>
      <c r="B37" s="3"/>
      <c r="C37" s="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 x14ac:dyDescent="0.3">
      <c r="A38" s="7"/>
      <c r="B38" s="3"/>
      <c r="C38" s="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 x14ac:dyDescent="0.3">
      <c r="A39" s="7"/>
      <c r="B39" s="3"/>
      <c r="C39" s="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 x14ac:dyDescent="0.3">
      <c r="A40" s="7"/>
      <c r="B40" s="3"/>
      <c r="C40" s="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 x14ac:dyDescent="0.3">
      <c r="A41" s="7"/>
      <c r="B41" s="3"/>
      <c r="C41" s="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 x14ac:dyDescent="0.3">
      <c r="A42" s="7"/>
      <c r="B42" s="3"/>
      <c r="C42" s="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 x14ac:dyDescent="0.3">
      <c r="A43" s="7"/>
      <c r="B43" s="3"/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 x14ac:dyDescent="0.3">
      <c r="A44" s="7"/>
      <c r="B44" s="3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 x14ac:dyDescent="0.3">
      <c r="A45" s="7"/>
      <c r="B45" s="3"/>
      <c r="C45" s="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 x14ac:dyDescent="0.3">
      <c r="A46" s="7"/>
      <c r="B46" s="3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 x14ac:dyDescent="0.3">
      <c r="A47" s="7"/>
      <c r="B47" s="3"/>
      <c r="C47" s="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 x14ac:dyDescent="0.3">
      <c r="A48" s="7"/>
      <c r="B48" s="3"/>
      <c r="C48" s="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 x14ac:dyDescent="0.3">
      <c r="A49" s="7"/>
      <c r="B49" s="3"/>
      <c r="C49" s="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 x14ac:dyDescent="0.3">
      <c r="A50" s="7"/>
      <c r="B50" s="3"/>
      <c r="C50" s="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 x14ac:dyDescent="0.3">
      <c r="A51" s="7"/>
      <c r="B51" s="3"/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 x14ac:dyDescent="0.3">
      <c r="A52" s="7"/>
      <c r="B52" s="3"/>
      <c r="C52" s="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 x14ac:dyDescent="0.3">
      <c r="A53" s="7"/>
      <c r="B53" s="3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 x14ac:dyDescent="0.3">
      <c r="A54" s="7"/>
      <c r="B54" s="3"/>
      <c r="C54" s="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 x14ac:dyDescent="0.3">
      <c r="A55" s="7"/>
      <c r="B55" s="3"/>
      <c r="C55" s="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 x14ac:dyDescent="0.3">
      <c r="A56" s="7"/>
      <c r="B56" s="3"/>
      <c r="C56" s="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 x14ac:dyDescent="0.3">
      <c r="A57" s="7"/>
      <c r="B57" s="3"/>
      <c r="C57" s="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 x14ac:dyDescent="0.3">
      <c r="A58" s="7"/>
      <c r="B58" s="3"/>
      <c r="C58" s="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 x14ac:dyDescent="0.3">
      <c r="A59" s="7"/>
      <c r="B59" s="3"/>
      <c r="C59" s="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 x14ac:dyDescent="0.3">
      <c r="A60" s="7"/>
      <c r="B60" s="3"/>
      <c r="C60" s="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 x14ac:dyDescent="0.3">
      <c r="A61" s="7"/>
      <c r="B61" s="3"/>
      <c r="C61" s="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 x14ac:dyDescent="0.3">
      <c r="A62" s="7"/>
      <c r="B62" s="3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 x14ac:dyDescent="0.3">
      <c r="A63" s="7"/>
      <c r="B63" s="3"/>
      <c r="C63" s="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 x14ac:dyDescent="0.3">
      <c r="A64" s="7"/>
      <c r="B64" s="3"/>
      <c r="C64" s="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 x14ac:dyDescent="0.3">
      <c r="A65" s="7"/>
      <c r="B65" s="3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 x14ac:dyDescent="0.3">
      <c r="A66" s="7"/>
      <c r="B66" s="3"/>
      <c r="C66" s="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 x14ac:dyDescent="0.3">
      <c r="A67" s="7"/>
      <c r="B67" s="3"/>
      <c r="C67" s="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 x14ac:dyDescent="0.3">
      <c r="A68" s="7"/>
      <c r="B68" s="3"/>
      <c r="C68" s="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 x14ac:dyDescent="0.3">
      <c r="A69" s="7"/>
      <c r="B69" s="3"/>
      <c r="C69" s="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 x14ac:dyDescent="0.3">
      <c r="A70" s="7"/>
      <c r="B70" s="3"/>
      <c r="C70" s="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 x14ac:dyDescent="0.3">
      <c r="A71" s="7"/>
      <c r="B71" s="3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 x14ac:dyDescent="0.3">
      <c r="A72" s="7"/>
      <c r="B72" s="3"/>
      <c r="C72" s="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 x14ac:dyDescent="0.3">
      <c r="A73" s="7"/>
      <c r="B73" s="3"/>
      <c r="C73" s="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 x14ac:dyDescent="0.3">
      <c r="A74" s="7"/>
      <c r="B74" s="3"/>
      <c r="C74" s="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 x14ac:dyDescent="0.3">
      <c r="A75" s="7"/>
      <c r="B75" s="3"/>
      <c r="C75" s="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 x14ac:dyDescent="0.3">
      <c r="A76" s="7"/>
      <c r="B76" s="3"/>
      <c r="C76" s="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 x14ac:dyDescent="0.3">
      <c r="A77" s="7"/>
      <c r="B77" s="3"/>
      <c r="C77" s="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 x14ac:dyDescent="0.3">
      <c r="A78" s="7"/>
      <c r="B78" s="3"/>
      <c r="C78" s="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 x14ac:dyDescent="0.3">
      <c r="A79" s="7"/>
      <c r="B79" s="3"/>
      <c r="C79" s="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 x14ac:dyDescent="0.3">
      <c r="A80" s="7"/>
      <c r="B80" s="3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 x14ac:dyDescent="0.3">
      <c r="A81" s="7"/>
      <c r="B81" s="3"/>
      <c r="C81" s="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 x14ac:dyDescent="0.3">
      <c r="A82" s="7"/>
      <c r="B82" s="3"/>
      <c r="C82" s="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 x14ac:dyDescent="0.3">
      <c r="A83" s="7"/>
      <c r="B83" s="3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 x14ac:dyDescent="0.3">
      <c r="A84" s="7"/>
      <c r="B84" s="3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 x14ac:dyDescent="0.3">
      <c r="A85" s="7"/>
      <c r="B85" s="3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 x14ac:dyDescent="0.3">
      <c r="A86" s="7"/>
      <c r="B86" s="3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 x14ac:dyDescent="0.3">
      <c r="A87" s="7"/>
      <c r="B87" s="3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 x14ac:dyDescent="0.3">
      <c r="A88" s="7"/>
      <c r="B88" s="3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 x14ac:dyDescent="0.3">
      <c r="A89" s="7"/>
      <c r="B89" s="3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 x14ac:dyDescent="0.3">
      <c r="A90" s="7"/>
      <c r="B90" s="3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 x14ac:dyDescent="0.3">
      <c r="A91" s="7"/>
      <c r="B91" s="3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 x14ac:dyDescent="0.3">
      <c r="A92" s="7"/>
      <c r="B92" s="3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 x14ac:dyDescent="0.3">
      <c r="A93" s="7"/>
      <c r="B93" s="3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 x14ac:dyDescent="0.3">
      <c r="A94" s="7"/>
      <c r="B94" s="3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 x14ac:dyDescent="0.3">
      <c r="A95" s="7"/>
      <c r="B95" s="3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 x14ac:dyDescent="0.3">
      <c r="A96" s="7"/>
      <c r="B96" s="3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 x14ac:dyDescent="0.3">
      <c r="A97" s="7"/>
      <c r="B97" s="3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 x14ac:dyDescent="0.3">
      <c r="A98" s="7"/>
      <c r="B98" s="3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 x14ac:dyDescent="0.3">
      <c r="A99" s="7"/>
      <c r="B99" s="3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 x14ac:dyDescent="0.3">
      <c r="A100" s="7"/>
      <c r="B100" s="3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 x14ac:dyDescent="0.3">
      <c r="A101" s="7"/>
      <c r="B101" s="3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 x14ac:dyDescent="0.3">
      <c r="A102" s="7"/>
      <c r="B102" s="3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 x14ac:dyDescent="0.3">
      <c r="A103" s="7"/>
      <c r="B103" s="3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 x14ac:dyDescent="0.3">
      <c r="A104" s="7"/>
      <c r="B104" s="3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 x14ac:dyDescent="0.3">
      <c r="A105" s="7"/>
      <c r="B105" s="3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 x14ac:dyDescent="0.3">
      <c r="A106" s="7"/>
      <c r="B106" s="3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 x14ac:dyDescent="0.3">
      <c r="A107" s="7"/>
      <c r="B107" s="3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 x14ac:dyDescent="0.3">
      <c r="A108" s="7"/>
      <c r="B108" s="3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 x14ac:dyDescent="0.3">
      <c r="A109" s="7"/>
      <c r="B109" s="3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 x14ac:dyDescent="0.3">
      <c r="A110" s="7"/>
      <c r="B110" s="3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 x14ac:dyDescent="0.3">
      <c r="A111" s="7"/>
      <c r="B111" s="3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 x14ac:dyDescent="0.3">
      <c r="A112" s="7"/>
      <c r="B112" s="3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 x14ac:dyDescent="0.3">
      <c r="A113" s="7"/>
      <c r="B113" s="3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 x14ac:dyDescent="0.3">
      <c r="A114" s="7"/>
      <c r="B114" s="3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 x14ac:dyDescent="0.3">
      <c r="A115" s="7"/>
      <c r="B115" s="3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 x14ac:dyDescent="0.3">
      <c r="A116" s="7"/>
      <c r="B116" s="3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 x14ac:dyDescent="0.3">
      <c r="A117" s="7"/>
      <c r="B117" s="3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 x14ac:dyDescent="0.3">
      <c r="A118" s="7"/>
      <c r="B118" s="3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 x14ac:dyDescent="0.3">
      <c r="A119" s="7"/>
      <c r="B119" s="3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 x14ac:dyDescent="0.3">
      <c r="A120" s="7"/>
      <c r="B120" s="3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 x14ac:dyDescent="0.3">
      <c r="A121" s="7"/>
      <c r="B121" s="3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 x14ac:dyDescent="0.3">
      <c r="A122" s="7"/>
      <c r="B122" s="3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 x14ac:dyDescent="0.3">
      <c r="A123" s="7"/>
      <c r="B123" s="3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 x14ac:dyDescent="0.3">
      <c r="A124" s="7"/>
      <c r="B124" s="3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 x14ac:dyDescent="0.3">
      <c r="A125" s="7"/>
      <c r="B125" s="3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 x14ac:dyDescent="0.3">
      <c r="A126" s="7"/>
      <c r="B126" s="3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 x14ac:dyDescent="0.3">
      <c r="A127" s="7"/>
      <c r="B127" s="3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 x14ac:dyDescent="0.3">
      <c r="A128" s="7"/>
      <c r="B128" s="3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 x14ac:dyDescent="0.3">
      <c r="A129" s="7"/>
      <c r="B129" s="3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 x14ac:dyDescent="0.3">
      <c r="A130" s="7"/>
      <c r="B130" s="3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 x14ac:dyDescent="0.3">
      <c r="A131" s="7"/>
      <c r="B131" s="3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 x14ac:dyDescent="0.3">
      <c r="A132" s="7"/>
      <c r="B132" s="3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 x14ac:dyDescent="0.3">
      <c r="A133" s="7"/>
      <c r="B133" s="3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 x14ac:dyDescent="0.3">
      <c r="A134" s="7"/>
      <c r="B134" s="3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 x14ac:dyDescent="0.3">
      <c r="A135" s="7"/>
      <c r="B135" s="3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 x14ac:dyDescent="0.3">
      <c r="A136" s="7"/>
      <c r="B136" s="3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 x14ac:dyDescent="0.3">
      <c r="A137" s="7"/>
      <c r="B137" s="3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 x14ac:dyDescent="0.3">
      <c r="A138" s="7"/>
      <c r="B138" s="3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 x14ac:dyDescent="0.3">
      <c r="A139" s="7"/>
      <c r="B139" s="3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 x14ac:dyDescent="0.3">
      <c r="A140" s="7"/>
      <c r="B140" s="3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 x14ac:dyDescent="0.3">
      <c r="A141" s="7"/>
      <c r="B141" s="3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 x14ac:dyDescent="0.3">
      <c r="A142" s="7"/>
      <c r="B142" s="3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 x14ac:dyDescent="0.3">
      <c r="A143" s="7"/>
      <c r="B143" s="3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 x14ac:dyDescent="0.3">
      <c r="A144" s="7"/>
      <c r="B144" s="3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 x14ac:dyDescent="0.3">
      <c r="A145" s="7"/>
      <c r="B145" s="3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 x14ac:dyDescent="0.3">
      <c r="A146" s="7"/>
      <c r="B146" s="3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 x14ac:dyDescent="0.3">
      <c r="A147" s="7"/>
      <c r="B147" s="3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 x14ac:dyDescent="0.3">
      <c r="A148" s="7"/>
      <c r="B148" s="3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 x14ac:dyDescent="0.3">
      <c r="A149" s="7"/>
      <c r="B149" s="3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 x14ac:dyDescent="0.3">
      <c r="A150" s="7"/>
      <c r="B150" s="3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 x14ac:dyDescent="0.3">
      <c r="A151" s="7"/>
      <c r="B151" s="3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 x14ac:dyDescent="0.3">
      <c r="A152" s="7"/>
      <c r="B152" s="3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 x14ac:dyDescent="0.3">
      <c r="A153" s="7"/>
      <c r="B153" s="3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 x14ac:dyDescent="0.3">
      <c r="A154" s="7"/>
      <c r="B154" s="3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 x14ac:dyDescent="0.3">
      <c r="A155" s="7"/>
      <c r="B155" s="3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 x14ac:dyDescent="0.3">
      <c r="A156" s="7"/>
      <c r="B156" s="3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 x14ac:dyDescent="0.3">
      <c r="A157" s="7"/>
      <c r="B157" s="3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 x14ac:dyDescent="0.3">
      <c r="A158" s="7"/>
      <c r="B158" s="3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 x14ac:dyDescent="0.3">
      <c r="A159" s="7"/>
      <c r="B159" s="3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 x14ac:dyDescent="0.3">
      <c r="A160" s="7"/>
      <c r="B160" s="3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 x14ac:dyDescent="0.3">
      <c r="A161" s="7"/>
      <c r="B161" s="3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 x14ac:dyDescent="0.3">
      <c r="A162" s="7"/>
      <c r="B162" s="3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 x14ac:dyDescent="0.3">
      <c r="A163" s="7"/>
      <c r="B163" s="3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 x14ac:dyDescent="0.3">
      <c r="A164" s="7"/>
      <c r="B164" s="3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 x14ac:dyDescent="0.3">
      <c r="A165" s="7"/>
      <c r="B165" s="3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 x14ac:dyDescent="0.3">
      <c r="A166" s="7"/>
      <c r="B166" s="3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 x14ac:dyDescent="0.3">
      <c r="A167" s="7"/>
      <c r="B167" s="3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 x14ac:dyDescent="0.3">
      <c r="A168" s="7"/>
      <c r="B168" s="3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 x14ac:dyDescent="0.3">
      <c r="A169" s="7"/>
      <c r="B169" s="3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 x14ac:dyDescent="0.3">
      <c r="A170" s="7"/>
      <c r="B170" s="3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 x14ac:dyDescent="0.3">
      <c r="A171" s="7"/>
      <c r="B171" s="3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 x14ac:dyDescent="0.3">
      <c r="A172" s="7"/>
      <c r="B172" s="3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 x14ac:dyDescent="0.3">
      <c r="A173" s="7"/>
      <c r="B173" s="3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 x14ac:dyDescent="0.3">
      <c r="A174" s="7"/>
      <c r="B174" s="3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 x14ac:dyDescent="0.3">
      <c r="A175" s="7"/>
      <c r="B175" s="3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 x14ac:dyDescent="0.3">
      <c r="A176" s="7"/>
      <c r="B176" s="3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 x14ac:dyDescent="0.3">
      <c r="A177" s="7"/>
      <c r="B177" s="3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 x14ac:dyDescent="0.3">
      <c r="A178" s="7"/>
      <c r="B178" s="3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 x14ac:dyDescent="0.3">
      <c r="A179" s="7"/>
      <c r="B179" s="3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 x14ac:dyDescent="0.3">
      <c r="A180" s="7"/>
      <c r="B180" s="3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 x14ac:dyDescent="0.3">
      <c r="A181" s="7"/>
      <c r="B181" s="3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 x14ac:dyDescent="0.3">
      <c r="A182" s="7"/>
      <c r="B182" s="3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 x14ac:dyDescent="0.3">
      <c r="A183" s="7"/>
      <c r="B183" s="3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 x14ac:dyDescent="0.3">
      <c r="A184" s="7"/>
      <c r="B184" s="3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 x14ac:dyDescent="0.3">
      <c r="A185" s="7"/>
      <c r="B185" s="3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 x14ac:dyDescent="0.3">
      <c r="A186" s="7"/>
      <c r="B186" s="3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 x14ac:dyDescent="0.3">
      <c r="A187" s="7"/>
      <c r="B187" s="3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 x14ac:dyDescent="0.3">
      <c r="A188" s="7"/>
      <c r="B188" s="3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 x14ac:dyDescent="0.3">
      <c r="A189" s="7"/>
      <c r="B189" s="3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 x14ac:dyDescent="0.3">
      <c r="A190" s="7"/>
      <c r="B190" s="3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 x14ac:dyDescent="0.3">
      <c r="A191" s="7"/>
      <c r="B191" s="3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 x14ac:dyDescent="0.3">
      <c r="A192" s="7"/>
      <c r="B192" s="3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 x14ac:dyDescent="0.3">
      <c r="A193" s="7"/>
      <c r="B193" s="3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 x14ac:dyDescent="0.3">
      <c r="A194" s="7"/>
      <c r="B194" s="3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 x14ac:dyDescent="0.3">
      <c r="A195" s="7"/>
      <c r="B195" s="3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 x14ac:dyDescent="0.3">
      <c r="A196" s="7"/>
      <c r="B196" s="3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 x14ac:dyDescent="0.3">
      <c r="A197" s="7"/>
      <c r="B197" s="3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 x14ac:dyDescent="0.3">
      <c r="A198" s="7"/>
      <c r="B198" s="3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 x14ac:dyDescent="0.3">
      <c r="A199" s="7"/>
      <c r="B199" s="3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 x14ac:dyDescent="0.3">
      <c r="A200" s="7"/>
      <c r="B200" s="3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 x14ac:dyDescent="0.3">
      <c r="A201" s="7"/>
      <c r="B201" s="3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 x14ac:dyDescent="0.3">
      <c r="A202" s="7"/>
      <c r="B202" s="3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 x14ac:dyDescent="0.3">
      <c r="A203" s="7"/>
      <c r="B203" s="3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 x14ac:dyDescent="0.3">
      <c r="A204" s="7"/>
      <c r="B204" s="3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 x14ac:dyDescent="0.3">
      <c r="A205" s="7"/>
      <c r="B205" s="3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 x14ac:dyDescent="0.3">
      <c r="A206" s="7"/>
      <c r="B206" s="3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 x14ac:dyDescent="0.3">
      <c r="A207" s="7"/>
      <c r="B207" s="3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 x14ac:dyDescent="0.3">
      <c r="A208" s="7"/>
      <c r="B208" s="3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 x14ac:dyDescent="0.3">
      <c r="A209" s="7"/>
      <c r="B209" s="3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 x14ac:dyDescent="0.3">
      <c r="A210" s="7"/>
      <c r="B210" s="3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 x14ac:dyDescent="0.3">
      <c r="A211" s="7"/>
      <c r="B211" s="3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 x14ac:dyDescent="0.3">
      <c r="A212" s="7"/>
      <c r="B212" s="3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 x14ac:dyDescent="0.3">
      <c r="A213" s="7"/>
      <c r="B213" s="3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 x14ac:dyDescent="0.3">
      <c r="A214" s="7"/>
      <c r="B214" s="3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 x14ac:dyDescent="0.3">
      <c r="A215" s="7"/>
      <c r="B215" s="3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 x14ac:dyDescent="0.3">
      <c r="A216" s="7"/>
      <c r="B216" s="3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 x14ac:dyDescent="0.3">
      <c r="A217" s="7"/>
      <c r="B217" s="3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 x14ac:dyDescent="0.3">
      <c r="A218" s="7"/>
      <c r="B218" s="3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 x14ac:dyDescent="0.3">
      <c r="A219" s="7"/>
      <c r="B219" s="3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 x14ac:dyDescent="0.3">
      <c r="A220" s="7"/>
      <c r="B220" s="3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 x14ac:dyDescent="0.3">
      <c r="A221" s="7"/>
      <c r="B221" s="3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 x14ac:dyDescent="0.3">
      <c r="A222" s="7"/>
      <c r="B222" s="3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 x14ac:dyDescent="0.3">
      <c r="A223" s="7"/>
      <c r="B223" s="3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 x14ac:dyDescent="0.3">
      <c r="A224" s="7"/>
      <c r="B224" s="3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 x14ac:dyDescent="0.3">
      <c r="A225" s="7"/>
      <c r="B225" s="3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 x14ac:dyDescent="0.3">
      <c r="A226" s="7"/>
      <c r="B226" s="3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 x14ac:dyDescent="0.3">
      <c r="A227" s="7"/>
      <c r="B227" s="3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 x14ac:dyDescent="0.3">
      <c r="A228" s="7"/>
      <c r="B228" s="3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 x14ac:dyDescent="0.3">
      <c r="A229" s="7"/>
      <c r="B229" s="3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 x14ac:dyDescent="0.3">
      <c r="A230" s="7"/>
      <c r="B230" s="3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 x14ac:dyDescent="0.3">
      <c r="A231" s="7"/>
      <c r="B231" s="3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 x14ac:dyDescent="0.3">
      <c r="A232" s="7"/>
      <c r="B232" s="3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 x14ac:dyDescent="0.3">
      <c r="A233" s="7"/>
      <c r="B233" s="3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 x14ac:dyDescent="0.3">
      <c r="A234" s="7"/>
      <c r="B234" s="3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 x14ac:dyDescent="0.3">
      <c r="A235" s="7"/>
      <c r="B235" s="3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 x14ac:dyDescent="0.3">
      <c r="A236" s="7"/>
      <c r="B236" s="3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 x14ac:dyDescent="0.3">
      <c r="A237" s="7"/>
      <c r="B237" s="3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 x14ac:dyDescent="0.3">
      <c r="A238" s="7"/>
      <c r="B238" s="3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 x14ac:dyDescent="0.3">
      <c r="A239" s="7"/>
      <c r="B239" s="3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 x14ac:dyDescent="0.3">
      <c r="A240" s="7"/>
      <c r="B240" s="3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 x14ac:dyDescent="0.3">
      <c r="A241" s="7"/>
      <c r="B241" s="3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 x14ac:dyDescent="0.3">
      <c r="A242" s="7"/>
      <c r="B242" s="3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 x14ac:dyDescent="0.3">
      <c r="A243" s="7"/>
      <c r="B243" s="3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 x14ac:dyDescent="0.3">
      <c r="A244" s="7"/>
      <c r="B244" s="3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 x14ac:dyDescent="0.3">
      <c r="A245" s="7"/>
      <c r="B245" s="3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 x14ac:dyDescent="0.3">
      <c r="A246" s="7"/>
      <c r="B246" s="3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 x14ac:dyDescent="0.3">
      <c r="A247" s="7"/>
      <c r="B247" s="3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 x14ac:dyDescent="0.3">
      <c r="A248" s="7"/>
      <c r="B248" s="3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 x14ac:dyDescent="0.3">
      <c r="A249" s="7"/>
      <c r="B249" s="3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 x14ac:dyDescent="0.3">
      <c r="A250" s="7"/>
      <c r="B250" s="3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 x14ac:dyDescent="0.3">
      <c r="A251" s="7"/>
      <c r="B251" s="3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 x14ac:dyDescent="0.3">
      <c r="A252" s="7"/>
      <c r="B252" s="3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 x14ac:dyDescent="0.3">
      <c r="A253" s="7"/>
      <c r="B253" s="3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 x14ac:dyDescent="0.3">
      <c r="A254" s="7"/>
      <c r="B254" s="3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 x14ac:dyDescent="0.3">
      <c r="A255" s="7"/>
      <c r="B255" s="3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 x14ac:dyDescent="0.3">
      <c r="A256" s="7"/>
      <c r="B256" s="3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 x14ac:dyDescent="0.3">
      <c r="A257" s="7"/>
      <c r="B257" s="3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 x14ac:dyDescent="0.3">
      <c r="A258" s="7"/>
      <c r="B258" s="3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 x14ac:dyDescent="0.3">
      <c r="A259" s="7"/>
      <c r="B259" s="3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 x14ac:dyDescent="0.3">
      <c r="A260" s="7"/>
      <c r="B260" s="3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 x14ac:dyDescent="0.3">
      <c r="A261" s="7"/>
      <c r="B261" s="3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 x14ac:dyDescent="0.3">
      <c r="A262" s="7"/>
      <c r="B262" s="3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 x14ac:dyDescent="0.3">
      <c r="A263" s="7"/>
      <c r="B263" s="3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 x14ac:dyDescent="0.3">
      <c r="A264" s="7"/>
      <c r="B264" s="3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 x14ac:dyDescent="0.3">
      <c r="A265" s="7"/>
      <c r="B265" s="3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 x14ac:dyDescent="0.3">
      <c r="A266" s="7"/>
      <c r="B266" s="3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 x14ac:dyDescent="0.3">
      <c r="A267" s="7"/>
      <c r="B267" s="3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 x14ac:dyDescent="0.3">
      <c r="A268" s="7"/>
      <c r="B268" s="3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 x14ac:dyDescent="0.3">
      <c r="A269" s="7"/>
      <c r="B269" s="3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 x14ac:dyDescent="0.3">
      <c r="A270" s="7"/>
      <c r="B270" s="3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 x14ac:dyDescent="0.3">
      <c r="A271" s="7"/>
      <c r="B271" s="3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 x14ac:dyDescent="0.3">
      <c r="A272" s="7"/>
      <c r="B272" s="3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 x14ac:dyDescent="0.3">
      <c r="A273" s="7"/>
      <c r="B273" s="3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 x14ac:dyDescent="0.3">
      <c r="A274" s="7"/>
      <c r="B274" s="3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 x14ac:dyDescent="0.3">
      <c r="A275" s="7"/>
      <c r="B275" s="3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 x14ac:dyDescent="0.3">
      <c r="A276" s="7"/>
      <c r="B276" s="3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 x14ac:dyDescent="0.3">
      <c r="A277" s="7"/>
      <c r="B277" s="3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 x14ac:dyDescent="0.3">
      <c r="A278" s="7"/>
      <c r="B278" s="3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 x14ac:dyDescent="0.3">
      <c r="A279" s="7"/>
      <c r="B279" s="3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 x14ac:dyDescent="0.3">
      <c r="A280" s="7"/>
      <c r="B280" s="3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 x14ac:dyDescent="0.3">
      <c r="A281" s="7"/>
      <c r="B281" s="3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 x14ac:dyDescent="0.3">
      <c r="A282" s="7"/>
      <c r="B282" s="3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 x14ac:dyDescent="0.3">
      <c r="A283" s="7"/>
      <c r="B283" s="3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 x14ac:dyDescent="0.3">
      <c r="A284" s="7"/>
      <c r="B284" s="3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 x14ac:dyDescent="0.3">
      <c r="A285" s="7"/>
      <c r="B285" s="3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 x14ac:dyDescent="0.3">
      <c r="A286" s="7"/>
      <c r="B286" s="3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 x14ac:dyDescent="0.3">
      <c r="A287" s="7"/>
      <c r="B287" s="3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 x14ac:dyDescent="0.3">
      <c r="A288" s="7"/>
      <c r="B288" s="3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 x14ac:dyDescent="0.3">
      <c r="A289" s="7"/>
      <c r="B289" s="3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 x14ac:dyDescent="0.3">
      <c r="A290" s="7"/>
      <c r="B290" s="3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 x14ac:dyDescent="0.3">
      <c r="A291" s="7"/>
      <c r="B291" s="3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 x14ac:dyDescent="0.3">
      <c r="A292" s="7"/>
      <c r="B292" s="3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 x14ac:dyDescent="0.3">
      <c r="A293" s="7"/>
      <c r="B293" s="3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 x14ac:dyDescent="0.3">
      <c r="A294" s="7"/>
      <c r="B294" s="3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 x14ac:dyDescent="0.3">
      <c r="A295" s="7"/>
      <c r="B295" s="3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 x14ac:dyDescent="0.3">
      <c r="A296" s="7"/>
      <c r="B296" s="3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 x14ac:dyDescent="0.3">
      <c r="A297" s="7"/>
      <c r="B297" s="3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 x14ac:dyDescent="0.3">
      <c r="A298" s="7"/>
      <c r="B298" s="3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 x14ac:dyDescent="0.3">
      <c r="A299" s="7"/>
      <c r="B299" s="3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 x14ac:dyDescent="0.3">
      <c r="A300" s="7"/>
      <c r="B300" s="3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 x14ac:dyDescent="0.3">
      <c r="A301" s="7"/>
      <c r="B301" s="3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 x14ac:dyDescent="0.3">
      <c r="A302" s="7"/>
      <c r="B302" s="3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 x14ac:dyDescent="0.3">
      <c r="A303" s="7"/>
      <c r="B303" s="3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 x14ac:dyDescent="0.3">
      <c r="A304" s="7"/>
      <c r="B304" s="3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 x14ac:dyDescent="0.3">
      <c r="A305" s="7"/>
      <c r="B305" s="3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 x14ac:dyDescent="0.3">
      <c r="A306" s="7"/>
      <c r="B306" s="3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 x14ac:dyDescent="0.3">
      <c r="A307" s="7"/>
      <c r="B307" s="3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 x14ac:dyDescent="0.3">
      <c r="A308" s="7"/>
      <c r="B308" s="3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 x14ac:dyDescent="0.3">
      <c r="A309" s="7"/>
      <c r="B309" s="3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 x14ac:dyDescent="0.3">
      <c r="A310" s="7"/>
      <c r="B310" s="3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 x14ac:dyDescent="0.3">
      <c r="A311" s="7"/>
      <c r="B311" s="3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 x14ac:dyDescent="0.3">
      <c r="A312" s="7"/>
      <c r="B312" s="3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 x14ac:dyDescent="0.3">
      <c r="A313" s="7"/>
      <c r="B313" s="3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 x14ac:dyDescent="0.3">
      <c r="A314" s="7"/>
      <c r="B314" s="3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 x14ac:dyDescent="0.3">
      <c r="A315" s="7"/>
      <c r="B315" s="3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 x14ac:dyDescent="0.3">
      <c r="A316" s="7"/>
      <c r="B316" s="3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 x14ac:dyDescent="0.3">
      <c r="A317" s="7"/>
      <c r="B317" s="3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 x14ac:dyDescent="0.3">
      <c r="A318" s="7"/>
      <c r="B318" s="3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 x14ac:dyDescent="0.3">
      <c r="A319" s="7"/>
      <c r="B319" s="3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 x14ac:dyDescent="0.3">
      <c r="A320" s="7"/>
      <c r="B320" s="3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 x14ac:dyDescent="0.3">
      <c r="A321" s="7"/>
      <c r="B321" s="3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 x14ac:dyDescent="0.3">
      <c r="A322" s="7"/>
      <c r="B322" s="3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 x14ac:dyDescent="0.3">
      <c r="A323" s="7"/>
      <c r="B323" s="3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 x14ac:dyDescent="0.3">
      <c r="A324" s="7"/>
      <c r="B324" s="3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 x14ac:dyDescent="0.3">
      <c r="A325" s="7"/>
      <c r="B325" s="3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 x14ac:dyDescent="0.3">
      <c r="A326" s="7"/>
      <c r="B326" s="3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 x14ac:dyDescent="0.3">
      <c r="A327" s="7"/>
      <c r="B327" s="3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 x14ac:dyDescent="0.3">
      <c r="A328" s="7"/>
      <c r="B328" s="3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 x14ac:dyDescent="0.3">
      <c r="A329" s="7"/>
      <c r="B329" s="3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 x14ac:dyDescent="0.3">
      <c r="A330" s="7"/>
      <c r="B330" s="3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 x14ac:dyDescent="0.3">
      <c r="A331" s="7"/>
      <c r="B331" s="3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 x14ac:dyDescent="0.3">
      <c r="A332" s="7"/>
      <c r="B332" s="3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 x14ac:dyDescent="0.3">
      <c r="A333" s="7"/>
      <c r="B333" s="3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 x14ac:dyDescent="0.3">
      <c r="A334" s="7"/>
      <c r="B334" s="3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 x14ac:dyDescent="0.3">
      <c r="A335" s="7"/>
      <c r="B335" s="3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 x14ac:dyDescent="0.3">
      <c r="A336" s="7"/>
      <c r="B336" s="3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 x14ac:dyDescent="0.3">
      <c r="A337" s="7"/>
      <c r="B337" s="3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 x14ac:dyDescent="0.3">
      <c r="A338" s="7"/>
      <c r="B338" s="3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 x14ac:dyDescent="0.3">
      <c r="A339" s="7"/>
      <c r="B339" s="3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 x14ac:dyDescent="0.3">
      <c r="A340" s="7"/>
      <c r="B340" s="3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 x14ac:dyDescent="0.3">
      <c r="A341" s="7"/>
      <c r="B341" s="3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 x14ac:dyDescent="0.3">
      <c r="A342" s="7"/>
      <c r="B342" s="3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 x14ac:dyDescent="0.3">
      <c r="A343" s="7"/>
      <c r="B343" s="3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 x14ac:dyDescent="0.3">
      <c r="A344" s="7"/>
      <c r="B344" s="3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 x14ac:dyDescent="0.3">
      <c r="A345" s="7"/>
      <c r="B345" s="3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 x14ac:dyDescent="0.3">
      <c r="A346" s="7"/>
      <c r="B346" s="3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 x14ac:dyDescent="0.3">
      <c r="A347" s="7"/>
      <c r="B347" s="3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 x14ac:dyDescent="0.3">
      <c r="A348" s="7"/>
      <c r="B348" s="3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 x14ac:dyDescent="0.3">
      <c r="A349" s="7"/>
      <c r="B349" s="3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 x14ac:dyDescent="0.3">
      <c r="A350" s="7"/>
      <c r="B350" s="3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 x14ac:dyDescent="0.3">
      <c r="A351" s="7"/>
      <c r="B351" s="3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 x14ac:dyDescent="0.3">
      <c r="A352" s="7"/>
      <c r="B352" s="3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 x14ac:dyDescent="0.3">
      <c r="A353" s="7"/>
      <c r="B353" s="3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 x14ac:dyDescent="0.3">
      <c r="A354" s="7"/>
      <c r="B354" s="3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 x14ac:dyDescent="0.3">
      <c r="A355" s="7"/>
      <c r="B355" s="3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 x14ac:dyDescent="0.3">
      <c r="A356" s="7"/>
      <c r="B356" s="3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 x14ac:dyDescent="0.3">
      <c r="A357" s="7"/>
      <c r="B357" s="3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 x14ac:dyDescent="0.3">
      <c r="A358" s="7"/>
      <c r="B358" s="3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 x14ac:dyDescent="0.3">
      <c r="A359" s="7"/>
      <c r="B359" s="3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 x14ac:dyDescent="0.3">
      <c r="A360" s="7"/>
      <c r="B360" s="3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 x14ac:dyDescent="0.3">
      <c r="A361" s="7"/>
      <c r="B361" s="3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 x14ac:dyDescent="0.3">
      <c r="A362" s="7"/>
      <c r="B362" s="3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 x14ac:dyDescent="0.3">
      <c r="A363" s="7"/>
      <c r="B363" s="3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 x14ac:dyDescent="0.3">
      <c r="A364" s="7"/>
      <c r="B364" s="3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 x14ac:dyDescent="0.3">
      <c r="A365" s="7"/>
      <c r="B365" s="3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 x14ac:dyDescent="0.3">
      <c r="A366" s="7"/>
      <c r="B366" s="3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 x14ac:dyDescent="0.3">
      <c r="A367" s="7"/>
      <c r="B367" s="3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 x14ac:dyDescent="0.3">
      <c r="A368" s="7"/>
      <c r="B368" s="3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 x14ac:dyDescent="0.3">
      <c r="A369" s="7"/>
      <c r="B369" s="3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 x14ac:dyDescent="0.3">
      <c r="A370" s="7"/>
      <c r="B370" s="3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 x14ac:dyDescent="0.3">
      <c r="A371" s="7"/>
      <c r="B371" s="3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 x14ac:dyDescent="0.3">
      <c r="A372" s="7"/>
      <c r="B372" s="3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 x14ac:dyDescent="0.3">
      <c r="A373" s="7"/>
      <c r="B373" s="3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 x14ac:dyDescent="0.3">
      <c r="A374" s="7"/>
      <c r="B374" s="3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 x14ac:dyDescent="0.3">
      <c r="A375" s="7"/>
      <c r="B375" s="3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 x14ac:dyDescent="0.3">
      <c r="A376" s="7"/>
      <c r="B376" s="3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 x14ac:dyDescent="0.3">
      <c r="A377" s="7"/>
      <c r="B377" s="3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 x14ac:dyDescent="0.3">
      <c r="A378" s="7"/>
      <c r="B378" s="3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 x14ac:dyDescent="0.3">
      <c r="A379" s="7"/>
      <c r="B379" s="3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 x14ac:dyDescent="0.3">
      <c r="A380" s="7"/>
      <c r="B380" s="3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 x14ac:dyDescent="0.3">
      <c r="A381" s="7"/>
      <c r="B381" s="3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 x14ac:dyDescent="0.3">
      <c r="A382" s="7"/>
      <c r="B382" s="3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 x14ac:dyDescent="0.3">
      <c r="A383" s="7"/>
      <c r="B383" s="3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 x14ac:dyDescent="0.3">
      <c r="A384" s="7"/>
      <c r="B384" s="3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 x14ac:dyDescent="0.3">
      <c r="A385" s="7"/>
      <c r="B385" s="3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 x14ac:dyDescent="0.3">
      <c r="A386" s="7"/>
      <c r="B386" s="3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 x14ac:dyDescent="0.3">
      <c r="A387" s="7"/>
      <c r="B387" s="3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 x14ac:dyDescent="0.3">
      <c r="A388" s="7"/>
      <c r="B388" s="3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 x14ac:dyDescent="0.3">
      <c r="A389" s="7"/>
      <c r="B389" s="3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 x14ac:dyDescent="0.3">
      <c r="A390" s="7"/>
      <c r="B390" s="3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 x14ac:dyDescent="0.3">
      <c r="A391" s="7"/>
      <c r="B391" s="3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 x14ac:dyDescent="0.3">
      <c r="A392" s="7"/>
      <c r="B392" s="3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 x14ac:dyDescent="0.3">
      <c r="A393" s="7"/>
      <c r="B393" s="3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 x14ac:dyDescent="0.3">
      <c r="A394" s="7"/>
      <c r="B394" s="3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 x14ac:dyDescent="0.3">
      <c r="A395" s="7"/>
      <c r="B395" s="3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 x14ac:dyDescent="0.3">
      <c r="A396" s="7"/>
      <c r="B396" s="3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 x14ac:dyDescent="0.3">
      <c r="A397" s="7"/>
      <c r="B397" s="3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 x14ac:dyDescent="0.3">
      <c r="A398" s="7"/>
      <c r="B398" s="3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 x14ac:dyDescent="0.3">
      <c r="A399" s="7"/>
      <c r="B399" s="3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 x14ac:dyDescent="0.3">
      <c r="A400" s="7"/>
      <c r="B400" s="3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 x14ac:dyDescent="0.3">
      <c r="A401" s="7"/>
      <c r="B401" s="3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 x14ac:dyDescent="0.3">
      <c r="A402" s="7"/>
      <c r="B402" s="3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 x14ac:dyDescent="0.3">
      <c r="A403" s="7"/>
      <c r="B403" s="3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 x14ac:dyDescent="0.3">
      <c r="A404" s="7"/>
      <c r="B404" s="3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 x14ac:dyDescent="0.3">
      <c r="A405" s="7"/>
      <c r="B405" s="3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 x14ac:dyDescent="0.3">
      <c r="A406" s="7"/>
      <c r="B406" s="3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 x14ac:dyDescent="0.3">
      <c r="A407" s="7"/>
      <c r="B407" s="3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 x14ac:dyDescent="0.3">
      <c r="A408" s="7"/>
      <c r="B408" s="3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 x14ac:dyDescent="0.3">
      <c r="A409" s="7"/>
      <c r="B409" s="3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 x14ac:dyDescent="0.3">
      <c r="A410" s="7"/>
      <c r="B410" s="3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 x14ac:dyDescent="0.3">
      <c r="A411" s="7"/>
      <c r="B411" s="3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 x14ac:dyDescent="0.3">
      <c r="A412" s="7"/>
      <c r="B412" s="3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 x14ac:dyDescent="0.3">
      <c r="A413" s="7"/>
      <c r="B413" s="3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 x14ac:dyDescent="0.3">
      <c r="A414" s="7"/>
      <c r="B414" s="3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 x14ac:dyDescent="0.3">
      <c r="A415" s="7"/>
      <c r="B415" s="3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 x14ac:dyDescent="0.3">
      <c r="A416" s="7"/>
      <c r="B416" s="3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 x14ac:dyDescent="0.3">
      <c r="A417" s="7"/>
      <c r="B417" s="3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 x14ac:dyDescent="0.3">
      <c r="A418" s="7"/>
      <c r="B418" s="3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 x14ac:dyDescent="0.3">
      <c r="A419" s="7"/>
      <c r="B419" s="3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 x14ac:dyDescent="0.3">
      <c r="A420" s="7"/>
      <c r="B420" s="3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 x14ac:dyDescent="0.3">
      <c r="A421" s="7"/>
      <c r="B421" s="3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 x14ac:dyDescent="0.3">
      <c r="A422" s="7"/>
      <c r="B422" s="3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 x14ac:dyDescent="0.3">
      <c r="A423" s="7"/>
      <c r="B423" s="3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 x14ac:dyDescent="0.3">
      <c r="A424" s="7"/>
      <c r="B424" s="3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 x14ac:dyDescent="0.3">
      <c r="A425" s="7"/>
      <c r="B425" s="3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 x14ac:dyDescent="0.3">
      <c r="A426" s="7"/>
      <c r="B426" s="3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 x14ac:dyDescent="0.3">
      <c r="A427" s="7"/>
      <c r="B427" s="3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 x14ac:dyDescent="0.3">
      <c r="A428" s="7"/>
      <c r="B428" s="3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 x14ac:dyDescent="0.3">
      <c r="A429" s="7"/>
      <c r="B429" s="3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 x14ac:dyDescent="0.3">
      <c r="A430" s="7"/>
      <c r="B430" s="3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 x14ac:dyDescent="0.3">
      <c r="A431" s="7"/>
      <c r="B431" s="3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 x14ac:dyDescent="0.3">
      <c r="A432" s="7"/>
      <c r="B432" s="3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 x14ac:dyDescent="0.3">
      <c r="A433" s="7"/>
      <c r="B433" s="3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 x14ac:dyDescent="0.3">
      <c r="A434" s="7"/>
      <c r="B434" s="3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 x14ac:dyDescent="0.3">
      <c r="A435" s="7"/>
      <c r="B435" s="3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 x14ac:dyDescent="0.3">
      <c r="A436" s="7"/>
      <c r="B436" s="3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 x14ac:dyDescent="0.3">
      <c r="A437" s="7"/>
      <c r="B437" s="3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 x14ac:dyDescent="0.3">
      <c r="A438" s="7"/>
      <c r="B438" s="3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 x14ac:dyDescent="0.3">
      <c r="A439" s="7"/>
      <c r="B439" s="3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 x14ac:dyDescent="0.3">
      <c r="A440" s="7"/>
      <c r="B440" s="3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 x14ac:dyDescent="0.3">
      <c r="A441" s="7"/>
      <c r="B441" s="3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 x14ac:dyDescent="0.3">
      <c r="A442" s="7"/>
      <c r="B442" s="3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 x14ac:dyDescent="0.3">
      <c r="A443" s="7"/>
      <c r="B443" s="3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 x14ac:dyDescent="0.3">
      <c r="A444" s="7"/>
      <c r="B444" s="3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 x14ac:dyDescent="0.3">
      <c r="A445" s="7"/>
      <c r="B445" s="3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 x14ac:dyDescent="0.3">
      <c r="A446" s="7"/>
      <c r="B446" s="3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 x14ac:dyDescent="0.3">
      <c r="A447" s="7"/>
      <c r="B447" s="3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 x14ac:dyDescent="0.3">
      <c r="A448" s="7"/>
      <c r="B448" s="3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 x14ac:dyDescent="0.3">
      <c r="A449" s="7"/>
      <c r="B449" s="3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 x14ac:dyDescent="0.3">
      <c r="A450" s="7"/>
      <c r="B450" s="3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 x14ac:dyDescent="0.3">
      <c r="A451" s="7"/>
      <c r="B451" s="3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 x14ac:dyDescent="0.3">
      <c r="A452" s="7"/>
      <c r="B452" s="3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 x14ac:dyDescent="0.3">
      <c r="A453" s="7"/>
      <c r="B453" s="3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 x14ac:dyDescent="0.3">
      <c r="A454" s="7"/>
      <c r="B454" s="3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 x14ac:dyDescent="0.3">
      <c r="A455" s="7"/>
      <c r="B455" s="3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 x14ac:dyDescent="0.3">
      <c r="A456" s="7"/>
      <c r="B456" s="3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 x14ac:dyDescent="0.3">
      <c r="A457" s="7"/>
      <c r="B457" s="3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 x14ac:dyDescent="0.3">
      <c r="A458" s="7"/>
      <c r="B458" s="3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 x14ac:dyDescent="0.3">
      <c r="A459" s="7"/>
      <c r="B459" s="3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 x14ac:dyDescent="0.3">
      <c r="A460" s="7"/>
      <c r="B460" s="3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 x14ac:dyDescent="0.3">
      <c r="A461" s="7"/>
      <c r="B461" s="3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 x14ac:dyDescent="0.3">
      <c r="A462" s="7"/>
      <c r="B462" s="3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 x14ac:dyDescent="0.3">
      <c r="A463" s="7"/>
      <c r="B463" s="3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 x14ac:dyDescent="0.3">
      <c r="A464" s="7"/>
      <c r="B464" s="3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 x14ac:dyDescent="0.3">
      <c r="A465" s="7"/>
      <c r="B465" s="3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 x14ac:dyDescent="0.3">
      <c r="A466" s="7"/>
      <c r="B466" s="3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 x14ac:dyDescent="0.3">
      <c r="A467" s="7"/>
      <c r="B467" s="3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 x14ac:dyDescent="0.3">
      <c r="A468" s="7"/>
      <c r="B468" s="3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 x14ac:dyDescent="0.3">
      <c r="A469" s="7"/>
      <c r="B469" s="3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 x14ac:dyDescent="0.3">
      <c r="A470" s="7"/>
      <c r="B470" s="3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 x14ac:dyDescent="0.3">
      <c r="A471" s="7"/>
      <c r="B471" s="3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 x14ac:dyDescent="0.3">
      <c r="A472" s="7"/>
      <c r="B472" s="3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 x14ac:dyDescent="0.3">
      <c r="A473" s="7"/>
      <c r="B473" s="3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 x14ac:dyDescent="0.3">
      <c r="A474" s="7"/>
      <c r="B474" s="3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 x14ac:dyDescent="0.3">
      <c r="A475" s="7"/>
      <c r="B475" s="3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 x14ac:dyDescent="0.3">
      <c r="A476" s="7"/>
      <c r="B476" s="3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 x14ac:dyDescent="0.3">
      <c r="A477" s="7"/>
      <c r="B477" s="3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 x14ac:dyDescent="0.3">
      <c r="A478" s="7"/>
      <c r="B478" s="3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 x14ac:dyDescent="0.3">
      <c r="A479" s="7"/>
      <c r="B479" s="3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 x14ac:dyDescent="0.3">
      <c r="A480" s="7"/>
      <c r="B480" s="3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 x14ac:dyDescent="0.3">
      <c r="A481" s="7"/>
      <c r="B481" s="3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 x14ac:dyDescent="0.3">
      <c r="A482" s="7"/>
      <c r="B482" s="3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 x14ac:dyDescent="0.3">
      <c r="A483" s="7"/>
      <c r="B483" s="3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 x14ac:dyDescent="0.3">
      <c r="A484" s="7"/>
      <c r="B484" s="3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 x14ac:dyDescent="0.3">
      <c r="A485" s="7"/>
      <c r="B485" s="3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 x14ac:dyDescent="0.3">
      <c r="A486" s="7"/>
      <c r="B486" s="3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 x14ac:dyDescent="0.3">
      <c r="A487" s="7"/>
      <c r="B487" s="3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 x14ac:dyDescent="0.3">
      <c r="A488" s="7"/>
      <c r="B488" s="3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 x14ac:dyDescent="0.3">
      <c r="A489" s="7"/>
      <c r="B489" s="3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 x14ac:dyDescent="0.3">
      <c r="A490" s="7"/>
      <c r="B490" s="3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 x14ac:dyDescent="0.3">
      <c r="A491" s="7"/>
      <c r="B491" s="3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 x14ac:dyDescent="0.3">
      <c r="A492" s="7"/>
      <c r="B492" s="3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 x14ac:dyDescent="0.3">
      <c r="A493" s="7"/>
      <c r="B493" s="3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 x14ac:dyDescent="0.3">
      <c r="A494" s="7"/>
      <c r="B494" s="3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 x14ac:dyDescent="0.3">
      <c r="A495" s="7"/>
      <c r="B495" s="3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 x14ac:dyDescent="0.3">
      <c r="A496" s="7"/>
      <c r="B496" s="3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 x14ac:dyDescent="0.3">
      <c r="A497" s="7"/>
      <c r="B497" s="3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 x14ac:dyDescent="0.3">
      <c r="A498" s="7"/>
      <c r="B498" s="3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 x14ac:dyDescent="0.3">
      <c r="A499" s="7"/>
      <c r="B499" s="3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 x14ac:dyDescent="0.3">
      <c r="A500" s="7"/>
      <c r="B500" s="3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 x14ac:dyDescent="0.3">
      <c r="A501" s="7"/>
      <c r="B501" s="3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 x14ac:dyDescent="0.3">
      <c r="A502" s="7"/>
      <c r="B502" s="3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 x14ac:dyDescent="0.3">
      <c r="A503" s="7"/>
      <c r="B503" s="3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 x14ac:dyDescent="0.3">
      <c r="A504" s="7"/>
      <c r="B504" s="3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 x14ac:dyDescent="0.3">
      <c r="A505" s="7"/>
      <c r="B505" s="3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 x14ac:dyDescent="0.3">
      <c r="A506" s="7"/>
      <c r="B506" s="3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 x14ac:dyDescent="0.3">
      <c r="A507" s="7"/>
      <c r="B507" s="3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 x14ac:dyDescent="0.3">
      <c r="A508" s="7"/>
      <c r="B508" s="3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 x14ac:dyDescent="0.3">
      <c r="A509" s="7"/>
      <c r="B509" s="3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 x14ac:dyDescent="0.3">
      <c r="A510" s="7"/>
      <c r="B510" s="3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 x14ac:dyDescent="0.3">
      <c r="A511" s="7"/>
      <c r="B511" s="3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 x14ac:dyDescent="0.3">
      <c r="A512" s="7"/>
      <c r="B512" s="3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 x14ac:dyDescent="0.3">
      <c r="A513" s="7"/>
      <c r="B513" s="3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 x14ac:dyDescent="0.3">
      <c r="A514" s="7"/>
      <c r="B514" s="3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 x14ac:dyDescent="0.3">
      <c r="A515" s="7"/>
      <c r="B515" s="3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 x14ac:dyDescent="0.3">
      <c r="A516" s="7"/>
      <c r="B516" s="3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 x14ac:dyDescent="0.3">
      <c r="A517" s="7"/>
      <c r="B517" s="3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 x14ac:dyDescent="0.3">
      <c r="A518" s="7"/>
      <c r="B518" s="3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 x14ac:dyDescent="0.3">
      <c r="A519" s="7"/>
      <c r="B519" s="3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 x14ac:dyDescent="0.3">
      <c r="A520" s="7"/>
      <c r="B520" s="3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 x14ac:dyDescent="0.3">
      <c r="A521" s="7"/>
      <c r="B521" s="3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 x14ac:dyDescent="0.3">
      <c r="A522" s="7"/>
      <c r="B522" s="3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 x14ac:dyDescent="0.3">
      <c r="A523" s="7"/>
      <c r="B523" s="3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 x14ac:dyDescent="0.3">
      <c r="A524" s="7"/>
      <c r="B524" s="3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 x14ac:dyDescent="0.3">
      <c r="A525" s="7"/>
      <c r="B525" s="3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 x14ac:dyDescent="0.3">
      <c r="A526" s="7"/>
      <c r="B526" s="3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 x14ac:dyDescent="0.3">
      <c r="A527" s="7"/>
      <c r="B527" s="3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 x14ac:dyDescent="0.3">
      <c r="A528" s="7"/>
      <c r="B528" s="3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 x14ac:dyDescent="0.3">
      <c r="A529" s="7"/>
      <c r="B529" s="3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 x14ac:dyDescent="0.3">
      <c r="A530" s="7"/>
      <c r="B530" s="3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 x14ac:dyDescent="0.3">
      <c r="A531" s="7"/>
      <c r="B531" s="3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 x14ac:dyDescent="0.3">
      <c r="A532" s="7"/>
      <c r="B532" s="3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 x14ac:dyDescent="0.3">
      <c r="A533" s="7"/>
      <c r="B533" s="3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 x14ac:dyDescent="0.3">
      <c r="A534" s="7"/>
      <c r="B534" s="3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 x14ac:dyDescent="0.3">
      <c r="A535" s="7"/>
      <c r="B535" s="3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 x14ac:dyDescent="0.3">
      <c r="A536" s="7"/>
      <c r="B536" s="3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 x14ac:dyDescent="0.3">
      <c r="A537" s="7"/>
      <c r="B537" s="3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 x14ac:dyDescent="0.3">
      <c r="A538" s="7"/>
      <c r="B538" s="3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 x14ac:dyDescent="0.3">
      <c r="A539" s="7"/>
      <c r="B539" s="3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 x14ac:dyDescent="0.3">
      <c r="A540" s="7"/>
      <c r="B540" s="3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 x14ac:dyDescent="0.3">
      <c r="A541" s="7"/>
      <c r="B541" s="3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 x14ac:dyDescent="0.3">
      <c r="A542" s="7"/>
      <c r="B542" s="3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 x14ac:dyDescent="0.3">
      <c r="A543" s="7"/>
      <c r="B543" s="3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 x14ac:dyDescent="0.3">
      <c r="A544" s="7"/>
      <c r="B544" s="3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 x14ac:dyDescent="0.3">
      <c r="A545" s="7"/>
      <c r="B545" s="3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 x14ac:dyDescent="0.3">
      <c r="A546" s="7"/>
      <c r="B546" s="3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 x14ac:dyDescent="0.3">
      <c r="A547" s="7"/>
      <c r="B547" s="3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 x14ac:dyDescent="0.3">
      <c r="A548" s="7"/>
      <c r="B548" s="3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 x14ac:dyDescent="0.3">
      <c r="A549" s="7"/>
      <c r="B549" s="3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 x14ac:dyDescent="0.3">
      <c r="A550" s="7"/>
      <c r="B550" s="3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 x14ac:dyDescent="0.3">
      <c r="A551" s="7"/>
      <c r="B551" s="3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 x14ac:dyDescent="0.3">
      <c r="A552" s="7"/>
      <c r="B552" s="3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 x14ac:dyDescent="0.3">
      <c r="A553" s="7"/>
      <c r="B553" s="3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 x14ac:dyDescent="0.3">
      <c r="A554" s="7"/>
      <c r="B554" s="3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 x14ac:dyDescent="0.3">
      <c r="A555" s="7"/>
      <c r="B555" s="3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 x14ac:dyDescent="0.3">
      <c r="A556" s="7"/>
      <c r="B556" s="3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 x14ac:dyDescent="0.3">
      <c r="A557" s="7"/>
      <c r="B557" s="3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 x14ac:dyDescent="0.3">
      <c r="A558" s="7"/>
      <c r="B558" s="3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 x14ac:dyDescent="0.3">
      <c r="A559" s="7"/>
      <c r="B559" s="3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 x14ac:dyDescent="0.3">
      <c r="A560" s="7"/>
      <c r="B560" s="3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 x14ac:dyDescent="0.3">
      <c r="A561" s="7"/>
      <c r="B561" s="3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 x14ac:dyDescent="0.3">
      <c r="A562" s="7"/>
      <c r="B562" s="3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 x14ac:dyDescent="0.3">
      <c r="A563" s="7"/>
      <c r="B563" s="3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 x14ac:dyDescent="0.3">
      <c r="A564" s="7"/>
      <c r="B564" s="3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 x14ac:dyDescent="0.3">
      <c r="A565" s="7"/>
      <c r="B565" s="3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 x14ac:dyDescent="0.3">
      <c r="A566" s="7"/>
      <c r="B566" s="3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 x14ac:dyDescent="0.3">
      <c r="A567" s="7"/>
      <c r="B567" s="3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 x14ac:dyDescent="0.3">
      <c r="A568" s="7"/>
      <c r="B568" s="3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 x14ac:dyDescent="0.3">
      <c r="A569" s="7"/>
      <c r="B569" s="3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 x14ac:dyDescent="0.3">
      <c r="A570" s="7"/>
      <c r="B570" s="3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 x14ac:dyDescent="0.3">
      <c r="A571" s="7"/>
      <c r="B571" s="3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 x14ac:dyDescent="0.3">
      <c r="A572" s="7"/>
      <c r="B572" s="3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 x14ac:dyDescent="0.3">
      <c r="A573" s="7"/>
      <c r="B573" s="3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 x14ac:dyDescent="0.3">
      <c r="A574" s="7"/>
      <c r="B574" s="3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 x14ac:dyDescent="0.3">
      <c r="A575" s="7"/>
      <c r="B575" s="3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 x14ac:dyDescent="0.3">
      <c r="A576" s="7"/>
      <c r="B576" s="3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 x14ac:dyDescent="0.3">
      <c r="A577" s="7"/>
      <c r="B577" s="3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 x14ac:dyDescent="0.3">
      <c r="A578" s="7"/>
      <c r="B578" s="3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 x14ac:dyDescent="0.3">
      <c r="A579" s="7"/>
      <c r="B579" s="3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 x14ac:dyDescent="0.3">
      <c r="A580" s="7"/>
      <c r="B580" s="3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 x14ac:dyDescent="0.3">
      <c r="A581" s="7"/>
      <c r="B581" s="3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 x14ac:dyDescent="0.3">
      <c r="A582" s="7"/>
      <c r="B582" s="3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 x14ac:dyDescent="0.3">
      <c r="A583" s="7"/>
      <c r="B583" s="3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 x14ac:dyDescent="0.3">
      <c r="A584" s="7"/>
      <c r="B584" s="3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 x14ac:dyDescent="0.3">
      <c r="A585" s="7"/>
      <c r="B585" s="3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 x14ac:dyDescent="0.3">
      <c r="A586" s="7"/>
      <c r="B586" s="3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 x14ac:dyDescent="0.3">
      <c r="A587" s="7"/>
      <c r="B587" s="3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 x14ac:dyDescent="0.3">
      <c r="A588" s="7"/>
      <c r="B588" s="3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 x14ac:dyDescent="0.3">
      <c r="A589" s="7"/>
      <c r="B589" s="3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 x14ac:dyDescent="0.3">
      <c r="A590" s="7"/>
      <c r="B590" s="3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 x14ac:dyDescent="0.3">
      <c r="A591" s="7"/>
      <c r="B591" s="3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 x14ac:dyDescent="0.3">
      <c r="A592" s="7"/>
      <c r="B592" s="3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 x14ac:dyDescent="0.3">
      <c r="A593" s="7"/>
      <c r="B593" s="3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 x14ac:dyDescent="0.3">
      <c r="A594" s="7"/>
      <c r="B594" s="3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 x14ac:dyDescent="0.3">
      <c r="A595" s="7"/>
      <c r="B595" s="3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 x14ac:dyDescent="0.3">
      <c r="A596" s="7"/>
      <c r="B596" s="3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 x14ac:dyDescent="0.3">
      <c r="A597" s="7"/>
      <c r="B597" s="3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 x14ac:dyDescent="0.3">
      <c r="A598" s="7"/>
      <c r="B598" s="3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 x14ac:dyDescent="0.3">
      <c r="A599" s="7"/>
      <c r="B599" s="3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 x14ac:dyDescent="0.3">
      <c r="A600" s="7"/>
      <c r="B600" s="3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 x14ac:dyDescent="0.3">
      <c r="A601" s="7"/>
      <c r="B601" s="3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 x14ac:dyDescent="0.3">
      <c r="A602" s="7"/>
      <c r="B602" s="3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 x14ac:dyDescent="0.3">
      <c r="A603" s="7"/>
      <c r="B603" s="3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 x14ac:dyDescent="0.3">
      <c r="A604" s="7"/>
      <c r="B604" s="3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 x14ac:dyDescent="0.3">
      <c r="A605" s="7"/>
      <c r="B605" s="3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 x14ac:dyDescent="0.3">
      <c r="A606" s="7"/>
      <c r="B606" s="3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 x14ac:dyDescent="0.3">
      <c r="A607" s="7"/>
      <c r="B607" s="3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 x14ac:dyDescent="0.3">
      <c r="A608" s="7"/>
      <c r="B608" s="3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 x14ac:dyDescent="0.3">
      <c r="A609" s="7"/>
      <c r="B609" s="3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 x14ac:dyDescent="0.3">
      <c r="A610" s="7"/>
      <c r="B610" s="3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 x14ac:dyDescent="0.3">
      <c r="A611" s="7"/>
      <c r="B611" s="3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 x14ac:dyDescent="0.3">
      <c r="A612" s="7"/>
      <c r="B612" s="3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 x14ac:dyDescent="0.3">
      <c r="A613" s="7"/>
      <c r="B613" s="3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 x14ac:dyDescent="0.3">
      <c r="A614" s="7"/>
      <c r="B614" s="3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 x14ac:dyDescent="0.3">
      <c r="A615" s="7"/>
      <c r="B615" s="3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 x14ac:dyDescent="0.3">
      <c r="A616" s="7"/>
      <c r="B616" s="3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 x14ac:dyDescent="0.3">
      <c r="A617" s="7"/>
      <c r="B617" s="3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 x14ac:dyDescent="0.3">
      <c r="A618" s="7"/>
      <c r="B618" s="3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 x14ac:dyDescent="0.3">
      <c r="A619" s="7"/>
      <c r="B619" s="3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 x14ac:dyDescent="0.3">
      <c r="A620" s="7"/>
      <c r="B620" s="3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 x14ac:dyDescent="0.3">
      <c r="A621" s="7"/>
      <c r="B621" s="3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 x14ac:dyDescent="0.3">
      <c r="A622" s="7"/>
      <c r="B622" s="3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 x14ac:dyDescent="0.3">
      <c r="A623" s="7"/>
      <c r="B623" s="3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 x14ac:dyDescent="0.3">
      <c r="A624" s="7"/>
      <c r="B624" s="3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 x14ac:dyDescent="0.3">
      <c r="A625" s="7"/>
      <c r="B625" s="3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 x14ac:dyDescent="0.3">
      <c r="A626" s="7"/>
      <c r="B626" s="3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 x14ac:dyDescent="0.3">
      <c r="A627" s="7"/>
      <c r="B627" s="3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 x14ac:dyDescent="0.3">
      <c r="A628" s="7"/>
      <c r="B628" s="3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 x14ac:dyDescent="0.3">
      <c r="A629" s="7"/>
      <c r="B629" s="3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 x14ac:dyDescent="0.3">
      <c r="A630" s="7"/>
      <c r="B630" s="3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 x14ac:dyDescent="0.3">
      <c r="A631" s="7"/>
      <c r="B631" s="3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 x14ac:dyDescent="0.3">
      <c r="A632" s="7"/>
      <c r="B632" s="3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 x14ac:dyDescent="0.3">
      <c r="A633" s="7"/>
      <c r="B633" s="3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 x14ac:dyDescent="0.3">
      <c r="A634" s="7"/>
      <c r="B634" s="3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 x14ac:dyDescent="0.3">
      <c r="A635" s="7"/>
      <c r="B635" s="3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 x14ac:dyDescent="0.3">
      <c r="A636" s="7"/>
      <c r="B636" s="3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 x14ac:dyDescent="0.3">
      <c r="A637" s="7"/>
      <c r="B637" s="3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 x14ac:dyDescent="0.3">
      <c r="A638" s="7"/>
      <c r="B638" s="3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 x14ac:dyDescent="0.3">
      <c r="A639" s="7"/>
      <c r="B639" s="3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 x14ac:dyDescent="0.3">
      <c r="A640" s="7"/>
      <c r="B640" s="3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 x14ac:dyDescent="0.3">
      <c r="A641" s="7"/>
      <c r="B641" s="3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 x14ac:dyDescent="0.3">
      <c r="A642" s="7"/>
      <c r="B642" s="3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 x14ac:dyDescent="0.3">
      <c r="A643" s="7"/>
      <c r="B643" s="3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 x14ac:dyDescent="0.3">
      <c r="A644" s="7"/>
      <c r="B644" s="3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 x14ac:dyDescent="0.3">
      <c r="A645" s="7"/>
      <c r="B645" s="3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 x14ac:dyDescent="0.3">
      <c r="A646" s="7"/>
      <c r="B646" s="3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 x14ac:dyDescent="0.3">
      <c r="A647" s="7"/>
      <c r="B647" s="3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 x14ac:dyDescent="0.3">
      <c r="A648" s="7"/>
      <c r="B648" s="3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 x14ac:dyDescent="0.3">
      <c r="A649" s="7"/>
      <c r="B649" s="3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 x14ac:dyDescent="0.3">
      <c r="A650" s="7"/>
      <c r="B650" s="3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 x14ac:dyDescent="0.3">
      <c r="A651" s="7"/>
      <c r="B651" s="3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 x14ac:dyDescent="0.3">
      <c r="A652" s="7"/>
      <c r="B652" s="3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 x14ac:dyDescent="0.3">
      <c r="A653" s="7"/>
      <c r="B653" s="3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 x14ac:dyDescent="0.3">
      <c r="A654" s="7"/>
      <c r="B654" s="3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 x14ac:dyDescent="0.3">
      <c r="A655" s="7"/>
      <c r="B655" s="3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 x14ac:dyDescent="0.3">
      <c r="A656" s="7"/>
      <c r="B656" s="3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 x14ac:dyDescent="0.3">
      <c r="A657" s="7"/>
      <c r="B657" s="3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 x14ac:dyDescent="0.3">
      <c r="A658" s="7"/>
      <c r="B658" s="3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 x14ac:dyDescent="0.3">
      <c r="A659" s="7"/>
      <c r="B659" s="3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 x14ac:dyDescent="0.3">
      <c r="A660" s="7"/>
      <c r="B660" s="3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 x14ac:dyDescent="0.3">
      <c r="A661" s="7"/>
      <c r="B661" s="3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 x14ac:dyDescent="0.3">
      <c r="A662" s="7"/>
      <c r="B662" s="3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 x14ac:dyDescent="0.3">
      <c r="A663" s="7"/>
      <c r="B663" s="3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 x14ac:dyDescent="0.3">
      <c r="A664" s="7"/>
      <c r="B664" s="3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 x14ac:dyDescent="0.3">
      <c r="A665" s="7"/>
      <c r="B665" s="3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 x14ac:dyDescent="0.3">
      <c r="A666" s="7"/>
      <c r="B666" s="3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 x14ac:dyDescent="0.3">
      <c r="A667" s="7"/>
      <c r="B667" s="3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 x14ac:dyDescent="0.3">
      <c r="A668" s="7"/>
      <c r="B668" s="3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 x14ac:dyDescent="0.3">
      <c r="A669" s="7"/>
      <c r="B669" s="3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 x14ac:dyDescent="0.3">
      <c r="A670" s="7"/>
      <c r="B670" s="3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 x14ac:dyDescent="0.3">
      <c r="A671" s="7"/>
      <c r="B671" s="3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 x14ac:dyDescent="0.3">
      <c r="A672" s="7"/>
      <c r="B672" s="3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 x14ac:dyDescent="0.3">
      <c r="A673" s="7"/>
      <c r="B673" s="3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 x14ac:dyDescent="0.3">
      <c r="A674" s="7"/>
      <c r="B674" s="3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 x14ac:dyDescent="0.3">
      <c r="A675" s="7"/>
      <c r="B675" s="3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 x14ac:dyDescent="0.3">
      <c r="A676" s="7"/>
      <c r="B676" s="3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 x14ac:dyDescent="0.3">
      <c r="A677" s="7"/>
      <c r="B677" s="3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 x14ac:dyDescent="0.3">
      <c r="A678" s="7"/>
      <c r="B678" s="3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 x14ac:dyDescent="0.3">
      <c r="A679" s="7"/>
      <c r="B679" s="3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 x14ac:dyDescent="0.3">
      <c r="A680" s="7"/>
      <c r="B680" s="3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 x14ac:dyDescent="0.3">
      <c r="A681" s="7"/>
      <c r="B681" s="3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 x14ac:dyDescent="0.3">
      <c r="A682" s="7"/>
      <c r="B682" s="3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 x14ac:dyDescent="0.3">
      <c r="A683" s="7"/>
      <c r="B683" s="3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 x14ac:dyDescent="0.3">
      <c r="A684" s="7"/>
      <c r="B684" s="3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 x14ac:dyDescent="0.3">
      <c r="A685" s="7"/>
      <c r="B685" s="3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 x14ac:dyDescent="0.3">
      <c r="A686" s="7"/>
      <c r="B686" s="3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 x14ac:dyDescent="0.3">
      <c r="A687" s="7"/>
      <c r="B687" s="3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 x14ac:dyDescent="0.3">
      <c r="A688" s="7"/>
      <c r="B688" s="3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 x14ac:dyDescent="0.3">
      <c r="A689" s="7"/>
      <c r="B689" s="3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 x14ac:dyDescent="0.3">
      <c r="A690" s="7"/>
      <c r="B690" s="3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 x14ac:dyDescent="0.3">
      <c r="A691" s="7"/>
      <c r="B691" s="3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 x14ac:dyDescent="0.3">
      <c r="A692" s="7"/>
      <c r="B692" s="3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 x14ac:dyDescent="0.3">
      <c r="A693" s="7"/>
      <c r="B693" s="3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 x14ac:dyDescent="0.3">
      <c r="A694" s="7"/>
      <c r="B694" s="3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 x14ac:dyDescent="0.3">
      <c r="A695" s="7"/>
      <c r="B695" s="3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 x14ac:dyDescent="0.3">
      <c r="A696" s="7"/>
      <c r="B696" s="3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 x14ac:dyDescent="0.3">
      <c r="A697" s="7"/>
      <c r="B697" s="3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 x14ac:dyDescent="0.3">
      <c r="A698" s="7"/>
      <c r="B698" s="3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 x14ac:dyDescent="0.3">
      <c r="A699" s="7"/>
      <c r="B699" s="3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 x14ac:dyDescent="0.3">
      <c r="A700" s="7"/>
      <c r="B700" s="3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 x14ac:dyDescent="0.3">
      <c r="A701" s="7"/>
      <c r="B701" s="3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 x14ac:dyDescent="0.3">
      <c r="A702" s="7"/>
      <c r="B702" s="3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 x14ac:dyDescent="0.3">
      <c r="A703" s="7"/>
      <c r="B703" s="3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 x14ac:dyDescent="0.3">
      <c r="A704" s="7"/>
      <c r="B704" s="3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 x14ac:dyDescent="0.3">
      <c r="A705" s="7"/>
      <c r="B705" s="3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 x14ac:dyDescent="0.3">
      <c r="A706" s="7"/>
      <c r="B706" s="3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 x14ac:dyDescent="0.3">
      <c r="A707" s="7"/>
      <c r="B707" s="3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 x14ac:dyDescent="0.3">
      <c r="A708" s="7"/>
      <c r="B708" s="3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 x14ac:dyDescent="0.3">
      <c r="A709" s="7"/>
      <c r="B709" s="3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 x14ac:dyDescent="0.3">
      <c r="A710" s="7"/>
      <c r="B710" s="3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 x14ac:dyDescent="0.3">
      <c r="A711" s="7"/>
      <c r="B711" s="3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 x14ac:dyDescent="0.3">
      <c r="A712" s="7"/>
      <c r="B712" s="3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 x14ac:dyDescent="0.3">
      <c r="A713" s="7"/>
      <c r="B713" s="3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 x14ac:dyDescent="0.3">
      <c r="A714" s="7"/>
      <c r="B714" s="3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 x14ac:dyDescent="0.3">
      <c r="A715" s="7"/>
      <c r="B715" s="3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 x14ac:dyDescent="0.3">
      <c r="A716" s="7"/>
      <c r="B716" s="3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 x14ac:dyDescent="0.3">
      <c r="A717" s="7"/>
      <c r="B717" s="3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 x14ac:dyDescent="0.3">
      <c r="A718" s="7"/>
      <c r="B718" s="3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 x14ac:dyDescent="0.3">
      <c r="A719" s="7"/>
      <c r="B719" s="3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 x14ac:dyDescent="0.3">
      <c r="A720" s="7"/>
      <c r="B720" s="3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 x14ac:dyDescent="0.3">
      <c r="A721" s="7"/>
      <c r="B721" s="3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 x14ac:dyDescent="0.3">
      <c r="A722" s="7"/>
      <c r="B722" s="3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 x14ac:dyDescent="0.3">
      <c r="A723" s="7"/>
      <c r="B723" s="3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 x14ac:dyDescent="0.3">
      <c r="A724" s="7"/>
      <c r="B724" s="3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 x14ac:dyDescent="0.3">
      <c r="A725" s="7"/>
      <c r="B725" s="3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 x14ac:dyDescent="0.3">
      <c r="A726" s="7"/>
      <c r="B726" s="3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 x14ac:dyDescent="0.3">
      <c r="A727" s="7"/>
      <c r="B727" s="3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 x14ac:dyDescent="0.3">
      <c r="A728" s="7"/>
      <c r="B728" s="3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 x14ac:dyDescent="0.3">
      <c r="A729" s="7"/>
      <c r="B729" s="3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 x14ac:dyDescent="0.3">
      <c r="A730" s="7"/>
      <c r="B730" s="3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 x14ac:dyDescent="0.3">
      <c r="A731" s="7"/>
      <c r="B731" s="3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 x14ac:dyDescent="0.3">
      <c r="A732" s="7"/>
      <c r="B732" s="3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 x14ac:dyDescent="0.3">
      <c r="A733" s="7"/>
      <c r="B733" s="3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 x14ac:dyDescent="0.3">
      <c r="A734" s="7"/>
      <c r="B734" s="3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 x14ac:dyDescent="0.3">
      <c r="A735" s="7"/>
      <c r="B735" s="3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 x14ac:dyDescent="0.3">
      <c r="A736" s="7"/>
      <c r="B736" s="3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 x14ac:dyDescent="0.3">
      <c r="A737" s="7"/>
      <c r="B737" s="3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 x14ac:dyDescent="0.3">
      <c r="A738" s="7"/>
      <c r="B738" s="3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 x14ac:dyDescent="0.3">
      <c r="A739" s="7"/>
      <c r="B739" s="3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 x14ac:dyDescent="0.3">
      <c r="A740" s="7"/>
      <c r="B740" s="3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 x14ac:dyDescent="0.3">
      <c r="A741" s="7"/>
      <c r="B741" s="3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 x14ac:dyDescent="0.3">
      <c r="A742" s="7"/>
      <c r="B742" s="3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 x14ac:dyDescent="0.3">
      <c r="A743" s="7"/>
      <c r="B743" s="3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 x14ac:dyDescent="0.3">
      <c r="A744" s="7"/>
      <c r="B744" s="3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 x14ac:dyDescent="0.3">
      <c r="A745" s="7"/>
      <c r="B745" s="3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 x14ac:dyDescent="0.3">
      <c r="A746" s="7"/>
      <c r="B746" s="3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 x14ac:dyDescent="0.3">
      <c r="A747" s="7"/>
      <c r="B747" s="3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 x14ac:dyDescent="0.3">
      <c r="A748" s="7"/>
      <c r="B748" s="3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 x14ac:dyDescent="0.3">
      <c r="A749" s="7"/>
      <c r="B749" s="3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 x14ac:dyDescent="0.3">
      <c r="A750" s="7"/>
      <c r="B750" s="3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 x14ac:dyDescent="0.3">
      <c r="A751" s="7"/>
      <c r="B751" s="3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 x14ac:dyDescent="0.3">
      <c r="A752" s="7"/>
      <c r="B752" s="3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 x14ac:dyDescent="0.3">
      <c r="A753" s="7"/>
      <c r="B753" s="3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 x14ac:dyDescent="0.3">
      <c r="A754" s="7"/>
      <c r="B754" s="3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 x14ac:dyDescent="0.3">
      <c r="A755" s="7"/>
      <c r="B755" s="3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 x14ac:dyDescent="0.3">
      <c r="A756" s="7"/>
      <c r="B756" s="3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 x14ac:dyDescent="0.3">
      <c r="A757" s="7"/>
      <c r="B757" s="3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 x14ac:dyDescent="0.3">
      <c r="A758" s="7"/>
      <c r="B758" s="3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 x14ac:dyDescent="0.3">
      <c r="A759" s="7"/>
      <c r="B759" s="3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 x14ac:dyDescent="0.3">
      <c r="A760" s="7"/>
      <c r="B760" s="3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 x14ac:dyDescent="0.3">
      <c r="A761" s="7"/>
      <c r="B761" s="3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 x14ac:dyDescent="0.3">
      <c r="A762" s="7"/>
      <c r="B762" s="3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 x14ac:dyDescent="0.3">
      <c r="A763" s="7"/>
      <c r="B763" s="3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 x14ac:dyDescent="0.3">
      <c r="A764" s="7"/>
      <c r="B764" s="3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 x14ac:dyDescent="0.3">
      <c r="A765" s="7"/>
      <c r="B765" s="3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 x14ac:dyDescent="0.3">
      <c r="A766" s="7"/>
      <c r="B766" s="3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 x14ac:dyDescent="0.3">
      <c r="A767" s="7"/>
      <c r="B767" s="3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 x14ac:dyDescent="0.3">
      <c r="A768" s="7"/>
      <c r="B768" s="3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 x14ac:dyDescent="0.3">
      <c r="A769" s="7"/>
      <c r="B769" s="3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 x14ac:dyDescent="0.3">
      <c r="A770" s="7"/>
      <c r="B770" s="3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 x14ac:dyDescent="0.3">
      <c r="A771" s="7"/>
      <c r="B771" s="3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 x14ac:dyDescent="0.3">
      <c r="A772" s="7"/>
      <c r="B772" s="3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 x14ac:dyDescent="0.3">
      <c r="A773" s="7"/>
      <c r="B773" s="3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 x14ac:dyDescent="0.3">
      <c r="A774" s="7"/>
      <c r="B774" s="3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 x14ac:dyDescent="0.3">
      <c r="A775" s="7"/>
      <c r="B775" s="3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 x14ac:dyDescent="0.3">
      <c r="A776" s="7"/>
      <c r="B776" s="3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 x14ac:dyDescent="0.3">
      <c r="A777" s="7"/>
      <c r="B777" s="3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 x14ac:dyDescent="0.3">
      <c r="A778" s="7"/>
      <c r="B778" s="3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 x14ac:dyDescent="0.3">
      <c r="A779" s="7"/>
      <c r="B779" s="3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 x14ac:dyDescent="0.3">
      <c r="A780" s="7"/>
      <c r="B780" s="3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 x14ac:dyDescent="0.3">
      <c r="A781" s="7"/>
      <c r="B781" s="3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 x14ac:dyDescent="0.3">
      <c r="A782" s="7"/>
      <c r="B782" s="3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 x14ac:dyDescent="0.3">
      <c r="A783" s="7"/>
      <c r="B783" s="3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 x14ac:dyDescent="0.3">
      <c r="A784" s="7"/>
      <c r="B784" s="3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 x14ac:dyDescent="0.3">
      <c r="A785" s="7"/>
      <c r="B785" s="3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 x14ac:dyDescent="0.3">
      <c r="A786" s="7"/>
      <c r="B786" s="3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 x14ac:dyDescent="0.3">
      <c r="A787" s="7"/>
      <c r="B787" s="3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 x14ac:dyDescent="0.3">
      <c r="A788" s="7"/>
      <c r="B788" s="3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 x14ac:dyDescent="0.3">
      <c r="A789" s="7"/>
      <c r="B789" s="3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 x14ac:dyDescent="0.3">
      <c r="A790" s="7"/>
      <c r="B790" s="3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 x14ac:dyDescent="0.3">
      <c r="A791" s="7"/>
      <c r="B791" s="3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 x14ac:dyDescent="0.3">
      <c r="A792" s="7"/>
      <c r="B792" s="3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 x14ac:dyDescent="0.3">
      <c r="A793" s="7"/>
      <c r="B793" s="3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 x14ac:dyDescent="0.3">
      <c r="A794" s="7"/>
      <c r="B794" s="3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 x14ac:dyDescent="0.3">
      <c r="A795" s="7"/>
      <c r="B795" s="3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 x14ac:dyDescent="0.3">
      <c r="A796" s="7"/>
      <c r="B796" s="3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 x14ac:dyDescent="0.3">
      <c r="A797" s="7"/>
      <c r="B797" s="3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 x14ac:dyDescent="0.3">
      <c r="A798" s="7"/>
      <c r="B798" s="3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 x14ac:dyDescent="0.3">
      <c r="A799" s="7"/>
      <c r="B799" s="3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 x14ac:dyDescent="0.3">
      <c r="A800" s="7"/>
      <c r="B800" s="3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 x14ac:dyDescent="0.3">
      <c r="A801" s="7"/>
      <c r="B801" s="3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 x14ac:dyDescent="0.3">
      <c r="A802" s="7"/>
      <c r="B802" s="3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 x14ac:dyDescent="0.3">
      <c r="A803" s="7"/>
      <c r="B803" s="3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 x14ac:dyDescent="0.3">
      <c r="A804" s="7"/>
      <c r="B804" s="3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 x14ac:dyDescent="0.3">
      <c r="A805" s="7"/>
      <c r="B805" s="3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 x14ac:dyDescent="0.3">
      <c r="A806" s="7"/>
      <c r="B806" s="3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 x14ac:dyDescent="0.3">
      <c r="A807" s="7"/>
      <c r="B807" s="3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 x14ac:dyDescent="0.3">
      <c r="A808" s="7"/>
      <c r="B808" s="3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 x14ac:dyDescent="0.3">
      <c r="A809" s="7"/>
      <c r="B809" s="3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 x14ac:dyDescent="0.3">
      <c r="A810" s="7"/>
      <c r="B810" s="3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 x14ac:dyDescent="0.3">
      <c r="A811" s="7"/>
      <c r="B811" s="3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 x14ac:dyDescent="0.3">
      <c r="A812" s="7"/>
      <c r="B812" s="3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 x14ac:dyDescent="0.3">
      <c r="A813" s="7"/>
      <c r="B813" s="3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 x14ac:dyDescent="0.3">
      <c r="A814" s="7"/>
      <c r="B814" s="3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 x14ac:dyDescent="0.3">
      <c r="A815" s="7"/>
      <c r="B815" s="3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 x14ac:dyDescent="0.3">
      <c r="A816" s="7"/>
      <c r="B816" s="3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 x14ac:dyDescent="0.3">
      <c r="A817" s="7"/>
      <c r="B817" s="3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 x14ac:dyDescent="0.3">
      <c r="A818" s="7"/>
      <c r="B818" s="3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 x14ac:dyDescent="0.3">
      <c r="A819" s="7"/>
      <c r="B819" s="3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 x14ac:dyDescent="0.3">
      <c r="A820" s="7"/>
      <c r="B820" s="3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 x14ac:dyDescent="0.3">
      <c r="A821" s="7"/>
      <c r="B821" s="3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 x14ac:dyDescent="0.3">
      <c r="A822" s="7"/>
      <c r="B822" s="3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 x14ac:dyDescent="0.3">
      <c r="A823" s="7"/>
      <c r="B823" s="3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 x14ac:dyDescent="0.3">
      <c r="A824" s="7"/>
      <c r="B824" s="3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 x14ac:dyDescent="0.3">
      <c r="A825" s="7"/>
      <c r="B825" s="3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 x14ac:dyDescent="0.3">
      <c r="A826" s="7"/>
      <c r="B826" s="3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 x14ac:dyDescent="0.3">
      <c r="A827" s="7"/>
      <c r="B827" s="3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 x14ac:dyDescent="0.3">
      <c r="A828" s="7"/>
      <c r="B828" s="3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 x14ac:dyDescent="0.3">
      <c r="A829" s="7"/>
      <c r="B829" s="3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 x14ac:dyDescent="0.3">
      <c r="A830" s="7"/>
      <c r="B830" s="3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 x14ac:dyDescent="0.3">
      <c r="A831" s="7"/>
      <c r="B831" s="3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 x14ac:dyDescent="0.3">
      <c r="A832" s="7"/>
      <c r="B832" s="3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 x14ac:dyDescent="0.3">
      <c r="A833" s="7"/>
      <c r="B833" s="3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 x14ac:dyDescent="0.3">
      <c r="A834" s="7"/>
      <c r="B834" s="3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 x14ac:dyDescent="0.3">
      <c r="A835" s="7"/>
      <c r="B835" s="3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 x14ac:dyDescent="0.3">
      <c r="A836" s="7"/>
      <c r="B836" s="3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 x14ac:dyDescent="0.3">
      <c r="A837" s="7"/>
      <c r="B837" s="3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 x14ac:dyDescent="0.3">
      <c r="A838" s="7"/>
      <c r="B838" s="3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 x14ac:dyDescent="0.3">
      <c r="A839" s="7"/>
      <c r="B839" s="3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 x14ac:dyDescent="0.3">
      <c r="A840" s="7"/>
      <c r="B840" s="3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 x14ac:dyDescent="0.3">
      <c r="A841" s="7"/>
      <c r="B841" s="3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 x14ac:dyDescent="0.3">
      <c r="A842" s="7"/>
      <c r="B842" s="3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 x14ac:dyDescent="0.3">
      <c r="A843" s="7"/>
      <c r="B843" s="3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 x14ac:dyDescent="0.3">
      <c r="A844" s="7"/>
      <c r="B844" s="3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 x14ac:dyDescent="0.3">
      <c r="A845" s="7"/>
      <c r="B845" s="3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 x14ac:dyDescent="0.3">
      <c r="A846" s="7"/>
      <c r="B846" s="3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 x14ac:dyDescent="0.3">
      <c r="A847" s="7"/>
      <c r="B847" s="3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 x14ac:dyDescent="0.3">
      <c r="A848" s="7"/>
      <c r="B848" s="3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 x14ac:dyDescent="0.3">
      <c r="A849" s="7"/>
      <c r="B849" s="3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 x14ac:dyDescent="0.3">
      <c r="A850" s="7"/>
      <c r="B850" s="3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 x14ac:dyDescent="0.3">
      <c r="A851" s="7"/>
      <c r="B851" s="3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 x14ac:dyDescent="0.3">
      <c r="A852" s="7"/>
      <c r="B852" s="3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 x14ac:dyDescent="0.3">
      <c r="A853" s="7"/>
      <c r="B853" s="3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 x14ac:dyDescent="0.3">
      <c r="A854" s="7"/>
      <c r="B854" s="3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 x14ac:dyDescent="0.3">
      <c r="A855" s="7"/>
      <c r="B855" s="3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 x14ac:dyDescent="0.3">
      <c r="A856" s="7"/>
      <c r="B856" s="3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 x14ac:dyDescent="0.3">
      <c r="A857" s="7"/>
      <c r="B857" s="3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 x14ac:dyDescent="0.3">
      <c r="A858" s="7"/>
      <c r="B858" s="3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 x14ac:dyDescent="0.3">
      <c r="A859" s="7"/>
      <c r="B859" s="3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 x14ac:dyDescent="0.3">
      <c r="A860" s="7"/>
      <c r="B860" s="3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 x14ac:dyDescent="0.3">
      <c r="A861" s="7"/>
      <c r="B861" s="3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 x14ac:dyDescent="0.3">
      <c r="A862" s="7"/>
      <c r="B862" s="3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 x14ac:dyDescent="0.3">
      <c r="A863" s="7"/>
      <c r="B863" s="3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 x14ac:dyDescent="0.3">
      <c r="A864" s="7"/>
      <c r="B864" s="3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 x14ac:dyDescent="0.3">
      <c r="A865" s="7"/>
      <c r="B865" s="3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 x14ac:dyDescent="0.3">
      <c r="A866" s="7"/>
      <c r="B866" s="3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 x14ac:dyDescent="0.3">
      <c r="A867" s="7"/>
      <c r="B867" s="3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 x14ac:dyDescent="0.3">
      <c r="A868" s="7"/>
      <c r="B868" s="3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 x14ac:dyDescent="0.3">
      <c r="A869" s="7"/>
      <c r="B869" s="3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 x14ac:dyDescent="0.3">
      <c r="A870" s="7"/>
      <c r="B870" s="3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 x14ac:dyDescent="0.3">
      <c r="A871" s="7"/>
      <c r="B871" s="3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 x14ac:dyDescent="0.3">
      <c r="A872" s="7"/>
      <c r="B872" s="3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 x14ac:dyDescent="0.3">
      <c r="A873" s="7"/>
      <c r="B873" s="3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 x14ac:dyDescent="0.3">
      <c r="A874" s="7"/>
      <c r="B874" s="3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 x14ac:dyDescent="0.3">
      <c r="A875" s="7"/>
      <c r="B875" s="3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 x14ac:dyDescent="0.3">
      <c r="A876" s="7"/>
      <c r="B876" s="3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 x14ac:dyDescent="0.3">
      <c r="A877" s="7"/>
      <c r="B877" s="3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 x14ac:dyDescent="0.3">
      <c r="A878" s="7"/>
      <c r="B878" s="3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 x14ac:dyDescent="0.3">
      <c r="A879" s="7"/>
      <c r="B879" s="3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 x14ac:dyDescent="0.3">
      <c r="A880" s="7"/>
      <c r="B880" s="3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 x14ac:dyDescent="0.3">
      <c r="A881" s="7"/>
      <c r="B881" s="3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 x14ac:dyDescent="0.3">
      <c r="A882" s="7"/>
      <c r="B882" s="3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 x14ac:dyDescent="0.3">
      <c r="A883" s="7"/>
      <c r="B883" s="3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 x14ac:dyDescent="0.3">
      <c r="A884" s="7"/>
      <c r="B884" s="3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 x14ac:dyDescent="0.3">
      <c r="A885" s="7"/>
      <c r="B885" s="3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 x14ac:dyDescent="0.3">
      <c r="A886" s="7"/>
      <c r="B886" s="3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 x14ac:dyDescent="0.3">
      <c r="A887" s="7"/>
      <c r="B887" s="3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 x14ac:dyDescent="0.3">
      <c r="A888" s="7"/>
      <c r="B888" s="3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 x14ac:dyDescent="0.3">
      <c r="A889" s="7"/>
      <c r="B889" s="3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 x14ac:dyDescent="0.3">
      <c r="A890" s="7"/>
      <c r="B890" s="3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 x14ac:dyDescent="0.3">
      <c r="A891" s="7"/>
      <c r="B891" s="3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 x14ac:dyDescent="0.3">
      <c r="A892" s="7"/>
      <c r="B892" s="3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 x14ac:dyDescent="0.3">
      <c r="A893" s="7"/>
      <c r="B893" s="3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 x14ac:dyDescent="0.3">
      <c r="A894" s="7"/>
      <c r="B894" s="3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 x14ac:dyDescent="0.3">
      <c r="A895" s="7"/>
      <c r="B895" s="3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 x14ac:dyDescent="0.3">
      <c r="A896" s="7"/>
      <c r="B896" s="3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 x14ac:dyDescent="0.3">
      <c r="A897" s="7"/>
      <c r="B897" s="3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 x14ac:dyDescent="0.3">
      <c r="A898" s="7"/>
      <c r="B898" s="3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 x14ac:dyDescent="0.3">
      <c r="A899" s="7"/>
      <c r="B899" s="3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 x14ac:dyDescent="0.3">
      <c r="A900" s="7"/>
      <c r="B900" s="3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 x14ac:dyDescent="0.3">
      <c r="A901" s="7"/>
      <c r="B901" s="3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 x14ac:dyDescent="0.3">
      <c r="A902" s="7"/>
      <c r="B902" s="3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 x14ac:dyDescent="0.3">
      <c r="A903" s="7"/>
      <c r="B903" s="3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 x14ac:dyDescent="0.3">
      <c r="A904" s="7"/>
      <c r="B904" s="3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 x14ac:dyDescent="0.3">
      <c r="A905" s="7"/>
      <c r="B905" s="3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 x14ac:dyDescent="0.3">
      <c r="A906" s="7"/>
      <c r="B906" s="3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 x14ac:dyDescent="0.3">
      <c r="A907" s="7"/>
      <c r="B907" s="3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 x14ac:dyDescent="0.3">
      <c r="A908" s="7"/>
      <c r="B908" s="3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 x14ac:dyDescent="0.3">
      <c r="A909" s="7"/>
      <c r="B909" s="3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 x14ac:dyDescent="0.3">
      <c r="A910" s="7"/>
      <c r="B910" s="3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 x14ac:dyDescent="0.3">
      <c r="A911" s="7"/>
      <c r="B911" s="3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 x14ac:dyDescent="0.3">
      <c r="A912" s="7"/>
      <c r="B912" s="3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 x14ac:dyDescent="0.3">
      <c r="A913" s="7"/>
      <c r="B913" s="3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 x14ac:dyDescent="0.3">
      <c r="A914" s="7"/>
      <c r="B914" s="3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 x14ac:dyDescent="0.3">
      <c r="A915" s="7"/>
      <c r="B915" s="3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 x14ac:dyDescent="0.3">
      <c r="A916" s="7"/>
      <c r="B916" s="3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 x14ac:dyDescent="0.3">
      <c r="A917" s="7"/>
      <c r="B917" s="3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 x14ac:dyDescent="0.3">
      <c r="A918" s="7"/>
      <c r="B918" s="3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 x14ac:dyDescent="0.3">
      <c r="A919" s="7"/>
      <c r="B919" s="3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 x14ac:dyDescent="0.3">
      <c r="A920" s="7"/>
      <c r="B920" s="3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 x14ac:dyDescent="0.3">
      <c r="A921" s="7"/>
      <c r="B921" s="3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 x14ac:dyDescent="0.3">
      <c r="A922" s="7"/>
      <c r="B922" s="3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 x14ac:dyDescent="0.3">
      <c r="A923" s="7"/>
      <c r="B923" s="3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 x14ac:dyDescent="0.3">
      <c r="A924" s="7"/>
      <c r="B924" s="3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 x14ac:dyDescent="0.3">
      <c r="A925" s="7"/>
      <c r="B925" s="3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 x14ac:dyDescent="0.3">
      <c r="A926" s="7"/>
      <c r="B926" s="3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 x14ac:dyDescent="0.3">
      <c r="A927" s="7"/>
      <c r="B927" s="3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 x14ac:dyDescent="0.3">
      <c r="A928" s="7"/>
      <c r="B928" s="3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 x14ac:dyDescent="0.3">
      <c r="A929" s="7"/>
      <c r="B929" s="3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 x14ac:dyDescent="0.3">
      <c r="A930" s="7"/>
      <c r="B930" s="3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 x14ac:dyDescent="0.3">
      <c r="A931" s="7"/>
      <c r="B931" s="3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 x14ac:dyDescent="0.3">
      <c r="A932" s="7"/>
      <c r="B932" s="3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 x14ac:dyDescent="0.3">
      <c r="A933" s="7"/>
      <c r="B933" s="3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 x14ac:dyDescent="0.3">
      <c r="A934" s="7"/>
      <c r="B934" s="3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 x14ac:dyDescent="0.3">
      <c r="A935" s="7"/>
      <c r="B935" s="3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 x14ac:dyDescent="0.3">
      <c r="A936" s="7"/>
      <c r="B936" s="3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 x14ac:dyDescent="0.3">
      <c r="A937" s="7"/>
      <c r="B937" s="3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 x14ac:dyDescent="0.3">
      <c r="A938" s="7"/>
      <c r="B938" s="3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 x14ac:dyDescent="0.3">
      <c r="A939" s="7"/>
      <c r="B939" s="3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 x14ac:dyDescent="0.3">
      <c r="A940" s="7"/>
      <c r="B940" s="3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 x14ac:dyDescent="0.3">
      <c r="A941" s="7"/>
      <c r="B941" s="3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 x14ac:dyDescent="0.3">
      <c r="A942" s="7"/>
      <c r="B942" s="3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 x14ac:dyDescent="0.3">
      <c r="A943" s="7"/>
      <c r="B943" s="3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 x14ac:dyDescent="0.3">
      <c r="A944" s="7"/>
      <c r="B944" s="3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 x14ac:dyDescent="0.3">
      <c r="A945" s="7"/>
      <c r="B945" s="3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 x14ac:dyDescent="0.3">
      <c r="A946" s="7"/>
      <c r="B946" s="3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 x14ac:dyDescent="0.3">
      <c r="A947" s="7"/>
      <c r="B947" s="3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 x14ac:dyDescent="0.3">
      <c r="A948" s="7"/>
      <c r="B948" s="3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 x14ac:dyDescent="0.3">
      <c r="A949" s="7"/>
      <c r="B949" s="3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 x14ac:dyDescent="0.3">
      <c r="A950" s="7"/>
      <c r="B950" s="3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 x14ac:dyDescent="0.3">
      <c r="A951" s="7"/>
      <c r="B951" s="3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 x14ac:dyDescent="0.3">
      <c r="A952" s="7"/>
      <c r="B952" s="3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 x14ac:dyDescent="0.3">
      <c r="A953" s="7"/>
      <c r="B953" s="3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 x14ac:dyDescent="0.3">
      <c r="A954" s="7"/>
      <c r="B954" s="3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 x14ac:dyDescent="0.3">
      <c r="A955" s="7"/>
      <c r="B955" s="3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 x14ac:dyDescent="0.3">
      <c r="A956" s="7"/>
      <c r="B956" s="3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 x14ac:dyDescent="0.3">
      <c r="A957" s="7"/>
      <c r="B957" s="3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 x14ac:dyDescent="0.3">
      <c r="A958" s="7"/>
      <c r="B958" s="3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 x14ac:dyDescent="0.3">
      <c r="A959" s="7"/>
      <c r="B959" s="3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 x14ac:dyDescent="0.3">
      <c r="A960" s="7"/>
      <c r="B960" s="3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 x14ac:dyDescent="0.3">
      <c r="A961" s="7"/>
      <c r="B961" s="3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 x14ac:dyDescent="0.3">
      <c r="A962" s="7"/>
      <c r="B962" s="3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 x14ac:dyDescent="0.3">
      <c r="A963" s="7"/>
      <c r="B963" s="3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 x14ac:dyDescent="0.3">
      <c r="A964" s="7"/>
      <c r="B964" s="3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 x14ac:dyDescent="0.3">
      <c r="A965" s="7"/>
      <c r="B965" s="3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 x14ac:dyDescent="0.3">
      <c r="A966" s="7"/>
      <c r="B966" s="3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 x14ac:dyDescent="0.3">
      <c r="A967" s="7"/>
      <c r="B967" s="3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 x14ac:dyDescent="0.3">
      <c r="A968" s="7"/>
      <c r="B968" s="3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 x14ac:dyDescent="0.3">
      <c r="A969" s="7"/>
      <c r="B969" s="3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 x14ac:dyDescent="0.3">
      <c r="A970" s="7"/>
      <c r="B970" s="3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 x14ac:dyDescent="0.3">
      <c r="A971" s="7"/>
      <c r="B971" s="3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 x14ac:dyDescent="0.3">
      <c r="A972" s="7"/>
      <c r="B972" s="3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 x14ac:dyDescent="0.3">
      <c r="A973" s="7"/>
      <c r="B973" s="3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 x14ac:dyDescent="0.3">
      <c r="A974" s="7"/>
      <c r="B974" s="3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 x14ac:dyDescent="0.3">
      <c r="A975" s="7"/>
      <c r="B975" s="3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 x14ac:dyDescent="0.3">
      <c r="A976" s="7"/>
      <c r="B976" s="3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 x14ac:dyDescent="0.3">
      <c r="A977" s="7"/>
      <c r="B977" s="3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 x14ac:dyDescent="0.3">
      <c r="A978" s="7"/>
      <c r="B978" s="3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 x14ac:dyDescent="0.3">
      <c r="A979" s="7"/>
      <c r="B979" s="3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 x14ac:dyDescent="0.3">
      <c r="A980" s="7"/>
      <c r="B980" s="3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 x14ac:dyDescent="0.3">
      <c r="A981" s="7"/>
      <c r="B981" s="3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 x14ac:dyDescent="0.3">
      <c r="A982" s="7"/>
      <c r="B982" s="3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 x14ac:dyDescent="0.3">
      <c r="A983" s="7"/>
      <c r="B983" s="3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 x14ac:dyDescent="0.3">
      <c r="A984" s="7"/>
      <c r="B984" s="3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 x14ac:dyDescent="0.3">
      <c r="A985" s="7"/>
      <c r="B985" s="3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 x14ac:dyDescent="0.3">
      <c r="A986" s="7"/>
      <c r="B986" s="3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 x14ac:dyDescent="0.3">
      <c r="A987" s="7"/>
      <c r="B987" s="3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 x14ac:dyDescent="0.3">
      <c r="A988" s="7"/>
      <c r="B988" s="3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 x14ac:dyDescent="0.3">
      <c r="A989" s="7"/>
      <c r="B989" s="3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 x14ac:dyDescent="0.3">
      <c r="A990" s="7"/>
      <c r="B990" s="3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 x14ac:dyDescent="0.3">
      <c r="A991" s="7"/>
      <c r="B991" s="3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 x14ac:dyDescent="0.3">
      <c r="A992" s="7"/>
      <c r="B992" s="3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 x14ac:dyDescent="0.3">
      <c r="A993" s="7"/>
      <c r="B993" s="3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 x14ac:dyDescent="0.3">
      <c r="A994" s="7"/>
      <c r="B994" s="3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 x14ac:dyDescent="0.3">
      <c r="A995" s="7"/>
      <c r="B995" s="3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 x14ac:dyDescent="0.3">
      <c r="A996" s="7"/>
      <c r="B996" s="3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 x14ac:dyDescent="0.3">
      <c r="A997" s="7"/>
      <c r="B997" s="3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</sheetData>
  <mergeCells count="1">
    <mergeCell ref="A1:C1"/>
  </mergeCells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0338-8D81-534C-9A37-52A1B63894DD}">
  <dimension ref="A1:D40"/>
  <sheetViews>
    <sheetView workbookViewId="0">
      <selection activeCell="B38" sqref="B38"/>
    </sheetView>
  </sheetViews>
  <sheetFormatPr defaultColWidth="11.19921875" defaultRowHeight="15.6" x14ac:dyDescent="0.3"/>
  <cols>
    <col min="1" max="1" width="21.5" bestFit="1" customWidth="1"/>
    <col min="2" max="2" width="38" customWidth="1"/>
    <col min="3" max="3" width="20.19921875" customWidth="1"/>
  </cols>
  <sheetData>
    <row r="1" spans="1:4" s="10" customFormat="1" ht="24.6" x14ac:dyDescent="0.4">
      <c r="A1" s="371" t="s">
        <v>76</v>
      </c>
      <c r="B1" s="371"/>
      <c r="C1" s="371"/>
    </row>
    <row r="2" spans="1:4" s="10" customFormat="1" ht="10.199999999999999" customHeight="1" x14ac:dyDescent="0.4">
      <c r="A2" s="64"/>
      <c r="B2" s="64"/>
      <c r="C2" s="64"/>
    </row>
    <row r="3" spans="1:4" s="10" customFormat="1" x14ac:dyDescent="0.3">
      <c r="A3" s="83"/>
      <c r="B3" s="86" t="s">
        <v>53</v>
      </c>
      <c r="C3" s="87">
        <f>+C30</f>
        <v>209886.29750000002</v>
      </c>
      <c r="D3" s="19"/>
    </row>
    <row r="4" spans="1:4" s="10" customFormat="1" x14ac:dyDescent="0.3">
      <c r="A4" s="83"/>
      <c r="B4" s="86" t="s">
        <v>54</v>
      </c>
      <c r="C4" s="87">
        <f>+C39</f>
        <v>80497.820000000007</v>
      </c>
      <c r="D4" s="19"/>
    </row>
    <row r="5" spans="1:4" s="10" customFormat="1" x14ac:dyDescent="0.3">
      <c r="A5" s="83"/>
      <c r="B5" s="102" t="s">
        <v>55</v>
      </c>
      <c r="C5" s="90">
        <f>SUM(C3:C4)</f>
        <v>290384.11750000005</v>
      </c>
      <c r="D5" s="19"/>
    </row>
    <row r="6" spans="1:4" s="10" customFormat="1" x14ac:dyDescent="0.3">
      <c r="A6" s="83"/>
      <c r="B6" s="83"/>
      <c r="C6" s="84"/>
      <c r="D6" s="19"/>
    </row>
    <row r="7" spans="1:4" s="10" customFormat="1" x14ac:dyDescent="0.3">
      <c r="A7" s="104"/>
      <c r="B7" s="70" t="s">
        <v>52</v>
      </c>
      <c r="C7" s="103"/>
      <c r="D7" s="16"/>
    </row>
    <row r="8" spans="1:4" s="10" customFormat="1" x14ac:dyDescent="0.3">
      <c r="A8" s="88" t="s">
        <v>49</v>
      </c>
      <c r="B8" s="88" t="s">
        <v>31</v>
      </c>
      <c r="C8" s="69" t="s">
        <v>51</v>
      </c>
      <c r="D8" s="76"/>
    </row>
    <row r="9" spans="1:4" s="10" customFormat="1" ht="18" x14ac:dyDescent="0.5">
      <c r="A9" s="20" t="s">
        <v>1</v>
      </c>
      <c r="B9" s="111" t="s">
        <v>2</v>
      </c>
      <c r="C9" s="114">
        <v>51603.457499999997</v>
      </c>
      <c r="D9" s="76"/>
    </row>
    <row r="10" spans="1:4" s="10" customFormat="1" ht="18" x14ac:dyDescent="0.5">
      <c r="A10" s="20" t="s">
        <v>1</v>
      </c>
      <c r="B10" s="111" t="s">
        <v>3</v>
      </c>
      <c r="C10" s="114">
        <v>5825</v>
      </c>
      <c r="D10" s="78"/>
    </row>
    <row r="11" spans="1:4" s="10" customFormat="1" ht="18" x14ac:dyDescent="0.5">
      <c r="A11" s="20" t="s">
        <v>1</v>
      </c>
      <c r="B11" s="111" t="s">
        <v>4</v>
      </c>
      <c r="C11" s="114">
        <v>1335.08</v>
      </c>
      <c r="D11" s="78"/>
    </row>
    <row r="12" spans="1:4" s="10" customFormat="1" ht="18" x14ac:dyDescent="0.5">
      <c r="A12" s="20" t="s">
        <v>1</v>
      </c>
      <c r="B12" s="111" t="s">
        <v>62</v>
      </c>
      <c r="C12" s="114">
        <v>46031.5</v>
      </c>
      <c r="D12" s="78"/>
    </row>
    <row r="13" spans="1:4" s="10" customFormat="1" ht="18" x14ac:dyDescent="0.5">
      <c r="A13" s="20" t="s">
        <v>1</v>
      </c>
      <c r="B13" s="111" t="s">
        <v>5</v>
      </c>
      <c r="C13" s="114">
        <v>16798.122499999998</v>
      </c>
      <c r="D13" s="78"/>
    </row>
    <row r="14" spans="1:4" s="10" customFormat="1" ht="18" x14ac:dyDescent="0.5">
      <c r="A14" s="20" t="s">
        <v>1</v>
      </c>
      <c r="B14" s="112" t="s">
        <v>6</v>
      </c>
      <c r="C14" s="114">
        <v>2287.75</v>
      </c>
      <c r="D14" s="78"/>
    </row>
    <row r="15" spans="1:4" s="10" customFormat="1" ht="18" x14ac:dyDescent="0.5">
      <c r="A15" s="20" t="s">
        <v>1</v>
      </c>
      <c r="B15" s="111" t="s">
        <v>7</v>
      </c>
      <c r="C15" s="114">
        <v>2177.5</v>
      </c>
      <c r="D15" s="77"/>
    </row>
    <row r="16" spans="1:4" s="10" customFormat="1" ht="18" x14ac:dyDescent="0.5">
      <c r="A16" s="20" t="s">
        <v>1</v>
      </c>
      <c r="B16" s="111" t="s">
        <v>8</v>
      </c>
      <c r="C16" s="114">
        <v>0</v>
      </c>
      <c r="D16" s="78"/>
    </row>
    <row r="17" spans="1:4" s="10" customFormat="1" ht="18" x14ac:dyDescent="0.5">
      <c r="A17" s="20" t="s">
        <v>1</v>
      </c>
      <c r="B17" s="111" t="s">
        <v>63</v>
      </c>
      <c r="C17" s="114">
        <v>0</v>
      </c>
      <c r="D17" s="78"/>
    </row>
    <row r="18" spans="1:4" s="10" customFormat="1" ht="18" x14ac:dyDescent="0.5">
      <c r="A18" s="20" t="s">
        <v>1</v>
      </c>
      <c r="B18" s="111" t="s">
        <v>9</v>
      </c>
      <c r="C18" s="114">
        <v>0</v>
      </c>
      <c r="D18" s="78"/>
    </row>
    <row r="19" spans="1:4" s="10" customFormat="1" ht="18" x14ac:dyDescent="0.5">
      <c r="A19" s="20" t="s">
        <v>1</v>
      </c>
      <c r="B19" s="111" t="s">
        <v>64</v>
      </c>
      <c r="C19" s="114">
        <v>39989.794999999998</v>
      </c>
      <c r="D19" s="78"/>
    </row>
    <row r="20" spans="1:4" s="10" customFormat="1" ht="18" x14ac:dyDescent="0.5">
      <c r="A20" s="20" t="s">
        <v>1</v>
      </c>
      <c r="B20" s="111" t="s">
        <v>65</v>
      </c>
      <c r="C20" s="114">
        <v>9375</v>
      </c>
      <c r="D20" s="78"/>
    </row>
    <row r="21" spans="1:4" s="10" customFormat="1" ht="18" x14ac:dyDescent="0.5">
      <c r="A21" s="20" t="s">
        <v>1</v>
      </c>
      <c r="B21" s="111" t="s">
        <v>66</v>
      </c>
      <c r="C21" s="114">
        <v>7604.4949999999999</v>
      </c>
      <c r="D21" s="81"/>
    </row>
    <row r="22" spans="1:4" s="10" customFormat="1" ht="18" x14ac:dyDescent="0.5">
      <c r="A22" s="20" t="s">
        <v>1</v>
      </c>
      <c r="B22" s="111" t="s">
        <v>10</v>
      </c>
      <c r="C22" s="114">
        <v>4442.3474999999999</v>
      </c>
      <c r="D22" s="81"/>
    </row>
    <row r="23" spans="1:4" s="10" customFormat="1" ht="18" x14ac:dyDescent="0.5">
      <c r="A23" s="20" t="s">
        <v>1</v>
      </c>
      <c r="B23" s="111" t="s">
        <v>11</v>
      </c>
      <c r="C23" s="114">
        <v>5128.75</v>
      </c>
      <c r="D23" s="81"/>
    </row>
    <row r="24" spans="1:4" s="10" customFormat="1" ht="18" x14ac:dyDescent="0.5">
      <c r="A24" s="20" t="s">
        <v>1</v>
      </c>
      <c r="B24" s="113" t="s">
        <v>12</v>
      </c>
      <c r="C24" s="114">
        <v>17287.5</v>
      </c>
      <c r="D24" s="81"/>
    </row>
    <row r="25" spans="1:4" s="10" customFormat="1" ht="18" x14ac:dyDescent="0.5">
      <c r="A25" s="20"/>
      <c r="B25" s="111" t="s">
        <v>67</v>
      </c>
      <c r="C25" s="114">
        <v>0</v>
      </c>
      <c r="D25" s="81"/>
    </row>
    <row r="26" spans="1:4" s="10" customFormat="1" x14ac:dyDescent="0.3">
      <c r="A26" s="20"/>
      <c r="B26" s="21"/>
      <c r="C26" s="22"/>
      <c r="D26" s="81"/>
    </row>
    <row r="27" spans="1:4" s="10" customFormat="1" x14ac:dyDescent="0.3">
      <c r="A27" s="20"/>
      <c r="B27" s="21"/>
      <c r="C27" s="22"/>
      <c r="D27" s="81"/>
    </row>
    <row r="28" spans="1:4" s="10" customFormat="1" x14ac:dyDescent="0.3">
      <c r="A28" s="20"/>
      <c r="B28" s="21" t="s">
        <v>13</v>
      </c>
      <c r="C28" s="22"/>
      <c r="D28" s="81"/>
    </row>
    <row r="29" spans="1:4" s="10" customFormat="1" x14ac:dyDescent="0.3">
      <c r="A29" s="20"/>
      <c r="B29" s="21"/>
      <c r="C29" s="22"/>
      <c r="D29" s="81"/>
    </row>
    <row r="30" spans="1:4" s="10" customFormat="1" x14ac:dyDescent="0.3">
      <c r="A30" s="88" t="s">
        <v>22</v>
      </c>
      <c r="B30" s="89"/>
      <c r="C30" s="90">
        <f>SUBTOTAL(9,C9:C28)</f>
        <v>209886.29750000002</v>
      </c>
      <c r="D30" s="82"/>
    </row>
    <row r="31" spans="1:4" s="10" customFormat="1" x14ac:dyDescent="0.3">
      <c r="A31" s="20"/>
      <c r="B31" s="21"/>
      <c r="C31" s="22"/>
      <c r="D31" s="82"/>
    </row>
    <row r="32" spans="1:4" s="10" customFormat="1" x14ac:dyDescent="0.3">
      <c r="A32" s="253" t="s">
        <v>14</v>
      </c>
      <c r="B32" s="253" t="s">
        <v>102</v>
      </c>
      <c r="C32" s="254">
        <f>+'[3] EXPENSES HOUSE'!$D$5</f>
        <v>60875.360000000001</v>
      </c>
      <c r="D32" s="82"/>
    </row>
    <row r="33" spans="1:4" s="10" customFormat="1" x14ac:dyDescent="0.3">
      <c r="A33" s="253" t="s">
        <v>14</v>
      </c>
      <c r="B33" s="253" t="s">
        <v>103</v>
      </c>
      <c r="C33" s="254">
        <v>1500</v>
      </c>
      <c r="D33" s="82"/>
    </row>
    <row r="34" spans="1:4" s="10" customFormat="1" x14ac:dyDescent="0.3">
      <c r="A34" s="253" t="s">
        <v>14</v>
      </c>
      <c r="B34" s="255" t="s">
        <v>104</v>
      </c>
      <c r="C34" s="254">
        <f>+'[3] EXPENSES HOUSE'!$E$5</f>
        <v>2572.46</v>
      </c>
      <c r="D34" s="82"/>
    </row>
    <row r="35" spans="1:4" s="10" customFormat="1" x14ac:dyDescent="0.3">
      <c r="A35" s="253" t="s">
        <v>14</v>
      </c>
      <c r="B35" s="256" t="s">
        <v>105</v>
      </c>
      <c r="C35" s="254">
        <f>+'[3] EXPENSES HOUSE'!$H$5</f>
        <v>15550</v>
      </c>
      <c r="D35" s="82"/>
    </row>
    <row r="36" spans="1:4" s="10" customFormat="1" x14ac:dyDescent="0.3">
      <c r="A36" s="23" t="s">
        <v>14</v>
      </c>
      <c r="B36" s="25"/>
      <c r="C36" s="24"/>
      <c r="D36" s="79"/>
    </row>
    <row r="37" spans="1:4" s="10" customFormat="1" x14ac:dyDescent="0.3">
      <c r="A37" s="23" t="s">
        <v>14</v>
      </c>
      <c r="B37" s="26"/>
      <c r="C37" s="24"/>
      <c r="D37" s="78"/>
    </row>
    <row r="38" spans="1:4" s="10" customFormat="1" x14ac:dyDescent="0.3">
      <c r="A38" s="23"/>
      <c r="B38" s="26"/>
      <c r="C38" s="24"/>
      <c r="D38" s="78"/>
    </row>
    <row r="39" spans="1:4" s="10" customFormat="1" x14ac:dyDescent="0.3">
      <c r="A39" s="88" t="s">
        <v>22</v>
      </c>
      <c r="B39" s="88"/>
      <c r="C39" s="69">
        <f>SUBTOTAL(9,C32:C37)</f>
        <v>80497.820000000007</v>
      </c>
      <c r="D39" s="78"/>
    </row>
    <row r="40" spans="1:4" x14ac:dyDescent="0.3">
      <c r="D40" s="80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538E-3D98-4558-93A4-425A35AD2CAF}">
  <sheetPr>
    <tabColor rgb="FFF4B083"/>
  </sheetPr>
  <dimension ref="A1:Z1024"/>
  <sheetViews>
    <sheetView topLeftCell="H1" workbookViewId="0">
      <pane xSplit="2" ySplit="4" topLeftCell="J5" activePane="bottomRight" state="frozen"/>
      <selection activeCell="H1" sqref="H1"/>
      <selection pane="topRight" activeCell="J1" sqref="J1"/>
      <selection pane="bottomLeft" activeCell="H5" sqref="H5"/>
      <selection pane="bottomRight" activeCell="J2" sqref="J2"/>
    </sheetView>
  </sheetViews>
  <sheetFormatPr defaultColWidth="13" defaultRowHeight="15" customHeight="1" x14ac:dyDescent="0.3"/>
  <cols>
    <col min="1" max="2" width="9" style="263" hidden="1" customWidth="1"/>
    <col min="3" max="3" width="39.59765625" style="263" hidden="1" customWidth="1"/>
    <col min="4" max="5" width="9.5" style="263" hidden="1" customWidth="1"/>
    <col min="6" max="6" width="7.796875" style="263" hidden="1" customWidth="1"/>
    <col min="7" max="7" width="2.69921875" style="263" hidden="1" customWidth="1"/>
    <col min="8" max="8" width="14" style="358" customWidth="1"/>
    <col min="9" max="9" width="37.796875" style="263" customWidth="1"/>
    <col min="10" max="10" width="12.8984375" style="263" customWidth="1"/>
    <col min="11" max="11" width="9.59765625" style="263" customWidth="1"/>
    <col min="12" max="12" width="10.796875" style="263" customWidth="1"/>
    <col min="13" max="13" width="15.69921875" style="265" customWidth="1"/>
    <col min="14" max="14" width="12.796875" style="265" customWidth="1"/>
    <col min="15" max="15" width="16" style="265" customWidth="1"/>
    <col min="16" max="16" width="5.796875" style="263" customWidth="1"/>
    <col min="17" max="17" width="7.19921875" style="263" customWidth="1"/>
    <col min="18" max="18" width="7.796875" style="263" bestFit="1" customWidth="1"/>
    <col min="19" max="19" width="9.59765625" style="263" customWidth="1"/>
    <col min="20" max="26" width="7.796875" style="263" customWidth="1"/>
    <col min="27" max="16384" width="13" style="263"/>
  </cols>
  <sheetData>
    <row r="1" spans="1:21" ht="18" x14ac:dyDescent="0.35">
      <c r="A1" s="257" t="s">
        <v>90</v>
      </c>
      <c r="B1" s="257"/>
      <c r="C1" s="258"/>
      <c r="D1" s="259"/>
      <c r="E1" s="260" t="s">
        <v>91</v>
      </c>
      <c r="F1" s="261">
        <f>F34</f>
        <v>0</v>
      </c>
      <c r="G1" s="262"/>
      <c r="H1" s="353" t="s">
        <v>92</v>
      </c>
      <c r="I1" s="262"/>
      <c r="K1" s="264"/>
    </row>
    <row r="2" spans="1:21" ht="18" x14ac:dyDescent="0.35">
      <c r="A2" s="257"/>
      <c r="B2" s="257"/>
      <c r="C2" s="258"/>
      <c r="D2" s="259"/>
      <c r="E2" s="260"/>
      <c r="F2" s="261"/>
      <c r="G2" s="262"/>
      <c r="H2" s="359" t="s">
        <v>93</v>
      </c>
      <c r="I2" s="360"/>
      <c r="J2" s="266">
        <f>+L56</f>
        <v>950</v>
      </c>
      <c r="K2" s="264"/>
      <c r="L2" s="267"/>
      <c r="M2" s="268" t="s">
        <v>78</v>
      </c>
      <c r="N2" s="269"/>
      <c r="O2" s="269">
        <f>+O56</f>
        <v>153220</v>
      </c>
      <c r="R2" s="270"/>
      <c r="S2" s="271"/>
      <c r="T2" s="271"/>
      <c r="U2" s="272"/>
    </row>
    <row r="3" spans="1:21" ht="14.4" x14ac:dyDescent="0.3">
      <c r="A3" s="273"/>
      <c r="B3" s="274"/>
      <c r="C3" s="275"/>
      <c r="D3" s="361" t="s">
        <v>15</v>
      </c>
      <c r="E3" s="362"/>
      <c r="F3" s="363"/>
      <c r="H3" s="354"/>
      <c r="I3" s="275"/>
      <c r="J3" s="276"/>
      <c r="K3" s="277" t="s">
        <v>16</v>
      </c>
      <c r="L3" s="278"/>
      <c r="M3" s="279"/>
      <c r="N3" s="279"/>
      <c r="O3" s="280"/>
    </row>
    <row r="4" spans="1:21" ht="14.4" x14ac:dyDescent="0.3">
      <c r="A4" s="281" t="s">
        <v>17</v>
      </c>
      <c r="B4" s="282"/>
      <c r="C4" s="283" t="s">
        <v>18</v>
      </c>
      <c r="D4" s="283" t="s">
        <v>19</v>
      </c>
      <c r="E4" s="283" t="s">
        <v>20</v>
      </c>
      <c r="F4" s="284" t="s">
        <v>21</v>
      </c>
      <c r="H4" s="355" t="s">
        <v>17</v>
      </c>
      <c r="I4" s="283" t="s">
        <v>18</v>
      </c>
      <c r="J4" s="285" t="s">
        <v>20</v>
      </c>
      <c r="K4" s="285" t="s">
        <v>19</v>
      </c>
      <c r="L4" s="286" t="s">
        <v>21</v>
      </c>
      <c r="M4" s="287" t="s">
        <v>20</v>
      </c>
      <c r="N4" s="287" t="s">
        <v>19</v>
      </c>
      <c r="O4" s="288" t="s">
        <v>21</v>
      </c>
    </row>
    <row r="5" spans="1:21" ht="14.4" x14ac:dyDescent="0.3">
      <c r="A5" s="281"/>
      <c r="B5" s="282"/>
      <c r="C5" s="283"/>
      <c r="D5" s="283"/>
      <c r="E5" s="283"/>
      <c r="F5" s="284"/>
      <c r="H5" s="355">
        <v>46036</v>
      </c>
      <c r="I5" s="283" t="s">
        <v>94</v>
      </c>
      <c r="J5" s="285"/>
      <c r="K5" s="285"/>
      <c r="L5" s="289">
        <f>+J5-K5</f>
        <v>0</v>
      </c>
      <c r="M5" s="287"/>
      <c r="N5" s="287">
        <v>770</v>
      </c>
      <c r="O5" s="288">
        <f>+M5-N5</f>
        <v>-770</v>
      </c>
    </row>
    <row r="6" spans="1:21" ht="14.4" x14ac:dyDescent="0.3">
      <c r="A6" s="290"/>
      <c r="B6" s="291"/>
      <c r="C6" s="283"/>
      <c r="D6" s="292"/>
      <c r="E6" s="292"/>
      <c r="F6" s="293"/>
      <c r="H6" s="355">
        <v>46129</v>
      </c>
      <c r="I6" s="283" t="s">
        <v>95</v>
      </c>
      <c r="J6" s="285"/>
      <c r="K6" s="285"/>
      <c r="L6" s="289">
        <f>+L5+J6-K6</f>
        <v>0</v>
      </c>
      <c r="M6" s="294">
        <v>266750</v>
      </c>
      <c r="N6" s="294"/>
      <c r="O6" s="288">
        <f>+O5+M6-N6</f>
        <v>265980</v>
      </c>
    </row>
    <row r="7" spans="1:21" ht="11.4" customHeight="1" x14ac:dyDescent="0.3">
      <c r="A7" s="290"/>
      <c r="B7" s="291"/>
      <c r="C7" s="283"/>
      <c r="D7" s="292"/>
      <c r="E7" s="292"/>
      <c r="F7" s="293"/>
      <c r="H7" s="355">
        <v>46129</v>
      </c>
      <c r="I7" s="283" t="s">
        <v>96</v>
      </c>
      <c r="J7" s="285"/>
      <c r="K7" s="285"/>
      <c r="L7" s="289">
        <f t="shared" ref="L7:L12" si="0">+L6+J7-K7</f>
        <v>0</v>
      </c>
      <c r="M7" s="294"/>
      <c r="N7" s="294">
        <v>49700</v>
      </c>
      <c r="O7" s="288">
        <f>+O6+M7-N7</f>
        <v>216280</v>
      </c>
    </row>
    <row r="8" spans="1:21" ht="14.4" x14ac:dyDescent="0.3">
      <c r="A8" s="290"/>
      <c r="B8" s="291"/>
      <c r="C8" s="283"/>
      <c r="D8" s="292"/>
      <c r="E8" s="292"/>
      <c r="F8" s="293"/>
      <c r="H8" s="355">
        <v>46132</v>
      </c>
      <c r="I8" s="283" t="s">
        <v>112</v>
      </c>
      <c r="J8" s="285"/>
      <c r="K8" s="285"/>
      <c r="L8" s="289">
        <f t="shared" si="0"/>
        <v>0</v>
      </c>
      <c r="M8" s="294"/>
      <c r="N8" s="294">
        <f>+'[1]Petrol and Parks (2)'!$G$23</f>
        <v>19200</v>
      </c>
      <c r="O8" s="288">
        <f t="shared" ref="O8:O13" si="1">+O7+M8-N8</f>
        <v>197080</v>
      </c>
    </row>
    <row r="9" spans="1:21" ht="14.4" x14ac:dyDescent="0.3">
      <c r="A9" s="281"/>
      <c r="B9" s="282"/>
      <c r="C9" s="283"/>
      <c r="D9" s="292"/>
      <c r="E9" s="292"/>
      <c r="F9" s="293"/>
      <c r="H9" s="355">
        <v>46132</v>
      </c>
      <c r="I9" s="283" t="s">
        <v>107</v>
      </c>
      <c r="J9" s="285"/>
      <c r="K9" s="285"/>
      <c r="L9" s="289">
        <f t="shared" si="0"/>
        <v>0</v>
      </c>
      <c r="M9" s="294"/>
      <c r="N9" s="294">
        <v>3360</v>
      </c>
      <c r="O9" s="288">
        <f t="shared" si="1"/>
        <v>193720</v>
      </c>
    </row>
    <row r="10" spans="1:21" ht="14.4" x14ac:dyDescent="0.3">
      <c r="A10" s="290"/>
      <c r="B10" s="291"/>
      <c r="C10" s="283"/>
      <c r="D10" s="292"/>
      <c r="E10" s="292"/>
      <c r="F10" s="293"/>
      <c r="H10" s="355">
        <v>46132</v>
      </c>
      <c r="I10" s="283" t="s">
        <v>113</v>
      </c>
      <c r="J10" s="285"/>
      <c r="K10" s="285"/>
      <c r="L10" s="289">
        <f t="shared" si="0"/>
        <v>0</v>
      </c>
      <c r="M10" s="294"/>
      <c r="N10" s="294">
        <v>6000</v>
      </c>
      <c r="O10" s="288">
        <f t="shared" si="1"/>
        <v>187720</v>
      </c>
    </row>
    <row r="11" spans="1:21" ht="14.4" x14ac:dyDescent="0.3">
      <c r="A11" s="290"/>
      <c r="B11" s="291"/>
      <c r="C11" s="283"/>
      <c r="D11" s="292"/>
      <c r="E11" s="292"/>
      <c r="F11" s="293"/>
      <c r="H11" s="355">
        <v>46132</v>
      </c>
      <c r="I11" s="283" t="s">
        <v>108</v>
      </c>
      <c r="J11" s="285"/>
      <c r="K11" s="285"/>
      <c r="L11" s="289">
        <f t="shared" si="0"/>
        <v>0</v>
      </c>
      <c r="M11" s="294"/>
      <c r="N11" s="294">
        <v>34500</v>
      </c>
      <c r="O11" s="288">
        <f t="shared" si="1"/>
        <v>153220</v>
      </c>
    </row>
    <row r="12" spans="1:21" ht="14.4" x14ac:dyDescent="0.3">
      <c r="A12" s="290"/>
      <c r="B12" s="291"/>
      <c r="C12" s="283"/>
      <c r="D12" s="296"/>
      <c r="E12" s="296"/>
      <c r="F12" s="293"/>
      <c r="G12" s="297"/>
      <c r="H12" s="355">
        <v>46133</v>
      </c>
      <c r="I12" s="283" t="s">
        <v>114</v>
      </c>
      <c r="J12" s="285">
        <v>950</v>
      </c>
      <c r="K12" s="285"/>
      <c r="L12" s="289">
        <f t="shared" si="0"/>
        <v>950</v>
      </c>
      <c r="M12" s="294"/>
      <c r="N12" s="294"/>
      <c r="O12" s="288">
        <f t="shared" si="1"/>
        <v>153220</v>
      </c>
    </row>
    <row r="13" spans="1:21" ht="14.4" x14ac:dyDescent="0.3">
      <c r="A13" s="290"/>
      <c r="B13" s="291"/>
      <c r="C13" s="283"/>
      <c r="D13" s="296"/>
      <c r="E13" s="292"/>
      <c r="F13" s="293"/>
      <c r="H13" s="355"/>
      <c r="I13" s="283"/>
      <c r="J13" s="285"/>
      <c r="K13" s="285"/>
      <c r="L13" s="289"/>
      <c r="M13" s="294"/>
      <c r="N13" s="294"/>
      <c r="O13" s="288">
        <f t="shared" si="1"/>
        <v>153220</v>
      </c>
    </row>
    <row r="14" spans="1:21" ht="14.4" x14ac:dyDescent="0.3">
      <c r="A14" s="290"/>
      <c r="B14" s="291"/>
      <c r="C14" s="298"/>
      <c r="D14" s="296"/>
      <c r="E14" s="292"/>
      <c r="F14" s="293"/>
      <c r="H14" s="355"/>
      <c r="I14" s="283"/>
      <c r="J14" s="285"/>
      <c r="K14" s="285"/>
      <c r="L14" s="289"/>
      <c r="M14" s="294"/>
      <c r="N14" s="294"/>
      <c r="O14" s="295"/>
    </row>
    <row r="15" spans="1:21" ht="14.4" x14ac:dyDescent="0.3">
      <c r="A15" s="290"/>
      <c r="B15" s="291"/>
      <c r="C15" s="298"/>
      <c r="D15" s="296"/>
      <c r="E15" s="296"/>
      <c r="F15" s="293"/>
      <c r="H15" s="355"/>
      <c r="I15" s="283"/>
      <c r="J15" s="285"/>
      <c r="K15" s="285"/>
      <c r="L15" s="289"/>
      <c r="M15" s="294"/>
      <c r="N15" s="294"/>
      <c r="O15" s="295"/>
    </row>
    <row r="16" spans="1:21" ht="14.4" x14ac:dyDescent="0.3">
      <c r="A16" s="290"/>
      <c r="B16" s="291"/>
      <c r="C16" s="298"/>
      <c r="D16" s="296"/>
      <c r="E16" s="292"/>
      <c r="F16" s="293"/>
      <c r="H16" s="355"/>
      <c r="I16" s="283"/>
      <c r="J16" s="285"/>
      <c r="K16" s="285"/>
      <c r="L16" s="289"/>
      <c r="M16" s="294"/>
      <c r="N16" s="294"/>
      <c r="O16" s="295"/>
    </row>
    <row r="17" spans="1:26" ht="14.4" x14ac:dyDescent="0.3">
      <c r="A17" s="290"/>
      <c r="B17" s="291"/>
      <c r="C17" s="298"/>
      <c r="D17" s="296"/>
      <c r="E17" s="292"/>
      <c r="F17" s="293"/>
      <c r="H17" s="355"/>
      <c r="I17" s="283"/>
      <c r="J17" s="285"/>
      <c r="K17" s="285"/>
      <c r="L17" s="289"/>
      <c r="M17" s="294"/>
      <c r="N17" s="294"/>
      <c r="O17" s="295"/>
    </row>
    <row r="18" spans="1:26" ht="14.4" x14ac:dyDescent="0.3">
      <c r="A18" s="290"/>
      <c r="B18" s="291"/>
      <c r="C18" s="298"/>
      <c r="D18" s="296"/>
      <c r="E18" s="292"/>
      <c r="F18" s="299"/>
      <c r="H18" s="355"/>
      <c r="I18" s="283"/>
      <c r="J18" s="285"/>
      <c r="K18" s="285"/>
      <c r="L18" s="289"/>
      <c r="M18" s="294"/>
      <c r="N18" s="294"/>
      <c r="O18" s="295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 spans="1:26" ht="14.4" x14ac:dyDescent="0.3">
      <c r="A19" s="290"/>
      <c r="B19" s="291"/>
      <c r="C19" s="298"/>
      <c r="D19" s="296"/>
      <c r="E19" s="292"/>
      <c r="F19" s="293"/>
      <c r="H19" s="355"/>
      <c r="I19" s="283"/>
      <c r="J19" s="285"/>
      <c r="K19" s="285"/>
      <c r="L19" s="289"/>
      <c r="M19" s="294"/>
      <c r="N19" s="294"/>
      <c r="O19" s="295"/>
    </row>
    <row r="20" spans="1:26" ht="12.6" customHeight="1" x14ac:dyDescent="0.3">
      <c r="A20" s="290"/>
      <c r="B20" s="291"/>
      <c r="C20" s="298"/>
      <c r="D20" s="296"/>
      <c r="E20" s="292"/>
      <c r="F20" s="293"/>
      <c r="H20" s="355"/>
      <c r="I20" s="283"/>
      <c r="J20" s="285"/>
      <c r="K20" s="285"/>
      <c r="L20" s="289"/>
      <c r="M20" s="294"/>
      <c r="N20" s="294"/>
      <c r="O20" s="295"/>
    </row>
    <row r="21" spans="1:26" ht="14.4" x14ac:dyDescent="0.3">
      <c r="A21" s="290"/>
      <c r="B21" s="291"/>
      <c r="C21" s="298"/>
      <c r="D21" s="296"/>
      <c r="E21" s="292"/>
      <c r="F21" s="293"/>
      <c r="H21" s="355"/>
      <c r="I21" s="283"/>
      <c r="J21" s="285"/>
      <c r="K21" s="285"/>
      <c r="L21" s="289"/>
      <c r="M21" s="294"/>
      <c r="N21" s="294"/>
      <c r="O21" s="295"/>
      <c r="Q21" s="301"/>
      <c r="R21" s="301"/>
    </row>
    <row r="22" spans="1:26" ht="14.4" x14ac:dyDescent="0.3">
      <c r="A22" s="290"/>
      <c r="B22" s="291"/>
      <c r="C22" s="298"/>
      <c r="D22" s="296"/>
      <c r="E22" s="292"/>
      <c r="F22" s="293"/>
      <c r="H22" s="355"/>
      <c r="I22" s="283"/>
      <c r="J22" s="285"/>
      <c r="K22" s="285"/>
      <c r="L22" s="289"/>
      <c r="M22" s="294"/>
      <c r="N22" s="294"/>
      <c r="O22" s="295"/>
      <c r="Q22" s="302"/>
    </row>
    <row r="23" spans="1:26" ht="14.4" x14ac:dyDescent="0.3">
      <c r="A23" s="290"/>
      <c r="B23" s="291"/>
      <c r="C23" s="283"/>
      <c r="D23" s="296"/>
      <c r="E23" s="292"/>
      <c r="F23" s="293"/>
      <c r="H23" s="355"/>
      <c r="I23" s="283"/>
      <c r="J23" s="285"/>
      <c r="K23" s="285"/>
      <c r="L23" s="289"/>
      <c r="M23" s="294"/>
      <c r="N23" s="294"/>
      <c r="O23" s="295"/>
    </row>
    <row r="24" spans="1:26" ht="15.75" customHeight="1" x14ac:dyDescent="0.3">
      <c r="A24" s="303"/>
      <c r="B24" s="304"/>
      <c r="C24" s="305"/>
      <c r="D24" s="305"/>
      <c r="E24" s="305"/>
      <c r="F24" s="306"/>
      <c r="H24" s="355"/>
      <c r="I24" s="283"/>
      <c r="J24" s="285"/>
      <c r="K24" s="285"/>
      <c r="L24" s="289"/>
      <c r="M24" s="294"/>
      <c r="N24" s="294"/>
      <c r="O24" s="295"/>
    </row>
    <row r="25" spans="1:26" ht="15.75" customHeight="1" x14ac:dyDescent="0.3">
      <c r="A25" s="307"/>
      <c r="D25" s="292"/>
      <c r="E25" s="292"/>
      <c r="F25" s="293"/>
      <c r="H25" s="355"/>
      <c r="I25" s="283"/>
      <c r="J25" s="285"/>
      <c r="K25" s="285"/>
      <c r="L25" s="289"/>
      <c r="M25" s="294"/>
      <c r="N25" s="287"/>
      <c r="O25" s="295"/>
      <c r="Q25" s="308"/>
      <c r="R25" s="308"/>
    </row>
    <row r="26" spans="1:26" ht="15.75" customHeight="1" x14ac:dyDescent="0.3">
      <c r="A26" s="290"/>
      <c r="B26" s="291"/>
      <c r="C26" s="283"/>
      <c r="D26" s="292"/>
      <c r="E26" s="292"/>
      <c r="F26" s="293"/>
      <c r="H26" s="355"/>
      <c r="I26" s="283"/>
      <c r="J26" s="285"/>
      <c r="K26" s="285"/>
      <c r="L26" s="289"/>
      <c r="M26" s="294"/>
      <c r="N26" s="294"/>
      <c r="O26" s="295"/>
    </row>
    <row r="27" spans="1:26" ht="15.75" customHeight="1" x14ac:dyDescent="0.3">
      <c r="A27" s="290"/>
      <c r="B27" s="291"/>
      <c r="C27" s="283"/>
      <c r="D27" s="292"/>
      <c r="E27" s="292"/>
      <c r="F27" s="293"/>
      <c r="H27" s="355"/>
      <c r="I27" s="283"/>
      <c r="J27" s="285"/>
      <c r="K27" s="285"/>
      <c r="L27" s="289"/>
      <c r="M27" s="294"/>
      <c r="N27" s="294"/>
      <c r="O27" s="295"/>
    </row>
    <row r="28" spans="1:26" ht="15.75" customHeight="1" x14ac:dyDescent="0.3">
      <c r="A28" s="290"/>
      <c r="B28" s="291"/>
      <c r="C28" s="283"/>
      <c r="D28" s="292"/>
      <c r="E28" s="292"/>
      <c r="F28" s="293"/>
      <c r="H28" s="355"/>
      <c r="I28" s="283"/>
      <c r="J28" s="285"/>
      <c r="K28" s="285"/>
      <c r="L28" s="289"/>
      <c r="M28" s="294"/>
      <c r="N28" s="294"/>
      <c r="O28" s="295"/>
    </row>
    <row r="29" spans="1:26" ht="15.75" customHeight="1" x14ac:dyDescent="0.3">
      <c r="A29" s="290"/>
      <c r="B29" s="291"/>
      <c r="C29" s="283"/>
      <c r="D29" s="292"/>
      <c r="E29" s="292"/>
      <c r="F29" s="293"/>
      <c r="H29" s="355"/>
      <c r="I29" s="283"/>
      <c r="J29" s="285"/>
      <c r="K29" s="285"/>
      <c r="L29" s="289"/>
      <c r="M29" s="294"/>
      <c r="N29" s="294"/>
      <c r="O29" s="295"/>
    </row>
    <row r="30" spans="1:26" ht="15.75" customHeight="1" x14ac:dyDescent="0.3">
      <c r="A30" s="290"/>
      <c r="B30" s="291"/>
      <c r="C30" s="283"/>
      <c r="D30" s="292"/>
      <c r="E30" s="292"/>
      <c r="F30" s="293"/>
      <c r="H30" s="355"/>
      <c r="I30" s="283"/>
      <c r="J30" s="285"/>
      <c r="K30" s="285"/>
      <c r="L30" s="289"/>
      <c r="M30" s="294"/>
      <c r="N30" s="294"/>
      <c r="O30" s="295"/>
    </row>
    <row r="31" spans="1:26" ht="15.75" customHeight="1" x14ac:dyDescent="0.3">
      <c r="A31" s="290"/>
      <c r="B31" s="291"/>
      <c r="C31" s="283"/>
      <c r="D31" s="292"/>
      <c r="E31" s="292"/>
      <c r="F31" s="293"/>
      <c r="H31" s="355"/>
      <c r="I31" s="283"/>
      <c r="J31" s="285"/>
      <c r="K31" s="285"/>
      <c r="L31" s="289"/>
      <c r="M31" s="294"/>
      <c r="N31" s="294"/>
      <c r="O31" s="295"/>
    </row>
    <row r="32" spans="1:26" ht="15.75" customHeight="1" x14ac:dyDescent="0.3">
      <c r="A32" s="290"/>
      <c r="B32" s="291"/>
      <c r="C32" s="283"/>
      <c r="D32" s="292"/>
      <c r="E32" s="292"/>
      <c r="F32" s="293"/>
      <c r="H32" s="355"/>
      <c r="I32" s="283"/>
      <c r="J32" s="285"/>
      <c r="K32" s="285"/>
      <c r="L32" s="289"/>
      <c r="M32" s="294"/>
      <c r="N32" s="294"/>
      <c r="O32" s="295"/>
    </row>
    <row r="33" spans="1:18" ht="15.75" customHeight="1" x14ac:dyDescent="0.3">
      <c r="A33" s="290"/>
      <c r="B33" s="291"/>
      <c r="C33" s="283"/>
      <c r="D33" s="292"/>
      <c r="E33" s="292"/>
      <c r="F33" s="293"/>
      <c r="H33" s="355"/>
      <c r="I33" s="283"/>
      <c r="J33" s="285"/>
      <c r="K33" s="285"/>
      <c r="L33" s="289"/>
      <c r="M33" s="294"/>
      <c r="N33" s="294"/>
      <c r="O33" s="295"/>
      <c r="Q33" s="309"/>
      <c r="R33" s="309"/>
    </row>
    <row r="34" spans="1:18" ht="15.75" customHeight="1" x14ac:dyDescent="0.3">
      <c r="A34" s="281"/>
      <c r="B34" s="282"/>
      <c r="C34" s="283"/>
      <c r="D34" s="292"/>
      <c r="E34" s="292"/>
      <c r="F34" s="293"/>
      <c r="H34" s="355"/>
      <c r="I34" s="310"/>
      <c r="J34" s="311"/>
      <c r="K34" s="311"/>
      <c r="L34" s="312"/>
      <c r="M34" s="294"/>
      <c r="N34" s="294"/>
      <c r="O34" s="313"/>
      <c r="Q34" s="308"/>
      <c r="R34" s="308"/>
    </row>
    <row r="35" spans="1:18" ht="15.75" customHeight="1" x14ac:dyDescent="0.3">
      <c r="A35" s="314"/>
      <c r="B35" s="315"/>
      <c r="C35" s="316"/>
      <c r="D35" s="317"/>
      <c r="E35" s="317"/>
      <c r="F35" s="318"/>
      <c r="H35" s="356"/>
      <c r="I35" s="319"/>
      <c r="J35" s="320"/>
      <c r="K35" s="320"/>
      <c r="L35" s="312"/>
      <c r="M35" s="321"/>
      <c r="N35" s="321"/>
      <c r="O35" s="313"/>
    </row>
    <row r="36" spans="1:18" ht="15.75" customHeight="1" x14ac:dyDescent="0.3">
      <c r="A36" s="322"/>
      <c r="B36" s="323"/>
      <c r="C36" s="324"/>
      <c r="D36" s="325"/>
      <c r="E36" s="325"/>
      <c r="F36" s="326"/>
      <c r="H36" s="355"/>
      <c r="I36" s="310"/>
      <c r="J36" s="311"/>
      <c r="K36" s="311"/>
      <c r="L36" s="312"/>
      <c r="M36" s="294"/>
      <c r="N36" s="327"/>
      <c r="O36" s="313"/>
      <c r="Q36" s="308"/>
      <c r="R36" s="308"/>
    </row>
    <row r="37" spans="1:18" ht="15.75" customHeight="1" x14ac:dyDescent="0.3">
      <c r="A37" s="322"/>
      <c r="B37" s="323"/>
      <c r="C37" s="324"/>
      <c r="D37" s="325"/>
      <c r="E37" s="325"/>
      <c r="F37" s="326"/>
      <c r="H37" s="356"/>
      <c r="I37" s="310"/>
      <c r="J37" s="320"/>
      <c r="K37" s="320"/>
      <c r="L37" s="312"/>
      <c r="M37" s="328"/>
      <c r="N37" s="328"/>
      <c r="O37" s="313"/>
      <c r="Q37" s="308"/>
      <c r="R37" s="308"/>
    </row>
    <row r="38" spans="1:18" ht="15.75" customHeight="1" x14ac:dyDescent="0.3">
      <c r="A38" s="322"/>
      <c r="B38" s="323"/>
      <c r="C38" s="324"/>
      <c r="D38" s="325"/>
      <c r="E38" s="325"/>
      <c r="F38" s="326"/>
      <c r="H38" s="356"/>
      <c r="I38" s="319"/>
      <c r="J38" s="320"/>
      <c r="K38" s="320"/>
      <c r="L38" s="312"/>
      <c r="M38" s="328"/>
      <c r="N38" s="328"/>
      <c r="O38" s="313"/>
      <c r="Q38" s="308"/>
      <c r="R38" s="308"/>
    </row>
    <row r="39" spans="1:18" ht="15.75" customHeight="1" x14ac:dyDescent="0.3">
      <c r="A39" s="322"/>
      <c r="B39" s="323"/>
      <c r="C39" s="324"/>
      <c r="D39" s="325"/>
      <c r="E39" s="325"/>
      <c r="F39" s="326"/>
      <c r="H39" s="356"/>
      <c r="I39" s="319"/>
      <c r="J39" s="320"/>
      <c r="K39" s="320"/>
      <c r="L39" s="312"/>
      <c r="M39" s="328"/>
      <c r="N39" s="328"/>
      <c r="O39" s="313"/>
      <c r="Q39" s="308"/>
      <c r="R39" s="308"/>
    </row>
    <row r="40" spans="1:18" ht="15.75" customHeight="1" x14ac:dyDescent="0.3">
      <c r="A40" s="322"/>
      <c r="B40" s="323"/>
      <c r="C40" s="324"/>
      <c r="D40" s="325"/>
      <c r="E40" s="325"/>
      <c r="F40" s="326"/>
      <c r="H40" s="356"/>
      <c r="I40" s="319"/>
      <c r="J40" s="329"/>
      <c r="K40" s="329"/>
      <c r="L40" s="312"/>
      <c r="M40" s="328"/>
      <c r="N40" s="328"/>
      <c r="O40" s="313"/>
      <c r="Q40" s="308"/>
      <c r="R40" s="308"/>
    </row>
    <row r="41" spans="1:18" ht="15.75" customHeight="1" x14ac:dyDescent="0.3">
      <c r="A41" s="322"/>
      <c r="B41" s="323"/>
      <c r="C41" s="324"/>
      <c r="D41" s="325"/>
      <c r="E41" s="325"/>
      <c r="F41" s="326"/>
      <c r="H41" s="356"/>
      <c r="I41" s="319"/>
      <c r="J41" s="329"/>
      <c r="K41" s="329"/>
      <c r="L41" s="312"/>
      <c r="M41" s="328"/>
      <c r="N41" s="328"/>
      <c r="O41" s="313"/>
      <c r="Q41" s="308"/>
      <c r="R41" s="308"/>
    </row>
    <row r="42" spans="1:18" ht="15.75" customHeight="1" x14ac:dyDescent="0.3">
      <c r="A42" s="322"/>
      <c r="B42" s="323"/>
      <c r="C42" s="324"/>
      <c r="D42" s="325"/>
      <c r="E42" s="325"/>
      <c r="F42" s="326"/>
      <c r="H42" s="356"/>
      <c r="I42" s="319"/>
      <c r="J42" s="329"/>
      <c r="K42" s="329"/>
      <c r="L42" s="312"/>
      <c r="M42" s="328"/>
      <c r="N42" s="328"/>
      <c r="O42" s="313"/>
      <c r="Q42" s="308"/>
      <c r="R42" s="308"/>
    </row>
    <row r="43" spans="1:18" ht="15.75" customHeight="1" x14ac:dyDescent="0.3">
      <c r="A43" s="322"/>
      <c r="B43" s="323"/>
      <c r="C43" s="324"/>
      <c r="D43" s="325"/>
      <c r="E43" s="325"/>
      <c r="F43" s="326"/>
      <c r="H43" s="356"/>
      <c r="I43" s="319"/>
      <c r="J43" s="329"/>
      <c r="K43" s="329"/>
      <c r="L43" s="312"/>
      <c r="M43" s="328"/>
      <c r="N43" s="328"/>
      <c r="O43" s="313"/>
      <c r="Q43" s="308"/>
      <c r="R43" s="308"/>
    </row>
    <row r="44" spans="1:18" ht="15.75" customHeight="1" x14ac:dyDescent="0.3">
      <c r="A44" s="322"/>
      <c r="B44" s="323"/>
      <c r="C44" s="324"/>
      <c r="D44" s="325"/>
      <c r="E44" s="325"/>
      <c r="F44" s="326"/>
      <c r="H44" s="356"/>
      <c r="I44" s="319"/>
      <c r="J44" s="329"/>
      <c r="K44" s="329"/>
      <c r="L44" s="312"/>
      <c r="M44" s="328"/>
      <c r="N44" s="328"/>
      <c r="O44" s="313"/>
      <c r="Q44" s="308"/>
      <c r="R44" s="308"/>
    </row>
    <row r="45" spans="1:18" ht="15.75" customHeight="1" x14ac:dyDescent="0.3">
      <c r="A45" s="322"/>
      <c r="B45" s="323"/>
      <c r="C45" s="324"/>
      <c r="D45" s="325"/>
      <c r="E45" s="325"/>
      <c r="F45" s="326"/>
      <c r="H45" s="356"/>
      <c r="I45" s="330"/>
      <c r="J45" s="329"/>
      <c r="K45" s="329"/>
      <c r="L45" s="331"/>
      <c r="M45" s="328"/>
      <c r="N45" s="328"/>
      <c r="O45" s="313"/>
      <c r="Q45" s="308"/>
      <c r="R45" s="308"/>
    </row>
    <row r="46" spans="1:18" ht="15.75" customHeight="1" x14ac:dyDescent="0.3">
      <c r="A46" s="322"/>
      <c r="B46" s="323"/>
      <c r="C46" s="324"/>
      <c r="D46" s="325"/>
      <c r="E46" s="325"/>
      <c r="F46" s="326"/>
      <c r="H46" s="356"/>
      <c r="I46" s="330"/>
      <c r="J46" s="329"/>
      <c r="K46" s="329"/>
      <c r="L46" s="331"/>
      <c r="M46" s="328"/>
      <c r="N46" s="328"/>
      <c r="O46" s="313"/>
      <c r="Q46" s="308"/>
      <c r="R46" s="308"/>
    </row>
    <row r="47" spans="1:18" ht="15.75" customHeight="1" x14ac:dyDescent="0.3">
      <c r="A47" s="322"/>
      <c r="B47" s="323"/>
      <c r="C47" s="324"/>
      <c r="D47" s="325"/>
      <c r="E47" s="325"/>
      <c r="F47" s="326"/>
      <c r="H47" s="356"/>
      <c r="I47" s="330"/>
      <c r="J47" s="329"/>
      <c r="K47" s="329"/>
      <c r="L47" s="331"/>
      <c r="M47" s="328"/>
      <c r="N47" s="328"/>
      <c r="O47" s="313"/>
      <c r="Q47" s="308"/>
      <c r="R47" s="308"/>
    </row>
    <row r="48" spans="1:18" ht="15.75" customHeight="1" x14ac:dyDescent="0.3">
      <c r="A48" s="322"/>
      <c r="B48" s="323"/>
      <c r="C48" s="324"/>
      <c r="D48" s="325"/>
      <c r="E48" s="325"/>
      <c r="F48" s="326"/>
      <c r="H48" s="356"/>
      <c r="I48" s="330"/>
      <c r="J48" s="329"/>
      <c r="K48" s="329"/>
      <c r="L48" s="331"/>
      <c r="M48" s="328"/>
      <c r="N48" s="328"/>
      <c r="O48" s="313"/>
      <c r="Q48" s="308"/>
      <c r="R48" s="308"/>
    </row>
    <row r="49" spans="1:18" ht="15.75" customHeight="1" x14ac:dyDescent="0.3">
      <c r="A49" s="322"/>
      <c r="B49" s="323"/>
      <c r="C49" s="324"/>
      <c r="D49" s="325"/>
      <c r="E49" s="325"/>
      <c r="F49" s="326"/>
      <c r="H49" s="356"/>
      <c r="I49" s="330"/>
      <c r="J49" s="329"/>
      <c r="K49" s="329"/>
      <c r="L49" s="331"/>
      <c r="M49" s="328"/>
      <c r="N49" s="328"/>
      <c r="O49" s="313"/>
      <c r="Q49" s="308"/>
      <c r="R49" s="308"/>
    </row>
    <row r="50" spans="1:18" ht="15.75" customHeight="1" x14ac:dyDescent="0.3">
      <c r="A50" s="322"/>
      <c r="B50" s="323"/>
      <c r="C50" s="324"/>
      <c r="D50" s="325"/>
      <c r="E50" s="325"/>
      <c r="F50" s="326"/>
      <c r="H50" s="356"/>
      <c r="I50" s="330"/>
      <c r="J50" s="329"/>
      <c r="K50" s="329"/>
      <c r="L50" s="331"/>
      <c r="M50" s="328"/>
      <c r="N50" s="328"/>
      <c r="O50" s="313"/>
      <c r="Q50" s="308"/>
      <c r="R50" s="308"/>
    </row>
    <row r="51" spans="1:18" ht="15.75" customHeight="1" x14ac:dyDescent="0.3">
      <c r="A51" s="322"/>
      <c r="B51" s="323"/>
      <c r="C51" s="324"/>
      <c r="D51" s="325"/>
      <c r="E51" s="325"/>
      <c r="F51" s="326"/>
      <c r="H51" s="356"/>
      <c r="I51" s="330"/>
      <c r="J51" s="329"/>
      <c r="K51" s="329"/>
      <c r="L51" s="331"/>
      <c r="M51" s="328"/>
      <c r="N51" s="328"/>
      <c r="O51" s="313"/>
      <c r="Q51" s="308"/>
      <c r="R51" s="308"/>
    </row>
    <row r="52" spans="1:18" ht="15.75" customHeight="1" x14ac:dyDescent="0.3">
      <c r="A52" s="322"/>
      <c r="B52" s="323"/>
      <c r="C52" s="324"/>
      <c r="D52" s="325"/>
      <c r="E52" s="325"/>
      <c r="F52" s="326"/>
      <c r="H52" s="356"/>
      <c r="I52" s="330"/>
      <c r="J52" s="329"/>
      <c r="K52" s="329"/>
      <c r="L52" s="331"/>
      <c r="M52" s="328"/>
      <c r="N52" s="328"/>
      <c r="O52" s="313"/>
      <c r="Q52" s="308"/>
      <c r="R52" s="308"/>
    </row>
    <row r="53" spans="1:18" ht="15.75" customHeight="1" x14ac:dyDescent="0.3">
      <c r="A53" s="322"/>
      <c r="B53" s="323"/>
      <c r="C53" s="324"/>
      <c r="D53" s="325"/>
      <c r="E53" s="325"/>
      <c r="F53" s="326"/>
      <c r="H53" s="356"/>
      <c r="I53" s="330"/>
      <c r="J53" s="329"/>
      <c r="K53" s="329"/>
      <c r="L53" s="331"/>
      <c r="M53" s="328"/>
      <c r="N53" s="328"/>
      <c r="O53" s="313"/>
      <c r="Q53" s="308"/>
      <c r="R53" s="308"/>
    </row>
    <row r="54" spans="1:18" ht="15.75" customHeight="1" x14ac:dyDescent="0.3">
      <c r="A54" s="322"/>
      <c r="B54" s="323"/>
      <c r="C54" s="324"/>
      <c r="D54" s="325"/>
      <c r="E54" s="325"/>
      <c r="F54" s="326"/>
      <c r="H54" s="356"/>
      <c r="I54" s="330"/>
      <c r="J54" s="329"/>
      <c r="K54" s="329"/>
      <c r="L54" s="331"/>
      <c r="M54" s="328"/>
      <c r="N54" s="328"/>
      <c r="O54" s="313"/>
      <c r="Q54" s="308"/>
      <c r="R54" s="308"/>
    </row>
    <row r="55" spans="1:18" ht="15.75" customHeight="1" x14ac:dyDescent="0.3">
      <c r="A55" s="322"/>
      <c r="B55" s="323"/>
      <c r="C55" s="324"/>
      <c r="D55" s="325"/>
      <c r="E55" s="325"/>
      <c r="F55" s="326"/>
      <c r="H55" s="356"/>
      <c r="I55" s="330"/>
      <c r="J55" s="329"/>
      <c r="K55" s="329"/>
      <c r="L55" s="331"/>
      <c r="M55" s="328"/>
      <c r="N55" s="328"/>
      <c r="O55" s="313"/>
      <c r="Q55" s="308"/>
      <c r="R55" s="308"/>
    </row>
    <row r="56" spans="1:18" ht="15.75" customHeight="1" x14ac:dyDescent="0.3">
      <c r="H56" s="357"/>
      <c r="I56" s="332"/>
      <c r="J56" s="333">
        <f>SUM(J5:J55)</f>
        <v>950</v>
      </c>
      <c r="K56" s="333">
        <f>SUM(K5:K55)</f>
        <v>0</v>
      </c>
      <c r="L56" s="334">
        <f>+J56-K56</f>
        <v>950</v>
      </c>
      <c r="M56" s="335">
        <f>SUM(M5:M55)</f>
        <v>266750</v>
      </c>
      <c r="N56" s="335">
        <f>SUM(N5:N55)</f>
        <v>113530</v>
      </c>
      <c r="O56" s="336">
        <f>+M56-N56</f>
        <v>153220</v>
      </c>
    </row>
    <row r="57" spans="1:18" ht="15.75" customHeight="1" x14ac:dyDescent="0.3">
      <c r="E57" s="337">
        <f>D18+D20</f>
        <v>0</v>
      </c>
      <c r="J57" s="338"/>
      <c r="K57" s="338"/>
      <c r="L57" s="339"/>
      <c r="M57" s="340"/>
      <c r="N57" s="340"/>
      <c r="O57" s="341"/>
    </row>
    <row r="58" spans="1:18" ht="15.75" customHeight="1" x14ac:dyDescent="0.3">
      <c r="E58" s="337">
        <f>E57/65</f>
        <v>0</v>
      </c>
      <c r="J58" s="338"/>
      <c r="K58" s="338"/>
      <c r="L58" s="339"/>
      <c r="M58" s="340"/>
      <c r="N58" s="340"/>
      <c r="O58" s="341"/>
    </row>
    <row r="59" spans="1:18" ht="15.75" customHeight="1" x14ac:dyDescent="0.3">
      <c r="J59" s="338"/>
      <c r="K59" s="338"/>
      <c r="L59" s="339"/>
      <c r="M59" s="340"/>
      <c r="N59" s="340"/>
      <c r="O59" s="341"/>
    </row>
    <row r="60" spans="1:18" ht="15.75" customHeight="1" x14ac:dyDescent="0.3">
      <c r="J60" s="338"/>
      <c r="K60" s="338"/>
      <c r="L60" s="339"/>
      <c r="M60" s="340"/>
      <c r="N60" s="340"/>
      <c r="O60" s="341"/>
    </row>
    <row r="61" spans="1:18" ht="15.75" customHeight="1" x14ac:dyDescent="0.3">
      <c r="J61" s="338"/>
      <c r="K61" s="338"/>
      <c r="L61" s="339"/>
      <c r="M61" s="340"/>
      <c r="N61" s="340"/>
      <c r="O61" s="341"/>
    </row>
    <row r="62" spans="1:18" ht="15.75" customHeight="1" x14ac:dyDescent="0.3">
      <c r="J62" s="338"/>
      <c r="K62" s="338"/>
      <c r="L62" s="339"/>
      <c r="M62" s="340"/>
      <c r="N62" s="340"/>
      <c r="O62" s="341"/>
    </row>
    <row r="63" spans="1:18" ht="15.75" customHeight="1" x14ac:dyDescent="0.3">
      <c r="J63" s="338"/>
      <c r="K63" s="338"/>
      <c r="L63" s="339"/>
      <c r="M63" s="340"/>
      <c r="N63" s="340"/>
      <c r="O63" s="341"/>
    </row>
    <row r="64" spans="1:18" ht="15.75" customHeight="1" x14ac:dyDescent="0.3">
      <c r="J64" s="338"/>
      <c r="K64" s="338"/>
      <c r="L64" s="339"/>
      <c r="M64" s="340"/>
      <c r="N64" s="340"/>
      <c r="O64" s="341"/>
    </row>
    <row r="65" spans="10:15" ht="15.75" customHeight="1" x14ac:dyDescent="0.3">
      <c r="J65" s="338"/>
      <c r="K65" s="338"/>
      <c r="L65" s="339"/>
      <c r="M65" s="340"/>
      <c r="N65" s="340"/>
      <c r="O65" s="341"/>
    </row>
    <row r="66" spans="10:15" ht="15.75" customHeight="1" x14ac:dyDescent="0.3">
      <c r="J66" s="338"/>
      <c r="K66" s="338"/>
      <c r="L66" s="339"/>
      <c r="M66" s="340"/>
      <c r="N66" s="340"/>
      <c r="O66" s="341"/>
    </row>
    <row r="67" spans="10:15" ht="15.75" customHeight="1" x14ac:dyDescent="0.3">
      <c r="J67" s="338"/>
      <c r="K67" s="338"/>
      <c r="L67" s="339"/>
      <c r="M67" s="340"/>
      <c r="N67" s="340"/>
      <c r="O67" s="341"/>
    </row>
    <row r="68" spans="10:15" ht="15.75" customHeight="1" x14ac:dyDescent="0.3">
      <c r="J68" s="338"/>
      <c r="K68" s="338"/>
      <c r="L68" s="339"/>
      <c r="M68" s="340"/>
      <c r="N68" s="340"/>
      <c r="O68" s="341"/>
    </row>
    <row r="69" spans="10:15" ht="15.75" customHeight="1" x14ac:dyDescent="0.3">
      <c r="J69" s="338"/>
      <c r="K69" s="338"/>
      <c r="L69" s="339"/>
      <c r="M69" s="340"/>
      <c r="N69" s="340"/>
      <c r="O69" s="341"/>
    </row>
    <row r="70" spans="10:15" ht="15.75" customHeight="1" x14ac:dyDescent="0.3">
      <c r="J70" s="338"/>
      <c r="K70" s="338"/>
      <c r="L70" s="339"/>
      <c r="M70" s="340"/>
      <c r="N70" s="340"/>
      <c r="O70" s="341"/>
    </row>
    <row r="71" spans="10:15" ht="15.75" customHeight="1" x14ac:dyDescent="0.3">
      <c r="J71" s="338"/>
      <c r="K71" s="338"/>
      <c r="L71" s="339"/>
      <c r="M71" s="340"/>
      <c r="N71" s="340"/>
      <c r="O71" s="341"/>
    </row>
    <row r="72" spans="10:15" ht="15.75" customHeight="1" x14ac:dyDescent="0.3">
      <c r="J72" s="338"/>
      <c r="K72" s="338"/>
      <c r="L72" s="339"/>
      <c r="M72" s="340"/>
      <c r="N72" s="340"/>
      <c r="O72" s="341"/>
    </row>
    <row r="73" spans="10:15" ht="15.75" customHeight="1" x14ac:dyDescent="0.3">
      <c r="J73" s="338"/>
      <c r="K73" s="338"/>
      <c r="L73" s="339"/>
      <c r="M73" s="340"/>
      <c r="N73" s="340"/>
      <c r="O73" s="341"/>
    </row>
    <row r="74" spans="10:15" ht="15.75" customHeight="1" x14ac:dyDescent="0.3">
      <c r="J74" s="338"/>
      <c r="K74" s="338"/>
      <c r="L74" s="339"/>
      <c r="M74" s="340"/>
      <c r="N74" s="340"/>
      <c r="O74" s="341"/>
    </row>
    <row r="75" spans="10:15" ht="15.75" customHeight="1" x14ac:dyDescent="0.3">
      <c r="J75" s="338"/>
      <c r="K75" s="338"/>
      <c r="L75" s="339"/>
      <c r="M75" s="340"/>
      <c r="N75" s="340"/>
      <c r="O75" s="341"/>
    </row>
    <row r="76" spans="10:15" ht="15.75" customHeight="1" x14ac:dyDescent="0.3">
      <c r="J76" s="338"/>
      <c r="K76" s="338"/>
      <c r="L76" s="339"/>
      <c r="M76" s="340"/>
      <c r="N76" s="340"/>
      <c r="O76" s="341"/>
    </row>
    <row r="77" spans="10:15" ht="15.75" customHeight="1" x14ac:dyDescent="0.3">
      <c r="J77" s="338"/>
      <c r="K77" s="338"/>
      <c r="L77" s="339"/>
      <c r="M77" s="340"/>
      <c r="N77" s="340"/>
      <c r="O77" s="341"/>
    </row>
    <row r="78" spans="10:15" ht="15.75" customHeight="1" x14ac:dyDescent="0.3">
      <c r="J78" s="338"/>
      <c r="K78" s="338"/>
      <c r="L78" s="339"/>
      <c r="M78" s="340"/>
      <c r="N78" s="340"/>
      <c r="O78" s="341"/>
    </row>
    <row r="79" spans="10:15" ht="15.75" customHeight="1" x14ac:dyDescent="0.3">
      <c r="J79" s="338"/>
      <c r="K79" s="338"/>
      <c r="L79" s="339"/>
      <c r="M79" s="340"/>
      <c r="N79" s="340"/>
      <c r="O79" s="341"/>
    </row>
    <row r="80" spans="10:15" ht="15.75" customHeight="1" x14ac:dyDescent="0.3">
      <c r="J80" s="338"/>
      <c r="K80" s="338"/>
      <c r="L80" s="339"/>
      <c r="M80" s="340"/>
      <c r="N80" s="340"/>
      <c r="O80" s="341"/>
    </row>
    <row r="81" spans="10:15" ht="15.75" customHeight="1" x14ac:dyDescent="0.3">
      <c r="J81" s="338"/>
      <c r="K81" s="338"/>
      <c r="L81" s="339"/>
      <c r="M81" s="340"/>
      <c r="N81" s="340"/>
      <c r="O81" s="341"/>
    </row>
    <row r="82" spans="10:15" ht="15.75" customHeight="1" x14ac:dyDescent="0.3">
      <c r="J82" s="338"/>
      <c r="K82" s="338"/>
      <c r="L82" s="339"/>
      <c r="M82" s="340"/>
      <c r="N82" s="340"/>
      <c r="O82" s="341"/>
    </row>
    <row r="83" spans="10:15" ht="15.75" customHeight="1" x14ac:dyDescent="0.3">
      <c r="J83" s="338"/>
      <c r="K83" s="338"/>
      <c r="L83" s="339"/>
      <c r="M83" s="340"/>
      <c r="N83" s="340"/>
      <c r="O83" s="341"/>
    </row>
    <row r="84" spans="10:15" ht="15.75" customHeight="1" x14ac:dyDescent="0.3">
      <c r="J84" s="338"/>
      <c r="K84" s="338"/>
      <c r="L84" s="339"/>
      <c r="M84" s="340"/>
      <c r="N84" s="340"/>
      <c r="O84" s="341"/>
    </row>
    <row r="85" spans="10:15" ht="15.75" customHeight="1" x14ac:dyDescent="0.3">
      <c r="J85" s="338"/>
      <c r="K85" s="338"/>
      <c r="L85" s="339"/>
      <c r="M85" s="340"/>
      <c r="N85" s="340"/>
      <c r="O85" s="341"/>
    </row>
    <row r="86" spans="10:15" ht="15.75" customHeight="1" x14ac:dyDescent="0.3">
      <c r="J86" s="338"/>
      <c r="K86" s="338"/>
      <c r="L86" s="339"/>
      <c r="M86" s="340"/>
      <c r="N86" s="340"/>
      <c r="O86" s="341"/>
    </row>
    <row r="87" spans="10:15" ht="15.75" customHeight="1" x14ac:dyDescent="0.3">
      <c r="J87" s="338"/>
      <c r="K87" s="338"/>
      <c r="L87" s="339"/>
      <c r="M87" s="340"/>
      <c r="N87" s="340"/>
      <c r="O87" s="341"/>
    </row>
    <row r="88" spans="10:15" ht="15.75" customHeight="1" x14ac:dyDescent="0.3">
      <c r="J88" s="338"/>
      <c r="K88" s="338"/>
      <c r="L88" s="339"/>
      <c r="M88" s="340"/>
      <c r="N88" s="340"/>
      <c r="O88" s="341"/>
    </row>
    <row r="89" spans="10:15" ht="15.75" customHeight="1" x14ac:dyDescent="0.3">
      <c r="J89" s="338"/>
      <c r="K89" s="338"/>
      <c r="L89" s="339"/>
      <c r="M89" s="340"/>
      <c r="N89" s="340"/>
      <c r="O89" s="341"/>
    </row>
    <row r="90" spans="10:15" ht="15.75" customHeight="1" x14ac:dyDescent="0.3">
      <c r="J90" s="338"/>
      <c r="K90" s="338"/>
      <c r="L90" s="339"/>
      <c r="M90" s="340"/>
      <c r="N90" s="340"/>
      <c r="O90" s="341"/>
    </row>
    <row r="91" spans="10:15" ht="15.75" customHeight="1" x14ac:dyDescent="0.3">
      <c r="J91" s="338"/>
      <c r="K91" s="338"/>
      <c r="L91" s="339"/>
      <c r="M91" s="340"/>
      <c r="N91" s="340"/>
      <c r="O91" s="341"/>
    </row>
    <row r="92" spans="10:15" ht="15.75" customHeight="1" x14ac:dyDescent="0.3">
      <c r="J92" s="338"/>
      <c r="K92" s="338"/>
      <c r="L92" s="339"/>
      <c r="M92" s="340"/>
      <c r="N92" s="340"/>
      <c r="O92" s="341"/>
    </row>
    <row r="93" spans="10:15" ht="15.75" customHeight="1" x14ac:dyDescent="0.3">
      <c r="J93" s="338"/>
      <c r="K93" s="338"/>
      <c r="L93" s="339"/>
      <c r="M93" s="340"/>
      <c r="N93" s="340"/>
      <c r="O93" s="341"/>
    </row>
    <row r="94" spans="10:15" ht="15.75" customHeight="1" x14ac:dyDescent="0.3">
      <c r="J94" s="338"/>
      <c r="K94" s="338"/>
      <c r="L94" s="339"/>
      <c r="M94" s="340"/>
      <c r="N94" s="340"/>
      <c r="O94" s="341"/>
    </row>
    <row r="95" spans="10:15" ht="15.75" customHeight="1" x14ac:dyDescent="0.3">
      <c r="J95" s="338"/>
      <c r="K95" s="338"/>
      <c r="L95" s="339"/>
      <c r="M95" s="340"/>
      <c r="N95" s="340"/>
      <c r="O95" s="341"/>
    </row>
    <row r="96" spans="10:15" ht="15.75" customHeight="1" x14ac:dyDescent="0.3">
      <c r="J96" s="338"/>
      <c r="K96" s="338"/>
      <c r="L96" s="339"/>
      <c r="M96" s="340"/>
      <c r="N96" s="340"/>
      <c r="O96" s="341"/>
    </row>
    <row r="97" spans="10:15" ht="15.75" customHeight="1" x14ac:dyDescent="0.3">
      <c r="J97" s="338"/>
      <c r="K97" s="338"/>
      <c r="L97" s="339"/>
      <c r="M97" s="340"/>
      <c r="N97" s="340"/>
      <c r="O97" s="341"/>
    </row>
    <row r="98" spans="10:15" ht="15.75" customHeight="1" x14ac:dyDescent="0.3">
      <c r="J98" s="338"/>
      <c r="K98" s="338"/>
      <c r="L98" s="339"/>
      <c r="M98" s="340"/>
      <c r="N98" s="340"/>
      <c r="O98" s="341"/>
    </row>
    <row r="99" spans="10:15" ht="15.75" customHeight="1" x14ac:dyDescent="0.3">
      <c r="J99" s="338"/>
      <c r="K99" s="338"/>
      <c r="L99" s="339"/>
      <c r="M99" s="340"/>
      <c r="N99" s="340"/>
      <c r="O99" s="341"/>
    </row>
    <row r="100" spans="10:15" ht="15.75" customHeight="1" x14ac:dyDescent="0.3">
      <c r="J100" s="338"/>
      <c r="K100" s="338"/>
      <c r="L100" s="339"/>
      <c r="M100" s="340"/>
      <c r="N100" s="340"/>
      <c r="O100" s="341"/>
    </row>
    <row r="101" spans="10:15" ht="15.75" customHeight="1" x14ac:dyDescent="0.3">
      <c r="J101" s="338"/>
      <c r="K101" s="338"/>
      <c r="L101" s="339"/>
      <c r="M101" s="340"/>
      <c r="N101" s="340"/>
      <c r="O101" s="341"/>
    </row>
    <row r="102" spans="10:15" ht="15.75" customHeight="1" x14ac:dyDescent="0.3">
      <c r="J102" s="338"/>
      <c r="K102" s="338"/>
      <c r="L102" s="339"/>
      <c r="M102" s="340"/>
      <c r="N102" s="340"/>
      <c r="O102" s="341"/>
    </row>
    <row r="103" spans="10:15" ht="15.75" customHeight="1" x14ac:dyDescent="0.3">
      <c r="J103" s="338"/>
      <c r="K103" s="338"/>
      <c r="L103" s="339"/>
      <c r="M103" s="340"/>
      <c r="N103" s="340"/>
      <c r="O103" s="341"/>
    </row>
    <row r="104" spans="10:15" ht="15.75" customHeight="1" x14ac:dyDescent="0.3">
      <c r="J104" s="338"/>
      <c r="K104" s="338"/>
      <c r="L104" s="339"/>
      <c r="M104" s="340"/>
      <c r="N104" s="340"/>
      <c r="O104" s="341"/>
    </row>
    <row r="105" spans="10:15" ht="15.75" customHeight="1" x14ac:dyDescent="0.3">
      <c r="J105" s="338"/>
      <c r="K105" s="338"/>
      <c r="L105" s="339"/>
      <c r="M105" s="340"/>
      <c r="N105" s="340"/>
      <c r="O105" s="341"/>
    </row>
    <row r="106" spans="10:15" ht="15.75" customHeight="1" x14ac:dyDescent="0.3">
      <c r="J106" s="338"/>
      <c r="K106" s="338"/>
      <c r="L106" s="339"/>
      <c r="M106" s="340"/>
      <c r="N106" s="340"/>
      <c r="O106" s="341"/>
    </row>
    <row r="107" spans="10:15" ht="15.75" customHeight="1" x14ac:dyDescent="0.3">
      <c r="J107" s="338"/>
      <c r="K107" s="338"/>
      <c r="L107" s="339"/>
      <c r="M107" s="340"/>
      <c r="N107" s="340"/>
      <c r="O107" s="341"/>
    </row>
    <row r="108" spans="10:15" ht="15.75" customHeight="1" x14ac:dyDescent="0.3">
      <c r="J108" s="338"/>
      <c r="K108" s="338"/>
      <c r="L108" s="339"/>
      <c r="M108" s="340"/>
      <c r="N108" s="340"/>
      <c r="O108" s="341"/>
    </row>
    <row r="109" spans="10:15" ht="15.75" customHeight="1" x14ac:dyDescent="0.3">
      <c r="J109" s="338"/>
      <c r="K109" s="338"/>
      <c r="L109" s="339"/>
      <c r="M109" s="340"/>
      <c r="N109" s="340"/>
      <c r="O109" s="341"/>
    </row>
    <row r="110" spans="10:15" ht="15.75" customHeight="1" x14ac:dyDescent="0.3">
      <c r="J110" s="338"/>
      <c r="K110" s="338"/>
      <c r="L110" s="339"/>
      <c r="M110" s="340"/>
      <c r="N110" s="340"/>
      <c r="O110" s="341"/>
    </row>
    <row r="111" spans="10:15" ht="15.75" customHeight="1" x14ac:dyDescent="0.3">
      <c r="J111" s="338"/>
      <c r="K111" s="338"/>
      <c r="L111" s="339"/>
      <c r="M111" s="340"/>
      <c r="N111" s="340"/>
      <c r="O111" s="341"/>
    </row>
    <row r="112" spans="10:15" ht="15.75" customHeight="1" x14ac:dyDescent="0.3">
      <c r="J112" s="338"/>
      <c r="K112" s="338"/>
      <c r="L112" s="339"/>
      <c r="M112" s="340"/>
      <c r="N112" s="340"/>
      <c r="O112" s="341"/>
    </row>
    <row r="113" spans="10:15" ht="15.75" customHeight="1" x14ac:dyDescent="0.3">
      <c r="J113" s="338"/>
      <c r="K113" s="338"/>
      <c r="L113" s="339"/>
      <c r="M113" s="340"/>
      <c r="N113" s="340"/>
      <c r="O113" s="341"/>
    </row>
    <row r="114" spans="10:15" ht="15.75" customHeight="1" x14ac:dyDescent="0.3">
      <c r="J114" s="338"/>
      <c r="K114" s="338"/>
      <c r="L114" s="339"/>
      <c r="M114" s="340"/>
      <c r="N114" s="340"/>
      <c r="O114" s="341"/>
    </row>
    <row r="115" spans="10:15" ht="15.75" customHeight="1" x14ac:dyDescent="0.3">
      <c r="J115" s="338"/>
      <c r="K115" s="338"/>
      <c r="L115" s="339"/>
      <c r="M115" s="340"/>
      <c r="N115" s="340"/>
      <c r="O115" s="341"/>
    </row>
    <row r="116" spans="10:15" ht="15.75" customHeight="1" x14ac:dyDescent="0.3">
      <c r="J116" s="338"/>
      <c r="K116" s="338"/>
      <c r="L116" s="339"/>
      <c r="M116" s="340"/>
      <c r="N116" s="340"/>
      <c r="O116" s="341"/>
    </row>
    <row r="117" spans="10:15" ht="15.75" customHeight="1" x14ac:dyDescent="0.3">
      <c r="J117" s="338"/>
      <c r="K117" s="338"/>
      <c r="L117" s="339"/>
      <c r="M117" s="340"/>
      <c r="N117" s="340"/>
      <c r="O117" s="341"/>
    </row>
    <row r="118" spans="10:15" ht="15.75" customHeight="1" x14ac:dyDescent="0.3">
      <c r="J118" s="338"/>
      <c r="K118" s="338"/>
      <c r="L118" s="339"/>
      <c r="M118" s="340"/>
      <c r="N118" s="340"/>
      <c r="O118" s="341"/>
    </row>
    <row r="119" spans="10:15" ht="15.75" customHeight="1" x14ac:dyDescent="0.3">
      <c r="J119" s="338"/>
      <c r="K119" s="338"/>
      <c r="L119" s="339"/>
      <c r="M119" s="340"/>
      <c r="N119" s="340"/>
      <c r="O119" s="341"/>
    </row>
    <row r="120" spans="10:15" ht="15.75" customHeight="1" x14ac:dyDescent="0.3">
      <c r="J120" s="338"/>
      <c r="K120" s="338"/>
      <c r="L120" s="339"/>
      <c r="M120" s="340"/>
      <c r="N120" s="340"/>
      <c r="O120" s="341"/>
    </row>
    <row r="121" spans="10:15" ht="15.75" customHeight="1" x14ac:dyDescent="0.3">
      <c r="J121" s="338"/>
      <c r="K121" s="338"/>
      <c r="L121" s="339"/>
      <c r="M121" s="340"/>
      <c r="N121" s="340"/>
      <c r="O121" s="341"/>
    </row>
    <row r="122" spans="10:15" ht="15.75" customHeight="1" x14ac:dyDescent="0.3">
      <c r="J122" s="338"/>
      <c r="K122" s="338"/>
      <c r="L122" s="339"/>
      <c r="M122" s="340"/>
      <c r="N122" s="340"/>
      <c r="O122" s="341"/>
    </row>
    <row r="123" spans="10:15" ht="15.75" customHeight="1" x14ac:dyDescent="0.3">
      <c r="J123" s="338"/>
      <c r="K123" s="338"/>
      <c r="L123" s="339"/>
      <c r="M123" s="340"/>
      <c r="N123" s="340"/>
      <c r="O123" s="341"/>
    </row>
    <row r="124" spans="10:15" ht="15.75" customHeight="1" x14ac:dyDescent="0.3">
      <c r="J124" s="338"/>
      <c r="K124" s="338"/>
      <c r="L124" s="339"/>
      <c r="M124" s="340"/>
      <c r="N124" s="340"/>
      <c r="O124" s="341"/>
    </row>
    <row r="125" spans="10:15" ht="15.75" customHeight="1" x14ac:dyDescent="0.3">
      <c r="J125" s="338"/>
      <c r="K125" s="338"/>
      <c r="L125" s="339"/>
      <c r="M125" s="340"/>
      <c r="N125" s="340"/>
      <c r="O125" s="341"/>
    </row>
    <row r="126" spans="10:15" ht="15.75" customHeight="1" x14ac:dyDescent="0.3">
      <c r="J126" s="338"/>
      <c r="K126" s="338"/>
      <c r="L126" s="339"/>
      <c r="M126" s="340"/>
      <c r="N126" s="340"/>
      <c r="O126" s="341"/>
    </row>
    <row r="127" spans="10:15" ht="15.75" customHeight="1" x14ac:dyDescent="0.3">
      <c r="J127" s="338"/>
      <c r="K127" s="338"/>
      <c r="L127" s="339"/>
      <c r="M127" s="340"/>
      <c r="N127" s="340"/>
      <c r="O127" s="341"/>
    </row>
    <row r="128" spans="10:15" ht="15.75" customHeight="1" x14ac:dyDescent="0.3">
      <c r="J128" s="338"/>
      <c r="K128" s="338"/>
      <c r="L128" s="339"/>
      <c r="M128" s="340"/>
      <c r="N128" s="340"/>
      <c r="O128" s="341"/>
    </row>
    <row r="129" spans="10:15" ht="15.75" customHeight="1" x14ac:dyDescent="0.3">
      <c r="J129" s="338"/>
      <c r="K129" s="338"/>
      <c r="L129" s="339"/>
      <c r="M129" s="340"/>
      <c r="N129" s="340"/>
      <c r="O129" s="341"/>
    </row>
    <row r="130" spans="10:15" ht="15.75" customHeight="1" x14ac:dyDescent="0.3">
      <c r="J130" s="338"/>
      <c r="K130" s="338"/>
      <c r="L130" s="339"/>
      <c r="M130" s="340"/>
      <c r="N130" s="340"/>
      <c r="O130" s="341"/>
    </row>
    <row r="131" spans="10:15" ht="15.75" customHeight="1" x14ac:dyDescent="0.3">
      <c r="J131" s="338"/>
      <c r="K131" s="338"/>
      <c r="L131" s="339"/>
      <c r="M131" s="340"/>
      <c r="N131" s="340"/>
      <c r="O131" s="341"/>
    </row>
    <row r="132" spans="10:15" ht="15.75" customHeight="1" x14ac:dyDescent="0.3">
      <c r="J132" s="338"/>
      <c r="K132" s="338"/>
      <c r="L132" s="339"/>
      <c r="M132" s="340"/>
      <c r="N132" s="340"/>
      <c r="O132" s="341"/>
    </row>
    <row r="133" spans="10:15" ht="15.75" customHeight="1" x14ac:dyDescent="0.3">
      <c r="J133" s="338"/>
      <c r="K133" s="338"/>
      <c r="L133" s="339"/>
      <c r="M133" s="340"/>
      <c r="N133" s="340"/>
      <c r="O133" s="341"/>
    </row>
    <row r="134" spans="10:15" ht="15.75" customHeight="1" x14ac:dyDescent="0.3">
      <c r="J134" s="338"/>
      <c r="K134" s="338"/>
      <c r="L134" s="339"/>
      <c r="M134" s="340"/>
      <c r="N134" s="340"/>
      <c r="O134" s="341"/>
    </row>
    <row r="135" spans="10:15" ht="15.75" customHeight="1" x14ac:dyDescent="0.3">
      <c r="J135" s="338"/>
      <c r="K135" s="338"/>
      <c r="L135" s="339"/>
      <c r="M135" s="340"/>
      <c r="N135" s="340"/>
      <c r="O135" s="341"/>
    </row>
    <row r="136" spans="10:15" ht="15.75" customHeight="1" x14ac:dyDescent="0.3">
      <c r="J136" s="338"/>
      <c r="K136" s="338"/>
      <c r="L136" s="339"/>
      <c r="M136" s="340"/>
      <c r="N136" s="340"/>
      <c r="O136" s="341"/>
    </row>
    <row r="137" spans="10:15" ht="15.75" customHeight="1" x14ac:dyDescent="0.3">
      <c r="J137" s="338"/>
      <c r="K137" s="338"/>
      <c r="L137" s="339"/>
      <c r="M137" s="340"/>
      <c r="N137" s="340"/>
      <c r="O137" s="341"/>
    </row>
    <row r="138" spans="10:15" ht="15.75" customHeight="1" x14ac:dyDescent="0.3">
      <c r="J138" s="338"/>
      <c r="K138" s="338"/>
      <c r="L138" s="339"/>
      <c r="M138" s="340"/>
      <c r="N138" s="340"/>
      <c r="O138" s="341"/>
    </row>
    <row r="139" spans="10:15" ht="15.75" customHeight="1" x14ac:dyDescent="0.3">
      <c r="J139" s="338"/>
      <c r="K139" s="338"/>
      <c r="L139" s="339"/>
      <c r="M139" s="340"/>
      <c r="N139" s="340"/>
      <c r="O139" s="341"/>
    </row>
    <row r="140" spans="10:15" ht="15.75" customHeight="1" x14ac:dyDescent="0.3">
      <c r="J140" s="338"/>
      <c r="K140" s="338"/>
      <c r="L140" s="339"/>
      <c r="M140" s="340"/>
      <c r="N140" s="340"/>
      <c r="O140" s="341"/>
    </row>
    <row r="141" spans="10:15" ht="15.75" customHeight="1" x14ac:dyDescent="0.3">
      <c r="J141" s="338"/>
      <c r="K141" s="338"/>
      <c r="L141" s="339"/>
      <c r="M141" s="340"/>
      <c r="N141" s="340"/>
      <c r="O141" s="341"/>
    </row>
    <row r="142" spans="10:15" ht="15.75" customHeight="1" x14ac:dyDescent="0.3">
      <c r="J142" s="338"/>
      <c r="K142" s="338"/>
      <c r="L142" s="339"/>
      <c r="M142" s="340"/>
      <c r="N142" s="340"/>
      <c r="O142" s="341"/>
    </row>
    <row r="143" spans="10:15" ht="15.75" customHeight="1" x14ac:dyDescent="0.3">
      <c r="J143" s="338"/>
      <c r="K143" s="338"/>
      <c r="L143" s="339"/>
      <c r="M143" s="340"/>
      <c r="N143" s="340"/>
      <c r="O143" s="341"/>
    </row>
    <row r="144" spans="10:15" ht="15.75" customHeight="1" x14ac:dyDescent="0.3">
      <c r="J144" s="338"/>
      <c r="K144" s="338"/>
      <c r="L144" s="339"/>
      <c r="M144" s="340"/>
      <c r="N144" s="340"/>
      <c r="O144" s="341"/>
    </row>
    <row r="145" spans="10:15" ht="15.75" customHeight="1" x14ac:dyDescent="0.3">
      <c r="J145" s="338"/>
      <c r="K145" s="338"/>
      <c r="L145" s="339"/>
      <c r="M145" s="340"/>
      <c r="N145" s="340"/>
      <c r="O145" s="341"/>
    </row>
    <row r="146" spans="10:15" ht="15.75" customHeight="1" x14ac:dyDescent="0.3">
      <c r="J146" s="338"/>
      <c r="K146" s="338"/>
      <c r="L146" s="339"/>
      <c r="M146" s="340"/>
      <c r="N146" s="340"/>
      <c r="O146" s="341"/>
    </row>
    <row r="147" spans="10:15" ht="15.75" customHeight="1" x14ac:dyDescent="0.3">
      <c r="J147" s="338"/>
      <c r="K147" s="338"/>
      <c r="L147" s="339"/>
      <c r="M147" s="340"/>
      <c r="N147" s="340"/>
      <c r="O147" s="341"/>
    </row>
    <row r="148" spans="10:15" ht="15.75" customHeight="1" x14ac:dyDescent="0.3">
      <c r="J148" s="338"/>
      <c r="K148" s="338"/>
      <c r="L148" s="339"/>
      <c r="M148" s="340"/>
      <c r="N148" s="340"/>
      <c r="O148" s="341"/>
    </row>
    <row r="149" spans="10:15" ht="15.75" customHeight="1" x14ac:dyDescent="0.3">
      <c r="J149" s="338"/>
      <c r="K149" s="338"/>
      <c r="L149" s="339"/>
      <c r="M149" s="340"/>
      <c r="N149" s="340"/>
      <c r="O149" s="341"/>
    </row>
    <row r="150" spans="10:15" ht="15.75" customHeight="1" x14ac:dyDescent="0.3">
      <c r="J150" s="338"/>
      <c r="K150" s="338"/>
      <c r="L150" s="339"/>
      <c r="M150" s="340"/>
      <c r="N150" s="340"/>
      <c r="O150" s="341"/>
    </row>
    <row r="151" spans="10:15" ht="15.75" customHeight="1" x14ac:dyDescent="0.3">
      <c r="J151" s="338"/>
      <c r="K151" s="338"/>
      <c r="L151" s="339"/>
      <c r="M151" s="340"/>
      <c r="N151" s="340"/>
      <c r="O151" s="341"/>
    </row>
    <row r="152" spans="10:15" ht="15.75" customHeight="1" x14ac:dyDescent="0.3">
      <c r="J152" s="338"/>
      <c r="K152" s="338"/>
      <c r="L152" s="339"/>
      <c r="M152" s="340"/>
      <c r="N152" s="340"/>
      <c r="O152" s="341"/>
    </row>
    <row r="153" spans="10:15" ht="15.75" customHeight="1" x14ac:dyDescent="0.3">
      <c r="J153" s="338"/>
      <c r="K153" s="338"/>
      <c r="L153" s="339"/>
      <c r="M153" s="340"/>
      <c r="N153" s="340"/>
      <c r="O153" s="341"/>
    </row>
    <row r="154" spans="10:15" ht="15.75" customHeight="1" x14ac:dyDescent="0.3">
      <c r="J154" s="338"/>
      <c r="K154" s="338"/>
      <c r="L154" s="339"/>
      <c r="M154" s="340"/>
      <c r="N154" s="340"/>
      <c r="O154" s="341"/>
    </row>
    <row r="155" spans="10:15" ht="15.75" customHeight="1" x14ac:dyDescent="0.3">
      <c r="J155" s="338"/>
      <c r="K155" s="338"/>
      <c r="L155" s="339"/>
      <c r="M155" s="340"/>
      <c r="N155" s="340"/>
      <c r="O155" s="341"/>
    </row>
    <row r="156" spans="10:15" ht="15.75" customHeight="1" x14ac:dyDescent="0.3">
      <c r="J156" s="338"/>
      <c r="K156" s="338"/>
      <c r="L156" s="339"/>
      <c r="M156" s="340"/>
      <c r="N156" s="340"/>
      <c r="O156" s="341"/>
    </row>
    <row r="157" spans="10:15" ht="15.75" customHeight="1" x14ac:dyDescent="0.3">
      <c r="J157" s="338"/>
      <c r="K157" s="338"/>
      <c r="L157" s="339"/>
      <c r="M157" s="340"/>
      <c r="N157" s="340"/>
      <c r="O157" s="341"/>
    </row>
    <row r="158" spans="10:15" ht="15.75" customHeight="1" x14ac:dyDescent="0.3">
      <c r="J158" s="338"/>
      <c r="K158" s="338"/>
      <c r="L158" s="339"/>
      <c r="M158" s="340"/>
      <c r="N158" s="340"/>
      <c r="O158" s="341"/>
    </row>
    <row r="159" spans="10:15" ht="15.75" customHeight="1" x14ac:dyDescent="0.3">
      <c r="J159" s="338"/>
      <c r="K159" s="338"/>
      <c r="L159" s="339"/>
      <c r="M159" s="340"/>
      <c r="N159" s="340"/>
      <c r="O159" s="341"/>
    </row>
    <row r="160" spans="10:15" ht="15.75" customHeight="1" x14ac:dyDescent="0.3">
      <c r="J160" s="338"/>
      <c r="K160" s="338"/>
      <c r="L160" s="339"/>
      <c r="M160" s="340"/>
      <c r="N160" s="340"/>
      <c r="O160" s="341"/>
    </row>
    <row r="161" spans="10:15" ht="15.75" customHeight="1" x14ac:dyDescent="0.3">
      <c r="J161" s="338"/>
      <c r="K161" s="338"/>
      <c r="L161" s="339"/>
      <c r="M161" s="340"/>
      <c r="N161" s="340"/>
      <c r="O161" s="341"/>
    </row>
    <row r="162" spans="10:15" ht="15.75" customHeight="1" x14ac:dyDescent="0.3">
      <c r="J162" s="338"/>
      <c r="K162" s="338"/>
      <c r="L162" s="339"/>
      <c r="M162" s="340"/>
      <c r="N162" s="340"/>
      <c r="O162" s="341"/>
    </row>
    <row r="163" spans="10:15" ht="15.75" customHeight="1" x14ac:dyDescent="0.3">
      <c r="J163" s="338"/>
      <c r="K163" s="338"/>
      <c r="L163" s="339"/>
      <c r="M163" s="340"/>
      <c r="N163" s="340"/>
      <c r="O163" s="341"/>
    </row>
    <row r="164" spans="10:15" ht="15.75" customHeight="1" x14ac:dyDescent="0.3">
      <c r="J164" s="338"/>
      <c r="K164" s="338"/>
      <c r="L164" s="339"/>
      <c r="M164" s="340"/>
      <c r="N164" s="340"/>
      <c r="O164" s="341"/>
    </row>
    <row r="165" spans="10:15" ht="15.75" customHeight="1" x14ac:dyDescent="0.3">
      <c r="J165" s="338"/>
      <c r="K165" s="338"/>
      <c r="L165" s="339"/>
      <c r="M165" s="340"/>
      <c r="N165" s="340"/>
      <c r="O165" s="341"/>
    </row>
    <row r="166" spans="10:15" ht="15.75" customHeight="1" x14ac:dyDescent="0.3">
      <c r="J166" s="338"/>
      <c r="K166" s="338"/>
      <c r="L166" s="339"/>
      <c r="M166" s="340"/>
      <c r="N166" s="340"/>
      <c r="O166" s="341"/>
    </row>
    <row r="167" spans="10:15" ht="15.75" customHeight="1" x14ac:dyDescent="0.3">
      <c r="J167" s="338"/>
      <c r="K167" s="338"/>
      <c r="L167" s="339"/>
      <c r="M167" s="340"/>
      <c r="N167" s="340"/>
      <c r="O167" s="341"/>
    </row>
    <row r="168" spans="10:15" ht="15.75" customHeight="1" x14ac:dyDescent="0.3">
      <c r="J168" s="338"/>
      <c r="K168" s="338"/>
      <c r="L168" s="339"/>
      <c r="M168" s="340"/>
      <c r="N168" s="340"/>
      <c r="O168" s="341"/>
    </row>
    <row r="169" spans="10:15" ht="15.75" customHeight="1" x14ac:dyDescent="0.3">
      <c r="J169" s="338"/>
      <c r="K169" s="338"/>
      <c r="L169" s="339"/>
      <c r="M169" s="340"/>
      <c r="N169" s="340"/>
      <c r="O169" s="341"/>
    </row>
    <row r="170" spans="10:15" ht="15.75" customHeight="1" x14ac:dyDescent="0.3">
      <c r="J170" s="338"/>
      <c r="K170" s="338"/>
      <c r="L170" s="339"/>
      <c r="M170" s="340"/>
      <c r="N170" s="340"/>
      <c r="O170" s="341"/>
    </row>
    <row r="171" spans="10:15" ht="15.75" customHeight="1" x14ac:dyDescent="0.3">
      <c r="J171" s="338"/>
      <c r="K171" s="338"/>
      <c r="L171" s="339"/>
      <c r="M171" s="340"/>
      <c r="N171" s="340"/>
      <c r="O171" s="341"/>
    </row>
    <row r="172" spans="10:15" ht="15.75" customHeight="1" x14ac:dyDescent="0.3">
      <c r="J172" s="338"/>
      <c r="K172" s="338"/>
      <c r="L172" s="339"/>
      <c r="M172" s="340"/>
      <c r="N172" s="340"/>
      <c r="O172" s="341"/>
    </row>
    <row r="173" spans="10:15" ht="15.75" customHeight="1" x14ac:dyDescent="0.3">
      <c r="J173" s="338"/>
      <c r="K173" s="338"/>
      <c r="L173" s="339"/>
      <c r="M173" s="340"/>
      <c r="N173" s="340"/>
      <c r="O173" s="341"/>
    </row>
    <row r="174" spans="10:15" ht="15.75" customHeight="1" x14ac:dyDescent="0.3">
      <c r="J174" s="338"/>
      <c r="K174" s="338"/>
      <c r="L174" s="339"/>
      <c r="M174" s="340"/>
      <c r="N174" s="340"/>
      <c r="O174" s="341"/>
    </row>
    <row r="175" spans="10:15" ht="15.75" customHeight="1" x14ac:dyDescent="0.3">
      <c r="J175" s="338"/>
      <c r="K175" s="338"/>
      <c r="L175" s="339"/>
      <c r="M175" s="340"/>
      <c r="N175" s="340"/>
      <c r="O175" s="341"/>
    </row>
    <row r="176" spans="10:15" ht="15.75" customHeight="1" x14ac:dyDescent="0.3">
      <c r="J176" s="338"/>
      <c r="K176" s="338"/>
      <c r="L176" s="339"/>
      <c r="M176" s="340"/>
      <c r="N176" s="340"/>
      <c r="O176" s="341"/>
    </row>
    <row r="177" spans="10:15" ht="15.75" customHeight="1" x14ac:dyDescent="0.3">
      <c r="J177" s="338"/>
      <c r="K177" s="338"/>
      <c r="L177" s="339"/>
      <c r="M177" s="340"/>
      <c r="N177" s="340"/>
      <c r="O177" s="341"/>
    </row>
    <row r="178" spans="10:15" ht="15.75" customHeight="1" x14ac:dyDescent="0.3">
      <c r="J178" s="338"/>
      <c r="K178" s="338"/>
      <c r="L178" s="339"/>
      <c r="M178" s="340"/>
      <c r="N178" s="340"/>
      <c r="O178" s="341"/>
    </row>
    <row r="179" spans="10:15" ht="15.75" customHeight="1" x14ac:dyDescent="0.3">
      <c r="J179" s="338"/>
      <c r="K179" s="338"/>
      <c r="L179" s="339"/>
      <c r="M179" s="340"/>
      <c r="N179" s="340"/>
      <c r="O179" s="341"/>
    </row>
    <row r="180" spans="10:15" ht="15.75" customHeight="1" x14ac:dyDescent="0.3">
      <c r="J180" s="338"/>
      <c r="K180" s="338"/>
      <c r="L180" s="339"/>
      <c r="M180" s="340"/>
      <c r="N180" s="340"/>
      <c r="O180" s="341"/>
    </row>
    <row r="181" spans="10:15" ht="15.75" customHeight="1" x14ac:dyDescent="0.3">
      <c r="J181" s="338"/>
      <c r="K181" s="338"/>
      <c r="L181" s="339"/>
      <c r="M181" s="340"/>
      <c r="N181" s="340"/>
      <c r="O181" s="341"/>
    </row>
    <row r="182" spans="10:15" ht="15.75" customHeight="1" x14ac:dyDescent="0.3">
      <c r="J182" s="338"/>
      <c r="K182" s="338"/>
      <c r="L182" s="339"/>
      <c r="M182" s="340"/>
      <c r="N182" s="340"/>
      <c r="O182" s="341"/>
    </row>
    <row r="183" spans="10:15" ht="15.75" customHeight="1" x14ac:dyDescent="0.3">
      <c r="J183" s="338"/>
      <c r="K183" s="338"/>
      <c r="L183" s="339"/>
      <c r="M183" s="340"/>
      <c r="N183" s="340"/>
      <c r="O183" s="341"/>
    </row>
    <row r="184" spans="10:15" ht="15.75" customHeight="1" x14ac:dyDescent="0.3">
      <c r="J184" s="338"/>
      <c r="K184" s="338"/>
      <c r="L184" s="339"/>
      <c r="M184" s="340"/>
      <c r="N184" s="340"/>
      <c r="O184" s="341"/>
    </row>
    <row r="185" spans="10:15" ht="15.75" customHeight="1" x14ac:dyDescent="0.3">
      <c r="J185" s="338"/>
      <c r="K185" s="338"/>
      <c r="L185" s="339"/>
      <c r="M185" s="340"/>
      <c r="N185" s="340"/>
      <c r="O185" s="341"/>
    </row>
    <row r="186" spans="10:15" ht="15.75" customHeight="1" x14ac:dyDescent="0.3">
      <c r="J186" s="338"/>
      <c r="K186" s="338"/>
      <c r="L186" s="339"/>
      <c r="M186" s="340"/>
      <c r="N186" s="340"/>
      <c r="O186" s="341"/>
    </row>
    <row r="187" spans="10:15" ht="15.75" customHeight="1" x14ac:dyDescent="0.3">
      <c r="J187" s="338"/>
      <c r="K187" s="338"/>
      <c r="L187" s="339"/>
      <c r="M187" s="340"/>
      <c r="N187" s="340"/>
      <c r="O187" s="341"/>
    </row>
    <row r="188" spans="10:15" ht="15.75" customHeight="1" x14ac:dyDescent="0.3">
      <c r="J188" s="338"/>
      <c r="K188" s="338"/>
      <c r="L188" s="339"/>
      <c r="M188" s="340"/>
      <c r="N188" s="340"/>
      <c r="O188" s="341"/>
    </row>
    <row r="189" spans="10:15" ht="15.75" customHeight="1" x14ac:dyDescent="0.3">
      <c r="J189" s="338"/>
      <c r="K189" s="338"/>
      <c r="L189" s="339"/>
      <c r="M189" s="340"/>
      <c r="N189" s="340"/>
      <c r="O189" s="341"/>
    </row>
    <row r="190" spans="10:15" ht="15.75" customHeight="1" x14ac:dyDescent="0.3">
      <c r="J190" s="338"/>
      <c r="K190" s="338"/>
      <c r="L190" s="339"/>
      <c r="M190" s="340"/>
      <c r="N190" s="340"/>
      <c r="O190" s="341"/>
    </row>
    <row r="191" spans="10:15" ht="15.75" customHeight="1" x14ac:dyDescent="0.3">
      <c r="J191" s="338"/>
      <c r="K191" s="338"/>
      <c r="L191" s="339"/>
      <c r="M191" s="340"/>
      <c r="N191" s="340"/>
      <c r="O191" s="341"/>
    </row>
    <row r="192" spans="10:15" ht="15.75" customHeight="1" x14ac:dyDescent="0.3">
      <c r="J192" s="338"/>
      <c r="K192" s="338"/>
      <c r="L192" s="339"/>
      <c r="M192" s="340"/>
      <c r="N192" s="340"/>
      <c r="O192" s="341"/>
    </row>
    <row r="193" spans="10:15" ht="15.75" customHeight="1" x14ac:dyDescent="0.3">
      <c r="J193" s="338"/>
      <c r="K193" s="338"/>
      <c r="L193" s="339"/>
      <c r="M193" s="340"/>
      <c r="N193" s="340"/>
      <c r="O193" s="341"/>
    </row>
    <row r="194" spans="10:15" ht="15.75" customHeight="1" x14ac:dyDescent="0.3">
      <c r="J194" s="338"/>
      <c r="K194" s="338"/>
      <c r="L194" s="339"/>
      <c r="M194" s="340"/>
      <c r="N194" s="340"/>
      <c r="O194" s="341"/>
    </row>
    <row r="195" spans="10:15" ht="15.75" customHeight="1" x14ac:dyDescent="0.3">
      <c r="J195" s="338"/>
      <c r="K195" s="338"/>
      <c r="L195" s="339"/>
      <c r="M195" s="340"/>
      <c r="N195" s="340"/>
      <c r="O195" s="341"/>
    </row>
    <row r="196" spans="10:15" ht="15.75" customHeight="1" x14ac:dyDescent="0.3">
      <c r="J196" s="338"/>
      <c r="K196" s="338"/>
      <c r="L196" s="339"/>
      <c r="M196" s="340"/>
      <c r="N196" s="340"/>
      <c r="O196" s="341"/>
    </row>
    <row r="197" spans="10:15" ht="15.75" customHeight="1" x14ac:dyDescent="0.3">
      <c r="J197" s="338"/>
      <c r="K197" s="338"/>
      <c r="L197" s="339"/>
      <c r="M197" s="340"/>
      <c r="N197" s="340"/>
      <c r="O197" s="341"/>
    </row>
    <row r="198" spans="10:15" ht="15.75" customHeight="1" x14ac:dyDescent="0.3">
      <c r="J198" s="338"/>
      <c r="K198" s="338"/>
      <c r="L198" s="339"/>
      <c r="M198" s="340"/>
      <c r="N198" s="340"/>
      <c r="O198" s="341"/>
    </row>
    <row r="199" spans="10:15" ht="15.75" customHeight="1" x14ac:dyDescent="0.3">
      <c r="J199" s="338"/>
      <c r="K199" s="338"/>
      <c r="L199" s="339"/>
      <c r="M199" s="340"/>
      <c r="N199" s="340"/>
      <c r="O199" s="341"/>
    </row>
    <row r="200" spans="10:15" ht="15.75" customHeight="1" x14ac:dyDescent="0.3">
      <c r="J200" s="338"/>
      <c r="K200" s="338"/>
      <c r="L200" s="339"/>
      <c r="M200" s="340"/>
      <c r="N200" s="340"/>
      <c r="O200" s="341"/>
    </row>
    <row r="201" spans="10:15" ht="15.75" customHeight="1" x14ac:dyDescent="0.3">
      <c r="J201" s="338"/>
      <c r="K201" s="338"/>
      <c r="L201" s="339"/>
      <c r="M201" s="340"/>
      <c r="N201" s="340"/>
      <c r="O201" s="341"/>
    </row>
    <row r="202" spans="10:15" ht="15.75" customHeight="1" x14ac:dyDescent="0.3">
      <c r="J202" s="338"/>
      <c r="K202" s="338"/>
      <c r="L202" s="339"/>
      <c r="M202" s="340"/>
      <c r="N202" s="340"/>
      <c r="O202" s="341"/>
    </row>
    <row r="203" spans="10:15" ht="15.75" customHeight="1" x14ac:dyDescent="0.3">
      <c r="J203" s="338"/>
      <c r="K203" s="338"/>
      <c r="L203" s="339"/>
      <c r="M203" s="340"/>
      <c r="N203" s="340"/>
      <c r="O203" s="341"/>
    </row>
    <row r="204" spans="10:15" ht="15.75" customHeight="1" x14ac:dyDescent="0.3">
      <c r="J204" s="338"/>
      <c r="K204" s="338"/>
      <c r="L204" s="339"/>
      <c r="M204" s="340"/>
      <c r="N204" s="340"/>
      <c r="O204" s="341"/>
    </row>
    <row r="205" spans="10:15" ht="15.75" customHeight="1" x14ac:dyDescent="0.3">
      <c r="J205" s="338"/>
      <c r="K205" s="338"/>
      <c r="L205" s="339"/>
      <c r="M205" s="340"/>
      <c r="N205" s="340"/>
      <c r="O205" s="341"/>
    </row>
    <row r="206" spans="10:15" ht="15.75" customHeight="1" x14ac:dyDescent="0.3">
      <c r="J206" s="338"/>
      <c r="K206" s="338"/>
      <c r="L206" s="339"/>
      <c r="M206" s="340"/>
      <c r="N206" s="340"/>
      <c r="O206" s="341"/>
    </row>
    <row r="207" spans="10:15" ht="15.75" customHeight="1" x14ac:dyDescent="0.3">
      <c r="J207" s="338"/>
      <c r="K207" s="338"/>
      <c r="L207" s="339"/>
      <c r="M207" s="340"/>
      <c r="N207" s="340"/>
      <c r="O207" s="341"/>
    </row>
    <row r="208" spans="10:15" ht="15.75" customHeight="1" x14ac:dyDescent="0.3">
      <c r="J208" s="338"/>
      <c r="K208" s="338"/>
      <c r="L208" s="339"/>
      <c r="M208" s="340"/>
      <c r="N208" s="340"/>
      <c r="O208" s="341"/>
    </row>
    <row r="209" spans="10:15" ht="15.75" customHeight="1" x14ac:dyDescent="0.3">
      <c r="J209" s="338"/>
      <c r="K209" s="338"/>
      <c r="L209" s="339"/>
      <c r="M209" s="340"/>
      <c r="N209" s="340"/>
      <c r="O209" s="341"/>
    </row>
    <row r="210" spans="10:15" ht="15.75" customHeight="1" x14ac:dyDescent="0.3">
      <c r="J210" s="338"/>
      <c r="K210" s="338"/>
      <c r="L210" s="339"/>
      <c r="M210" s="340"/>
      <c r="N210" s="340"/>
      <c r="O210" s="341"/>
    </row>
    <row r="211" spans="10:15" ht="15.75" customHeight="1" x14ac:dyDescent="0.3">
      <c r="J211" s="338"/>
      <c r="K211" s="338"/>
      <c r="L211" s="339"/>
      <c r="M211" s="340"/>
      <c r="N211" s="340"/>
      <c r="O211" s="341"/>
    </row>
    <row r="212" spans="10:15" ht="15.75" customHeight="1" x14ac:dyDescent="0.3">
      <c r="J212" s="338"/>
      <c r="K212" s="338"/>
      <c r="L212" s="339"/>
      <c r="M212" s="340"/>
      <c r="N212" s="340"/>
      <c r="O212" s="341"/>
    </row>
    <row r="213" spans="10:15" ht="15.75" customHeight="1" x14ac:dyDescent="0.3">
      <c r="J213" s="338"/>
      <c r="K213" s="338"/>
      <c r="L213" s="339"/>
      <c r="M213" s="340"/>
      <c r="N213" s="340"/>
      <c r="O213" s="341"/>
    </row>
    <row r="214" spans="10:15" ht="15.75" customHeight="1" x14ac:dyDescent="0.3">
      <c r="J214" s="338"/>
      <c r="K214" s="338"/>
      <c r="L214" s="339"/>
      <c r="M214" s="340"/>
      <c r="N214" s="340"/>
      <c r="O214" s="341"/>
    </row>
    <row r="215" spans="10:15" ht="15.75" customHeight="1" x14ac:dyDescent="0.3">
      <c r="J215" s="338"/>
      <c r="K215" s="338"/>
      <c r="L215" s="339"/>
      <c r="M215" s="340"/>
      <c r="N215" s="340"/>
      <c r="O215" s="341"/>
    </row>
    <row r="216" spans="10:15" ht="15.75" customHeight="1" x14ac:dyDescent="0.3">
      <c r="J216" s="338"/>
      <c r="K216" s="338"/>
      <c r="L216" s="339"/>
      <c r="M216" s="340"/>
      <c r="N216" s="340"/>
      <c r="O216" s="341"/>
    </row>
    <row r="217" spans="10:15" ht="15.75" customHeight="1" x14ac:dyDescent="0.3">
      <c r="J217" s="338"/>
      <c r="K217" s="338"/>
      <c r="L217" s="339"/>
      <c r="M217" s="340"/>
      <c r="N217" s="340"/>
      <c r="O217" s="341"/>
    </row>
    <row r="218" spans="10:15" ht="15.75" customHeight="1" x14ac:dyDescent="0.3">
      <c r="J218" s="338"/>
      <c r="K218" s="338"/>
      <c r="L218" s="339"/>
      <c r="M218" s="340"/>
      <c r="N218" s="340"/>
      <c r="O218" s="341"/>
    </row>
    <row r="219" spans="10:15" ht="15.75" customHeight="1" x14ac:dyDescent="0.3">
      <c r="J219" s="338"/>
      <c r="K219" s="338"/>
      <c r="L219" s="339"/>
      <c r="M219" s="340"/>
      <c r="N219" s="340"/>
      <c r="O219" s="341"/>
    </row>
    <row r="220" spans="10:15" ht="15.75" customHeight="1" x14ac:dyDescent="0.3">
      <c r="J220" s="338"/>
      <c r="K220" s="338"/>
      <c r="L220" s="339"/>
      <c r="M220" s="340"/>
      <c r="N220" s="340"/>
      <c r="O220" s="341"/>
    </row>
    <row r="221" spans="10:15" ht="15.75" customHeight="1" x14ac:dyDescent="0.3">
      <c r="J221" s="338"/>
      <c r="K221" s="338"/>
      <c r="L221" s="339"/>
      <c r="M221" s="340"/>
      <c r="N221" s="340"/>
      <c r="O221" s="341"/>
    </row>
    <row r="222" spans="10:15" ht="15.75" customHeight="1" x14ac:dyDescent="0.3">
      <c r="J222" s="338"/>
      <c r="K222" s="338"/>
      <c r="L222" s="339"/>
      <c r="M222" s="340"/>
      <c r="N222" s="340"/>
      <c r="O222" s="341"/>
    </row>
    <row r="223" spans="10:15" ht="15.75" customHeight="1" x14ac:dyDescent="0.3">
      <c r="J223" s="338"/>
      <c r="K223" s="338"/>
      <c r="L223" s="339"/>
      <c r="M223" s="340"/>
      <c r="N223" s="340"/>
      <c r="O223" s="341"/>
    </row>
    <row r="224" spans="10:15" ht="15.75" customHeight="1" x14ac:dyDescent="0.3">
      <c r="J224" s="338"/>
      <c r="K224" s="338"/>
      <c r="L224" s="339"/>
      <c r="M224" s="340"/>
      <c r="N224" s="340"/>
      <c r="O224" s="341"/>
    </row>
    <row r="225" spans="10:15" ht="15.75" customHeight="1" x14ac:dyDescent="0.3">
      <c r="J225" s="338"/>
      <c r="K225" s="338"/>
      <c r="L225" s="339"/>
      <c r="M225" s="340"/>
      <c r="N225" s="340"/>
      <c r="O225" s="341"/>
    </row>
    <row r="226" spans="10:15" ht="15.75" customHeight="1" x14ac:dyDescent="0.3">
      <c r="J226" s="338"/>
      <c r="K226" s="338"/>
      <c r="L226" s="339"/>
      <c r="M226" s="340"/>
      <c r="N226" s="340"/>
      <c r="O226" s="341"/>
    </row>
    <row r="227" spans="10:15" ht="15.75" customHeight="1" x14ac:dyDescent="0.3">
      <c r="J227" s="338"/>
      <c r="K227" s="338"/>
      <c r="L227" s="339"/>
      <c r="M227" s="340"/>
      <c r="N227" s="340"/>
      <c r="O227" s="341"/>
    </row>
    <row r="228" spans="10:15" ht="15.75" customHeight="1" x14ac:dyDescent="0.3">
      <c r="J228" s="338"/>
      <c r="K228" s="338"/>
      <c r="L228" s="339"/>
      <c r="M228" s="340"/>
      <c r="N228" s="340"/>
      <c r="O228" s="341"/>
    </row>
    <row r="229" spans="10:15" ht="15.75" customHeight="1" x14ac:dyDescent="0.3">
      <c r="J229" s="338"/>
      <c r="K229" s="338"/>
      <c r="L229" s="339"/>
      <c r="M229" s="340"/>
      <c r="N229" s="340"/>
      <c r="O229" s="341"/>
    </row>
    <row r="230" spans="10:15" ht="15.75" customHeight="1" x14ac:dyDescent="0.3">
      <c r="J230" s="338"/>
      <c r="K230" s="338"/>
      <c r="L230" s="339"/>
      <c r="M230" s="340"/>
      <c r="N230" s="340"/>
      <c r="O230" s="341"/>
    </row>
    <row r="231" spans="10:15" ht="15.75" customHeight="1" x14ac:dyDescent="0.3">
      <c r="J231" s="338"/>
      <c r="K231" s="338"/>
      <c r="L231" s="339"/>
      <c r="M231" s="340"/>
      <c r="N231" s="340"/>
      <c r="O231" s="341"/>
    </row>
    <row r="232" spans="10:15" ht="15.75" customHeight="1" x14ac:dyDescent="0.3">
      <c r="J232" s="338"/>
      <c r="K232" s="338"/>
      <c r="L232" s="339"/>
      <c r="M232" s="340"/>
      <c r="N232" s="340"/>
      <c r="O232" s="341"/>
    </row>
    <row r="233" spans="10:15" ht="15.75" customHeight="1" x14ac:dyDescent="0.3">
      <c r="J233" s="338"/>
      <c r="K233" s="338"/>
      <c r="L233" s="339"/>
      <c r="M233" s="340"/>
      <c r="N233" s="340"/>
      <c r="O233" s="341"/>
    </row>
    <row r="234" spans="10:15" ht="15.75" customHeight="1" x14ac:dyDescent="0.3">
      <c r="J234" s="338"/>
      <c r="K234" s="338"/>
      <c r="L234" s="339"/>
      <c r="M234" s="340"/>
      <c r="N234" s="340"/>
      <c r="O234" s="341"/>
    </row>
    <row r="235" spans="10:15" ht="15.75" customHeight="1" x14ac:dyDescent="0.3">
      <c r="J235" s="338"/>
      <c r="K235" s="338"/>
      <c r="L235" s="339"/>
      <c r="M235" s="340"/>
      <c r="N235" s="340"/>
      <c r="O235" s="341"/>
    </row>
    <row r="236" spans="10:15" ht="15.75" customHeight="1" x14ac:dyDescent="0.3">
      <c r="J236" s="338"/>
      <c r="K236" s="338"/>
      <c r="L236" s="339"/>
      <c r="M236" s="340"/>
      <c r="N236" s="340"/>
      <c r="O236" s="341"/>
    </row>
    <row r="237" spans="10:15" ht="15.75" customHeight="1" x14ac:dyDescent="0.3">
      <c r="J237" s="338"/>
      <c r="K237" s="338"/>
      <c r="L237" s="339"/>
      <c r="M237" s="340"/>
      <c r="N237" s="340"/>
      <c r="O237" s="341"/>
    </row>
    <row r="238" spans="10:15" ht="15.75" customHeight="1" x14ac:dyDescent="0.3">
      <c r="J238" s="338"/>
      <c r="K238" s="338"/>
      <c r="L238" s="339"/>
      <c r="M238" s="340"/>
      <c r="N238" s="340"/>
      <c r="O238" s="341"/>
    </row>
    <row r="239" spans="10:15" ht="15.75" customHeight="1" x14ac:dyDescent="0.3">
      <c r="J239" s="338"/>
      <c r="K239" s="338"/>
      <c r="L239" s="339"/>
      <c r="M239" s="340"/>
      <c r="N239" s="340"/>
      <c r="O239" s="341"/>
    </row>
    <row r="240" spans="10:15" ht="15.75" customHeight="1" x14ac:dyDescent="0.3">
      <c r="J240" s="338"/>
      <c r="K240" s="338"/>
      <c r="L240" s="339"/>
      <c r="M240" s="340"/>
      <c r="N240" s="340"/>
      <c r="O240" s="341"/>
    </row>
    <row r="241" spans="10:15" ht="15.75" customHeight="1" x14ac:dyDescent="0.3">
      <c r="J241" s="338"/>
      <c r="K241" s="338"/>
      <c r="L241" s="339"/>
      <c r="M241" s="340"/>
      <c r="N241" s="340"/>
      <c r="O241" s="341"/>
    </row>
    <row r="242" spans="10:15" ht="15.75" customHeight="1" x14ac:dyDescent="0.3">
      <c r="J242" s="338"/>
      <c r="K242" s="338"/>
      <c r="L242" s="339"/>
      <c r="M242" s="340"/>
      <c r="N242" s="340"/>
      <c r="O242" s="341"/>
    </row>
    <row r="243" spans="10:15" ht="15.75" customHeight="1" x14ac:dyDescent="0.3">
      <c r="J243" s="338"/>
      <c r="K243" s="338"/>
      <c r="L243" s="339"/>
      <c r="M243" s="340"/>
      <c r="N243" s="340"/>
      <c r="O243" s="341"/>
    </row>
    <row r="244" spans="10:15" ht="15.75" customHeight="1" x14ac:dyDescent="0.3">
      <c r="J244" s="338"/>
      <c r="K244" s="338"/>
      <c r="L244" s="339"/>
      <c r="M244" s="340"/>
      <c r="N244" s="340"/>
      <c r="O244" s="341"/>
    </row>
    <row r="245" spans="10:15" ht="15.75" customHeight="1" x14ac:dyDescent="0.3">
      <c r="J245" s="338"/>
      <c r="K245" s="338"/>
      <c r="L245" s="339"/>
      <c r="M245" s="340"/>
      <c r="N245" s="340"/>
      <c r="O245" s="341"/>
    </row>
    <row r="246" spans="10:15" ht="15.75" customHeight="1" x14ac:dyDescent="0.3">
      <c r="J246" s="338"/>
      <c r="K246" s="338"/>
      <c r="L246" s="339"/>
      <c r="M246" s="340"/>
      <c r="N246" s="340"/>
      <c r="O246" s="341"/>
    </row>
    <row r="247" spans="10:15" ht="15.75" customHeight="1" x14ac:dyDescent="0.3">
      <c r="J247" s="338"/>
      <c r="K247" s="338"/>
      <c r="L247" s="339"/>
      <c r="M247" s="340"/>
      <c r="N247" s="340"/>
      <c r="O247" s="341"/>
    </row>
    <row r="248" spans="10:15" ht="15.75" customHeight="1" x14ac:dyDescent="0.3">
      <c r="J248" s="338"/>
      <c r="K248" s="338"/>
      <c r="L248" s="339"/>
      <c r="M248" s="340"/>
      <c r="N248" s="340"/>
      <c r="O248" s="341"/>
    </row>
    <row r="249" spans="10:15" ht="15.75" customHeight="1" x14ac:dyDescent="0.3">
      <c r="J249" s="338"/>
      <c r="K249" s="338"/>
      <c r="L249" s="339"/>
      <c r="M249" s="340"/>
      <c r="N249" s="340"/>
      <c r="O249" s="341"/>
    </row>
    <row r="250" spans="10:15" ht="15.75" customHeight="1" x14ac:dyDescent="0.3">
      <c r="J250" s="338"/>
      <c r="K250" s="338"/>
      <c r="L250" s="339"/>
      <c r="M250" s="340"/>
      <c r="N250" s="340"/>
      <c r="O250" s="341"/>
    </row>
    <row r="251" spans="10:15" ht="15.75" customHeight="1" x14ac:dyDescent="0.3">
      <c r="J251" s="338"/>
      <c r="K251" s="338"/>
      <c r="L251" s="339"/>
      <c r="M251" s="340"/>
      <c r="N251" s="340"/>
      <c r="O251" s="341"/>
    </row>
    <row r="252" spans="10:15" ht="15.75" customHeight="1" x14ac:dyDescent="0.3">
      <c r="J252" s="338"/>
      <c r="K252" s="338"/>
      <c r="L252" s="339"/>
      <c r="M252" s="340"/>
      <c r="N252" s="340"/>
      <c r="O252" s="341"/>
    </row>
    <row r="253" spans="10:15" ht="15.75" customHeight="1" x14ac:dyDescent="0.3">
      <c r="J253" s="338"/>
      <c r="K253" s="338"/>
      <c r="L253" s="339"/>
      <c r="M253" s="340"/>
      <c r="N253" s="340"/>
      <c r="O253" s="341"/>
    </row>
    <row r="254" spans="10:15" ht="15.75" customHeight="1" x14ac:dyDescent="0.3">
      <c r="J254" s="338"/>
      <c r="K254" s="338"/>
      <c r="L254" s="339"/>
      <c r="M254" s="340"/>
      <c r="N254" s="340"/>
      <c r="O254" s="341"/>
    </row>
    <row r="255" spans="10:15" ht="15.75" customHeight="1" x14ac:dyDescent="0.3">
      <c r="J255" s="338"/>
      <c r="K255" s="338"/>
      <c r="L255" s="339"/>
      <c r="M255" s="340"/>
      <c r="N255" s="340"/>
      <c r="O255" s="341"/>
    </row>
    <row r="256" spans="10:15" ht="15.75" customHeight="1" x14ac:dyDescent="0.3">
      <c r="J256" s="338"/>
      <c r="K256" s="338"/>
      <c r="L256" s="339"/>
      <c r="M256" s="340"/>
      <c r="N256" s="340"/>
      <c r="O256" s="341"/>
    </row>
    <row r="257" spans="10:15" ht="15.75" customHeight="1" x14ac:dyDescent="0.3">
      <c r="J257" s="338"/>
      <c r="K257" s="338"/>
      <c r="L257" s="339"/>
      <c r="M257" s="340"/>
      <c r="N257" s="340"/>
      <c r="O257" s="341"/>
    </row>
    <row r="258" spans="10:15" ht="15.75" customHeight="1" x14ac:dyDescent="0.3">
      <c r="J258" s="338"/>
      <c r="K258" s="338"/>
      <c r="L258" s="339"/>
      <c r="M258" s="340"/>
      <c r="N258" s="340"/>
      <c r="O258" s="341"/>
    </row>
    <row r="259" spans="10:15" ht="15.75" customHeight="1" x14ac:dyDescent="0.3">
      <c r="J259" s="338"/>
      <c r="K259" s="338"/>
      <c r="L259" s="339"/>
      <c r="M259" s="340"/>
      <c r="N259" s="340"/>
      <c r="O259" s="341"/>
    </row>
    <row r="260" spans="10:15" ht="15.75" customHeight="1" x14ac:dyDescent="0.3">
      <c r="J260" s="338"/>
      <c r="K260" s="338"/>
      <c r="L260" s="339"/>
      <c r="M260" s="340"/>
      <c r="N260" s="340"/>
      <c r="O260" s="341"/>
    </row>
    <row r="261" spans="10:15" ht="15.75" customHeight="1" x14ac:dyDescent="0.3">
      <c r="J261" s="338"/>
      <c r="K261" s="338"/>
      <c r="L261" s="339"/>
      <c r="M261" s="340"/>
      <c r="N261" s="340"/>
      <c r="O261" s="341"/>
    </row>
    <row r="262" spans="10:15" ht="15.75" customHeight="1" x14ac:dyDescent="0.3">
      <c r="J262" s="338"/>
      <c r="K262" s="338"/>
      <c r="L262" s="339"/>
      <c r="M262" s="340"/>
      <c r="N262" s="340"/>
      <c r="O262" s="341"/>
    </row>
    <row r="263" spans="10:15" ht="15.75" customHeight="1" x14ac:dyDescent="0.3">
      <c r="J263" s="338"/>
      <c r="K263" s="338"/>
      <c r="L263" s="339"/>
      <c r="M263" s="340"/>
      <c r="N263" s="340"/>
      <c r="O263" s="341"/>
    </row>
    <row r="264" spans="10:15" ht="15.75" customHeight="1" x14ac:dyDescent="0.3">
      <c r="J264" s="338"/>
      <c r="K264" s="338"/>
      <c r="L264" s="339"/>
      <c r="M264" s="340"/>
      <c r="N264" s="340"/>
      <c r="O264" s="341"/>
    </row>
    <row r="265" spans="10:15" ht="15.75" customHeight="1" x14ac:dyDescent="0.3">
      <c r="J265" s="338"/>
      <c r="K265" s="338"/>
      <c r="L265" s="339"/>
      <c r="M265" s="340"/>
      <c r="N265" s="340"/>
      <c r="O265" s="341"/>
    </row>
    <row r="266" spans="10:15" ht="15.75" customHeight="1" x14ac:dyDescent="0.3">
      <c r="J266" s="338"/>
      <c r="K266" s="338"/>
      <c r="L266" s="339"/>
      <c r="M266" s="340"/>
      <c r="N266" s="340"/>
      <c r="O266" s="341"/>
    </row>
    <row r="267" spans="10:15" ht="15.75" customHeight="1" x14ac:dyDescent="0.3">
      <c r="J267" s="338"/>
      <c r="K267" s="338"/>
      <c r="L267" s="339"/>
      <c r="M267" s="340"/>
      <c r="N267" s="340"/>
      <c r="O267" s="341"/>
    </row>
    <row r="268" spans="10:15" ht="15.75" customHeight="1" x14ac:dyDescent="0.3">
      <c r="J268" s="338"/>
      <c r="K268" s="338"/>
      <c r="L268" s="339"/>
      <c r="M268" s="340"/>
      <c r="N268" s="340"/>
      <c r="O268" s="341"/>
    </row>
    <row r="269" spans="10:15" ht="15.75" customHeight="1" x14ac:dyDescent="0.3">
      <c r="J269" s="338"/>
      <c r="K269" s="338"/>
      <c r="L269" s="339"/>
      <c r="M269" s="340"/>
      <c r="N269" s="340"/>
      <c r="O269" s="341"/>
    </row>
    <row r="270" spans="10:15" ht="15.75" customHeight="1" x14ac:dyDescent="0.3">
      <c r="J270" s="338"/>
      <c r="K270" s="338"/>
      <c r="L270" s="339"/>
      <c r="M270" s="340"/>
      <c r="N270" s="340"/>
      <c r="O270" s="341"/>
    </row>
    <row r="271" spans="10:15" ht="15.75" customHeight="1" x14ac:dyDescent="0.3">
      <c r="J271" s="338"/>
      <c r="K271" s="338"/>
      <c r="L271" s="339"/>
      <c r="M271" s="340"/>
      <c r="N271" s="340"/>
      <c r="O271" s="341"/>
    </row>
    <row r="272" spans="10:15" ht="15.75" customHeight="1" x14ac:dyDescent="0.3">
      <c r="J272" s="338"/>
      <c r="K272" s="338"/>
      <c r="L272" s="339"/>
      <c r="M272" s="340"/>
      <c r="N272" s="340"/>
      <c r="O272" s="341"/>
    </row>
    <row r="273" spans="10:15" ht="15.75" customHeight="1" x14ac:dyDescent="0.3">
      <c r="J273" s="338"/>
      <c r="K273" s="338"/>
      <c r="L273" s="339"/>
      <c r="M273" s="340"/>
      <c r="N273" s="340"/>
      <c r="O273" s="341"/>
    </row>
    <row r="274" spans="10:15" ht="15.75" customHeight="1" x14ac:dyDescent="0.3">
      <c r="J274" s="338"/>
      <c r="K274" s="338"/>
      <c r="L274" s="339"/>
      <c r="M274" s="340"/>
      <c r="N274" s="340"/>
      <c r="O274" s="341"/>
    </row>
    <row r="275" spans="10:15" ht="15.75" customHeight="1" x14ac:dyDescent="0.3">
      <c r="J275" s="338"/>
      <c r="K275" s="338"/>
      <c r="L275" s="339"/>
      <c r="M275" s="340"/>
      <c r="N275" s="340"/>
      <c r="O275" s="341"/>
    </row>
    <row r="276" spans="10:15" ht="15.75" customHeight="1" x14ac:dyDescent="0.3">
      <c r="J276" s="338"/>
      <c r="K276" s="338"/>
      <c r="L276" s="339"/>
      <c r="M276" s="340"/>
      <c r="N276" s="340"/>
      <c r="O276" s="341"/>
    </row>
    <row r="277" spans="10:15" ht="15.75" customHeight="1" x14ac:dyDescent="0.3">
      <c r="J277" s="338"/>
      <c r="K277" s="338"/>
      <c r="L277" s="339"/>
      <c r="M277" s="340"/>
      <c r="N277" s="340"/>
      <c r="O277" s="341"/>
    </row>
    <row r="278" spans="10:15" ht="15.75" customHeight="1" x14ac:dyDescent="0.3">
      <c r="J278" s="338"/>
      <c r="K278" s="338"/>
      <c r="L278" s="339"/>
      <c r="M278" s="340"/>
      <c r="N278" s="340"/>
      <c r="O278" s="341"/>
    </row>
    <row r="279" spans="10:15" ht="15.75" customHeight="1" x14ac:dyDescent="0.3">
      <c r="J279" s="338"/>
      <c r="K279" s="338"/>
      <c r="L279" s="339"/>
      <c r="M279" s="340"/>
      <c r="N279" s="340"/>
      <c r="O279" s="341"/>
    </row>
    <row r="280" spans="10:15" ht="15.75" customHeight="1" x14ac:dyDescent="0.3">
      <c r="J280" s="338"/>
      <c r="K280" s="338"/>
      <c r="L280" s="339"/>
      <c r="M280" s="340"/>
      <c r="N280" s="340"/>
      <c r="O280" s="341"/>
    </row>
    <row r="281" spans="10:15" ht="15.75" customHeight="1" x14ac:dyDescent="0.3">
      <c r="J281" s="338"/>
      <c r="K281" s="338"/>
      <c r="L281" s="339"/>
      <c r="M281" s="340"/>
      <c r="N281" s="340"/>
      <c r="O281" s="341"/>
    </row>
    <row r="282" spans="10:15" ht="15.75" customHeight="1" x14ac:dyDescent="0.3">
      <c r="J282" s="338"/>
      <c r="K282" s="338"/>
      <c r="L282" s="339"/>
      <c r="M282" s="340"/>
      <c r="N282" s="340"/>
      <c r="O282" s="341"/>
    </row>
    <row r="283" spans="10:15" ht="15.75" customHeight="1" x14ac:dyDescent="0.3">
      <c r="J283" s="338"/>
      <c r="K283" s="338"/>
      <c r="L283" s="339"/>
      <c r="M283" s="340"/>
      <c r="N283" s="340"/>
      <c r="O283" s="341"/>
    </row>
    <row r="284" spans="10:15" ht="15.75" customHeight="1" x14ac:dyDescent="0.3">
      <c r="J284" s="338"/>
      <c r="K284" s="338"/>
      <c r="L284" s="339"/>
      <c r="M284" s="340"/>
      <c r="N284" s="340"/>
      <c r="O284" s="341"/>
    </row>
    <row r="285" spans="10:15" ht="15.75" customHeight="1" x14ac:dyDescent="0.3">
      <c r="J285" s="338"/>
      <c r="K285" s="338"/>
      <c r="L285" s="339"/>
      <c r="M285" s="340"/>
      <c r="N285" s="340"/>
      <c r="O285" s="341"/>
    </row>
    <row r="286" spans="10:15" ht="15.75" customHeight="1" x14ac:dyDescent="0.3">
      <c r="J286" s="338"/>
      <c r="K286" s="338"/>
      <c r="L286" s="339"/>
      <c r="M286" s="340"/>
      <c r="N286" s="340"/>
      <c r="O286" s="341"/>
    </row>
    <row r="287" spans="10:15" ht="15.75" customHeight="1" x14ac:dyDescent="0.3">
      <c r="J287" s="338"/>
      <c r="K287" s="338"/>
      <c r="L287" s="339"/>
      <c r="M287" s="340"/>
      <c r="N287" s="340"/>
      <c r="O287" s="341"/>
    </row>
    <row r="288" spans="10:15" ht="15.75" customHeight="1" x14ac:dyDescent="0.3">
      <c r="J288" s="338"/>
      <c r="K288" s="338"/>
      <c r="L288" s="339"/>
      <c r="M288" s="340"/>
      <c r="N288" s="340"/>
      <c r="O288" s="341"/>
    </row>
    <row r="289" spans="10:15" ht="15.75" customHeight="1" x14ac:dyDescent="0.3">
      <c r="J289" s="338"/>
      <c r="K289" s="338"/>
      <c r="L289" s="339"/>
      <c r="M289" s="340"/>
      <c r="N289" s="340"/>
      <c r="O289" s="341"/>
    </row>
    <row r="290" spans="10:15" ht="15.75" customHeight="1" x14ac:dyDescent="0.3">
      <c r="J290" s="338"/>
      <c r="K290" s="338"/>
      <c r="L290" s="339"/>
      <c r="M290" s="340"/>
      <c r="N290" s="340"/>
      <c r="O290" s="341"/>
    </row>
    <row r="291" spans="10:15" ht="15.75" customHeight="1" x14ac:dyDescent="0.3">
      <c r="J291" s="338"/>
      <c r="K291" s="338"/>
      <c r="L291" s="339"/>
      <c r="M291" s="340"/>
      <c r="N291" s="340"/>
      <c r="O291" s="341"/>
    </row>
    <row r="292" spans="10:15" ht="15.75" customHeight="1" x14ac:dyDescent="0.3">
      <c r="J292" s="338"/>
      <c r="K292" s="338"/>
      <c r="L292" s="339"/>
      <c r="M292" s="340"/>
      <c r="N292" s="340"/>
      <c r="O292" s="341"/>
    </row>
    <row r="293" spans="10:15" ht="15.75" customHeight="1" x14ac:dyDescent="0.3">
      <c r="J293" s="338"/>
      <c r="K293" s="338"/>
      <c r="L293" s="339"/>
      <c r="M293" s="340"/>
      <c r="N293" s="340"/>
      <c r="O293" s="341"/>
    </row>
    <row r="294" spans="10:15" ht="15.75" customHeight="1" x14ac:dyDescent="0.3">
      <c r="J294" s="338"/>
      <c r="K294" s="338"/>
      <c r="L294" s="339"/>
      <c r="M294" s="340"/>
      <c r="N294" s="340"/>
      <c r="O294" s="341"/>
    </row>
    <row r="295" spans="10:15" ht="15.75" customHeight="1" x14ac:dyDescent="0.3">
      <c r="J295" s="338"/>
      <c r="K295" s="338"/>
      <c r="L295" s="339"/>
      <c r="M295" s="340"/>
      <c r="N295" s="340"/>
      <c r="O295" s="341"/>
    </row>
    <row r="296" spans="10:15" ht="15.75" customHeight="1" x14ac:dyDescent="0.3">
      <c r="J296" s="338"/>
      <c r="K296" s="338"/>
      <c r="L296" s="339"/>
      <c r="M296" s="340"/>
      <c r="N296" s="340"/>
      <c r="O296" s="341"/>
    </row>
    <row r="297" spans="10:15" ht="15.75" customHeight="1" x14ac:dyDescent="0.3">
      <c r="J297" s="338"/>
      <c r="K297" s="338"/>
      <c r="L297" s="339"/>
      <c r="M297" s="340"/>
      <c r="N297" s="340"/>
      <c r="O297" s="341"/>
    </row>
    <row r="298" spans="10:15" ht="15.75" customHeight="1" x14ac:dyDescent="0.3">
      <c r="J298" s="338"/>
      <c r="K298" s="338"/>
      <c r="L298" s="339"/>
      <c r="M298" s="340"/>
      <c r="N298" s="340"/>
      <c r="O298" s="341"/>
    </row>
    <row r="299" spans="10:15" ht="15.75" customHeight="1" x14ac:dyDescent="0.3">
      <c r="J299" s="338"/>
      <c r="K299" s="338"/>
      <c r="L299" s="339"/>
      <c r="M299" s="340"/>
      <c r="N299" s="340"/>
      <c r="O299" s="341"/>
    </row>
    <row r="300" spans="10:15" ht="15.75" customHeight="1" x14ac:dyDescent="0.3">
      <c r="J300" s="338"/>
      <c r="K300" s="338"/>
      <c r="L300" s="339"/>
      <c r="M300" s="340"/>
      <c r="N300" s="340"/>
      <c r="O300" s="341"/>
    </row>
    <row r="301" spans="10:15" ht="15.75" customHeight="1" x14ac:dyDescent="0.3">
      <c r="J301" s="338"/>
      <c r="K301" s="338"/>
      <c r="L301" s="339"/>
      <c r="M301" s="340"/>
      <c r="N301" s="340"/>
      <c r="O301" s="341"/>
    </row>
    <row r="302" spans="10:15" ht="15.75" customHeight="1" x14ac:dyDescent="0.3">
      <c r="J302" s="338"/>
      <c r="K302" s="338"/>
      <c r="L302" s="339"/>
      <c r="M302" s="340"/>
      <c r="N302" s="340"/>
      <c r="O302" s="341"/>
    </row>
    <row r="303" spans="10:15" ht="15.75" customHeight="1" x14ac:dyDescent="0.3">
      <c r="J303" s="338"/>
      <c r="K303" s="338"/>
      <c r="L303" s="339"/>
      <c r="M303" s="340"/>
      <c r="N303" s="340"/>
      <c r="O303" s="341"/>
    </row>
    <row r="304" spans="10:15" ht="15.75" customHeight="1" x14ac:dyDescent="0.3">
      <c r="J304" s="338"/>
      <c r="K304" s="338"/>
      <c r="L304" s="339"/>
      <c r="M304" s="340"/>
      <c r="N304" s="340"/>
      <c r="O304" s="341"/>
    </row>
    <row r="305" spans="10:15" ht="15.75" customHeight="1" x14ac:dyDescent="0.3">
      <c r="J305" s="338"/>
      <c r="K305" s="338"/>
      <c r="L305" s="339"/>
      <c r="M305" s="340"/>
      <c r="N305" s="340"/>
      <c r="O305" s="341"/>
    </row>
    <row r="306" spans="10:15" ht="15.75" customHeight="1" x14ac:dyDescent="0.3">
      <c r="J306" s="338"/>
      <c r="K306" s="338"/>
      <c r="L306" s="339"/>
      <c r="M306" s="340"/>
      <c r="N306" s="340"/>
      <c r="O306" s="341"/>
    </row>
    <row r="307" spans="10:15" ht="15.75" customHeight="1" x14ac:dyDescent="0.3">
      <c r="J307" s="338"/>
      <c r="K307" s="338"/>
      <c r="L307" s="339"/>
      <c r="M307" s="340"/>
      <c r="N307" s="340"/>
      <c r="O307" s="341"/>
    </row>
    <row r="308" spans="10:15" ht="15.75" customHeight="1" x14ac:dyDescent="0.3">
      <c r="J308" s="338"/>
      <c r="K308" s="338"/>
      <c r="L308" s="339"/>
      <c r="M308" s="340"/>
      <c r="N308" s="340"/>
      <c r="O308" s="341"/>
    </row>
    <row r="309" spans="10:15" ht="15.75" customHeight="1" x14ac:dyDescent="0.3">
      <c r="J309" s="338"/>
      <c r="K309" s="338"/>
      <c r="L309" s="339"/>
      <c r="M309" s="340"/>
      <c r="N309" s="340"/>
      <c r="O309" s="341"/>
    </row>
    <row r="310" spans="10:15" ht="15.75" customHeight="1" x14ac:dyDescent="0.3">
      <c r="J310" s="338"/>
      <c r="K310" s="338"/>
      <c r="L310" s="339"/>
      <c r="M310" s="340"/>
      <c r="N310" s="340"/>
      <c r="O310" s="341"/>
    </row>
    <row r="311" spans="10:15" ht="15.75" customHeight="1" x14ac:dyDescent="0.3">
      <c r="J311" s="338"/>
      <c r="K311" s="338"/>
      <c r="L311" s="339"/>
      <c r="M311" s="340"/>
      <c r="N311" s="340"/>
      <c r="O311" s="341"/>
    </row>
    <row r="312" spans="10:15" ht="15.75" customHeight="1" x14ac:dyDescent="0.3">
      <c r="J312" s="338"/>
      <c r="K312" s="338"/>
      <c r="L312" s="339"/>
      <c r="M312" s="340"/>
      <c r="N312" s="340"/>
      <c r="O312" s="341"/>
    </row>
    <row r="313" spans="10:15" ht="15.75" customHeight="1" x14ac:dyDescent="0.3">
      <c r="J313" s="338"/>
      <c r="K313" s="338"/>
      <c r="L313" s="339"/>
      <c r="M313" s="340"/>
      <c r="N313" s="340"/>
      <c r="O313" s="341"/>
    </row>
    <row r="314" spans="10:15" ht="15.75" customHeight="1" x14ac:dyDescent="0.3">
      <c r="J314" s="338"/>
      <c r="K314" s="338"/>
      <c r="L314" s="339"/>
      <c r="M314" s="340"/>
      <c r="N314" s="340"/>
      <c r="O314" s="341"/>
    </row>
    <row r="315" spans="10:15" ht="15.75" customHeight="1" x14ac:dyDescent="0.3">
      <c r="J315" s="338"/>
      <c r="K315" s="338"/>
      <c r="L315" s="339"/>
      <c r="M315" s="340"/>
      <c r="N315" s="340"/>
      <c r="O315" s="341"/>
    </row>
    <row r="316" spans="10:15" ht="15.75" customHeight="1" x14ac:dyDescent="0.3">
      <c r="J316" s="338"/>
      <c r="K316" s="338"/>
      <c r="L316" s="339"/>
      <c r="M316" s="340"/>
      <c r="N316" s="340"/>
      <c r="O316" s="341"/>
    </row>
    <row r="317" spans="10:15" ht="15.75" customHeight="1" x14ac:dyDescent="0.3">
      <c r="J317" s="338"/>
      <c r="K317" s="338"/>
      <c r="L317" s="339"/>
      <c r="M317" s="340"/>
      <c r="N317" s="340"/>
      <c r="O317" s="341"/>
    </row>
    <row r="318" spans="10:15" ht="15.75" customHeight="1" x14ac:dyDescent="0.3">
      <c r="J318" s="338"/>
      <c r="K318" s="338"/>
      <c r="L318" s="339"/>
      <c r="M318" s="340"/>
      <c r="N318" s="340"/>
      <c r="O318" s="341"/>
    </row>
    <row r="319" spans="10:15" ht="15.75" customHeight="1" x14ac:dyDescent="0.3">
      <c r="J319" s="338"/>
      <c r="K319" s="338"/>
      <c r="L319" s="339"/>
      <c r="M319" s="340"/>
      <c r="N319" s="340"/>
      <c r="O319" s="341"/>
    </row>
    <row r="320" spans="10:15" ht="15.75" customHeight="1" x14ac:dyDescent="0.3">
      <c r="J320" s="338"/>
      <c r="K320" s="338"/>
      <c r="L320" s="339"/>
      <c r="M320" s="340"/>
      <c r="N320" s="340"/>
      <c r="O320" s="341"/>
    </row>
    <row r="321" spans="10:15" ht="15.75" customHeight="1" x14ac:dyDescent="0.3">
      <c r="J321" s="338"/>
      <c r="K321" s="338"/>
      <c r="L321" s="339"/>
      <c r="M321" s="340"/>
      <c r="N321" s="340"/>
      <c r="O321" s="341"/>
    </row>
    <row r="322" spans="10:15" ht="15.75" customHeight="1" x14ac:dyDescent="0.3">
      <c r="J322" s="338"/>
      <c r="K322" s="338"/>
      <c r="L322" s="339"/>
      <c r="M322" s="340"/>
      <c r="N322" s="340"/>
      <c r="O322" s="341"/>
    </row>
    <row r="323" spans="10:15" ht="15.75" customHeight="1" x14ac:dyDescent="0.3">
      <c r="J323" s="338"/>
      <c r="K323" s="338"/>
      <c r="L323" s="339"/>
      <c r="M323" s="340"/>
      <c r="N323" s="340"/>
      <c r="O323" s="341"/>
    </row>
    <row r="324" spans="10:15" ht="15.75" customHeight="1" x14ac:dyDescent="0.3">
      <c r="J324" s="338"/>
      <c r="K324" s="338"/>
      <c r="L324" s="339"/>
      <c r="M324" s="340"/>
      <c r="N324" s="340"/>
      <c r="O324" s="341"/>
    </row>
    <row r="325" spans="10:15" ht="15.75" customHeight="1" x14ac:dyDescent="0.3">
      <c r="J325" s="338"/>
      <c r="K325" s="338"/>
      <c r="L325" s="339"/>
      <c r="M325" s="340"/>
      <c r="N325" s="340"/>
      <c r="O325" s="341"/>
    </row>
    <row r="326" spans="10:15" ht="15.75" customHeight="1" x14ac:dyDescent="0.3">
      <c r="J326" s="338"/>
      <c r="K326" s="338"/>
      <c r="L326" s="339"/>
      <c r="M326" s="340"/>
      <c r="N326" s="340"/>
      <c r="O326" s="341"/>
    </row>
    <row r="327" spans="10:15" ht="15.75" customHeight="1" x14ac:dyDescent="0.3">
      <c r="J327" s="338"/>
      <c r="K327" s="338"/>
      <c r="L327" s="339"/>
      <c r="M327" s="340"/>
      <c r="N327" s="340"/>
      <c r="O327" s="341"/>
    </row>
    <row r="328" spans="10:15" ht="15.75" customHeight="1" x14ac:dyDescent="0.3">
      <c r="J328" s="338"/>
      <c r="K328" s="338"/>
      <c r="L328" s="339"/>
      <c r="M328" s="340"/>
      <c r="N328" s="340"/>
      <c r="O328" s="341"/>
    </row>
    <row r="329" spans="10:15" ht="15.75" customHeight="1" x14ac:dyDescent="0.3">
      <c r="J329" s="338"/>
      <c r="K329" s="338"/>
      <c r="L329" s="339"/>
      <c r="M329" s="340"/>
      <c r="N329" s="340"/>
      <c r="O329" s="341"/>
    </row>
    <row r="330" spans="10:15" ht="15.75" customHeight="1" x14ac:dyDescent="0.3">
      <c r="J330" s="338"/>
      <c r="K330" s="338"/>
      <c r="L330" s="339"/>
      <c r="M330" s="340"/>
      <c r="N330" s="340"/>
      <c r="O330" s="341"/>
    </row>
    <row r="331" spans="10:15" ht="15.75" customHeight="1" x14ac:dyDescent="0.3">
      <c r="J331" s="338"/>
      <c r="K331" s="338"/>
      <c r="L331" s="339"/>
      <c r="M331" s="340"/>
      <c r="N331" s="340"/>
      <c r="O331" s="341"/>
    </row>
    <row r="332" spans="10:15" ht="15.75" customHeight="1" x14ac:dyDescent="0.3">
      <c r="J332" s="338"/>
      <c r="K332" s="338"/>
      <c r="L332" s="339"/>
      <c r="M332" s="340"/>
      <c r="N332" s="340"/>
      <c r="O332" s="341"/>
    </row>
    <row r="333" spans="10:15" ht="15.75" customHeight="1" x14ac:dyDescent="0.3">
      <c r="J333" s="338"/>
      <c r="K333" s="338"/>
      <c r="L333" s="339"/>
      <c r="M333" s="340"/>
      <c r="N333" s="340"/>
      <c r="O333" s="341"/>
    </row>
    <row r="334" spans="10:15" ht="15.75" customHeight="1" x14ac:dyDescent="0.3">
      <c r="J334" s="338"/>
      <c r="K334" s="338"/>
      <c r="L334" s="339"/>
      <c r="M334" s="340"/>
      <c r="N334" s="340"/>
      <c r="O334" s="341"/>
    </row>
    <row r="335" spans="10:15" ht="15.75" customHeight="1" x14ac:dyDescent="0.3">
      <c r="J335" s="338"/>
      <c r="K335" s="338"/>
      <c r="L335" s="339"/>
      <c r="M335" s="340"/>
      <c r="N335" s="340"/>
      <c r="O335" s="341"/>
    </row>
    <row r="336" spans="10:15" ht="15.75" customHeight="1" x14ac:dyDescent="0.3">
      <c r="J336" s="338"/>
      <c r="K336" s="338"/>
      <c r="L336" s="339"/>
      <c r="M336" s="340"/>
      <c r="N336" s="340"/>
      <c r="O336" s="341"/>
    </row>
    <row r="337" spans="10:15" ht="15.75" customHeight="1" x14ac:dyDescent="0.3">
      <c r="J337" s="338"/>
      <c r="K337" s="338"/>
      <c r="L337" s="339"/>
      <c r="M337" s="340"/>
      <c r="N337" s="340"/>
      <c r="O337" s="341"/>
    </row>
    <row r="338" spans="10:15" ht="15.75" customHeight="1" x14ac:dyDescent="0.3">
      <c r="J338" s="338"/>
      <c r="K338" s="338"/>
      <c r="L338" s="339"/>
      <c r="M338" s="340"/>
      <c r="N338" s="340"/>
      <c r="O338" s="341"/>
    </row>
    <row r="339" spans="10:15" ht="15.75" customHeight="1" x14ac:dyDescent="0.3">
      <c r="J339" s="338"/>
      <c r="K339" s="338"/>
      <c r="L339" s="339"/>
      <c r="M339" s="340"/>
      <c r="N339" s="340"/>
      <c r="O339" s="341"/>
    </row>
    <row r="340" spans="10:15" ht="15.75" customHeight="1" x14ac:dyDescent="0.3">
      <c r="J340" s="338"/>
      <c r="K340" s="338"/>
      <c r="L340" s="339"/>
      <c r="M340" s="340"/>
      <c r="N340" s="340"/>
      <c r="O340" s="341"/>
    </row>
    <row r="341" spans="10:15" ht="15.75" customHeight="1" x14ac:dyDescent="0.3">
      <c r="J341" s="338"/>
      <c r="K341" s="338"/>
      <c r="L341" s="339"/>
      <c r="M341" s="340"/>
      <c r="N341" s="340"/>
      <c r="O341" s="341"/>
    </row>
    <row r="342" spans="10:15" ht="15.75" customHeight="1" x14ac:dyDescent="0.3">
      <c r="J342" s="338"/>
      <c r="K342" s="338"/>
      <c r="L342" s="339"/>
      <c r="M342" s="340"/>
      <c r="N342" s="340"/>
      <c r="O342" s="341"/>
    </row>
    <row r="343" spans="10:15" ht="15.75" customHeight="1" x14ac:dyDescent="0.3">
      <c r="J343" s="338"/>
      <c r="K343" s="338"/>
      <c r="L343" s="339"/>
      <c r="M343" s="340"/>
      <c r="N343" s="340"/>
      <c r="O343" s="341"/>
    </row>
    <row r="344" spans="10:15" ht="15.75" customHeight="1" x14ac:dyDescent="0.3">
      <c r="J344" s="338"/>
      <c r="K344" s="338"/>
      <c r="L344" s="339"/>
      <c r="M344" s="340"/>
      <c r="N344" s="340"/>
      <c r="O344" s="341"/>
    </row>
    <row r="345" spans="10:15" ht="15.75" customHeight="1" x14ac:dyDescent="0.3">
      <c r="J345" s="338"/>
      <c r="K345" s="338"/>
      <c r="L345" s="339"/>
      <c r="M345" s="340"/>
      <c r="N345" s="340"/>
      <c r="O345" s="341"/>
    </row>
    <row r="346" spans="10:15" ht="15.75" customHeight="1" x14ac:dyDescent="0.3">
      <c r="J346" s="338"/>
      <c r="K346" s="338"/>
      <c r="L346" s="339"/>
      <c r="M346" s="340"/>
      <c r="N346" s="340"/>
      <c r="O346" s="341"/>
    </row>
    <row r="347" spans="10:15" ht="15.75" customHeight="1" x14ac:dyDescent="0.3">
      <c r="J347" s="338"/>
      <c r="K347" s="338"/>
      <c r="L347" s="339"/>
      <c r="M347" s="340"/>
      <c r="N347" s="340"/>
      <c r="O347" s="341"/>
    </row>
    <row r="348" spans="10:15" ht="15.75" customHeight="1" x14ac:dyDescent="0.3">
      <c r="J348" s="338"/>
      <c r="K348" s="338"/>
      <c r="L348" s="339"/>
      <c r="M348" s="340"/>
      <c r="N348" s="340"/>
      <c r="O348" s="341"/>
    </row>
    <row r="349" spans="10:15" ht="15.75" customHeight="1" x14ac:dyDescent="0.3">
      <c r="J349" s="338"/>
      <c r="K349" s="338"/>
      <c r="L349" s="339"/>
      <c r="M349" s="340"/>
      <c r="N349" s="340"/>
      <c r="O349" s="341"/>
    </row>
    <row r="350" spans="10:15" ht="15.75" customHeight="1" x14ac:dyDescent="0.3">
      <c r="J350" s="338"/>
      <c r="K350" s="338"/>
      <c r="L350" s="339"/>
      <c r="M350" s="340"/>
      <c r="N350" s="340"/>
      <c r="O350" s="341"/>
    </row>
    <row r="351" spans="10:15" ht="15.75" customHeight="1" x14ac:dyDescent="0.3">
      <c r="J351" s="338"/>
      <c r="K351" s="338"/>
      <c r="L351" s="339"/>
      <c r="M351" s="340"/>
      <c r="N351" s="340"/>
      <c r="O351" s="341"/>
    </row>
    <row r="352" spans="10:15" ht="15.75" customHeight="1" x14ac:dyDescent="0.3">
      <c r="J352" s="338"/>
      <c r="K352" s="338"/>
      <c r="L352" s="339"/>
      <c r="M352" s="340"/>
      <c r="N352" s="340"/>
      <c r="O352" s="341"/>
    </row>
    <row r="353" spans="10:15" ht="15.75" customHeight="1" x14ac:dyDescent="0.3">
      <c r="J353" s="338"/>
      <c r="K353" s="338"/>
      <c r="L353" s="339"/>
      <c r="M353" s="340"/>
      <c r="N353" s="340"/>
      <c r="O353" s="341"/>
    </row>
    <row r="354" spans="10:15" ht="15.75" customHeight="1" x14ac:dyDescent="0.3">
      <c r="J354" s="338"/>
      <c r="K354" s="338"/>
      <c r="L354" s="339"/>
      <c r="M354" s="340"/>
      <c r="N354" s="340"/>
      <c r="O354" s="341"/>
    </row>
    <row r="355" spans="10:15" ht="15.75" customHeight="1" x14ac:dyDescent="0.3">
      <c r="J355" s="338"/>
      <c r="K355" s="338"/>
      <c r="L355" s="339"/>
      <c r="M355" s="340"/>
      <c r="N355" s="340"/>
      <c r="O355" s="341"/>
    </row>
    <row r="356" spans="10:15" ht="15.75" customHeight="1" x14ac:dyDescent="0.3">
      <c r="J356" s="338"/>
      <c r="K356" s="338"/>
      <c r="L356" s="339"/>
      <c r="M356" s="340"/>
      <c r="N356" s="340"/>
      <c r="O356" s="341"/>
    </row>
    <row r="357" spans="10:15" ht="15.75" customHeight="1" x14ac:dyDescent="0.3">
      <c r="J357" s="338"/>
      <c r="K357" s="338"/>
      <c r="L357" s="339"/>
      <c r="M357" s="340"/>
      <c r="N357" s="340"/>
      <c r="O357" s="341"/>
    </row>
    <row r="358" spans="10:15" ht="15.75" customHeight="1" x14ac:dyDescent="0.3">
      <c r="J358" s="338"/>
      <c r="K358" s="338"/>
      <c r="L358" s="339"/>
      <c r="M358" s="340"/>
      <c r="N358" s="340"/>
      <c r="O358" s="341"/>
    </row>
    <row r="359" spans="10:15" ht="15.75" customHeight="1" x14ac:dyDescent="0.3">
      <c r="J359" s="338"/>
      <c r="K359" s="338"/>
      <c r="L359" s="339"/>
      <c r="M359" s="340"/>
      <c r="N359" s="340"/>
      <c r="O359" s="341"/>
    </row>
    <row r="360" spans="10:15" ht="15.75" customHeight="1" x14ac:dyDescent="0.3">
      <c r="J360" s="338"/>
      <c r="K360" s="338"/>
      <c r="L360" s="339"/>
      <c r="M360" s="340"/>
      <c r="N360" s="340"/>
      <c r="O360" s="341"/>
    </row>
    <row r="361" spans="10:15" ht="15.75" customHeight="1" x14ac:dyDescent="0.3">
      <c r="J361" s="338"/>
      <c r="K361" s="338"/>
      <c r="L361" s="339"/>
      <c r="M361" s="340"/>
      <c r="N361" s="340"/>
      <c r="O361" s="341"/>
    </row>
    <row r="362" spans="10:15" ht="15.75" customHeight="1" x14ac:dyDescent="0.3">
      <c r="J362" s="338"/>
      <c r="K362" s="338"/>
      <c r="L362" s="339"/>
      <c r="M362" s="340"/>
      <c r="N362" s="340"/>
      <c r="O362" s="341"/>
    </row>
    <row r="363" spans="10:15" ht="15.75" customHeight="1" x14ac:dyDescent="0.3">
      <c r="J363" s="338"/>
      <c r="K363" s="338"/>
      <c r="L363" s="339"/>
      <c r="M363" s="340"/>
      <c r="N363" s="340"/>
      <c r="O363" s="341"/>
    </row>
    <row r="364" spans="10:15" ht="15.75" customHeight="1" x14ac:dyDescent="0.3">
      <c r="J364" s="338"/>
      <c r="K364" s="338"/>
      <c r="L364" s="339"/>
      <c r="M364" s="340"/>
      <c r="N364" s="340"/>
      <c r="O364" s="341"/>
    </row>
    <row r="365" spans="10:15" ht="15.75" customHeight="1" x14ac:dyDescent="0.3">
      <c r="J365" s="338"/>
      <c r="K365" s="338"/>
      <c r="L365" s="339"/>
      <c r="M365" s="340"/>
      <c r="N365" s="340"/>
      <c r="O365" s="341"/>
    </row>
    <row r="366" spans="10:15" ht="15.75" customHeight="1" x14ac:dyDescent="0.3">
      <c r="J366" s="338"/>
      <c r="K366" s="338"/>
      <c r="L366" s="339"/>
      <c r="M366" s="340"/>
      <c r="N366" s="340"/>
      <c r="O366" s="341"/>
    </row>
    <row r="367" spans="10:15" ht="15.75" customHeight="1" x14ac:dyDescent="0.3">
      <c r="J367" s="338"/>
      <c r="K367" s="338"/>
      <c r="L367" s="339"/>
      <c r="M367" s="340"/>
      <c r="N367" s="340"/>
      <c r="O367" s="341"/>
    </row>
    <row r="368" spans="10:15" ht="15.75" customHeight="1" x14ac:dyDescent="0.3">
      <c r="J368" s="338"/>
      <c r="K368" s="338"/>
      <c r="L368" s="339"/>
      <c r="M368" s="340"/>
      <c r="N368" s="340"/>
      <c r="O368" s="341"/>
    </row>
    <row r="369" spans="10:15" ht="15.75" customHeight="1" x14ac:dyDescent="0.3">
      <c r="J369" s="338"/>
      <c r="K369" s="338"/>
      <c r="L369" s="339"/>
      <c r="M369" s="340"/>
      <c r="N369" s="340"/>
      <c r="O369" s="341"/>
    </row>
    <row r="370" spans="10:15" ht="15.75" customHeight="1" x14ac:dyDescent="0.3">
      <c r="J370" s="338"/>
      <c r="K370" s="338"/>
      <c r="L370" s="339"/>
      <c r="M370" s="340"/>
      <c r="N370" s="340"/>
      <c r="O370" s="341"/>
    </row>
    <row r="371" spans="10:15" ht="15.75" customHeight="1" x14ac:dyDescent="0.3">
      <c r="J371" s="338"/>
      <c r="K371" s="338"/>
      <c r="L371" s="339"/>
      <c r="M371" s="340"/>
      <c r="N371" s="340"/>
      <c r="O371" s="341"/>
    </row>
    <row r="372" spans="10:15" ht="15.75" customHeight="1" x14ac:dyDescent="0.3">
      <c r="J372" s="338"/>
      <c r="K372" s="338"/>
      <c r="L372" s="339"/>
      <c r="M372" s="340"/>
      <c r="N372" s="340"/>
      <c r="O372" s="341"/>
    </row>
    <row r="373" spans="10:15" ht="15.75" customHeight="1" x14ac:dyDescent="0.3">
      <c r="J373" s="338"/>
      <c r="K373" s="338"/>
      <c r="L373" s="339"/>
      <c r="M373" s="340"/>
      <c r="N373" s="340"/>
      <c r="O373" s="341"/>
    </row>
    <row r="374" spans="10:15" ht="15.75" customHeight="1" x14ac:dyDescent="0.3">
      <c r="J374" s="338"/>
      <c r="K374" s="338"/>
      <c r="L374" s="339"/>
      <c r="M374" s="340"/>
      <c r="N374" s="340"/>
      <c r="O374" s="341"/>
    </row>
    <row r="375" spans="10:15" ht="15.75" customHeight="1" x14ac:dyDescent="0.3">
      <c r="J375" s="338"/>
      <c r="K375" s="338"/>
      <c r="L375" s="339"/>
      <c r="M375" s="340"/>
      <c r="N375" s="340"/>
      <c r="O375" s="341"/>
    </row>
    <row r="376" spans="10:15" ht="15.75" customHeight="1" x14ac:dyDescent="0.3">
      <c r="J376" s="338"/>
      <c r="K376" s="338"/>
      <c r="L376" s="339"/>
      <c r="M376" s="340"/>
      <c r="N376" s="340"/>
      <c r="O376" s="341"/>
    </row>
    <row r="377" spans="10:15" ht="15.75" customHeight="1" x14ac:dyDescent="0.3">
      <c r="J377" s="338"/>
      <c r="K377" s="338"/>
      <c r="L377" s="339"/>
      <c r="M377" s="340"/>
      <c r="N377" s="340"/>
      <c r="O377" s="341"/>
    </row>
    <row r="378" spans="10:15" ht="15.75" customHeight="1" x14ac:dyDescent="0.3">
      <c r="J378" s="338"/>
      <c r="K378" s="338"/>
      <c r="L378" s="339"/>
      <c r="M378" s="340"/>
      <c r="N378" s="340"/>
      <c r="O378" s="341"/>
    </row>
    <row r="379" spans="10:15" ht="15.75" customHeight="1" x14ac:dyDescent="0.3">
      <c r="J379" s="338"/>
      <c r="K379" s="338"/>
      <c r="L379" s="339"/>
      <c r="M379" s="340"/>
      <c r="N379" s="340"/>
      <c r="O379" s="341"/>
    </row>
    <row r="380" spans="10:15" ht="15.75" customHeight="1" x14ac:dyDescent="0.3">
      <c r="J380" s="338"/>
      <c r="K380" s="338"/>
      <c r="L380" s="339"/>
      <c r="M380" s="340"/>
      <c r="N380" s="340"/>
      <c r="O380" s="341"/>
    </row>
    <row r="381" spans="10:15" ht="15.75" customHeight="1" x14ac:dyDescent="0.3">
      <c r="J381" s="338"/>
      <c r="K381" s="338"/>
      <c r="L381" s="339"/>
      <c r="M381" s="340"/>
      <c r="N381" s="340"/>
      <c r="O381" s="341"/>
    </row>
    <row r="382" spans="10:15" ht="15.75" customHeight="1" x14ac:dyDescent="0.3">
      <c r="J382" s="338"/>
      <c r="K382" s="338"/>
      <c r="L382" s="339"/>
      <c r="M382" s="340"/>
      <c r="N382" s="340"/>
      <c r="O382" s="341"/>
    </row>
    <row r="383" spans="10:15" ht="15.75" customHeight="1" x14ac:dyDescent="0.3">
      <c r="J383" s="338"/>
      <c r="K383" s="338"/>
      <c r="L383" s="339"/>
      <c r="M383" s="340"/>
      <c r="N383" s="340"/>
      <c r="O383" s="341"/>
    </row>
    <row r="384" spans="10:15" ht="15.75" customHeight="1" x14ac:dyDescent="0.3">
      <c r="J384" s="338"/>
      <c r="K384" s="338"/>
      <c r="L384" s="339"/>
      <c r="M384" s="340"/>
      <c r="N384" s="340"/>
      <c r="O384" s="341"/>
    </row>
    <row r="385" spans="10:15" ht="15.75" customHeight="1" x14ac:dyDescent="0.3">
      <c r="J385" s="338"/>
      <c r="K385" s="338"/>
      <c r="L385" s="339"/>
      <c r="M385" s="340"/>
      <c r="N385" s="340"/>
      <c r="O385" s="341"/>
    </row>
    <row r="386" spans="10:15" ht="15.75" customHeight="1" x14ac:dyDescent="0.3">
      <c r="J386" s="338"/>
      <c r="K386" s="338"/>
      <c r="L386" s="339"/>
      <c r="M386" s="340"/>
      <c r="N386" s="340"/>
      <c r="O386" s="341"/>
    </row>
    <row r="387" spans="10:15" ht="15.75" customHeight="1" x14ac:dyDescent="0.3">
      <c r="J387" s="338"/>
      <c r="K387" s="338"/>
      <c r="L387" s="339"/>
      <c r="M387" s="340"/>
      <c r="N387" s="340"/>
      <c r="O387" s="341"/>
    </row>
    <row r="388" spans="10:15" ht="15.75" customHeight="1" x14ac:dyDescent="0.3">
      <c r="J388" s="338"/>
      <c r="K388" s="338"/>
      <c r="L388" s="339"/>
      <c r="M388" s="340"/>
      <c r="N388" s="340"/>
      <c r="O388" s="341"/>
    </row>
    <row r="389" spans="10:15" ht="15.75" customHeight="1" x14ac:dyDescent="0.3">
      <c r="J389" s="338"/>
      <c r="K389" s="338"/>
      <c r="L389" s="339"/>
      <c r="M389" s="340"/>
      <c r="N389" s="340"/>
      <c r="O389" s="341"/>
    </row>
    <row r="390" spans="10:15" ht="15.75" customHeight="1" x14ac:dyDescent="0.3">
      <c r="J390" s="338"/>
      <c r="K390" s="338"/>
      <c r="L390" s="339"/>
      <c r="M390" s="340"/>
      <c r="N390" s="340"/>
      <c r="O390" s="341"/>
    </row>
    <row r="391" spans="10:15" ht="15.75" customHeight="1" x14ac:dyDescent="0.3">
      <c r="J391" s="338"/>
      <c r="K391" s="338"/>
      <c r="L391" s="339"/>
      <c r="M391" s="340"/>
      <c r="N391" s="340"/>
      <c r="O391" s="341"/>
    </row>
    <row r="392" spans="10:15" ht="15.75" customHeight="1" x14ac:dyDescent="0.3">
      <c r="J392" s="338"/>
      <c r="K392" s="338"/>
      <c r="L392" s="339"/>
      <c r="M392" s="340"/>
      <c r="N392" s="340"/>
      <c r="O392" s="341"/>
    </row>
    <row r="393" spans="10:15" ht="15.75" customHeight="1" x14ac:dyDescent="0.3">
      <c r="J393" s="338"/>
      <c r="K393" s="338"/>
      <c r="L393" s="339"/>
      <c r="M393" s="340"/>
      <c r="N393" s="340"/>
      <c r="O393" s="341"/>
    </row>
    <row r="394" spans="10:15" ht="15.75" customHeight="1" x14ac:dyDescent="0.3">
      <c r="J394" s="338"/>
      <c r="K394" s="338"/>
      <c r="L394" s="339"/>
      <c r="M394" s="340"/>
      <c r="N394" s="340"/>
      <c r="O394" s="341"/>
    </row>
    <row r="395" spans="10:15" ht="15.75" customHeight="1" x14ac:dyDescent="0.3">
      <c r="J395" s="338"/>
      <c r="K395" s="338"/>
      <c r="L395" s="339"/>
      <c r="M395" s="340"/>
      <c r="N395" s="340"/>
      <c r="O395" s="341"/>
    </row>
    <row r="396" spans="10:15" ht="15.75" customHeight="1" x14ac:dyDescent="0.3">
      <c r="J396" s="338"/>
      <c r="K396" s="338"/>
      <c r="L396" s="339"/>
      <c r="M396" s="340"/>
      <c r="N396" s="340"/>
      <c r="O396" s="341"/>
    </row>
    <row r="397" spans="10:15" ht="15.75" customHeight="1" x14ac:dyDescent="0.3">
      <c r="J397" s="338"/>
      <c r="K397" s="338"/>
      <c r="L397" s="339"/>
      <c r="M397" s="340"/>
      <c r="N397" s="340"/>
      <c r="O397" s="341"/>
    </row>
    <row r="398" spans="10:15" ht="15.75" customHeight="1" x14ac:dyDescent="0.3">
      <c r="J398" s="338"/>
      <c r="K398" s="338"/>
      <c r="L398" s="339"/>
      <c r="M398" s="340"/>
      <c r="N398" s="340"/>
      <c r="O398" s="341"/>
    </row>
    <row r="399" spans="10:15" ht="15.75" customHeight="1" x14ac:dyDescent="0.3">
      <c r="J399" s="338"/>
      <c r="K399" s="338"/>
      <c r="L399" s="339"/>
      <c r="M399" s="340"/>
      <c r="N399" s="340"/>
      <c r="O399" s="341"/>
    </row>
    <row r="400" spans="10:15" ht="15.75" customHeight="1" x14ac:dyDescent="0.3">
      <c r="J400" s="338"/>
      <c r="K400" s="338"/>
      <c r="L400" s="339"/>
      <c r="M400" s="340"/>
      <c r="N400" s="340"/>
      <c r="O400" s="341"/>
    </row>
    <row r="401" spans="10:15" ht="15.75" customHeight="1" x14ac:dyDescent="0.3">
      <c r="J401" s="338"/>
      <c r="K401" s="338"/>
      <c r="L401" s="339"/>
      <c r="M401" s="340"/>
      <c r="N401" s="340"/>
      <c r="O401" s="341"/>
    </row>
    <row r="402" spans="10:15" ht="15.75" customHeight="1" x14ac:dyDescent="0.3">
      <c r="J402" s="338"/>
      <c r="K402" s="338"/>
      <c r="L402" s="339"/>
      <c r="M402" s="340"/>
      <c r="N402" s="340"/>
      <c r="O402" s="341"/>
    </row>
    <row r="403" spans="10:15" ht="15.75" customHeight="1" x14ac:dyDescent="0.3">
      <c r="J403" s="338"/>
      <c r="K403" s="338"/>
      <c r="L403" s="339"/>
      <c r="M403" s="340"/>
      <c r="N403" s="340"/>
      <c r="O403" s="341"/>
    </row>
    <row r="404" spans="10:15" ht="15.75" customHeight="1" x14ac:dyDescent="0.3">
      <c r="J404" s="338"/>
      <c r="K404" s="338"/>
      <c r="L404" s="339"/>
      <c r="M404" s="340"/>
      <c r="N404" s="340"/>
      <c r="O404" s="341"/>
    </row>
    <row r="405" spans="10:15" ht="15.75" customHeight="1" x14ac:dyDescent="0.3">
      <c r="J405" s="338"/>
      <c r="K405" s="338"/>
      <c r="L405" s="339"/>
      <c r="M405" s="340"/>
      <c r="N405" s="340"/>
      <c r="O405" s="341"/>
    </row>
    <row r="406" spans="10:15" ht="15.75" customHeight="1" x14ac:dyDescent="0.3">
      <c r="J406" s="338"/>
      <c r="K406" s="338"/>
      <c r="L406" s="339"/>
      <c r="M406" s="340"/>
      <c r="N406" s="340"/>
      <c r="O406" s="341"/>
    </row>
    <row r="407" spans="10:15" ht="15.75" customHeight="1" x14ac:dyDescent="0.3">
      <c r="J407" s="338"/>
      <c r="K407" s="338"/>
      <c r="L407" s="339"/>
      <c r="M407" s="340"/>
      <c r="N407" s="340"/>
      <c r="O407" s="341"/>
    </row>
    <row r="408" spans="10:15" ht="15.75" customHeight="1" x14ac:dyDescent="0.3">
      <c r="J408" s="338"/>
      <c r="K408" s="338"/>
      <c r="L408" s="339"/>
      <c r="M408" s="340"/>
      <c r="N408" s="340"/>
      <c r="O408" s="341"/>
    </row>
    <row r="409" spans="10:15" ht="15.75" customHeight="1" x14ac:dyDescent="0.3">
      <c r="J409" s="338"/>
      <c r="K409" s="338"/>
      <c r="L409" s="339"/>
      <c r="M409" s="340"/>
      <c r="N409" s="340"/>
      <c r="O409" s="341"/>
    </row>
    <row r="410" spans="10:15" ht="15.75" customHeight="1" x14ac:dyDescent="0.3">
      <c r="J410" s="338"/>
      <c r="K410" s="338"/>
      <c r="L410" s="339"/>
      <c r="M410" s="340"/>
      <c r="N410" s="340"/>
      <c r="O410" s="341"/>
    </row>
    <row r="411" spans="10:15" ht="15.75" customHeight="1" x14ac:dyDescent="0.3">
      <c r="J411" s="338"/>
      <c r="K411" s="338"/>
      <c r="L411" s="339"/>
      <c r="M411" s="340"/>
      <c r="N411" s="340"/>
      <c r="O411" s="341"/>
    </row>
    <row r="412" spans="10:15" ht="15.75" customHeight="1" x14ac:dyDescent="0.3">
      <c r="J412" s="338"/>
      <c r="K412" s="338"/>
      <c r="L412" s="339"/>
      <c r="M412" s="340"/>
      <c r="N412" s="340"/>
      <c r="O412" s="341"/>
    </row>
    <row r="413" spans="10:15" ht="15.75" customHeight="1" x14ac:dyDescent="0.3">
      <c r="J413" s="338"/>
      <c r="K413" s="338"/>
      <c r="L413" s="339"/>
      <c r="M413" s="340"/>
      <c r="N413" s="340"/>
      <c r="O413" s="341"/>
    </row>
    <row r="414" spans="10:15" ht="15.75" customHeight="1" x14ac:dyDescent="0.3">
      <c r="J414" s="338"/>
      <c r="K414" s="338"/>
      <c r="L414" s="339"/>
      <c r="M414" s="340"/>
      <c r="N414" s="340"/>
      <c r="O414" s="341"/>
    </row>
    <row r="415" spans="10:15" ht="15.75" customHeight="1" x14ac:dyDescent="0.3">
      <c r="J415" s="338"/>
      <c r="K415" s="338"/>
      <c r="L415" s="339"/>
      <c r="M415" s="340"/>
      <c r="N415" s="340"/>
      <c r="O415" s="341"/>
    </row>
    <row r="416" spans="10:15" ht="15.75" customHeight="1" x14ac:dyDescent="0.3">
      <c r="J416" s="338"/>
      <c r="K416" s="338"/>
      <c r="L416" s="339"/>
      <c r="M416" s="340"/>
      <c r="N416" s="340"/>
      <c r="O416" s="341"/>
    </row>
    <row r="417" spans="10:15" ht="15.75" customHeight="1" x14ac:dyDescent="0.3">
      <c r="J417" s="338"/>
      <c r="K417" s="338"/>
      <c r="L417" s="339"/>
      <c r="M417" s="340"/>
      <c r="N417" s="340"/>
      <c r="O417" s="341"/>
    </row>
    <row r="418" spans="10:15" ht="15.75" customHeight="1" x14ac:dyDescent="0.3">
      <c r="J418" s="338"/>
      <c r="K418" s="338"/>
      <c r="L418" s="339"/>
      <c r="M418" s="340"/>
      <c r="N418" s="340"/>
      <c r="O418" s="341"/>
    </row>
    <row r="419" spans="10:15" ht="15.75" customHeight="1" x14ac:dyDescent="0.3">
      <c r="J419" s="338"/>
      <c r="K419" s="338"/>
      <c r="L419" s="339"/>
      <c r="M419" s="340"/>
      <c r="N419" s="340"/>
      <c r="O419" s="341"/>
    </row>
    <row r="420" spans="10:15" ht="15.75" customHeight="1" x14ac:dyDescent="0.3">
      <c r="J420" s="338"/>
      <c r="K420" s="338"/>
      <c r="L420" s="339"/>
      <c r="M420" s="340"/>
      <c r="N420" s="340"/>
      <c r="O420" s="341"/>
    </row>
    <row r="421" spans="10:15" ht="15.75" customHeight="1" x14ac:dyDescent="0.3">
      <c r="J421" s="338"/>
      <c r="K421" s="338"/>
      <c r="L421" s="339"/>
      <c r="M421" s="340"/>
      <c r="N421" s="340"/>
      <c r="O421" s="341"/>
    </row>
    <row r="422" spans="10:15" ht="15.75" customHeight="1" x14ac:dyDescent="0.3">
      <c r="J422" s="338"/>
      <c r="K422" s="338"/>
      <c r="L422" s="339"/>
      <c r="M422" s="340"/>
      <c r="N422" s="340"/>
      <c r="O422" s="341"/>
    </row>
    <row r="423" spans="10:15" ht="15.75" customHeight="1" x14ac:dyDescent="0.3">
      <c r="J423" s="338"/>
      <c r="K423" s="338"/>
      <c r="L423" s="339"/>
      <c r="M423" s="340"/>
      <c r="N423" s="340"/>
      <c r="O423" s="341"/>
    </row>
    <row r="424" spans="10:15" ht="15.75" customHeight="1" x14ac:dyDescent="0.3">
      <c r="J424" s="338"/>
      <c r="K424" s="338"/>
      <c r="L424" s="339"/>
      <c r="M424" s="340"/>
      <c r="N424" s="340"/>
      <c r="O424" s="341"/>
    </row>
    <row r="425" spans="10:15" ht="15.75" customHeight="1" x14ac:dyDescent="0.3">
      <c r="J425" s="338"/>
      <c r="K425" s="338"/>
      <c r="L425" s="339"/>
      <c r="M425" s="340"/>
      <c r="N425" s="340"/>
      <c r="O425" s="341"/>
    </row>
    <row r="426" spans="10:15" ht="15.75" customHeight="1" x14ac:dyDescent="0.3">
      <c r="J426" s="338"/>
      <c r="K426" s="338"/>
      <c r="L426" s="339"/>
      <c r="M426" s="340"/>
      <c r="N426" s="340"/>
      <c r="O426" s="341"/>
    </row>
    <row r="427" spans="10:15" ht="15.75" customHeight="1" x14ac:dyDescent="0.3">
      <c r="J427" s="338"/>
      <c r="K427" s="338"/>
      <c r="L427" s="339"/>
      <c r="M427" s="340"/>
      <c r="N427" s="340"/>
      <c r="O427" s="341"/>
    </row>
    <row r="428" spans="10:15" ht="15.75" customHeight="1" x14ac:dyDescent="0.3">
      <c r="J428" s="338"/>
      <c r="K428" s="338"/>
      <c r="L428" s="339"/>
      <c r="M428" s="340"/>
      <c r="N428" s="340"/>
      <c r="O428" s="341"/>
    </row>
    <row r="429" spans="10:15" ht="15.75" customHeight="1" x14ac:dyDescent="0.3">
      <c r="J429" s="338"/>
      <c r="K429" s="338"/>
      <c r="L429" s="339"/>
      <c r="M429" s="340"/>
      <c r="N429" s="340"/>
      <c r="O429" s="341"/>
    </row>
    <row r="430" spans="10:15" ht="15.75" customHeight="1" x14ac:dyDescent="0.3">
      <c r="J430" s="338"/>
      <c r="K430" s="338"/>
      <c r="L430" s="339"/>
      <c r="M430" s="340"/>
      <c r="N430" s="340"/>
      <c r="O430" s="341"/>
    </row>
    <row r="431" spans="10:15" ht="15.75" customHeight="1" x14ac:dyDescent="0.3">
      <c r="J431" s="338"/>
      <c r="K431" s="338"/>
      <c r="L431" s="339"/>
      <c r="M431" s="340"/>
      <c r="N431" s="340"/>
      <c r="O431" s="341"/>
    </row>
    <row r="432" spans="10:15" ht="15.75" customHeight="1" x14ac:dyDescent="0.3">
      <c r="J432" s="338"/>
      <c r="K432" s="338"/>
      <c r="L432" s="339"/>
      <c r="M432" s="340"/>
      <c r="N432" s="340"/>
      <c r="O432" s="341"/>
    </row>
    <row r="433" spans="10:15" ht="15.75" customHeight="1" x14ac:dyDescent="0.3">
      <c r="J433" s="338"/>
      <c r="K433" s="338"/>
      <c r="L433" s="339"/>
      <c r="M433" s="340"/>
      <c r="N433" s="340"/>
      <c r="O433" s="341"/>
    </row>
    <row r="434" spans="10:15" ht="15.75" customHeight="1" x14ac:dyDescent="0.3">
      <c r="J434" s="338"/>
      <c r="K434" s="338"/>
      <c r="L434" s="339"/>
      <c r="M434" s="340"/>
      <c r="N434" s="340"/>
      <c r="O434" s="341"/>
    </row>
    <row r="435" spans="10:15" ht="15.75" customHeight="1" x14ac:dyDescent="0.3">
      <c r="J435" s="338"/>
      <c r="K435" s="338"/>
      <c r="L435" s="339"/>
      <c r="M435" s="340"/>
      <c r="N435" s="340"/>
      <c r="O435" s="341"/>
    </row>
    <row r="436" spans="10:15" ht="15.75" customHeight="1" x14ac:dyDescent="0.3">
      <c r="J436" s="338"/>
      <c r="K436" s="338"/>
      <c r="L436" s="339"/>
      <c r="M436" s="340"/>
      <c r="N436" s="340"/>
      <c r="O436" s="341"/>
    </row>
    <row r="437" spans="10:15" ht="15.75" customHeight="1" x14ac:dyDescent="0.3">
      <c r="J437" s="338"/>
      <c r="K437" s="338"/>
      <c r="L437" s="339"/>
      <c r="M437" s="340"/>
      <c r="N437" s="340"/>
      <c r="O437" s="341"/>
    </row>
    <row r="438" spans="10:15" ht="15.75" customHeight="1" x14ac:dyDescent="0.3">
      <c r="J438" s="338"/>
      <c r="K438" s="338"/>
      <c r="L438" s="339"/>
      <c r="M438" s="340"/>
      <c r="N438" s="340"/>
      <c r="O438" s="341"/>
    </row>
    <row r="439" spans="10:15" ht="15.75" customHeight="1" x14ac:dyDescent="0.3">
      <c r="J439" s="338"/>
      <c r="K439" s="338"/>
      <c r="L439" s="339"/>
      <c r="M439" s="340"/>
      <c r="N439" s="340"/>
      <c r="O439" s="341"/>
    </row>
    <row r="440" spans="10:15" ht="15.75" customHeight="1" x14ac:dyDescent="0.3">
      <c r="J440" s="338"/>
      <c r="K440" s="338"/>
      <c r="L440" s="339"/>
      <c r="M440" s="340"/>
      <c r="N440" s="340"/>
      <c r="O440" s="341"/>
    </row>
    <row r="441" spans="10:15" ht="15.75" customHeight="1" x14ac:dyDescent="0.3">
      <c r="J441" s="338"/>
      <c r="K441" s="338"/>
      <c r="L441" s="339"/>
      <c r="M441" s="340"/>
      <c r="N441" s="340"/>
      <c r="O441" s="341"/>
    </row>
    <row r="442" spans="10:15" ht="15.75" customHeight="1" x14ac:dyDescent="0.3">
      <c r="J442" s="338"/>
      <c r="K442" s="338"/>
      <c r="L442" s="339"/>
      <c r="M442" s="340"/>
      <c r="N442" s="340"/>
      <c r="O442" s="341"/>
    </row>
    <row r="443" spans="10:15" ht="15.75" customHeight="1" x14ac:dyDescent="0.3">
      <c r="J443" s="338"/>
      <c r="K443" s="338"/>
      <c r="L443" s="339"/>
      <c r="M443" s="340"/>
      <c r="N443" s="340"/>
      <c r="O443" s="341"/>
    </row>
    <row r="444" spans="10:15" ht="15.75" customHeight="1" x14ac:dyDescent="0.3">
      <c r="J444" s="338"/>
      <c r="K444" s="338"/>
      <c r="L444" s="339"/>
      <c r="M444" s="340"/>
      <c r="N444" s="340"/>
      <c r="O444" s="341"/>
    </row>
    <row r="445" spans="10:15" ht="15.75" customHeight="1" x14ac:dyDescent="0.3">
      <c r="J445" s="338"/>
      <c r="K445" s="338"/>
      <c r="L445" s="339"/>
      <c r="M445" s="340"/>
      <c r="N445" s="340"/>
      <c r="O445" s="341"/>
    </row>
    <row r="446" spans="10:15" ht="15.75" customHeight="1" x14ac:dyDescent="0.3">
      <c r="J446" s="338"/>
      <c r="K446" s="338"/>
      <c r="L446" s="339"/>
      <c r="M446" s="340"/>
      <c r="N446" s="340"/>
      <c r="O446" s="341"/>
    </row>
    <row r="447" spans="10:15" ht="15.75" customHeight="1" x14ac:dyDescent="0.3">
      <c r="J447" s="338"/>
      <c r="K447" s="338"/>
      <c r="L447" s="339"/>
      <c r="M447" s="340"/>
      <c r="N447" s="340"/>
      <c r="O447" s="341"/>
    </row>
    <row r="448" spans="10:15" ht="15.75" customHeight="1" x14ac:dyDescent="0.3">
      <c r="J448" s="338"/>
      <c r="K448" s="338"/>
      <c r="L448" s="339"/>
      <c r="M448" s="340"/>
      <c r="N448" s="340"/>
      <c r="O448" s="341"/>
    </row>
    <row r="449" spans="10:15" ht="15.75" customHeight="1" x14ac:dyDescent="0.3">
      <c r="J449" s="338"/>
      <c r="K449" s="338"/>
      <c r="L449" s="339"/>
      <c r="M449" s="340"/>
      <c r="N449" s="340"/>
      <c r="O449" s="341"/>
    </row>
    <row r="450" spans="10:15" ht="15.75" customHeight="1" x14ac:dyDescent="0.3">
      <c r="J450" s="338"/>
      <c r="K450" s="338"/>
      <c r="L450" s="339"/>
      <c r="M450" s="340"/>
      <c r="N450" s="340"/>
      <c r="O450" s="341"/>
    </row>
    <row r="451" spans="10:15" ht="15.75" customHeight="1" x14ac:dyDescent="0.3">
      <c r="J451" s="338"/>
      <c r="K451" s="338"/>
      <c r="L451" s="339"/>
      <c r="M451" s="340"/>
      <c r="N451" s="340"/>
      <c r="O451" s="341"/>
    </row>
    <row r="452" spans="10:15" ht="15.75" customHeight="1" x14ac:dyDescent="0.3">
      <c r="J452" s="338"/>
      <c r="K452" s="338"/>
      <c r="L452" s="339"/>
      <c r="M452" s="340"/>
      <c r="N452" s="340"/>
      <c r="O452" s="341"/>
    </row>
    <row r="453" spans="10:15" ht="15.75" customHeight="1" x14ac:dyDescent="0.3">
      <c r="J453" s="338"/>
      <c r="K453" s="338"/>
      <c r="L453" s="339"/>
      <c r="M453" s="340"/>
      <c r="N453" s="340"/>
      <c r="O453" s="341"/>
    </row>
    <row r="454" spans="10:15" ht="15.75" customHeight="1" x14ac:dyDescent="0.3">
      <c r="J454" s="338"/>
      <c r="K454" s="338"/>
      <c r="L454" s="339"/>
      <c r="M454" s="340"/>
      <c r="N454" s="340"/>
      <c r="O454" s="341"/>
    </row>
    <row r="455" spans="10:15" ht="15.75" customHeight="1" x14ac:dyDescent="0.3">
      <c r="J455" s="338"/>
      <c r="K455" s="338"/>
      <c r="L455" s="339"/>
      <c r="M455" s="340"/>
      <c r="N455" s="340"/>
      <c r="O455" s="341"/>
    </row>
    <row r="456" spans="10:15" ht="15.75" customHeight="1" x14ac:dyDescent="0.3">
      <c r="J456" s="338"/>
      <c r="K456" s="338"/>
      <c r="L456" s="339"/>
      <c r="M456" s="340"/>
      <c r="N456" s="340"/>
      <c r="O456" s="341"/>
    </row>
    <row r="457" spans="10:15" ht="15.75" customHeight="1" x14ac:dyDescent="0.3">
      <c r="J457" s="338"/>
      <c r="K457" s="338"/>
      <c r="L457" s="339"/>
      <c r="M457" s="340"/>
      <c r="N457" s="340"/>
      <c r="O457" s="341"/>
    </row>
    <row r="458" spans="10:15" ht="15.75" customHeight="1" x14ac:dyDescent="0.3">
      <c r="J458" s="338"/>
      <c r="K458" s="338"/>
      <c r="L458" s="339"/>
      <c r="M458" s="340"/>
      <c r="N458" s="340"/>
      <c r="O458" s="341"/>
    </row>
    <row r="459" spans="10:15" ht="15.75" customHeight="1" x14ac:dyDescent="0.3">
      <c r="J459" s="338"/>
      <c r="K459" s="338"/>
      <c r="L459" s="339"/>
      <c r="M459" s="340"/>
      <c r="N459" s="340"/>
      <c r="O459" s="341"/>
    </row>
    <row r="460" spans="10:15" ht="15.75" customHeight="1" x14ac:dyDescent="0.3">
      <c r="J460" s="338"/>
      <c r="K460" s="338"/>
      <c r="L460" s="339"/>
      <c r="M460" s="340"/>
      <c r="N460" s="340"/>
      <c r="O460" s="341"/>
    </row>
    <row r="461" spans="10:15" ht="15.75" customHeight="1" x14ac:dyDescent="0.3">
      <c r="J461" s="338"/>
      <c r="K461" s="338"/>
      <c r="L461" s="339"/>
      <c r="M461" s="340"/>
      <c r="N461" s="340"/>
      <c r="O461" s="341"/>
    </row>
    <row r="462" spans="10:15" ht="15.75" customHeight="1" x14ac:dyDescent="0.3">
      <c r="J462" s="338"/>
      <c r="K462" s="338"/>
      <c r="L462" s="339"/>
      <c r="M462" s="340"/>
      <c r="N462" s="340"/>
      <c r="O462" s="341"/>
    </row>
    <row r="463" spans="10:15" ht="15.75" customHeight="1" x14ac:dyDescent="0.3">
      <c r="J463" s="338"/>
      <c r="K463" s="338"/>
      <c r="L463" s="339"/>
      <c r="M463" s="340"/>
      <c r="N463" s="340"/>
      <c r="O463" s="341"/>
    </row>
    <row r="464" spans="10:15" ht="15.75" customHeight="1" x14ac:dyDescent="0.3">
      <c r="J464" s="338"/>
      <c r="K464" s="338"/>
      <c r="L464" s="339"/>
      <c r="M464" s="340"/>
      <c r="N464" s="340"/>
      <c r="O464" s="341"/>
    </row>
    <row r="465" spans="10:15" ht="15.75" customHeight="1" x14ac:dyDescent="0.3">
      <c r="J465" s="338"/>
      <c r="K465" s="338"/>
      <c r="L465" s="339"/>
      <c r="M465" s="340"/>
      <c r="N465" s="340"/>
      <c r="O465" s="341"/>
    </row>
    <row r="466" spans="10:15" ht="15.75" customHeight="1" x14ac:dyDescent="0.3">
      <c r="J466" s="338"/>
      <c r="K466" s="338"/>
      <c r="L466" s="339"/>
      <c r="M466" s="340"/>
      <c r="N466" s="340"/>
      <c r="O466" s="341"/>
    </row>
    <row r="467" spans="10:15" ht="15.75" customHeight="1" x14ac:dyDescent="0.3">
      <c r="J467" s="338"/>
      <c r="K467" s="338"/>
      <c r="L467" s="339"/>
      <c r="M467" s="340"/>
      <c r="N467" s="340"/>
      <c r="O467" s="341"/>
    </row>
    <row r="468" spans="10:15" ht="15.75" customHeight="1" x14ac:dyDescent="0.3">
      <c r="J468" s="338"/>
      <c r="K468" s="338"/>
      <c r="L468" s="339"/>
      <c r="M468" s="340"/>
      <c r="N468" s="340"/>
      <c r="O468" s="341"/>
    </row>
    <row r="469" spans="10:15" ht="15.75" customHeight="1" x14ac:dyDescent="0.3">
      <c r="J469" s="338"/>
      <c r="K469" s="338"/>
      <c r="L469" s="339"/>
      <c r="M469" s="340"/>
      <c r="N469" s="340"/>
      <c r="O469" s="341"/>
    </row>
    <row r="470" spans="10:15" ht="15.75" customHeight="1" x14ac:dyDescent="0.3">
      <c r="J470" s="338"/>
      <c r="K470" s="338"/>
      <c r="L470" s="339"/>
      <c r="M470" s="340"/>
      <c r="N470" s="340"/>
      <c r="O470" s="341"/>
    </row>
    <row r="471" spans="10:15" ht="15.75" customHeight="1" x14ac:dyDescent="0.3">
      <c r="J471" s="338"/>
      <c r="K471" s="338"/>
      <c r="L471" s="339"/>
      <c r="M471" s="340"/>
      <c r="N471" s="340"/>
      <c r="O471" s="341"/>
    </row>
    <row r="472" spans="10:15" ht="15.75" customHeight="1" x14ac:dyDescent="0.3">
      <c r="J472" s="338"/>
      <c r="K472" s="338"/>
      <c r="L472" s="339"/>
      <c r="M472" s="340"/>
      <c r="N472" s="340"/>
      <c r="O472" s="341"/>
    </row>
    <row r="473" spans="10:15" ht="15.75" customHeight="1" x14ac:dyDescent="0.3">
      <c r="J473" s="338"/>
      <c r="K473" s="338"/>
      <c r="L473" s="339"/>
      <c r="M473" s="340"/>
      <c r="N473" s="340"/>
      <c r="O473" s="341"/>
    </row>
    <row r="474" spans="10:15" ht="15.75" customHeight="1" x14ac:dyDescent="0.3">
      <c r="J474" s="338"/>
      <c r="K474" s="338"/>
      <c r="L474" s="339"/>
      <c r="M474" s="340"/>
      <c r="N474" s="340"/>
      <c r="O474" s="341"/>
    </row>
    <row r="475" spans="10:15" ht="15.75" customHeight="1" x14ac:dyDescent="0.3">
      <c r="J475" s="338"/>
      <c r="K475" s="338"/>
      <c r="L475" s="339"/>
      <c r="M475" s="340"/>
      <c r="N475" s="340"/>
      <c r="O475" s="341"/>
    </row>
    <row r="476" spans="10:15" ht="15.75" customHeight="1" x14ac:dyDescent="0.3">
      <c r="J476" s="338"/>
      <c r="K476" s="338"/>
      <c r="L476" s="339"/>
      <c r="M476" s="340"/>
      <c r="N476" s="340"/>
      <c r="O476" s="341"/>
    </row>
    <row r="477" spans="10:15" ht="15.75" customHeight="1" x14ac:dyDescent="0.3">
      <c r="J477" s="338"/>
      <c r="K477" s="338"/>
      <c r="L477" s="339"/>
      <c r="M477" s="340"/>
      <c r="N477" s="340"/>
      <c r="O477" s="341"/>
    </row>
    <row r="478" spans="10:15" ht="15.75" customHeight="1" x14ac:dyDescent="0.3">
      <c r="J478" s="338"/>
      <c r="K478" s="338"/>
      <c r="L478" s="339"/>
      <c r="M478" s="340"/>
      <c r="N478" s="340"/>
      <c r="O478" s="341"/>
    </row>
    <row r="479" spans="10:15" ht="15.75" customHeight="1" x14ac:dyDescent="0.3">
      <c r="J479" s="338"/>
      <c r="K479" s="338"/>
      <c r="L479" s="339"/>
      <c r="M479" s="340"/>
      <c r="N479" s="340"/>
      <c r="O479" s="341"/>
    </row>
    <row r="480" spans="10:15" ht="15.75" customHeight="1" x14ac:dyDescent="0.3">
      <c r="J480" s="338"/>
      <c r="K480" s="338"/>
      <c r="L480" s="339"/>
      <c r="M480" s="340"/>
      <c r="N480" s="340"/>
      <c r="O480" s="341"/>
    </row>
    <row r="481" spans="10:15" ht="15.75" customHeight="1" x14ac:dyDescent="0.3">
      <c r="J481" s="338"/>
      <c r="K481" s="338"/>
      <c r="L481" s="339"/>
      <c r="M481" s="340"/>
      <c r="N481" s="340"/>
      <c r="O481" s="341"/>
    </row>
    <row r="482" spans="10:15" ht="15.75" customHeight="1" x14ac:dyDescent="0.3">
      <c r="J482" s="338"/>
      <c r="K482" s="338"/>
      <c r="L482" s="339"/>
      <c r="M482" s="340"/>
      <c r="N482" s="340"/>
      <c r="O482" s="341"/>
    </row>
    <row r="483" spans="10:15" ht="15.75" customHeight="1" x14ac:dyDescent="0.3">
      <c r="J483" s="338"/>
      <c r="K483" s="338"/>
      <c r="L483" s="339"/>
      <c r="M483" s="340"/>
      <c r="N483" s="340"/>
      <c r="O483" s="341"/>
    </row>
    <row r="484" spans="10:15" ht="15.75" customHeight="1" x14ac:dyDescent="0.3">
      <c r="J484" s="338"/>
      <c r="K484" s="338"/>
      <c r="L484" s="339"/>
      <c r="M484" s="340"/>
      <c r="N484" s="340"/>
      <c r="O484" s="341"/>
    </row>
    <row r="485" spans="10:15" ht="15.75" customHeight="1" x14ac:dyDescent="0.3">
      <c r="J485" s="338"/>
      <c r="K485" s="338"/>
      <c r="L485" s="339"/>
      <c r="M485" s="340"/>
      <c r="N485" s="340"/>
      <c r="O485" s="341"/>
    </row>
    <row r="486" spans="10:15" ht="15.75" customHeight="1" x14ac:dyDescent="0.3">
      <c r="J486" s="338"/>
      <c r="K486" s="338"/>
      <c r="L486" s="339"/>
      <c r="M486" s="340"/>
      <c r="N486" s="340"/>
      <c r="O486" s="341"/>
    </row>
    <row r="487" spans="10:15" ht="15.75" customHeight="1" x14ac:dyDescent="0.3">
      <c r="J487" s="338"/>
      <c r="K487" s="338"/>
      <c r="L487" s="339"/>
      <c r="M487" s="340"/>
      <c r="N487" s="340"/>
      <c r="O487" s="341"/>
    </row>
    <row r="488" spans="10:15" ht="15.75" customHeight="1" x14ac:dyDescent="0.3">
      <c r="J488" s="338"/>
      <c r="K488" s="338"/>
      <c r="L488" s="339"/>
      <c r="M488" s="340"/>
      <c r="N488" s="340"/>
      <c r="O488" s="341"/>
    </row>
    <row r="489" spans="10:15" ht="15.75" customHeight="1" x14ac:dyDescent="0.3">
      <c r="J489" s="338"/>
      <c r="K489" s="338"/>
      <c r="L489" s="339"/>
      <c r="M489" s="340"/>
      <c r="N489" s="340"/>
      <c r="O489" s="341"/>
    </row>
    <row r="490" spans="10:15" ht="15.75" customHeight="1" x14ac:dyDescent="0.3">
      <c r="J490" s="338"/>
      <c r="K490" s="338"/>
      <c r="L490" s="339"/>
      <c r="M490" s="340"/>
      <c r="N490" s="340"/>
      <c r="O490" s="341"/>
    </row>
    <row r="491" spans="10:15" ht="15.75" customHeight="1" x14ac:dyDescent="0.3">
      <c r="J491" s="338"/>
      <c r="K491" s="338"/>
      <c r="L491" s="339"/>
      <c r="M491" s="340"/>
      <c r="N491" s="340"/>
      <c r="O491" s="341"/>
    </row>
    <row r="492" spans="10:15" ht="15.75" customHeight="1" x14ac:dyDescent="0.3">
      <c r="J492" s="338"/>
      <c r="K492" s="338"/>
      <c r="L492" s="339"/>
      <c r="M492" s="340"/>
      <c r="N492" s="340"/>
      <c r="O492" s="341"/>
    </row>
    <row r="493" spans="10:15" ht="15.75" customHeight="1" x14ac:dyDescent="0.3">
      <c r="J493" s="338"/>
      <c r="K493" s="338"/>
      <c r="L493" s="339"/>
      <c r="M493" s="340"/>
      <c r="N493" s="340"/>
      <c r="O493" s="341"/>
    </row>
    <row r="494" spans="10:15" ht="15.75" customHeight="1" x14ac:dyDescent="0.3">
      <c r="J494" s="338"/>
      <c r="K494" s="338"/>
      <c r="L494" s="339"/>
      <c r="M494" s="340"/>
      <c r="N494" s="340"/>
      <c r="O494" s="341"/>
    </row>
    <row r="495" spans="10:15" ht="15.75" customHeight="1" x14ac:dyDescent="0.3">
      <c r="J495" s="338"/>
      <c r="K495" s="338"/>
      <c r="L495" s="339"/>
      <c r="M495" s="340"/>
      <c r="N495" s="340"/>
      <c r="O495" s="341"/>
    </row>
    <row r="496" spans="10:15" ht="15.75" customHeight="1" x14ac:dyDescent="0.3">
      <c r="J496" s="338"/>
      <c r="K496" s="338"/>
      <c r="L496" s="339"/>
      <c r="M496" s="340"/>
      <c r="N496" s="340"/>
      <c r="O496" s="341"/>
    </row>
    <row r="497" spans="10:15" ht="15.75" customHeight="1" x14ac:dyDescent="0.3">
      <c r="J497" s="338"/>
      <c r="K497" s="338"/>
      <c r="L497" s="339"/>
      <c r="M497" s="340"/>
      <c r="N497" s="340"/>
      <c r="O497" s="341"/>
    </row>
    <row r="498" spans="10:15" ht="15.75" customHeight="1" x14ac:dyDescent="0.3">
      <c r="J498" s="338"/>
      <c r="K498" s="338"/>
      <c r="L498" s="339"/>
      <c r="M498" s="340"/>
      <c r="N498" s="340"/>
      <c r="O498" s="341"/>
    </row>
    <row r="499" spans="10:15" ht="15.75" customHeight="1" x14ac:dyDescent="0.3">
      <c r="J499" s="338"/>
      <c r="K499" s="338"/>
      <c r="L499" s="339"/>
      <c r="M499" s="340"/>
      <c r="N499" s="340"/>
      <c r="O499" s="341"/>
    </row>
    <row r="500" spans="10:15" ht="15.75" customHeight="1" x14ac:dyDescent="0.3">
      <c r="J500" s="338"/>
      <c r="K500" s="338"/>
      <c r="L500" s="339"/>
      <c r="M500" s="340"/>
      <c r="N500" s="340"/>
      <c r="O500" s="341"/>
    </row>
    <row r="501" spans="10:15" ht="15.75" customHeight="1" x14ac:dyDescent="0.3">
      <c r="J501" s="338"/>
      <c r="K501" s="338"/>
      <c r="L501" s="339"/>
      <c r="M501" s="340"/>
      <c r="N501" s="340"/>
      <c r="O501" s="341"/>
    </row>
    <row r="502" spans="10:15" ht="15.75" customHeight="1" x14ac:dyDescent="0.3">
      <c r="J502" s="338"/>
      <c r="K502" s="338"/>
      <c r="L502" s="339"/>
      <c r="M502" s="340"/>
      <c r="N502" s="340"/>
      <c r="O502" s="341"/>
    </row>
    <row r="503" spans="10:15" ht="15.75" customHeight="1" x14ac:dyDescent="0.3">
      <c r="J503" s="338"/>
      <c r="K503" s="338"/>
      <c r="L503" s="339"/>
      <c r="M503" s="340"/>
      <c r="N503" s="340"/>
      <c r="O503" s="341"/>
    </row>
    <row r="504" spans="10:15" ht="15.75" customHeight="1" x14ac:dyDescent="0.3">
      <c r="J504" s="338"/>
      <c r="K504" s="338"/>
      <c r="L504" s="339"/>
      <c r="M504" s="340"/>
      <c r="N504" s="340"/>
      <c r="O504" s="341"/>
    </row>
    <row r="505" spans="10:15" ht="15.75" customHeight="1" x14ac:dyDescent="0.3">
      <c r="J505" s="338"/>
      <c r="K505" s="338"/>
      <c r="L505" s="339"/>
      <c r="M505" s="340"/>
      <c r="N505" s="340"/>
      <c r="O505" s="341"/>
    </row>
    <row r="506" spans="10:15" ht="15.75" customHeight="1" x14ac:dyDescent="0.3">
      <c r="J506" s="338"/>
      <c r="K506" s="338"/>
      <c r="L506" s="339"/>
      <c r="M506" s="340"/>
      <c r="N506" s="340"/>
      <c r="O506" s="341"/>
    </row>
    <row r="507" spans="10:15" ht="15.75" customHeight="1" x14ac:dyDescent="0.3">
      <c r="J507" s="338"/>
      <c r="K507" s="338"/>
      <c r="L507" s="339"/>
      <c r="M507" s="340"/>
      <c r="N507" s="340"/>
      <c r="O507" s="341"/>
    </row>
    <row r="508" spans="10:15" ht="15.75" customHeight="1" x14ac:dyDescent="0.3">
      <c r="J508" s="338"/>
      <c r="K508" s="338"/>
      <c r="L508" s="339"/>
      <c r="M508" s="340"/>
      <c r="N508" s="340"/>
      <c r="O508" s="341"/>
    </row>
    <row r="509" spans="10:15" ht="15.75" customHeight="1" x14ac:dyDescent="0.3">
      <c r="J509" s="338"/>
      <c r="K509" s="338"/>
      <c r="L509" s="339"/>
      <c r="M509" s="340"/>
      <c r="N509" s="340"/>
      <c r="O509" s="341"/>
    </row>
    <row r="510" spans="10:15" ht="15.75" customHeight="1" x14ac:dyDescent="0.3">
      <c r="J510" s="338"/>
      <c r="K510" s="338"/>
      <c r="L510" s="339"/>
      <c r="M510" s="340"/>
      <c r="N510" s="340"/>
      <c r="O510" s="341"/>
    </row>
    <row r="511" spans="10:15" ht="15.75" customHeight="1" x14ac:dyDescent="0.3">
      <c r="J511" s="338"/>
      <c r="K511" s="338"/>
      <c r="L511" s="339"/>
      <c r="M511" s="340"/>
      <c r="N511" s="340"/>
      <c r="O511" s="341"/>
    </row>
    <row r="512" spans="10:15" ht="15.75" customHeight="1" x14ac:dyDescent="0.3">
      <c r="J512" s="338"/>
      <c r="K512" s="338"/>
      <c r="L512" s="339"/>
      <c r="M512" s="340"/>
      <c r="N512" s="340"/>
      <c r="O512" s="341"/>
    </row>
    <row r="513" spans="10:15" ht="15.75" customHeight="1" x14ac:dyDescent="0.3">
      <c r="J513" s="338"/>
      <c r="K513" s="338"/>
      <c r="L513" s="339"/>
      <c r="M513" s="340"/>
      <c r="N513" s="340"/>
      <c r="O513" s="341"/>
    </row>
    <row r="514" spans="10:15" ht="15.75" customHeight="1" x14ac:dyDescent="0.3">
      <c r="J514" s="338"/>
      <c r="K514" s="338"/>
      <c r="L514" s="339"/>
      <c r="M514" s="340"/>
      <c r="N514" s="340"/>
      <c r="O514" s="341"/>
    </row>
    <row r="515" spans="10:15" ht="15.75" customHeight="1" x14ac:dyDescent="0.3">
      <c r="J515" s="338"/>
      <c r="K515" s="338"/>
      <c r="L515" s="339"/>
      <c r="M515" s="340"/>
      <c r="N515" s="340"/>
      <c r="O515" s="341"/>
    </row>
    <row r="516" spans="10:15" ht="15.75" customHeight="1" x14ac:dyDescent="0.3">
      <c r="J516" s="338"/>
      <c r="K516" s="338"/>
      <c r="L516" s="339"/>
      <c r="M516" s="340"/>
      <c r="N516" s="340"/>
      <c r="O516" s="341"/>
    </row>
    <row r="517" spans="10:15" ht="15.75" customHeight="1" x14ac:dyDescent="0.3">
      <c r="J517" s="338"/>
      <c r="K517" s="338"/>
      <c r="L517" s="339"/>
      <c r="M517" s="340"/>
      <c r="N517" s="340"/>
      <c r="O517" s="341"/>
    </row>
    <row r="518" spans="10:15" ht="15.75" customHeight="1" x14ac:dyDescent="0.3">
      <c r="J518" s="338"/>
      <c r="K518" s="338"/>
      <c r="L518" s="339"/>
      <c r="M518" s="340"/>
      <c r="N518" s="340"/>
      <c r="O518" s="341"/>
    </row>
    <row r="519" spans="10:15" ht="15.75" customHeight="1" x14ac:dyDescent="0.3">
      <c r="J519" s="338"/>
      <c r="K519" s="338"/>
      <c r="L519" s="339"/>
      <c r="M519" s="340"/>
      <c r="N519" s="340"/>
      <c r="O519" s="341"/>
    </row>
    <row r="520" spans="10:15" ht="15.75" customHeight="1" x14ac:dyDescent="0.3">
      <c r="J520" s="338"/>
      <c r="K520" s="338"/>
      <c r="L520" s="339"/>
      <c r="M520" s="340"/>
      <c r="N520" s="340"/>
      <c r="O520" s="341"/>
    </row>
    <row r="521" spans="10:15" ht="15.75" customHeight="1" x14ac:dyDescent="0.3">
      <c r="J521" s="338"/>
      <c r="K521" s="338"/>
      <c r="L521" s="339"/>
      <c r="M521" s="340"/>
      <c r="N521" s="340"/>
      <c r="O521" s="341"/>
    </row>
    <row r="522" spans="10:15" ht="15.75" customHeight="1" x14ac:dyDescent="0.3">
      <c r="J522" s="338"/>
      <c r="K522" s="338"/>
      <c r="L522" s="339"/>
      <c r="M522" s="340"/>
      <c r="N522" s="340"/>
      <c r="O522" s="341"/>
    </row>
    <row r="523" spans="10:15" ht="15.75" customHeight="1" x14ac:dyDescent="0.3">
      <c r="J523" s="338"/>
      <c r="K523" s="338"/>
      <c r="L523" s="339"/>
      <c r="M523" s="340"/>
      <c r="N523" s="340"/>
      <c r="O523" s="341"/>
    </row>
    <row r="524" spans="10:15" ht="15.75" customHeight="1" x14ac:dyDescent="0.3">
      <c r="J524" s="338"/>
      <c r="K524" s="338"/>
      <c r="L524" s="339"/>
      <c r="M524" s="340"/>
      <c r="N524" s="340"/>
      <c r="O524" s="341"/>
    </row>
    <row r="525" spans="10:15" ht="15.75" customHeight="1" x14ac:dyDescent="0.3">
      <c r="J525" s="338"/>
      <c r="K525" s="338"/>
      <c r="L525" s="339"/>
      <c r="M525" s="340"/>
      <c r="N525" s="340"/>
      <c r="O525" s="341"/>
    </row>
    <row r="526" spans="10:15" ht="15.75" customHeight="1" x14ac:dyDescent="0.3">
      <c r="J526" s="338"/>
      <c r="K526" s="338"/>
      <c r="L526" s="339"/>
      <c r="M526" s="340"/>
      <c r="N526" s="340"/>
      <c r="O526" s="341"/>
    </row>
    <row r="527" spans="10:15" ht="15.75" customHeight="1" x14ac:dyDescent="0.3">
      <c r="J527" s="338"/>
      <c r="K527" s="338"/>
      <c r="L527" s="339"/>
      <c r="M527" s="340"/>
      <c r="N527" s="340"/>
      <c r="O527" s="341"/>
    </row>
    <row r="528" spans="10:15" ht="15.75" customHeight="1" x14ac:dyDescent="0.3">
      <c r="J528" s="338"/>
      <c r="K528" s="338"/>
      <c r="L528" s="339"/>
      <c r="M528" s="340"/>
      <c r="N528" s="340"/>
      <c r="O528" s="341"/>
    </row>
    <row r="529" spans="10:15" ht="15.75" customHeight="1" x14ac:dyDescent="0.3">
      <c r="J529" s="338"/>
      <c r="K529" s="338"/>
      <c r="L529" s="339"/>
      <c r="M529" s="340"/>
      <c r="N529" s="340"/>
      <c r="O529" s="341"/>
    </row>
    <row r="530" spans="10:15" ht="15.75" customHeight="1" x14ac:dyDescent="0.3">
      <c r="J530" s="338"/>
      <c r="K530" s="338"/>
      <c r="L530" s="339"/>
      <c r="M530" s="340"/>
      <c r="N530" s="340"/>
      <c r="O530" s="341"/>
    </row>
    <row r="531" spans="10:15" ht="15.75" customHeight="1" x14ac:dyDescent="0.3">
      <c r="J531" s="338"/>
      <c r="K531" s="338"/>
      <c r="L531" s="339"/>
      <c r="M531" s="340"/>
      <c r="N531" s="340"/>
      <c r="O531" s="341"/>
    </row>
    <row r="532" spans="10:15" ht="15.75" customHeight="1" x14ac:dyDescent="0.3">
      <c r="J532" s="338"/>
      <c r="K532" s="338"/>
      <c r="L532" s="339"/>
      <c r="M532" s="340"/>
      <c r="N532" s="340"/>
      <c r="O532" s="341"/>
    </row>
    <row r="533" spans="10:15" ht="15.75" customHeight="1" x14ac:dyDescent="0.3">
      <c r="J533" s="338"/>
      <c r="K533" s="338"/>
      <c r="L533" s="339"/>
      <c r="M533" s="340"/>
      <c r="N533" s="340"/>
      <c r="O533" s="341"/>
    </row>
    <row r="534" spans="10:15" ht="15.75" customHeight="1" x14ac:dyDescent="0.3">
      <c r="J534" s="338"/>
      <c r="K534" s="338"/>
      <c r="L534" s="339"/>
      <c r="M534" s="340"/>
      <c r="N534" s="340"/>
      <c r="O534" s="341"/>
    </row>
    <row r="535" spans="10:15" ht="15.75" customHeight="1" x14ac:dyDescent="0.3">
      <c r="J535" s="338"/>
      <c r="K535" s="338"/>
      <c r="L535" s="339"/>
      <c r="M535" s="340"/>
      <c r="N535" s="340"/>
      <c r="O535" s="341"/>
    </row>
    <row r="536" spans="10:15" ht="15.75" customHeight="1" x14ac:dyDescent="0.3">
      <c r="J536" s="338"/>
      <c r="K536" s="338"/>
      <c r="L536" s="339"/>
      <c r="M536" s="340"/>
      <c r="N536" s="340"/>
      <c r="O536" s="341"/>
    </row>
    <row r="537" spans="10:15" ht="15.75" customHeight="1" x14ac:dyDescent="0.3">
      <c r="J537" s="338"/>
      <c r="K537" s="338"/>
      <c r="L537" s="339"/>
      <c r="M537" s="340"/>
      <c r="N537" s="340"/>
      <c r="O537" s="341"/>
    </row>
    <row r="538" spans="10:15" ht="15.75" customHeight="1" x14ac:dyDescent="0.3">
      <c r="J538" s="338"/>
      <c r="K538" s="338"/>
      <c r="L538" s="339"/>
      <c r="M538" s="340"/>
      <c r="N538" s="340"/>
      <c r="O538" s="341"/>
    </row>
    <row r="539" spans="10:15" ht="15.75" customHeight="1" x14ac:dyDescent="0.3">
      <c r="J539" s="338"/>
      <c r="K539" s="338"/>
      <c r="L539" s="339"/>
      <c r="M539" s="340"/>
      <c r="N539" s="340"/>
      <c r="O539" s="341"/>
    </row>
    <row r="540" spans="10:15" ht="15.75" customHeight="1" x14ac:dyDescent="0.3">
      <c r="J540" s="338"/>
      <c r="K540" s="338"/>
      <c r="L540" s="339"/>
      <c r="M540" s="340"/>
      <c r="N540" s="340"/>
      <c r="O540" s="341"/>
    </row>
    <row r="541" spans="10:15" ht="15.75" customHeight="1" x14ac:dyDescent="0.3">
      <c r="J541" s="338"/>
      <c r="K541" s="338"/>
      <c r="L541" s="339"/>
      <c r="M541" s="340"/>
      <c r="N541" s="340"/>
      <c r="O541" s="341"/>
    </row>
    <row r="542" spans="10:15" ht="15.75" customHeight="1" x14ac:dyDescent="0.3">
      <c r="J542" s="338"/>
      <c r="K542" s="338"/>
      <c r="L542" s="339"/>
      <c r="M542" s="340"/>
      <c r="N542" s="340"/>
      <c r="O542" s="341"/>
    </row>
    <row r="543" spans="10:15" ht="15.75" customHeight="1" x14ac:dyDescent="0.3">
      <c r="J543" s="338"/>
      <c r="K543" s="338"/>
      <c r="L543" s="339"/>
      <c r="M543" s="340"/>
      <c r="N543" s="340"/>
      <c r="O543" s="341"/>
    </row>
    <row r="544" spans="10:15" ht="15.75" customHeight="1" x14ac:dyDescent="0.3">
      <c r="J544" s="338"/>
      <c r="K544" s="338"/>
      <c r="L544" s="339"/>
      <c r="M544" s="340"/>
      <c r="N544" s="340"/>
      <c r="O544" s="341"/>
    </row>
    <row r="545" spans="10:15" ht="15.75" customHeight="1" x14ac:dyDescent="0.3">
      <c r="J545" s="338"/>
      <c r="K545" s="338"/>
      <c r="L545" s="339"/>
      <c r="M545" s="340"/>
      <c r="N545" s="340"/>
      <c r="O545" s="341"/>
    </row>
    <row r="546" spans="10:15" ht="15.75" customHeight="1" x14ac:dyDescent="0.3">
      <c r="J546" s="338"/>
      <c r="K546" s="338"/>
      <c r="L546" s="339"/>
      <c r="M546" s="340"/>
      <c r="N546" s="340"/>
      <c r="O546" s="341"/>
    </row>
    <row r="547" spans="10:15" ht="15.75" customHeight="1" x14ac:dyDescent="0.3">
      <c r="J547" s="338"/>
      <c r="K547" s="338"/>
      <c r="L547" s="339"/>
      <c r="M547" s="340"/>
      <c r="N547" s="340"/>
      <c r="O547" s="341"/>
    </row>
    <row r="548" spans="10:15" ht="15.75" customHeight="1" x14ac:dyDescent="0.3">
      <c r="J548" s="338"/>
      <c r="K548" s="338"/>
      <c r="L548" s="339"/>
      <c r="M548" s="340"/>
      <c r="N548" s="340"/>
      <c r="O548" s="341"/>
    </row>
    <row r="549" spans="10:15" ht="15.75" customHeight="1" x14ac:dyDescent="0.3">
      <c r="J549" s="338"/>
      <c r="K549" s="338"/>
      <c r="L549" s="339"/>
      <c r="M549" s="340"/>
      <c r="N549" s="340"/>
      <c r="O549" s="341"/>
    </row>
    <row r="550" spans="10:15" ht="15.75" customHeight="1" x14ac:dyDescent="0.3">
      <c r="J550" s="338"/>
      <c r="K550" s="338"/>
      <c r="L550" s="339"/>
      <c r="M550" s="340"/>
      <c r="N550" s="340"/>
      <c r="O550" s="341"/>
    </row>
    <row r="551" spans="10:15" ht="15.75" customHeight="1" x14ac:dyDescent="0.3">
      <c r="J551" s="338"/>
      <c r="K551" s="338"/>
      <c r="L551" s="339"/>
      <c r="M551" s="340"/>
      <c r="N551" s="340"/>
      <c r="O551" s="341"/>
    </row>
    <row r="552" spans="10:15" ht="15.75" customHeight="1" x14ac:dyDescent="0.3">
      <c r="J552" s="338"/>
      <c r="K552" s="338"/>
      <c r="L552" s="339"/>
      <c r="M552" s="340"/>
      <c r="N552" s="340"/>
      <c r="O552" s="341"/>
    </row>
    <row r="553" spans="10:15" ht="15.75" customHeight="1" x14ac:dyDescent="0.3">
      <c r="J553" s="338"/>
      <c r="K553" s="338"/>
      <c r="L553" s="339"/>
      <c r="M553" s="340"/>
      <c r="N553" s="340"/>
      <c r="O553" s="341"/>
    </row>
    <row r="554" spans="10:15" ht="15.75" customHeight="1" x14ac:dyDescent="0.3">
      <c r="J554" s="338"/>
      <c r="K554" s="338"/>
      <c r="L554" s="339"/>
      <c r="M554" s="340"/>
      <c r="N554" s="340"/>
      <c r="O554" s="341"/>
    </row>
    <row r="555" spans="10:15" ht="15.75" customHeight="1" x14ac:dyDescent="0.3">
      <c r="J555" s="338"/>
      <c r="K555" s="338"/>
      <c r="L555" s="339"/>
      <c r="M555" s="340"/>
      <c r="N555" s="340"/>
      <c r="O555" s="341"/>
    </row>
    <row r="556" spans="10:15" ht="15.75" customHeight="1" x14ac:dyDescent="0.3">
      <c r="J556" s="338"/>
      <c r="K556" s="338"/>
      <c r="L556" s="339"/>
      <c r="M556" s="340"/>
      <c r="N556" s="340"/>
      <c r="O556" s="341"/>
    </row>
    <row r="557" spans="10:15" ht="15.75" customHeight="1" x14ac:dyDescent="0.3">
      <c r="J557" s="338"/>
      <c r="K557" s="338"/>
      <c r="L557" s="339"/>
      <c r="M557" s="340"/>
      <c r="N557" s="340"/>
      <c r="O557" s="341"/>
    </row>
    <row r="558" spans="10:15" ht="15.75" customHeight="1" x14ac:dyDescent="0.3">
      <c r="J558" s="338"/>
      <c r="K558" s="338"/>
      <c r="L558" s="339"/>
      <c r="M558" s="340"/>
      <c r="N558" s="340"/>
      <c r="O558" s="341"/>
    </row>
    <row r="559" spans="10:15" ht="15.75" customHeight="1" x14ac:dyDescent="0.3">
      <c r="J559" s="338"/>
      <c r="K559" s="338"/>
      <c r="L559" s="339"/>
      <c r="M559" s="340"/>
      <c r="N559" s="340"/>
      <c r="O559" s="341"/>
    </row>
    <row r="560" spans="10:15" ht="15.75" customHeight="1" x14ac:dyDescent="0.3">
      <c r="J560" s="338"/>
      <c r="K560" s="338"/>
      <c r="L560" s="339"/>
      <c r="M560" s="340"/>
      <c r="N560" s="340"/>
      <c r="O560" s="341"/>
    </row>
    <row r="561" spans="10:15" ht="15.75" customHeight="1" x14ac:dyDescent="0.3">
      <c r="J561" s="338"/>
      <c r="K561" s="338"/>
      <c r="L561" s="339"/>
      <c r="M561" s="340"/>
      <c r="N561" s="340"/>
      <c r="O561" s="341"/>
    </row>
    <row r="562" spans="10:15" ht="15.75" customHeight="1" x14ac:dyDescent="0.3">
      <c r="J562" s="338"/>
      <c r="K562" s="338"/>
      <c r="L562" s="339"/>
      <c r="M562" s="340"/>
      <c r="N562" s="340"/>
      <c r="O562" s="341"/>
    </row>
    <row r="563" spans="10:15" ht="15.75" customHeight="1" x14ac:dyDescent="0.3">
      <c r="J563" s="338"/>
      <c r="K563" s="338"/>
      <c r="L563" s="339"/>
      <c r="M563" s="340"/>
      <c r="N563" s="340"/>
      <c r="O563" s="341"/>
    </row>
    <row r="564" spans="10:15" ht="15.75" customHeight="1" x14ac:dyDescent="0.3">
      <c r="J564" s="338"/>
      <c r="K564" s="338"/>
      <c r="L564" s="339"/>
      <c r="M564" s="340"/>
      <c r="N564" s="340"/>
      <c r="O564" s="341"/>
    </row>
    <row r="565" spans="10:15" ht="15.75" customHeight="1" x14ac:dyDescent="0.3">
      <c r="J565" s="338"/>
      <c r="K565" s="338"/>
      <c r="L565" s="339"/>
      <c r="M565" s="340"/>
      <c r="N565" s="340"/>
      <c r="O565" s="341"/>
    </row>
    <row r="566" spans="10:15" ht="15.75" customHeight="1" x14ac:dyDescent="0.3">
      <c r="J566" s="338"/>
      <c r="K566" s="338"/>
      <c r="L566" s="339"/>
      <c r="M566" s="340"/>
      <c r="N566" s="340"/>
      <c r="O566" s="341"/>
    </row>
    <row r="567" spans="10:15" ht="15.75" customHeight="1" x14ac:dyDescent="0.3">
      <c r="J567" s="338"/>
      <c r="K567" s="338"/>
      <c r="L567" s="339"/>
      <c r="M567" s="340"/>
      <c r="N567" s="340"/>
      <c r="O567" s="341"/>
    </row>
    <row r="568" spans="10:15" ht="15.75" customHeight="1" x14ac:dyDescent="0.3">
      <c r="J568" s="338"/>
      <c r="K568" s="338"/>
      <c r="L568" s="339"/>
      <c r="M568" s="340"/>
      <c r="N568" s="340"/>
      <c r="O568" s="341"/>
    </row>
    <row r="569" spans="10:15" ht="15.75" customHeight="1" x14ac:dyDescent="0.3">
      <c r="J569" s="338"/>
      <c r="K569" s="338"/>
      <c r="L569" s="339"/>
      <c r="M569" s="340"/>
      <c r="N569" s="340"/>
      <c r="O569" s="341"/>
    </row>
    <row r="570" spans="10:15" ht="15.75" customHeight="1" x14ac:dyDescent="0.3">
      <c r="J570" s="338"/>
      <c r="K570" s="338"/>
      <c r="L570" s="339"/>
      <c r="M570" s="340"/>
      <c r="N570" s="340"/>
      <c r="O570" s="341"/>
    </row>
    <row r="571" spans="10:15" ht="15.75" customHeight="1" x14ac:dyDescent="0.3">
      <c r="J571" s="338"/>
      <c r="K571" s="338"/>
      <c r="L571" s="339"/>
      <c r="M571" s="340"/>
      <c r="N571" s="340"/>
      <c r="O571" s="341"/>
    </row>
    <row r="572" spans="10:15" ht="15.75" customHeight="1" x14ac:dyDescent="0.3">
      <c r="J572" s="338"/>
      <c r="K572" s="338"/>
      <c r="L572" s="339"/>
      <c r="M572" s="340"/>
      <c r="N572" s="340"/>
      <c r="O572" s="341"/>
    </row>
    <row r="573" spans="10:15" ht="15.75" customHeight="1" x14ac:dyDescent="0.3">
      <c r="J573" s="338"/>
      <c r="K573" s="338"/>
      <c r="L573" s="339"/>
      <c r="M573" s="340"/>
      <c r="N573" s="340"/>
      <c r="O573" s="341"/>
    </row>
    <row r="574" spans="10:15" ht="15.75" customHeight="1" x14ac:dyDescent="0.3">
      <c r="J574" s="338"/>
      <c r="K574" s="338"/>
      <c r="L574" s="339"/>
      <c r="M574" s="340"/>
      <c r="N574" s="340"/>
      <c r="O574" s="341"/>
    </row>
    <row r="575" spans="10:15" ht="15.75" customHeight="1" x14ac:dyDescent="0.3">
      <c r="J575" s="338"/>
      <c r="K575" s="338"/>
      <c r="L575" s="339"/>
      <c r="M575" s="340"/>
      <c r="N575" s="340"/>
      <c r="O575" s="341"/>
    </row>
    <row r="576" spans="10:15" ht="15.75" customHeight="1" x14ac:dyDescent="0.3">
      <c r="J576" s="338"/>
      <c r="K576" s="338"/>
      <c r="L576" s="339"/>
      <c r="M576" s="340"/>
      <c r="N576" s="340"/>
      <c r="O576" s="341"/>
    </row>
    <row r="577" spans="10:15" ht="15.75" customHeight="1" x14ac:dyDescent="0.3">
      <c r="J577" s="338"/>
      <c r="K577" s="338"/>
      <c r="L577" s="339"/>
      <c r="M577" s="340"/>
      <c r="N577" s="340"/>
      <c r="O577" s="341"/>
    </row>
    <row r="578" spans="10:15" ht="15.75" customHeight="1" x14ac:dyDescent="0.3">
      <c r="J578" s="338"/>
      <c r="K578" s="338"/>
      <c r="L578" s="339"/>
      <c r="M578" s="340"/>
      <c r="N578" s="340"/>
      <c r="O578" s="341"/>
    </row>
    <row r="579" spans="10:15" ht="15.75" customHeight="1" x14ac:dyDescent="0.3">
      <c r="J579" s="338"/>
      <c r="K579" s="338"/>
      <c r="L579" s="339"/>
      <c r="M579" s="340"/>
      <c r="N579" s="340"/>
      <c r="O579" s="341"/>
    </row>
    <row r="580" spans="10:15" ht="15.75" customHeight="1" x14ac:dyDescent="0.3">
      <c r="J580" s="338"/>
      <c r="K580" s="338"/>
      <c r="L580" s="339"/>
      <c r="M580" s="340"/>
      <c r="N580" s="340"/>
      <c r="O580" s="341"/>
    </row>
    <row r="581" spans="10:15" ht="15.75" customHeight="1" x14ac:dyDescent="0.3">
      <c r="J581" s="338"/>
      <c r="K581" s="338"/>
      <c r="L581" s="339"/>
      <c r="M581" s="340"/>
      <c r="N581" s="340"/>
      <c r="O581" s="341"/>
    </row>
    <row r="582" spans="10:15" ht="15.75" customHeight="1" x14ac:dyDescent="0.3">
      <c r="J582" s="338"/>
      <c r="K582" s="338"/>
      <c r="L582" s="339"/>
      <c r="M582" s="340"/>
      <c r="N582" s="340"/>
      <c r="O582" s="341"/>
    </row>
    <row r="583" spans="10:15" ht="15.75" customHeight="1" x14ac:dyDescent="0.3">
      <c r="J583" s="338"/>
      <c r="K583" s="338"/>
      <c r="L583" s="339"/>
      <c r="M583" s="340"/>
      <c r="N583" s="340"/>
      <c r="O583" s="341"/>
    </row>
    <row r="584" spans="10:15" ht="15.75" customHeight="1" x14ac:dyDescent="0.3">
      <c r="J584" s="338"/>
      <c r="K584" s="338"/>
      <c r="L584" s="339"/>
      <c r="M584" s="340"/>
      <c r="N584" s="340"/>
      <c r="O584" s="341"/>
    </row>
    <row r="585" spans="10:15" ht="15.75" customHeight="1" x14ac:dyDescent="0.3">
      <c r="J585" s="338"/>
      <c r="K585" s="338"/>
      <c r="L585" s="339"/>
      <c r="M585" s="340"/>
      <c r="N585" s="340"/>
      <c r="O585" s="341"/>
    </row>
    <row r="586" spans="10:15" ht="15.75" customHeight="1" x14ac:dyDescent="0.3">
      <c r="J586" s="338"/>
      <c r="K586" s="338"/>
      <c r="L586" s="339"/>
      <c r="M586" s="340"/>
      <c r="N586" s="340"/>
      <c r="O586" s="341"/>
    </row>
    <row r="587" spans="10:15" ht="15.75" customHeight="1" x14ac:dyDescent="0.3">
      <c r="J587" s="338"/>
      <c r="K587" s="338"/>
      <c r="L587" s="339"/>
      <c r="M587" s="340"/>
      <c r="N587" s="340"/>
      <c r="O587" s="341"/>
    </row>
    <row r="588" spans="10:15" ht="15.75" customHeight="1" x14ac:dyDescent="0.3">
      <c r="J588" s="338"/>
      <c r="K588" s="338"/>
      <c r="L588" s="339"/>
      <c r="M588" s="340"/>
      <c r="N588" s="340"/>
      <c r="O588" s="341"/>
    </row>
    <row r="589" spans="10:15" ht="15.75" customHeight="1" x14ac:dyDescent="0.3">
      <c r="J589" s="338"/>
      <c r="K589" s="338"/>
      <c r="L589" s="339"/>
      <c r="M589" s="340"/>
      <c r="N589" s="340"/>
      <c r="O589" s="341"/>
    </row>
    <row r="590" spans="10:15" ht="15.75" customHeight="1" x14ac:dyDescent="0.3">
      <c r="J590" s="338"/>
      <c r="K590" s="338"/>
      <c r="L590" s="339"/>
      <c r="M590" s="340"/>
      <c r="N590" s="340"/>
      <c r="O590" s="341"/>
    </row>
    <row r="591" spans="10:15" ht="15.75" customHeight="1" x14ac:dyDescent="0.3">
      <c r="J591" s="338"/>
      <c r="K591" s="338"/>
      <c r="L591" s="339"/>
      <c r="M591" s="340"/>
      <c r="N591" s="340"/>
      <c r="O591" s="341"/>
    </row>
    <row r="592" spans="10:15" ht="15.75" customHeight="1" x14ac:dyDescent="0.3">
      <c r="J592" s="338"/>
      <c r="K592" s="338"/>
      <c r="L592" s="339"/>
      <c r="M592" s="340"/>
      <c r="N592" s="340"/>
      <c r="O592" s="341"/>
    </row>
    <row r="593" spans="10:15" ht="15.75" customHeight="1" x14ac:dyDescent="0.3">
      <c r="J593" s="338"/>
      <c r="K593" s="338"/>
      <c r="L593" s="339"/>
      <c r="M593" s="340"/>
      <c r="N593" s="340"/>
      <c r="O593" s="341"/>
    </row>
    <row r="594" spans="10:15" ht="15.75" customHeight="1" x14ac:dyDescent="0.3">
      <c r="J594" s="338"/>
      <c r="K594" s="338"/>
      <c r="L594" s="339"/>
      <c r="M594" s="340"/>
      <c r="N594" s="340"/>
      <c r="O594" s="341"/>
    </row>
    <row r="595" spans="10:15" ht="15.75" customHeight="1" x14ac:dyDescent="0.3">
      <c r="J595" s="338"/>
      <c r="K595" s="338"/>
      <c r="L595" s="339"/>
      <c r="M595" s="340"/>
      <c r="N595" s="340"/>
      <c r="O595" s="341"/>
    </row>
    <row r="596" spans="10:15" ht="15.75" customHeight="1" x14ac:dyDescent="0.3">
      <c r="J596" s="338"/>
      <c r="K596" s="338"/>
      <c r="L596" s="339"/>
      <c r="M596" s="340"/>
      <c r="N596" s="340"/>
      <c r="O596" s="341"/>
    </row>
    <row r="597" spans="10:15" ht="15.75" customHeight="1" x14ac:dyDescent="0.3">
      <c r="J597" s="338"/>
      <c r="K597" s="338"/>
      <c r="L597" s="339"/>
      <c r="M597" s="340"/>
      <c r="N597" s="340"/>
      <c r="O597" s="341"/>
    </row>
    <row r="598" spans="10:15" ht="15.75" customHeight="1" x14ac:dyDescent="0.3">
      <c r="J598" s="338"/>
      <c r="K598" s="338"/>
      <c r="L598" s="339"/>
      <c r="M598" s="340"/>
      <c r="N598" s="340"/>
      <c r="O598" s="341"/>
    </row>
    <row r="599" spans="10:15" ht="15.75" customHeight="1" x14ac:dyDescent="0.3">
      <c r="J599" s="338"/>
      <c r="K599" s="338"/>
      <c r="L599" s="339"/>
      <c r="M599" s="340"/>
      <c r="N599" s="340"/>
      <c r="O599" s="341"/>
    </row>
    <row r="600" spans="10:15" ht="15.75" customHeight="1" x14ac:dyDescent="0.3">
      <c r="J600" s="338"/>
      <c r="K600" s="338"/>
      <c r="L600" s="339"/>
      <c r="M600" s="340"/>
      <c r="N600" s="340"/>
      <c r="O600" s="341"/>
    </row>
    <row r="601" spans="10:15" ht="15.75" customHeight="1" x14ac:dyDescent="0.3">
      <c r="J601" s="338"/>
      <c r="K601" s="338"/>
      <c r="L601" s="339"/>
      <c r="M601" s="340"/>
      <c r="N601" s="340"/>
      <c r="O601" s="341"/>
    </row>
    <row r="602" spans="10:15" ht="15.75" customHeight="1" x14ac:dyDescent="0.3">
      <c r="J602" s="338"/>
      <c r="K602" s="338"/>
      <c r="L602" s="339"/>
      <c r="M602" s="340"/>
      <c r="N602" s="340"/>
      <c r="O602" s="341"/>
    </row>
    <row r="603" spans="10:15" ht="15.75" customHeight="1" x14ac:dyDescent="0.3">
      <c r="J603" s="338"/>
      <c r="K603" s="338"/>
      <c r="L603" s="339"/>
      <c r="M603" s="340"/>
      <c r="N603" s="340"/>
      <c r="O603" s="341"/>
    </row>
    <row r="604" spans="10:15" ht="15.75" customHeight="1" x14ac:dyDescent="0.3">
      <c r="J604" s="338"/>
      <c r="K604" s="338"/>
      <c r="L604" s="339"/>
      <c r="M604" s="340"/>
      <c r="N604" s="340"/>
      <c r="O604" s="341"/>
    </row>
    <row r="605" spans="10:15" ht="15.75" customHeight="1" x14ac:dyDescent="0.3">
      <c r="J605" s="338"/>
      <c r="K605" s="338"/>
      <c r="L605" s="339"/>
      <c r="M605" s="340"/>
      <c r="N605" s="340"/>
      <c r="O605" s="341"/>
    </row>
    <row r="606" spans="10:15" ht="15.75" customHeight="1" x14ac:dyDescent="0.3">
      <c r="J606" s="338"/>
      <c r="K606" s="338"/>
      <c r="L606" s="339"/>
      <c r="M606" s="340"/>
      <c r="N606" s="340"/>
      <c r="O606" s="341"/>
    </row>
    <row r="607" spans="10:15" ht="15.75" customHeight="1" x14ac:dyDescent="0.3">
      <c r="J607" s="338"/>
      <c r="K607" s="338"/>
      <c r="L607" s="339"/>
      <c r="M607" s="340"/>
      <c r="N607" s="340"/>
      <c r="O607" s="341"/>
    </row>
    <row r="608" spans="10:15" ht="15.75" customHeight="1" x14ac:dyDescent="0.3">
      <c r="J608" s="338"/>
      <c r="K608" s="338"/>
      <c r="L608" s="339"/>
      <c r="M608" s="340"/>
      <c r="N608" s="340"/>
      <c r="O608" s="341"/>
    </row>
    <row r="609" spans="10:15" ht="15.75" customHeight="1" x14ac:dyDescent="0.3">
      <c r="J609" s="338"/>
      <c r="K609" s="338"/>
      <c r="L609" s="339"/>
      <c r="M609" s="340"/>
      <c r="N609" s="340"/>
      <c r="O609" s="341"/>
    </row>
    <row r="610" spans="10:15" ht="15.75" customHeight="1" x14ac:dyDescent="0.3">
      <c r="J610" s="338"/>
      <c r="K610" s="338"/>
      <c r="L610" s="339"/>
      <c r="M610" s="340"/>
      <c r="N610" s="340"/>
      <c r="O610" s="341"/>
    </row>
    <row r="611" spans="10:15" ht="15.75" customHeight="1" x14ac:dyDescent="0.3">
      <c r="J611" s="338"/>
      <c r="K611" s="338"/>
      <c r="L611" s="339"/>
      <c r="M611" s="340"/>
      <c r="N611" s="340"/>
      <c r="O611" s="341"/>
    </row>
    <row r="612" spans="10:15" ht="15.75" customHeight="1" x14ac:dyDescent="0.3">
      <c r="J612" s="338"/>
      <c r="K612" s="338"/>
      <c r="L612" s="339"/>
      <c r="M612" s="340"/>
      <c r="N612" s="340"/>
      <c r="O612" s="341"/>
    </row>
    <row r="613" spans="10:15" ht="15.75" customHeight="1" x14ac:dyDescent="0.3">
      <c r="J613" s="338"/>
      <c r="K613" s="338"/>
      <c r="L613" s="339"/>
      <c r="M613" s="340"/>
      <c r="N613" s="340"/>
      <c r="O613" s="341"/>
    </row>
    <row r="614" spans="10:15" ht="15.75" customHeight="1" x14ac:dyDescent="0.3">
      <c r="J614" s="338"/>
      <c r="K614" s="338"/>
      <c r="L614" s="339"/>
      <c r="M614" s="340"/>
      <c r="N614" s="340"/>
      <c r="O614" s="341"/>
    </row>
    <row r="615" spans="10:15" ht="15.75" customHeight="1" x14ac:dyDescent="0.3">
      <c r="J615" s="338"/>
      <c r="K615" s="338"/>
      <c r="L615" s="339"/>
      <c r="M615" s="340"/>
      <c r="N615" s="340"/>
      <c r="O615" s="341"/>
    </row>
    <row r="616" spans="10:15" ht="15.75" customHeight="1" x14ac:dyDescent="0.3">
      <c r="J616" s="338"/>
      <c r="K616" s="338"/>
      <c r="L616" s="339"/>
      <c r="M616" s="340"/>
      <c r="N616" s="340"/>
      <c r="O616" s="341"/>
    </row>
    <row r="617" spans="10:15" ht="15.75" customHeight="1" x14ac:dyDescent="0.3">
      <c r="J617" s="338"/>
      <c r="K617" s="338"/>
      <c r="L617" s="339"/>
      <c r="M617" s="340"/>
      <c r="N617" s="340"/>
      <c r="O617" s="341"/>
    </row>
    <row r="618" spans="10:15" ht="15.75" customHeight="1" x14ac:dyDescent="0.3">
      <c r="J618" s="338"/>
      <c r="K618" s="338"/>
      <c r="L618" s="339"/>
      <c r="M618" s="340"/>
      <c r="N618" s="340"/>
      <c r="O618" s="341"/>
    </row>
    <row r="619" spans="10:15" ht="15.75" customHeight="1" x14ac:dyDescent="0.3">
      <c r="J619" s="338"/>
      <c r="K619" s="338"/>
      <c r="L619" s="339"/>
      <c r="M619" s="340"/>
      <c r="N619" s="340"/>
      <c r="O619" s="341"/>
    </row>
    <row r="620" spans="10:15" ht="15.75" customHeight="1" x14ac:dyDescent="0.3">
      <c r="J620" s="338"/>
      <c r="K620" s="338"/>
      <c r="L620" s="339"/>
      <c r="M620" s="340"/>
      <c r="N620" s="340"/>
      <c r="O620" s="341"/>
    </row>
    <row r="621" spans="10:15" ht="15.75" customHeight="1" x14ac:dyDescent="0.3">
      <c r="J621" s="338"/>
      <c r="K621" s="338"/>
      <c r="L621" s="339"/>
      <c r="M621" s="340"/>
      <c r="N621" s="340"/>
      <c r="O621" s="341"/>
    </row>
    <row r="622" spans="10:15" ht="15.75" customHeight="1" x14ac:dyDescent="0.3">
      <c r="J622" s="338"/>
      <c r="K622" s="338"/>
      <c r="L622" s="339"/>
      <c r="M622" s="340"/>
      <c r="N622" s="340"/>
      <c r="O622" s="341"/>
    </row>
    <row r="623" spans="10:15" ht="15.75" customHeight="1" x14ac:dyDescent="0.3">
      <c r="J623" s="338"/>
      <c r="K623" s="338"/>
      <c r="L623" s="339"/>
      <c r="M623" s="340"/>
      <c r="N623" s="340"/>
      <c r="O623" s="341"/>
    </row>
    <row r="624" spans="10:15" ht="15.75" customHeight="1" x14ac:dyDescent="0.3">
      <c r="J624" s="338"/>
      <c r="K624" s="338"/>
      <c r="L624" s="339"/>
      <c r="M624" s="340"/>
      <c r="N624" s="340"/>
      <c r="O624" s="341"/>
    </row>
    <row r="625" spans="10:15" ht="15.75" customHeight="1" x14ac:dyDescent="0.3">
      <c r="J625" s="338"/>
      <c r="K625" s="338"/>
      <c r="L625" s="339"/>
      <c r="M625" s="340"/>
      <c r="N625" s="340"/>
      <c r="O625" s="341"/>
    </row>
    <row r="626" spans="10:15" ht="15.75" customHeight="1" x14ac:dyDescent="0.3">
      <c r="J626" s="338"/>
      <c r="K626" s="338"/>
      <c r="L626" s="339"/>
      <c r="M626" s="340"/>
      <c r="N626" s="340"/>
      <c r="O626" s="341"/>
    </row>
    <row r="627" spans="10:15" ht="15.75" customHeight="1" x14ac:dyDescent="0.3">
      <c r="J627" s="338"/>
      <c r="K627" s="338"/>
      <c r="L627" s="339"/>
      <c r="M627" s="340"/>
      <c r="N627" s="340"/>
      <c r="O627" s="341"/>
    </row>
    <row r="628" spans="10:15" ht="15.75" customHeight="1" x14ac:dyDescent="0.3">
      <c r="J628" s="338"/>
      <c r="K628" s="338"/>
      <c r="L628" s="339"/>
      <c r="M628" s="340"/>
      <c r="N628" s="340"/>
      <c r="O628" s="341"/>
    </row>
    <row r="629" spans="10:15" ht="15.75" customHeight="1" x14ac:dyDescent="0.3">
      <c r="J629" s="338"/>
      <c r="K629" s="338"/>
      <c r="L629" s="339"/>
      <c r="M629" s="340"/>
      <c r="N629" s="340"/>
      <c r="O629" s="341"/>
    </row>
    <row r="630" spans="10:15" ht="15.75" customHeight="1" x14ac:dyDescent="0.3">
      <c r="J630" s="338"/>
      <c r="K630" s="338"/>
      <c r="L630" s="339"/>
      <c r="M630" s="340"/>
      <c r="N630" s="340"/>
      <c r="O630" s="341"/>
    </row>
    <row r="631" spans="10:15" ht="15.75" customHeight="1" x14ac:dyDescent="0.3">
      <c r="J631" s="338"/>
      <c r="K631" s="338"/>
      <c r="L631" s="339"/>
      <c r="M631" s="340"/>
      <c r="N631" s="340"/>
      <c r="O631" s="341"/>
    </row>
    <row r="632" spans="10:15" ht="15.75" customHeight="1" x14ac:dyDescent="0.3">
      <c r="J632" s="338"/>
      <c r="K632" s="338"/>
      <c r="L632" s="339"/>
      <c r="M632" s="340"/>
      <c r="N632" s="340"/>
      <c r="O632" s="341"/>
    </row>
    <row r="633" spans="10:15" ht="15.75" customHeight="1" x14ac:dyDescent="0.3">
      <c r="J633" s="338"/>
      <c r="K633" s="338"/>
      <c r="L633" s="339"/>
      <c r="M633" s="340"/>
      <c r="N633" s="340"/>
      <c r="O633" s="341"/>
    </row>
    <row r="634" spans="10:15" ht="15.75" customHeight="1" x14ac:dyDescent="0.3">
      <c r="J634" s="338"/>
      <c r="K634" s="338"/>
      <c r="L634" s="339"/>
      <c r="M634" s="340"/>
      <c r="N634" s="340"/>
      <c r="O634" s="341"/>
    </row>
    <row r="635" spans="10:15" ht="15.75" customHeight="1" x14ac:dyDescent="0.3">
      <c r="J635" s="338"/>
      <c r="K635" s="338"/>
      <c r="L635" s="339"/>
      <c r="M635" s="340"/>
      <c r="N635" s="340"/>
      <c r="O635" s="341"/>
    </row>
    <row r="636" spans="10:15" ht="15.75" customHeight="1" x14ac:dyDescent="0.3">
      <c r="J636" s="338"/>
      <c r="K636" s="338"/>
      <c r="L636" s="339"/>
      <c r="M636" s="340"/>
      <c r="N636" s="340"/>
      <c r="O636" s="341"/>
    </row>
    <row r="637" spans="10:15" ht="15.75" customHeight="1" x14ac:dyDescent="0.3">
      <c r="J637" s="338"/>
      <c r="K637" s="338"/>
      <c r="L637" s="339"/>
      <c r="M637" s="340"/>
      <c r="N637" s="340"/>
      <c r="O637" s="341"/>
    </row>
    <row r="638" spans="10:15" ht="15.75" customHeight="1" x14ac:dyDescent="0.3">
      <c r="J638" s="338"/>
      <c r="K638" s="338"/>
      <c r="L638" s="339"/>
      <c r="M638" s="340"/>
      <c r="N638" s="340"/>
      <c r="O638" s="341"/>
    </row>
    <row r="639" spans="10:15" ht="15.75" customHeight="1" x14ac:dyDescent="0.3">
      <c r="J639" s="338"/>
      <c r="K639" s="338"/>
      <c r="L639" s="339"/>
      <c r="M639" s="340"/>
      <c r="N639" s="340"/>
      <c r="O639" s="341"/>
    </row>
    <row r="640" spans="10:15" ht="15.75" customHeight="1" x14ac:dyDescent="0.3">
      <c r="J640" s="338"/>
      <c r="K640" s="338"/>
      <c r="L640" s="339"/>
      <c r="M640" s="340"/>
      <c r="N640" s="340"/>
      <c r="O640" s="341"/>
    </row>
    <row r="641" spans="10:15" ht="15.75" customHeight="1" x14ac:dyDescent="0.3">
      <c r="J641" s="338"/>
      <c r="K641" s="338"/>
      <c r="L641" s="339"/>
      <c r="M641" s="340"/>
      <c r="N641" s="340"/>
      <c r="O641" s="341"/>
    </row>
    <row r="642" spans="10:15" ht="15.75" customHeight="1" x14ac:dyDescent="0.3">
      <c r="J642" s="338"/>
      <c r="K642" s="338"/>
      <c r="L642" s="339"/>
      <c r="M642" s="340"/>
      <c r="N642" s="340"/>
      <c r="O642" s="341"/>
    </row>
    <row r="643" spans="10:15" ht="15.75" customHeight="1" x14ac:dyDescent="0.3">
      <c r="J643" s="338"/>
      <c r="K643" s="338"/>
      <c r="L643" s="339"/>
      <c r="M643" s="340"/>
      <c r="N643" s="340"/>
      <c r="O643" s="341"/>
    </row>
    <row r="644" spans="10:15" ht="15.75" customHeight="1" x14ac:dyDescent="0.3">
      <c r="J644" s="338"/>
      <c r="K644" s="338"/>
      <c r="L644" s="339"/>
      <c r="M644" s="340"/>
      <c r="N644" s="340"/>
      <c r="O644" s="341"/>
    </row>
    <row r="645" spans="10:15" ht="15.75" customHeight="1" x14ac:dyDescent="0.3">
      <c r="J645" s="338"/>
      <c r="K645" s="338"/>
      <c r="L645" s="339"/>
      <c r="M645" s="340"/>
      <c r="N645" s="340"/>
      <c r="O645" s="341"/>
    </row>
    <row r="646" spans="10:15" ht="15.75" customHeight="1" x14ac:dyDescent="0.3">
      <c r="J646" s="338"/>
      <c r="K646" s="338"/>
      <c r="L646" s="339"/>
      <c r="M646" s="340"/>
      <c r="N646" s="340"/>
      <c r="O646" s="341"/>
    </row>
    <row r="647" spans="10:15" ht="15.75" customHeight="1" x14ac:dyDescent="0.3">
      <c r="J647" s="338"/>
      <c r="K647" s="338"/>
      <c r="L647" s="339"/>
      <c r="M647" s="340"/>
      <c r="N647" s="340"/>
      <c r="O647" s="341"/>
    </row>
    <row r="648" spans="10:15" ht="15.75" customHeight="1" x14ac:dyDescent="0.3">
      <c r="J648" s="338"/>
      <c r="K648" s="338"/>
      <c r="L648" s="339"/>
      <c r="M648" s="340"/>
      <c r="N648" s="340"/>
      <c r="O648" s="341"/>
    </row>
    <row r="649" spans="10:15" ht="15.75" customHeight="1" x14ac:dyDescent="0.3">
      <c r="J649" s="338"/>
      <c r="K649" s="338"/>
      <c r="L649" s="339"/>
      <c r="M649" s="340"/>
      <c r="N649" s="340"/>
      <c r="O649" s="341"/>
    </row>
    <row r="650" spans="10:15" ht="15.75" customHeight="1" x14ac:dyDescent="0.3">
      <c r="J650" s="338"/>
      <c r="K650" s="338"/>
      <c r="L650" s="339"/>
      <c r="M650" s="340"/>
      <c r="N650" s="340"/>
      <c r="O650" s="341"/>
    </row>
    <row r="651" spans="10:15" ht="15.75" customHeight="1" x14ac:dyDescent="0.3">
      <c r="J651" s="338"/>
      <c r="K651" s="338"/>
      <c r="L651" s="339"/>
      <c r="M651" s="340"/>
      <c r="N651" s="340"/>
      <c r="O651" s="341"/>
    </row>
    <row r="652" spans="10:15" ht="15.75" customHeight="1" x14ac:dyDescent="0.3">
      <c r="J652" s="338"/>
      <c r="K652" s="338"/>
      <c r="L652" s="339"/>
      <c r="M652" s="340"/>
      <c r="N652" s="340"/>
      <c r="O652" s="341"/>
    </row>
    <row r="653" spans="10:15" ht="15.75" customHeight="1" x14ac:dyDescent="0.3">
      <c r="J653" s="338"/>
      <c r="K653" s="338"/>
      <c r="L653" s="339"/>
      <c r="M653" s="340"/>
      <c r="N653" s="340"/>
      <c r="O653" s="341"/>
    </row>
    <row r="654" spans="10:15" ht="15.75" customHeight="1" x14ac:dyDescent="0.3">
      <c r="J654" s="338"/>
      <c r="K654" s="338"/>
      <c r="L654" s="339"/>
      <c r="M654" s="340"/>
      <c r="N654" s="340"/>
      <c r="O654" s="341"/>
    </row>
    <row r="655" spans="10:15" ht="15.75" customHeight="1" x14ac:dyDescent="0.3">
      <c r="J655" s="338"/>
      <c r="K655" s="338"/>
      <c r="L655" s="339"/>
      <c r="M655" s="340"/>
      <c r="N655" s="340"/>
      <c r="O655" s="341"/>
    </row>
    <row r="656" spans="10:15" ht="15.75" customHeight="1" x14ac:dyDescent="0.3">
      <c r="J656" s="338"/>
      <c r="K656" s="338"/>
      <c r="L656" s="339"/>
      <c r="M656" s="340"/>
      <c r="N656" s="340"/>
      <c r="O656" s="341"/>
    </row>
    <row r="657" spans="10:15" ht="15.75" customHeight="1" x14ac:dyDescent="0.3">
      <c r="J657" s="338"/>
      <c r="K657" s="338"/>
      <c r="L657" s="339"/>
      <c r="M657" s="340"/>
      <c r="N657" s="340"/>
      <c r="O657" s="341"/>
    </row>
    <row r="658" spans="10:15" ht="15.75" customHeight="1" x14ac:dyDescent="0.3">
      <c r="J658" s="338"/>
      <c r="K658" s="338"/>
      <c r="L658" s="339"/>
      <c r="M658" s="340"/>
      <c r="N658" s="340"/>
      <c r="O658" s="341"/>
    </row>
    <row r="659" spans="10:15" ht="15.75" customHeight="1" x14ac:dyDescent="0.3">
      <c r="J659" s="338"/>
      <c r="K659" s="338"/>
      <c r="L659" s="339"/>
      <c r="M659" s="340"/>
      <c r="N659" s="340"/>
      <c r="O659" s="341"/>
    </row>
    <row r="660" spans="10:15" ht="15.75" customHeight="1" x14ac:dyDescent="0.3">
      <c r="J660" s="338"/>
      <c r="K660" s="338"/>
      <c r="L660" s="339"/>
      <c r="M660" s="340"/>
      <c r="N660" s="340"/>
      <c r="O660" s="341"/>
    </row>
    <row r="661" spans="10:15" ht="15.75" customHeight="1" x14ac:dyDescent="0.3">
      <c r="J661" s="338"/>
      <c r="K661" s="338"/>
      <c r="L661" s="339"/>
      <c r="M661" s="340"/>
      <c r="N661" s="340"/>
      <c r="O661" s="341"/>
    </row>
    <row r="662" spans="10:15" ht="15.75" customHeight="1" x14ac:dyDescent="0.3">
      <c r="J662" s="338"/>
      <c r="K662" s="338"/>
      <c r="L662" s="339"/>
      <c r="M662" s="340"/>
      <c r="N662" s="340"/>
      <c r="O662" s="341"/>
    </row>
    <row r="663" spans="10:15" ht="15.75" customHeight="1" x14ac:dyDescent="0.3">
      <c r="J663" s="338"/>
      <c r="K663" s="338"/>
      <c r="L663" s="339"/>
      <c r="M663" s="340"/>
      <c r="N663" s="340"/>
      <c r="O663" s="341"/>
    </row>
    <row r="664" spans="10:15" ht="15.75" customHeight="1" x14ac:dyDescent="0.3">
      <c r="J664" s="338"/>
      <c r="K664" s="338"/>
      <c r="L664" s="339"/>
      <c r="M664" s="340"/>
      <c r="N664" s="340"/>
      <c r="O664" s="341"/>
    </row>
    <row r="665" spans="10:15" ht="15.75" customHeight="1" x14ac:dyDescent="0.3">
      <c r="J665" s="338"/>
      <c r="K665" s="338"/>
      <c r="L665" s="339"/>
      <c r="M665" s="340"/>
      <c r="N665" s="340"/>
      <c r="O665" s="341"/>
    </row>
    <row r="666" spans="10:15" ht="15.75" customHeight="1" x14ac:dyDescent="0.3">
      <c r="J666" s="338"/>
      <c r="K666" s="338"/>
      <c r="L666" s="339"/>
      <c r="M666" s="340"/>
      <c r="N666" s="340"/>
      <c r="O666" s="341"/>
    </row>
    <row r="667" spans="10:15" ht="15.75" customHeight="1" x14ac:dyDescent="0.3">
      <c r="J667" s="338"/>
      <c r="K667" s="338"/>
      <c r="L667" s="339"/>
      <c r="M667" s="340"/>
      <c r="N667" s="340"/>
      <c r="O667" s="341"/>
    </row>
    <row r="668" spans="10:15" ht="15.75" customHeight="1" x14ac:dyDescent="0.3">
      <c r="J668" s="338"/>
      <c r="K668" s="338"/>
      <c r="L668" s="339"/>
      <c r="M668" s="340"/>
      <c r="N668" s="340"/>
      <c r="O668" s="341"/>
    </row>
    <row r="669" spans="10:15" ht="15.75" customHeight="1" x14ac:dyDescent="0.3">
      <c r="J669" s="338"/>
      <c r="K669" s="338"/>
      <c r="L669" s="339"/>
      <c r="M669" s="340"/>
      <c r="N669" s="340"/>
      <c r="O669" s="341"/>
    </row>
    <row r="670" spans="10:15" ht="15.75" customHeight="1" x14ac:dyDescent="0.3">
      <c r="J670" s="338"/>
      <c r="K670" s="338"/>
      <c r="L670" s="339"/>
      <c r="M670" s="340"/>
      <c r="N670" s="340"/>
      <c r="O670" s="341"/>
    </row>
    <row r="671" spans="10:15" ht="15.75" customHeight="1" x14ac:dyDescent="0.3">
      <c r="J671" s="338"/>
      <c r="K671" s="338"/>
      <c r="L671" s="339"/>
      <c r="M671" s="340"/>
      <c r="N671" s="340"/>
      <c r="O671" s="341"/>
    </row>
    <row r="672" spans="10:15" ht="15.75" customHeight="1" x14ac:dyDescent="0.3">
      <c r="J672" s="338"/>
      <c r="K672" s="338"/>
      <c r="L672" s="339"/>
      <c r="M672" s="340"/>
      <c r="N672" s="340"/>
      <c r="O672" s="341"/>
    </row>
    <row r="673" spans="10:15" ht="15.75" customHeight="1" x14ac:dyDescent="0.3">
      <c r="J673" s="338"/>
      <c r="K673" s="338"/>
      <c r="L673" s="339"/>
      <c r="M673" s="340"/>
      <c r="N673" s="340"/>
      <c r="O673" s="341"/>
    </row>
    <row r="674" spans="10:15" ht="15.75" customHeight="1" x14ac:dyDescent="0.3">
      <c r="J674" s="338"/>
      <c r="K674" s="338"/>
      <c r="L674" s="339"/>
      <c r="M674" s="340"/>
      <c r="N674" s="340"/>
      <c r="O674" s="341"/>
    </row>
    <row r="675" spans="10:15" ht="15.75" customHeight="1" x14ac:dyDescent="0.3">
      <c r="J675" s="338"/>
      <c r="K675" s="338"/>
      <c r="L675" s="339"/>
      <c r="M675" s="340"/>
      <c r="N675" s="340"/>
      <c r="O675" s="341"/>
    </row>
    <row r="676" spans="10:15" ht="15.75" customHeight="1" x14ac:dyDescent="0.3">
      <c r="J676" s="338"/>
      <c r="K676" s="338"/>
      <c r="L676" s="339"/>
      <c r="M676" s="340"/>
      <c r="N676" s="340"/>
      <c r="O676" s="341"/>
    </row>
    <row r="677" spans="10:15" ht="15.75" customHeight="1" x14ac:dyDescent="0.3">
      <c r="J677" s="338"/>
      <c r="K677" s="338"/>
      <c r="L677" s="339"/>
      <c r="M677" s="340"/>
      <c r="N677" s="340"/>
      <c r="O677" s="341"/>
    </row>
    <row r="678" spans="10:15" ht="15.75" customHeight="1" x14ac:dyDescent="0.3">
      <c r="J678" s="338"/>
      <c r="K678" s="338"/>
      <c r="L678" s="339"/>
      <c r="M678" s="340"/>
      <c r="N678" s="340"/>
      <c r="O678" s="341"/>
    </row>
    <row r="679" spans="10:15" ht="15.75" customHeight="1" x14ac:dyDescent="0.3">
      <c r="J679" s="338"/>
      <c r="K679" s="338"/>
      <c r="L679" s="339"/>
      <c r="M679" s="340"/>
      <c r="N679" s="340"/>
      <c r="O679" s="341"/>
    </row>
    <row r="680" spans="10:15" ht="15.75" customHeight="1" x14ac:dyDescent="0.3">
      <c r="J680" s="338"/>
      <c r="K680" s="338"/>
      <c r="L680" s="339"/>
      <c r="M680" s="340"/>
      <c r="N680" s="340"/>
      <c r="O680" s="341"/>
    </row>
    <row r="681" spans="10:15" ht="15.75" customHeight="1" x14ac:dyDescent="0.3">
      <c r="J681" s="338"/>
      <c r="K681" s="338"/>
      <c r="L681" s="339"/>
      <c r="M681" s="340"/>
      <c r="N681" s="340"/>
      <c r="O681" s="341"/>
    </row>
    <row r="682" spans="10:15" ht="15.75" customHeight="1" x14ac:dyDescent="0.3">
      <c r="J682" s="338"/>
      <c r="K682" s="338"/>
      <c r="L682" s="339"/>
      <c r="M682" s="340"/>
      <c r="N682" s="340"/>
      <c r="O682" s="341"/>
    </row>
    <row r="683" spans="10:15" ht="15.75" customHeight="1" x14ac:dyDescent="0.3">
      <c r="J683" s="338"/>
      <c r="K683" s="338"/>
      <c r="L683" s="339"/>
      <c r="M683" s="340"/>
      <c r="N683" s="340"/>
      <c r="O683" s="341"/>
    </row>
    <row r="684" spans="10:15" ht="15.75" customHeight="1" x14ac:dyDescent="0.3">
      <c r="J684" s="338"/>
      <c r="K684" s="338"/>
      <c r="L684" s="339"/>
      <c r="M684" s="340"/>
      <c r="N684" s="340"/>
      <c r="O684" s="341"/>
    </row>
    <row r="685" spans="10:15" ht="15.75" customHeight="1" x14ac:dyDescent="0.3">
      <c r="J685" s="338"/>
      <c r="K685" s="338"/>
      <c r="L685" s="339"/>
      <c r="M685" s="340"/>
      <c r="N685" s="340"/>
      <c r="O685" s="341"/>
    </row>
    <row r="686" spans="10:15" ht="15.75" customHeight="1" x14ac:dyDescent="0.3">
      <c r="J686" s="338"/>
      <c r="K686" s="338"/>
      <c r="L686" s="339"/>
      <c r="M686" s="340"/>
      <c r="N686" s="340"/>
      <c r="O686" s="341"/>
    </row>
    <row r="687" spans="10:15" ht="15.75" customHeight="1" x14ac:dyDescent="0.3">
      <c r="J687" s="338"/>
      <c r="K687" s="338"/>
      <c r="L687" s="339"/>
      <c r="M687" s="340"/>
      <c r="N687" s="340"/>
      <c r="O687" s="341"/>
    </row>
    <row r="688" spans="10:15" ht="15.75" customHeight="1" x14ac:dyDescent="0.3">
      <c r="J688" s="338"/>
      <c r="K688" s="338"/>
      <c r="L688" s="339"/>
      <c r="M688" s="340"/>
      <c r="N688" s="340"/>
      <c r="O688" s="341"/>
    </row>
    <row r="689" spans="10:15" ht="15.75" customHeight="1" x14ac:dyDescent="0.3">
      <c r="J689" s="338"/>
      <c r="K689" s="338"/>
      <c r="L689" s="339"/>
      <c r="M689" s="340"/>
      <c r="N689" s="340"/>
      <c r="O689" s="341"/>
    </row>
    <row r="690" spans="10:15" ht="15.75" customHeight="1" x14ac:dyDescent="0.3">
      <c r="J690" s="338"/>
      <c r="K690" s="338"/>
      <c r="L690" s="339"/>
      <c r="M690" s="340"/>
      <c r="N690" s="340"/>
      <c r="O690" s="341"/>
    </row>
    <row r="691" spans="10:15" ht="15.75" customHeight="1" x14ac:dyDescent="0.3">
      <c r="J691" s="338"/>
      <c r="K691" s="338"/>
      <c r="L691" s="339"/>
      <c r="M691" s="340"/>
      <c r="N691" s="340"/>
      <c r="O691" s="341"/>
    </row>
    <row r="692" spans="10:15" ht="15.75" customHeight="1" x14ac:dyDescent="0.3">
      <c r="J692" s="338"/>
      <c r="K692" s="338"/>
      <c r="L692" s="339"/>
      <c r="M692" s="340"/>
      <c r="N692" s="340"/>
      <c r="O692" s="341"/>
    </row>
    <row r="693" spans="10:15" ht="15.75" customHeight="1" x14ac:dyDescent="0.3">
      <c r="J693" s="338"/>
      <c r="K693" s="338"/>
      <c r="L693" s="339"/>
      <c r="M693" s="340"/>
      <c r="N693" s="340"/>
      <c r="O693" s="341"/>
    </row>
    <row r="694" spans="10:15" ht="15.75" customHeight="1" x14ac:dyDescent="0.3">
      <c r="J694" s="338"/>
      <c r="K694" s="338"/>
      <c r="L694" s="339"/>
      <c r="M694" s="340"/>
      <c r="N694" s="340"/>
      <c r="O694" s="341"/>
    </row>
    <row r="695" spans="10:15" ht="15.75" customHeight="1" x14ac:dyDescent="0.3">
      <c r="J695" s="338"/>
      <c r="K695" s="338"/>
      <c r="L695" s="339"/>
      <c r="M695" s="340"/>
      <c r="N695" s="340"/>
      <c r="O695" s="341"/>
    </row>
    <row r="696" spans="10:15" ht="15.75" customHeight="1" x14ac:dyDescent="0.3">
      <c r="J696" s="338"/>
      <c r="K696" s="338"/>
      <c r="L696" s="339"/>
      <c r="M696" s="340"/>
      <c r="N696" s="340"/>
      <c r="O696" s="341"/>
    </row>
    <row r="697" spans="10:15" ht="15.75" customHeight="1" x14ac:dyDescent="0.3">
      <c r="J697" s="338"/>
      <c r="K697" s="338"/>
      <c r="L697" s="339"/>
      <c r="M697" s="340"/>
      <c r="N697" s="340"/>
      <c r="O697" s="341"/>
    </row>
    <row r="698" spans="10:15" ht="15.75" customHeight="1" x14ac:dyDescent="0.3">
      <c r="J698" s="338"/>
      <c r="K698" s="338"/>
      <c r="L698" s="339"/>
      <c r="M698" s="340"/>
      <c r="N698" s="340"/>
      <c r="O698" s="341"/>
    </row>
    <row r="699" spans="10:15" ht="15.75" customHeight="1" x14ac:dyDescent="0.3">
      <c r="J699" s="338"/>
      <c r="K699" s="338"/>
      <c r="L699" s="339"/>
      <c r="M699" s="340"/>
      <c r="N699" s="340"/>
      <c r="O699" s="341"/>
    </row>
    <row r="700" spans="10:15" ht="15.75" customHeight="1" x14ac:dyDescent="0.3">
      <c r="J700" s="338"/>
      <c r="K700" s="338"/>
      <c r="L700" s="339"/>
      <c r="M700" s="340"/>
      <c r="N700" s="340"/>
      <c r="O700" s="341"/>
    </row>
    <row r="701" spans="10:15" ht="15.75" customHeight="1" x14ac:dyDescent="0.3">
      <c r="J701" s="338"/>
      <c r="K701" s="338"/>
      <c r="L701" s="339"/>
      <c r="M701" s="340"/>
      <c r="N701" s="340"/>
      <c r="O701" s="341"/>
    </row>
    <row r="702" spans="10:15" ht="15.75" customHeight="1" x14ac:dyDescent="0.3">
      <c r="J702" s="338"/>
      <c r="K702" s="338"/>
      <c r="L702" s="339"/>
      <c r="M702" s="340"/>
      <c r="N702" s="340"/>
      <c r="O702" s="341"/>
    </row>
    <row r="703" spans="10:15" ht="15.75" customHeight="1" x14ac:dyDescent="0.3">
      <c r="J703" s="338"/>
      <c r="K703" s="338"/>
      <c r="L703" s="339"/>
      <c r="M703" s="340"/>
      <c r="N703" s="340"/>
      <c r="O703" s="341"/>
    </row>
    <row r="704" spans="10:15" ht="15.75" customHeight="1" x14ac:dyDescent="0.3">
      <c r="J704" s="338"/>
      <c r="K704" s="338"/>
      <c r="L704" s="339"/>
      <c r="M704" s="340"/>
      <c r="N704" s="340"/>
      <c r="O704" s="341"/>
    </row>
    <row r="705" spans="10:15" ht="15.75" customHeight="1" x14ac:dyDescent="0.3">
      <c r="J705" s="338"/>
      <c r="K705" s="338"/>
      <c r="L705" s="339"/>
      <c r="M705" s="340"/>
      <c r="N705" s="340"/>
      <c r="O705" s="341"/>
    </row>
    <row r="706" spans="10:15" ht="15.75" customHeight="1" x14ac:dyDescent="0.3">
      <c r="J706" s="338"/>
      <c r="K706" s="338"/>
      <c r="L706" s="339"/>
      <c r="M706" s="340"/>
      <c r="N706" s="340"/>
      <c r="O706" s="341"/>
    </row>
    <row r="707" spans="10:15" ht="15.75" customHeight="1" x14ac:dyDescent="0.3">
      <c r="J707" s="338"/>
      <c r="K707" s="338"/>
      <c r="L707" s="339"/>
      <c r="M707" s="340"/>
      <c r="N707" s="340"/>
      <c r="O707" s="341"/>
    </row>
    <row r="708" spans="10:15" ht="15.75" customHeight="1" x14ac:dyDescent="0.3">
      <c r="J708" s="338"/>
      <c r="K708" s="338"/>
      <c r="L708" s="339"/>
      <c r="M708" s="340"/>
      <c r="N708" s="340"/>
      <c r="O708" s="341"/>
    </row>
    <row r="709" spans="10:15" ht="15.75" customHeight="1" x14ac:dyDescent="0.3">
      <c r="J709" s="338"/>
      <c r="K709" s="338"/>
      <c r="L709" s="339"/>
      <c r="M709" s="340"/>
      <c r="N709" s="340"/>
      <c r="O709" s="341"/>
    </row>
    <row r="710" spans="10:15" ht="15.75" customHeight="1" x14ac:dyDescent="0.3">
      <c r="J710" s="338"/>
      <c r="K710" s="338"/>
      <c r="L710" s="339"/>
      <c r="M710" s="340"/>
      <c r="N710" s="340"/>
      <c r="O710" s="341"/>
    </row>
    <row r="711" spans="10:15" ht="15.75" customHeight="1" x14ac:dyDescent="0.3">
      <c r="J711" s="338"/>
      <c r="K711" s="338"/>
      <c r="L711" s="339"/>
      <c r="M711" s="340"/>
      <c r="N711" s="340"/>
      <c r="O711" s="341"/>
    </row>
    <row r="712" spans="10:15" ht="15.75" customHeight="1" x14ac:dyDescent="0.3">
      <c r="J712" s="338"/>
      <c r="K712" s="338"/>
      <c r="L712" s="339"/>
      <c r="M712" s="340"/>
      <c r="N712" s="340"/>
      <c r="O712" s="341"/>
    </row>
    <row r="713" spans="10:15" ht="15.75" customHeight="1" x14ac:dyDescent="0.3">
      <c r="J713" s="338"/>
      <c r="K713" s="338"/>
      <c r="L713" s="339"/>
      <c r="M713" s="340"/>
      <c r="N713" s="340"/>
      <c r="O713" s="341"/>
    </row>
    <row r="714" spans="10:15" ht="15.75" customHeight="1" x14ac:dyDescent="0.3">
      <c r="J714" s="338"/>
      <c r="K714" s="338"/>
      <c r="L714" s="339"/>
      <c r="M714" s="340"/>
      <c r="N714" s="340"/>
      <c r="O714" s="341"/>
    </row>
    <row r="715" spans="10:15" ht="15.75" customHeight="1" x14ac:dyDescent="0.3">
      <c r="J715" s="338"/>
      <c r="K715" s="338"/>
      <c r="L715" s="339"/>
      <c r="M715" s="340"/>
      <c r="N715" s="340"/>
      <c r="O715" s="341"/>
    </row>
    <row r="716" spans="10:15" ht="15.75" customHeight="1" x14ac:dyDescent="0.3">
      <c r="J716" s="338"/>
      <c r="K716" s="338"/>
      <c r="L716" s="339"/>
      <c r="M716" s="340"/>
      <c r="N716" s="340"/>
      <c r="O716" s="341"/>
    </row>
    <row r="717" spans="10:15" ht="15.75" customHeight="1" x14ac:dyDescent="0.3">
      <c r="J717" s="338"/>
      <c r="K717" s="338"/>
      <c r="L717" s="339"/>
      <c r="M717" s="340"/>
      <c r="N717" s="340"/>
      <c r="O717" s="341"/>
    </row>
    <row r="718" spans="10:15" ht="15.75" customHeight="1" x14ac:dyDescent="0.3">
      <c r="J718" s="338"/>
      <c r="K718" s="338"/>
      <c r="L718" s="339"/>
      <c r="M718" s="340"/>
      <c r="N718" s="340"/>
      <c r="O718" s="341"/>
    </row>
    <row r="719" spans="10:15" ht="15.75" customHeight="1" x14ac:dyDescent="0.3">
      <c r="J719" s="338"/>
      <c r="K719" s="338"/>
      <c r="L719" s="339"/>
      <c r="M719" s="340"/>
      <c r="N719" s="340"/>
      <c r="O719" s="341"/>
    </row>
    <row r="720" spans="10:15" ht="15.75" customHeight="1" x14ac:dyDescent="0.3">
      <c r="J720" s="338"/>
      <c r="K720" s="338"/>
      <c r="L720" s="339"/>
      <c r="M720" s="340"/>
      <c r="N720" s="340"/>
      <c r="O720" s="341"/>
    </row>
    <row r="721" spans="10:15" ht="15.75" customHeight="1" x14ac:dyDescent="0.3">
      <c r="J721" s="338"/>
      <c r="K721" s="338"/>
      <c r="L721" s="339"/>
      <c r="M721" s="340"/>
      <c r="N721" s="340"/>
      <c r="O721" s="341"/>
    </row>
    <row r="722" spans="10:15" ht="15.75" customHeight="1" x14ac:dyDescent="0.3">
      <c r="J722" s="338"/>
      <c r="K722" s="338"/>
      <c r="L722" s="339"/>
      <c r="M722" s="340"/>
      <c r="N722" s="340"/>
      <c r="O722" s="341"/>
    </row>
    <row r="723" spans="10:15" ht="15.75" customHeight="1" x14ac:dyDescent="0.3">
      <c r="J723" s="338"/>
      <c r="K723" s="338"/>
      <c r="L723" s="339"/>
      <c r="M723" s="340"/>
      <c r="N723" s="340"/>
      <c r="O723" s="341"/>
    </row>
    <row r="724" spans="10:15" ht="15.75" customHeight="1" x14ac:dyDescent="0.3">
      <c r="J724" s="338"/>
      <c r="K724" s="338"/>
      <c r="L724" s="339"/>
      <c r="M724" s="340"/>
      <c r="N724" s="340"/>
      <c r="O724" s="341"/>
    </row>
    <row r="725" spans="10:15" ht="15.75" customHeight="1" x14ac:dyDescent="0.3">
      <c r="J725" s="338"/>
      <c r="K725" s="338"/>
      <c r="L725" s="339"/>
      <c r="M725" s="340"/>
      <c r="N725" s="340"/>
      <c r="O725" s="341"/>
    </row>
    <row r="726" spans="10:15" ht="15.75" customHeight="1" x14ac:dyDescent="0.3">
      <c r="J726" s="338"/>
      <c r="K726" s="338"/>
      <c r="L726" s="339"/>
      <c r="M726" s="340"/>
      <c r="N726" s="340"/>
      <c r="O726" s="341"/>
    </row>
    <row r="727" spans="10:15" ht="15.75" customHeight="1" x14ac:dyDescent="0.3">
      <c r="J727" s="338"/>
      <c r="K727" s="338"/>
      <c r="L727" s="339"/>
      <c r="M727" s="340"/>
      <c r="N727" s="340"/>
      <c r="O727" s="341"/>
    </row>
    <row r="728" spans="10:15" ht="15.75" customHeight="1" x14ac:dyDescent="0.3">
      <c r="J728" s="338"/>
      <c r="K728" s="338"/>
      <c r="L728" s="339"/>
      <c r="M728" s="340"/>
      <c r="N728" s="340"/>
      <c r="O728" s="341"/>
    </row>
    <row r="729" spans="10:15" ht="15.75" customHeight="1" x14ac:dyDescent="0.3">
      <c r="J729" s="338"/>
      <c r="K729" s="338"/>
      <c r="L729" s="339"/>
      <c r="M729" s="340"/>
      <c r="N729" s="340"/>
      <c r="O729" s="341"/>
    </row>
    <row r="730" spans="10:15" ht="15.75" customHeight="1" x14ac:dyDescent="0.3">
      <c r="J730" s="338"/>
      <c r="K730" s="338"/>
      <c r="L730" s="339"/>
      <c r="M730" s="340"/>
      <c r="N730" s="340"/>
      <c r="O730" s="341"/>
    </row>
    <row r="731" spans="10:15" ht="15.75" customHeight="1" x14ac:dyDescent="0.3">
      <c r="J731" s="338"/>
      <c r="K731" s="338"/>
      <c r="L731" s="339"/>
      <c r="M731" s="340"/>
      <c r="N731" s="340"/>
      <c r="O731" s="341"/>
    </row>
    <row r="732" spans="10:15" ht="15.75" customHeight="1" x14ac:dyDescent="0.3">
      <c r="J732" s="338"/>
      <c r="K732" s="338"/>
      <c r="L732" s="339"/>
      <c r="M732" s="340"/>
      <c r="N732" s="340"/>
      <c r="O732" s="341"/>
    </row>
    <row r="733" spans="10:15" ht="15.75" customHeight="1" x14ac:dyDescent="0.3">
      <c r="J733" s="338"/>
      <c r="K733" s="338"/>
      <c r="L733" s="339"/>
      <c r="M733" s="340"/>
      <c r="N733" s="340"/>
      <c r="O733" s="341"/>
    </row>
    <row r="734" spans="10:15" ht="15.75" customHeight="1" x14ac:dyDescent="0.3">
      <c r="J734" s="338"/>
      <c r="K734" s="338"/>
      <c r="L734" s="339"/>
      <c r="M734" s="340"/>
      <c r="N734" s="340"/>
      <c r="O734" s="341"/>
    </row>
    <row r="735" spans="10:15" ht="15.75" customHeight="1" x14ac:dyDescent="0.3">
      <c r="J735" s="338"/>
      <c r="K735" s="338"/>
      <c r="L735" s="339"/>
      <c r="M735" s="340"/>
      <c r="N735" s="340"/>
      <c r="O735" s="341"/>
    </row>
    <row r="736" spans="10:15" ht="15.75" customHeight="1" x14ac:dyDescent="0.3">
      <c r="J736" s="338"/>
      <c r="K736" s="338"/>
      <c r="L736" s="339"/>
      <c r="M736" s="340"/>
      <c r="N736" s="340"/>
      <c r="O736" s="341"/>
    </row>
    <row r="737" spans="10:15" ht="15.75" customHeight="1" x14ac:dyDescent="0.3">
      <c r="J737" s="338"/>
      <c r="K737" s="338"/>
      <c r="L737" s="339"/>
      <c r="M737" s="340"/>
      <c r="N737" s="340"/>
      <c r="O737" s="341"/>
    </row>
    <row r="738" spans="10:15" ht="15.75" customHeight="1" x14ac:dyDescent="0.3">
      <c r="J738" s="338"/>
      <c r="K738" s="338"/>
      <c r="L738" s="339"/>
      <c r="M738" s="340"/>
      <c r="N738" s="340"/>
      <c r="O738" s="341"/>
    </row>
    <row r="739" spans="10:15" ht="15.75" customHeight="1" x14ac:dyDescent="0.3">
      <c r="J739" s="338"/>
      <c r="K739" s="338"/>
      <c r="L739" s="339"/>
      <c r="M739" s="340"/>
      <c r="N739" s="340"/>
      <c r="O739" s="341"/>
    </row>
    <row r="740" spans="10:15" ht="15.75" customHeight="1" x14ac:dyDescent="0.3">
      <c r="J740" s="338"/>
      <c r="K740" s="338"/>
      <c r="L740" s="339"/>
      <c r="M740" s="340"/>
      <c r="N740" s="340"/>
      <c r="O740" s="341"/>
    </row>
    <row r="741" spans="10:15" ht="15.75" customHeight="1" x14ac:dyDescent="0.3">
      <c r="J741" s="338"/>
      <c r="K741" s="338"/>
      <c r="L741" s="339"/>
      <c r="M741" s="340"/>
      <c r="N741" s="340"/>
      <c r="O741" s="341"/>
    </row>
    <row r="742" spans="10:15" ht="15.75" customHeight="1" x14ac:dyDescent="0.3">
      <c r="J742" s="338"/>
      <c r="K742" s="338"/>
      <c r="L742" s="339"/>
      <c r="M742" s="340"/>
      <c r="N742" s="340"/>
      <c r="O742" s="341"/>
    </row>
    <row r="743" spans="10:15" ht="15.75" customHeight="1" x14ac:dyDescent="0.3">
      <c r="J743" s="338"/>
      <c r="K743" s="338"/>
      <c r="L743" s="339"/>
      <c r="M743" s="340"/>
      <c r="N743" s="340"/>
      <c r="O743" s="341"/>
    </row>
    <row r="744" spans="10:15" ht="15.75" customHeight="1" x14ac:dyDescent="0.3">
      <c r="J744" s="338"/>
      <c r="K744" s="338"/>
      <c r="L744" s="339"/>
      <c r="M744" s="340"/>
      <c r="N744" s="340"/>
      <c r="O744" s="341"/>
    </row>
    <row r="745" spans="10:15" ht="15.75" customHeight="1" x14ac:dyDescent="0.3">
      <c r="J745" s="338"/>
      <c r="K745" s="338"/>
      <c r="L745" s="339"/>
      <c r="M745" s="340"/>
      <c r="N745" s="340"/>
      <c r="O745" s="341"/>
    </row>
    <row r="746" spans="10:15" ht="15.75" customHeight="1" x14ac:dyDescent="0.3">
      <c r="J746" s="338"/>
      <c r="K746" s="338"/>
      <c r="L746" s="339"/>
      <c r="M746" s="340"/>
      <c r="N746" s="340"/>
      <c r="O746" s="341"/>
    </row>
    <row r="747" spans="10:15" ht="15.75" customHeight="1" x14ac:dyDescent="0.3">
      <c r="J747" s="338"/>
      <c r="K747" s="338"/>
      <c r="L747" s="339"/>
      <c r="M747" s="340"/>
      <c r="N747" s="340"/>
      <c r="O747" s="341"/>
    </row>
    <row r="748" spans="10:15" ht="15.75" customHeight="1" x14ac:dyDescent="0.3">
      <c r="J748" s="338"/>
      <c r="K748" s="338"/>
      <c r="L748" s="339"/>
      <c r="M748" s="340"/>
      <c r="N748" s="340"/>
      <c r="O748" s="341"/>
    </row>
    <row r="749" spans="10:15" ht="15.75" customHeight="1" x14ac:dyDescent="0.3">
      <c r="J749" s="338"/>
      <c r="K749" s="338"/>
      <c r="L749" s="339"/>
      <c r="M749" s="340"/>
      <c r="N749" s="340"/>
      <c r="O749" s="341"/>
    </row>
    <row r="750" spans="10:15" ht="15.75" customHeight="1" x14ac:dyDescent="0.3">
      <c r="J750" s="338"/>
      <c r="K750" s="338"/>
      <c r="L750" s="339"/>
      <c r="M750" s="340"/>
      <c r="N750" s="340"/>
      <c r="O750" s="341"/>
    </row>
    <row r="751" spans="10:15" ht="15.75" customHeight="1" x14ac:dyDescent="0.3">
      <c r="J751" s="338"/>
      <c r="K751" s="338"/>
      <c r="L751" s="339"/>
      <c r="M751" s="340"/>
      <c r="N751" s="340"/>
      <c r="O751" s="341"/>
    </row>
    <row r="752" spans="10:15" ht="15.75" customHeight="1" x14ac:dyDescent="0.3">
      <c r="J752" s="338"/>
      <c r="K752" s="338"/>
      <c r="L752" s="339"/>
      <c r="M752" s="340"/>
      <c r="N752" s="340"/>
      <c r="O752" s="341"/>
    </row>
    <row r="753" spans="10:15" ht="15.75" customHeight="1" x14ac:dyDescent="0.3">
      <c r="J753" s="338"/>
      <c r="K753" s="338"/>
      <c r="L753" s="339"/>
      <c r="M753" s="340"/>
      <c r="N753" s="340"/>
      <c r="O753" s="341"/>
    </row>
    <row r="754" spans="10:15" ht="15.75" customHeight="1" x14ac:dyDescent="0.3">
      <c r="J754" s="338"/>
      <c r="K754" s="338"/>
      <c r="L754" s="339"/>
      <c r="M754" s="340"/>
      <c r="N754" s="340"/>
      <c r="O754" s="341"/>
    </row>
    <row r="755" spans="10:15" ht="15.75" customHeight="1" x14ac:dyDescent="0.3">
      <c r="J755" s="338"/>
      <c r="K755" s="338"/>
      <c r="L755" s="339"/>
      <c r="M755" s="340"/>
      <c r="N755" s="340"/>
      <c r="O755" s="341"/>
    </row>
    <row r="756" spans="10:15" ht="15.75" customHeight="1" x14ac:dyDescent="0.3">
      <c r="J756" s="338"/>
      <c r="K756" s="338"/>
      <c r="L756" s="339"/>
      <c r="M756" s="340"/>
      <c r="N756" s="340"/>
      <c r="O756" s="341"/>
    </row>
    <row r="757" spans="10:15" ht="15.75" customHeight="1" x14ac:dyDescent="0.3">
      <c r="J757" s="338"/>
      <c r="K757" s="338"/>
      <c r="L757" s="339"/>
      <c r="M757" s="340"/>
      <c r="N757" s="340"/>
      <c r="O757" s="341"/>
    </row>
    <row r="758" spans="10:15" ht="15.75" customHeight="1" x14ac:dyDescent="0.3">
      <c r="J758" s="338"/>
      <c r="K758" s="338"/>
      <c r="L758" s="339"/>
      <c r="M758" s="340"/>
      <c r="N758" s="340"/>
      <c r="O758" s="341"/>
    </row>
    <row r="759" spans="10:15" ht="15.75" customHeight="1" x14ac:dyDescent="0.3">
      <c r="J759" s="338"/>
      <c r="K759" s="338"/>
      <c r="L759" s="339"/>
      <c r="M759" s="340"/>
      <c r="N759" s="340"/>
      <c r="O759" s="341"/>
    </row>
    <row r="760" spans="10:15" ht="15.75" customHeight="1" x14ac:dyDescent="0.3">
      <c r="J760" s="338"/>
      <c r="K760" s="338"/>
      <c r="L760" s="339"/>
      <c r="M760" s="340"/>
      <c r="N760" s="340"/>
      <c r="O760" s="341"/>
    </row>
    <row r="761" spans="10:15" ht="15.75" customHeight="1" x14ac:dyDescent="0.3">
      <c r="J761" s="338"/>
      <c r="K761" s="338"/>
      <c r="L761" s="339"/>
      <c r="M761" s="340"/>
      <c r="N761" s="340"/>
      <c r="O761" s="341"/>
    </row>
    <row r="762" spans="10:15" ht="15.75" customHeight="1" x14ac:dyDescent="0.3">
      <c r="J762" s="338"/>
      <c r="K762" s="338"/>
      <c r="L762" s="339"/>
      <c r="M762" s="340"/>
      <c r="N762" s="340"/>
      <c r="O762" s="341"/>
    </row>
    <row r="763" spans="10:15" ht="15.75" customHeight="1" x14ac:dyDescent="0.3">
      <c r="J763" s="338"/>
      <c r="K763" s="338"/>
      <c r="L763" s="339"/>
      <c r="M763" s="340"/>
      <c r="N763" s="340"/>
      <c r="O763" s="341"/>
    </row>
    <row r="764" spans="10:15" ht="15.75" customHeight="1" x14ac:dyDescent="0.3">
      <c r="J764" s="338"/>
      <c r="K764" s="338"/>
      <c r="L764" s="339"/>
      <c r="M764" s="340"/>
      <c r="N764" s="340"/>
      <c r="O764" s="341"/>
    </row>
    <row r="765" spans="10:15" ht="15.75" customHeight="1" x14ac:dyDescent="0.3">
      <c r="J765" s="338"/>
      <c r="K765" s="338"/>
      <c r="L765" s="339"/>
      <c r="M765" s="340"/>
      <c r="N765" s="340"/>
      <c r="O765" s="341"/>
    </row>
    <row r="766" spans="10:15" ht="15.75" customHeight="1" x14ac:dyDescent="0.3">
      <c r="J766" s="338"/>
      <c r="K766" s="338"/>
      <c r="L766" s="339"/>
      <c r="M766" s="340"/>
      <c r="N766" s="340"/>
      <c r="O766" s="341"/>
    </row>
    <row r="767" spans="10:15" ht="15.75" customHeight="1" x14ac:dyDescent="0.3">
      <c r="J767" s="338"/>
      <c r="K767" s="338"/>
      <c r="L767" s="339"/>
      <c r="M767" s="340"/>
      <c r="N767" s="340"/>
      <c r="O767" s="341"/>
    </row>
    <row r="768" spans="10:15" ht="15.75" customHeight="1" x14ac:dyDescent="0.3">
      <c r="J768" s="338"/>
      <c r="K768" s="338"/>
      <c r="L768" s="339"/>
      <c r="M768" s="340"/>
      <c r="N768" s="340"/>
      <c r="O768" s="341"/>
    </row>
    <row r="769" spans="10:15" ht="15.75" customHeight="1" x14ac:dyDescent="0.3">
      <c r="J769" s="338"/>
      <c r="K769" s="338"/>
      <c r="L769" s="339"/>
      <c r="M769" s="340"/>
      <c r="N769" s="340"/>
      <c r="O769" s="341"/>
    </row>
    <row r="770" spans="10:15" ht="15.75" customHeight="1" x14ac:dyDescent="0.3">
      <c r="J770" s="338"/>
      <c r="K770" s="338"/>
      <c r="L770" s="339"/>
      <c r="M770" s="340"/>
      <c r="N770" s="340"/>
      <c r="O770" s="341"/>
    </row>
    <row r="771" spans="10:15" ht="15.75" customHeight="1" x14ac:dyDescent="0.3">
      <c r="J771" s="338"/>
      <c r="K771" s="338"/>
      <c r="L771" s="339"/>
      <c r="M771" s="340"/>
      <c r="N771" s="340"/>
      <c r="O771" s="341"/>
    </row>
    <row r="772" spans="10:15" ht="15.75" customHeight="1" x14ac:dyDescent="0.3">
      <c r="J772" s="338"/>
      <c r="K772" s="338"/>
      <c r="L772" s="339"/>
      <c r="M772" s="340"/>
      <c r="N772" s="340"/>
      <c r="O772" s="341"/>
    </row>
    <row r="773" spans="10:15" ht="15.75" customHeight="1" x14ac:dyDescent="0.3">
      <c r="J773" s="338"/>
      <c r="K773" s="338"/>
      <c r="L773" s="339"/>
      <c r="M773" s="340"/>
      <c r="N773" s="340"/>
      <c r="O773" s="341"/>
    </row>
    <row r="774" spans="10:15" ht="15.75" customHeight="1" x14ac:dyDescent="0.3">
      <c r="J774" s="338"/>
      <c r="K774" s="338"/>
      <c r="L774" s="339"/>
      <c r="M774" s="340"/>
      <c r="N774" s="340"/>
      <c r="O774" s="341"/>
    </row>
    <row r="775" spans="10:15" ht="15.75" customHeight="1" x14ac:dyDescent="0.3">
      <c r="J775" s="338"/>
      <c r="K775" s="338"/>
      <c r="L775" s="339"/>
      <c r="M775" s="340"/>
      <c r="N775" s="340"/>
      <c r="O775" s="341"/>
    </row>
    <row r="776" spans="10:15" ht="15.75" customHeight="1" x14ac:dyDescent="0.3">
      <c r="J776" s="338"/>
      <c r="K776" s="338"/>
      <c r="L776" s="339"/>
      <c r="M776" s="340"/>
      <c r="N776" s="340"/>
      <c r="O776" s="341"/>
    </row>
    <row r="777" spans="10:15" ht="15.75" customHeight="1" x14ac:dyDescent="0.3">
      <c r="J777" s="338"/>
      <c r="K777" s="338"/>
      <c r="L777" s="339"/>
      <c r="M777" s="340"/>
      <c r="N777" s="340"/>
      <c r="O777" s="341"/>
    </row>
    <row r="778" spans="10:15" ht="15.75" customHeight="1" x14ac:dyDescent="0.3">
      <c r="J778" s="338"/>
      <c r="K778" s="338"/>
      <c r="L778" s="339"/>
      <c r="M778" s="340"/>
      <c r="N778" s="340"/>
      <c r="O778" s="341"/>
    </row>
    <row r="779" spans="10:15" ht="15.75" customHeight="1" x14ac:dyDescent="0.3">
      <c r="J779" s="338"/>
      <c r="K779" s="338"/>
      <c r="L779" s="339"/>
      <c r="M779" s="340"/>
      <c r="N779" s="340"/>
      <c r="O779" s="341"/>
    </row>
    <row r="780" spans="10:15" ht="15.75" customHeight="1" x14ac:dyDescent="0.3">
      <c r="J780" s="338"/>
      <c r="K780" s="338"/>
      <c r="L780" s="339"/>
      <c r="M780" s="340"/>
      <c r="N780" s="340"/>
      <c r="O780" s="341"/>
    </row>
    <row r="781" spans="10:15" ht="15.75" customHeight="1" x14ac:dyDescent="0.3">
      <c r="J781" s="338"/>
      <c r="K781" s="338"/>
      <c r="L781" s="339"/>
      <c r="M781" s="340"/>
      <c r="N781" s="340"/>
      <c r="O781" s="341"/>
    </row>
    <row r="782" spans="10:15" ht="15.75" customHeight="1" x14ac:dyDescent="0.3">
      <c r="J782" s="338"/>
      <c r="K782" s="338"/>
      <c r="L782" s="339"/>
      <c r="M782" s="340"/>
      <c r="N782" s="340"/>
      <c r="O782" s="341"/>
    </row>
    <row r="783" spans="10:15" ht="15.75" customHeight="1" x14ac:dyDescent="0.3">
      <c r="J783" s="338"/>
      <c r="K783" s="338"/>
      <c r="L783" s="339"/>
      <c r="M783" s="340"/>
      <c r="N783" s="340"/>
      <c r="O783" s="341"/>
    </row>
    <row r="784" spans="10:15" ht="15.75" customHeight="1" x14ac:dyDescent="0.3">
      <c r="J784" s="338"/>
      <c r="K784" s="338"/>
      <c r="L784" s="339"/>
      <c r="M784" s="340"/>
      <c r="N784" s="340"/>
      <c r="O784" s="341"/>
    </row>
    <row r="785" spans="10:15" ht="15.75" customHeight="1" x14ac:dyDescent="0.3">
      <c r="J785" s="338"/>
      <c r="K785" s="338"/>
      <c r="L785" s="339"/>
      <c r="M785" s="340"/>
      <c r="N785" s="340"/>
      <c r="O785" s="341"/>
    </row>
    <row r="786" spans="10:15" ht="15.75" customHeight="1" x14ac:dyDescent="0.3">
      <c r="J786" s="338"/>
      <c r="K786" s="338"/>
      <c r="L786" s="339"/>
      <c r="M786" s="340"/>
      <c r="N786" s="340"/>
      <c r="O786" s="341"/>
    </row>
    <row r="787" spans="10:15" ht="15.75" customHeight="1" x14ac:dyDescent="0.3">
      <c r="J787" s="338"/>
      <c r="K787" s="338"/>
      <c r="L787" s="339"/>
      <c r="M787" s="340"/>
      <c r="N787" s="340"/>
      <c r="O787" s="341"/>
    </row>
    <row r="788" spans="10:15" ht="15.75" customHeight="1" x14ac:dyDescent="0.3">
      <c r="J788" s="338"/>
      <c r="K788" s="338"/>
      <c r="L788" s="339"/>
      <c r="M788" s="340"/>
      <c r="N788" s="340"/>
      <c r="O788" s="341"/>
    </row>
    <row r="789" spans="10:15" ht="15.75" customHeight="1" x14ac:dyDescent="0.3">
      <c r="J789" s="338"/>
      <c r="K789" s="338"/>
      <c r="L789" s="339"/>
      <c r="M789" s="340"/>
      <c r="N789" s="340"/>
      <c r="O789" s="341"/>
    </row>
    <row r="790" spans="10:15" ht="15.75" customHeight="1" x14ac:dyDescent="0.3">
      <c r="J790" s="338"/>
      <c r="K790" s="338"/>
      <c r="L790" s="339"/>
      <c r="M790" s="340"/>
      <c r="N790" s="340"/>
      <c r="O790" s="341"/>
    </row>
    <row r="791" spans="10:15" ht="15.75" customHeight="1" x14ac:dyDescent="0.3">
      <c r="J791" s="338"/>
      <c r="K791" s="338"/>
      <c r="L791" s="339"/>
      <c r="M791" s="340"/>
      <c r="N791" s="340"/>
      <c r="O791" s="341"/>
    </row>
    <row r="792" spans="10:15" ht="15.75" customHeight="1" x14ac:dyDescent="0.3">
      <c r="J792" s="338"/>
      <c r="K792" s="338"/>
      <c r="L792" s="339"/>
      <c r="M792" s="340"/>
      <c r="N792" s="340"/>
      <c r="O792" s="341"/>
    </row>
    <row r="793" spans="10:15" ht="15.75" customHeight="1" x14ac:dyDescent="0.3">
      <c r="J793" s="338"/>
      <c r="K793" s="338"/>
      <c r="L793" s="339"/>
      <c r="M793" s="340"/>
      <c r="N793" s="340"/>
      <c r="O793" s="341"/>
    </row>
    <row r="794" spans="10:15" ht="15.75" customHeight="1" x14ac:dyDescent="0.3">
      <c r="J794" s="338"/>
      <c r="K794" s="338"/>
      <c r="L794" s="339"/>
      <c r="M794" s="340"/>
      <c r="N794" s="340"/>
      <c r="O794" s="341"/>
    </row>
    <row r="795" spans="10:15" ht="15.75" customHeight="1" x14ac:dyDescent="0.3">
      <c r="J795" s="338"/>
      <c r="K795" s="338"/>
      <c r="L795" s="339"/>
      <c r="M795" s="340"/>
      <c r="N795" s="340"/>
      <c r="O795" s="341"/>
    </row>
    <row r="796" spans="10:15" ht="15.75" customHeight="1" x14ac:dyDescent="0.3">
      <c r="J796" s="338"/>
      <c r="K796" s="338"/>
      <c r="L796" s="339"/>
      <c r="M796" s="340"/>
      <c r="N796" s="340"/>
      <c r="O796" s="341"/>
    </row>
    <row r="797" spans="10:15" ht="15.75" customHeight="1" x14ac:dyDescent="0.3">
      <c r="J797" s="338"/>
      <c r="K797" s="338"/>
      <c r="L797" s="339"/>
      <c r="M797" s="340"/>
      <c r="N797" s="340"/>
      <c r="O797" s="341"/>
    </row>
    <row r="798" spans="10:15" ht="15.75" customHeight="1" x14ac:dyDescent="0.3">
      <c r="J798" s="338"/>
      <c r="K798" s="338"/>
      <c r="L798" s="339"/>
      <c r="M798" s="340"/>
      <c r="N798" s="340"/>
      <c r="O798" s="341"/>
    </row>
    <row r="799" spans="10:15" ht="15.75" customHeight="1" x14ac:dyDescent="0.3">
      <c r="J799" s="338"/>
      <c r="K799" s="338"/>
      <c r="L799" s="339"/>
      <c r="M799" s="340"/>
      <c r="N799" s="340"/>
      <c r="O799" s="341"/>
    </row>
    <row r="800" spans="10:15" ht="15.75" customHeight="1" x14ac:dyDescent="0.3">
      <c r="J800" s="338"/>
      <c r="K800" s="338"/>
      <c r="L800" s="339"/>
      <c r="M800" s="340"/>
      <c r="N800" s="340"/>
      <c r="O800" s="341"/>
    </row>
    <row r="801" spans="10:15" ht="15.75" customHeight="1" x14ac:dyDescent="0.3">
      <c r="J801" s="338"/>
      <c r="K801" s="338"/>
      <c r="L801" s="339"/>
      <c r="M801" s="340"/>
      <c r="N801" s="340"/>
      <c r="O801" s="341"/>
    </row>
    <row r="802" spans="10:15" ht="15.75" customHeight="1" x14ac:dyDescent="0.3">
      <c r="J802" s="338"/>
      <c r="K802" s="338"/>
      <c r="L802" s="339"/>
      <c r="M802" s="340"/>
      <c r="N802" s="340"/>
      <c r="O802" s="341"/>
    </row>
    <row r="803" spans="10:15" ht="15.75" customHeight="1" x14ac:dyDescent="0.3">
      <c r="J803" s="338"/>
      <c r="K803" s="338"/>
      <c r="L803" s="339"/>
      <c r="M803" s="340"/>
      <c r="N803" s="340"/>
      <c r="O803" s="341"/>
    </row>
    <row r="804" spans="10:15" ht="15.75" customHeight="1" x14ac:dyDescent="0.3">
      <c r="J804" s="338"/>
      <c r="K804" s="338"/>
      <c r="L804" s="339"/>
      <c r="M804" s="340"/>
      <c r="N804" s="340"/>
      <c r="O804" s="341"/>
    </row>
    <row r="805" spans="10:15" ht="15.75" customHeight="1" x14ac:dyDescent="0.3">
      <c r="J805" s="338"/>
      <c r="K805" s="338"/>
      <c r="L805" s="339"/>
      <c r="M805" s="340"/>
      <c r="N805" s="340"/>
      <c r="O805" s="341"/>
    </row>
    <row r="806" spans="10:15" ht="15.75" customHeight="1" x14ac:dyDescent="0.3">
      <c r="J806" s="338"/>
      <c r="K806" s="338"/>
      <c r="L806" s="339"/>
      <c r="M806" s="340"/>
      <c r="N806" s="340"/>
      <c r="O806" s="341"/>
    </row>
    <row r="807" spans="10:15" ht="15.75" customHeight="1" x14ac:dyDescent="0.3">
      <c r="J807" s="338"/>
      <c r="K807" s="338"/>
      <c r="L807" s="339"/>
      <c r="M807" s="340"/>
      <c r="N807" s="340"/>
      <c r="O807" s="341"/>
    </row>
    <row r="808" spans="10:15" ht="15.75" customHeight="1" x14ac:dyDescent="0.3">
      <c r="J808" s="338"/>
      <c r="K808" s="338"/>
      <c r="L808" s="339"/>
      <c r="M808" s="340"/>
      <c r="N808" s="340"/>
      <c r="O808" s="341"/>
    </row>
    <row r="809" spans="10:15" ht="15.75" customHeight="1" x14ac:dyDescent="0.3">
      <c r="J809" s="338"/>
      <c r="K809" s="338"/>
      <c r="L809" s="339"/>
      <c r="M809" s="340"/>
      <c r="N809" s="340"/>
      <c r="O809" s="341"/>
    </row>
    <row r="810" spans="10:15" ht="15.75" customHeight="1" x14ac:dyDescent="0.3">
      <c r="J810" s="338"/>
      <c r="K810" s="338"/>
      <c r="L810" s="339"/>
      <c r="M810" s="340"/>
      <c r="N810" s="340"/>
      <c r="O810" s="341"/>
    </row>
    <row r="811" spans="10:15" ht="15.75" customHeight="1" x14ac:dyDescent="0.3">
      <c r="J811" s="338"/>
      <c r="K811" s="338"/>
      <c r="L811" s="339"/>
      <c r="M811" s="340"/>
      <c r="N811" s="340"/>
      <c r="O811" s="341"/>
    </row>
    <row r="812" spans="10:15" ht="15.75" customHeight="1" x14ac:dyDescent="0.3">
      <c r="J812" s="338"/>
      <c r="K812" s="338"/>
      <c r="L812" s="339"/>
      <c r="M812" s="340"/>
      <c r="N812" s="340"/>
      <c r="O812" s="341"/>
    </row>
    <row r="813" spans="10:15" ht="15.75" customHeight="1" x14ac:dyDescent="0.3">
      <c r="J813" s="338"/>
      <c r="K813" s="338"/>
      <c r="L813" s="339"/>
      <c r="M813" s="340"/>
      <c r="N813" s="340"/>
      <c r="O813" s="341"/>
    </row>
    <row r="814" spans="10:15" ht="15.75" customHeight="1" x14ac:dyDescent="0.3">
      <c r="J814" s="338"/>
      <c r="K814" s="338"/>
      <c r="L814" s="339"/>
      <c r="M814" s="340"/>
      <c r="N814" s="340"/>
      <c r="O814" s="341"/>
    </row>
    <row r="815" spans="10:15" ht="15.75" customHeight="1" x14ac:dyDescent="0.3">
      <c r="J815" s="338"/>
      <c r="K815" s="338"/>
      <c r="L815" s="339"/>
      <c r="M815" s="340"/>
      <c r="N815" s="340"/>
      <c r="O815" s="341"/>
    </row>
    <row r="816" spans="10:15" ht="15.75" customHeight="1" x14ac:dyDescent="0.3">
      <c r="J816" s="338"/>
      <c r="K816" s="338"/>
      <c r="L816" s="339"/>
      <c r="M816" s="340"/>
      <c r="N816" s="340"/>
      <c r="O816" s="341"/>
    </row>
    <row r="817" spans="10:15" ht="15.75" customHeight="1" x14ac:dyDescent="0.3">
      <c r="J817" s="338"/>
      <c r="K817" s="338"/>
      <c r="L817" s="339"/>
      <c r="M817" s="340"/>
      <c r="N817" s="340"/>
      <c r="O817" s="341"/>
    </row>
    <row r="818" spans="10:15" ht="15.75" customHeight="1" x14ac:dyDescent="0.3">
      <c r="J818" s="338"/>
      <c r="K818" s="338"/>
      <c r="L818" s="339"/>
      <c r="M818" s="340"/>
      <c r="N818" s="340"/>
      <c r="O818" s="341"/>
    </row>
    <row r="819" spans="10:15" ht="15.75" customHeight="1" x14ac:dyDescent="0.3">
      <c r="J819" s="338"/>
      <c r="K819" s="338"/>
      <c r="L819" s="339"/>
      <c r="M819" s="340"/>
      <c r="N819" s="340"/>
      <c r="O819" s="341"/>
    </row>
    <row r="820" spans="10:15" ht="15.75" customHeight="1" x14ac:dyDescent="0.3">
      <c r="J820" s="338"/>
      <c r="K820" s="338"/>
      <c r="L820" s="339"/>
      <c r="M820" s="340"/>
      <c r="N820" s="340"/>
      <c r="O820" s="341"/>
    </row>
    <row r="821" spans="10:15" ht="15.75" customHeight="1" x14ac:dyDescent="0.3">
      <c r="J821" s="338"/>
      <c r="K821" s="338"/>
      <c r="L821" s="339"/>
      <c r="M821" s="340"/>
      <c r="N821" s="340"/>
      <c r="O821" s="341"/>
    </row>
    <row r="822" spans="10:15" ht="15.75" customHeight="1" x14ac:dyDescent="0.3">
      <c r="J822" s="338"/>
      <c r="K822" s="338"/>
      <c r="L822" s="339"/>
      <c r="M822" s="340"/>
      <c r="N822" s="340"/>
      <c r="O822" s="341"/>
    </row>
    <row r="823" spans="10:15" ht="15.75" customHeight="1" x14ac:dyDescent="0.3">
      <c r="J823" s="338"/>
      <c r="K823" s="338"/>
      <c r="L823" s="339"/>
      <c r="M823" s="340"/>
      <c r="N823" s="340"/>
      <c r="O823" s="341"/>
    </row>
    <row r="824" spans="10:15" ht="15.75" customHeight="1" x14ac:dyDescent="0.3">
      <c r="J824" s="338"/>
      <c r="K824" s="338"/>
      <c r="L824" s="339"/>
      <c r="M824" s="340"/>
      <c r="N824" s="340"/>
      <c r="O824" s="341"/>
    </row>
    <row r="825" spans="10:15" ht="15.75" customHeight="1" x14ac:dyDescent="0.3">
      <c r="J825" s="338"/>
      <c r="K825" s="338"/>
      <c r="L825" s="339"/>
      <c r="M825" s="340"/>
      <c r="N825" s="340"/>
      <c r="O825" s="341"/>
    </row>
    <row r="826" spans="10:15" ht="15.75" customHeight="1" x14ac:dyDescent="0.3">
      <c r="J826" s="338"/>
      <c r="K826" s="338"/>
      <c r="L826" s="339"/>
      <c r="M826" s="340"/>
      <c r="N826" s="340"/>
      <c r="O826" s="341"/>
    </row>
    <row r="827" spans="10:15" ht="15.75" customHeight="1" x14ac:dyDescent="0.3">
      <c r="J827" s="338"/>
      <c r="K827" s="338"/>
      <c r="L827" s="339"/>
      <c r="M827" s="340"/>
      <c r="N827" s="340"/>
      <c r="O827" s="341"/>
    </row>
    <row r="828" spans="10:15" ht="15.75" customHeight="1" x14ac:dyDescent="0.3">
      <c r="J828" s="338"/>
      <c r="K828" s="338"/>
      <c r="L828" s="339"/>
      <c r="M828" s="340"/>
      <c r="N828" s="340"/>
      <c r="O828" s="341"/>
    </row>
    <row r="829" spans="10:15" ht="15.75" customHeight="1" x14ac:dyDescent="0.3">
      <c r="J829" s="338"/>
      <c r="K829" s="338"/>
      <c r="L829" s="339"/>
      <c r="M829" s="340"/>
      <c r="N829" s="340"/>
      <c r="O829" s="341"/>
    </row>
    <row r="830" spans="10:15" ht="15.75" customHeight="1" x14ac:dyDescent="0.3">
      <c r="J830" s="338"/>
      <c r="K830" s="338"/>
      <c r="L830" s="339"/>
      <c r="M830" s="340"/>
      <c r="N830" s="340"/>
      <c r="O830" s="341"/>
    </row>
    <row r="831" spans="10:15" ht="15.75" customHeight="1" x14ac:dyDescent="0.3">
      <c r="J831" s="338"/>
      <c r="K831" s="338"/>
      <c r="L831" s="339"/>
      <c r="M831" s="340"/>
      <c r="N831" s="340"/>
      <c r="O831" s="341"/>
    </row>
    <row r="832" spans="10:15" ht="15.75" customHeight="1" x14ac:dyDescent="0.3">
      <c r="J832" s="338"/>
      <c r="K832" s="338"/>
      <c r="L832" s="339"/>
      <c r="M832" s="340"/>
      <c r="N832" s="340"/>
      <c r="O832" s="341"/>
    </row>
    <row r="833" spans="10:15" ht="15.75" customHeight="1" x14ac:dyDescent="0.3">
      <c r="J833" s="338"/>
      <c r="K833" s="338"/>
      <c r="L833" s="339"/>
      <c r="M833" s="340"/>
      <c r="N833" s="340"/>
      <c r="O833" s="341"/>
    </row>
    <row r="834" spans="10:15" ht="15.75" customHeight="1" x14ac:dyDescent="0.3">
      <c r="J834" s="338"/>
      <c r="K834" s="338"/>
      <c r="L834" s="339"/>
      <c r="M834" s="340"/>
      <c r="N834" s="340"/>
      <c r="O834" s="341"/>
    </row>
    <row r="835" spans="10:15" ht="15.75" customHeight="1" x14ac:dyDescent="0.3">
      <c r="J835" s="338"/>
      <c r="K835" s="338"/>
      <c r="L835" s="339"/>
      <c r="M835" s="340"/>
      <c r="N835" s="340"/>
      <c r="O835" s="341"/>
    </row>
    <row r="836" spans="10:15" ht="15.75" customHeight="1" x14ac:dyDescent="0.3">
      <c r="J836" s="338"/>
      <c r="K836" s="338"/>
      <c r="L836" s="339"/>
      <c r="M836" s="340"/>
      <c r="N836" s="340"/>
      <c r="O836" s="341"/>
    </row>
    <row r="837" spans="10:15" ht="15.75" customHeight="1" x14ac:dyDescent="0.3">
      <c r="J837" s="338"/>
      <c r="K837" s="338"/>
      <c r="L837" s="339"/>
      <c r="M837" s="340"/>
      <c r="N837" s="340"/>
      <c r="O837" s="341"/>
    </row>
    <row r="838" spans="10:15" ht="15.75" customHeight="1" x14ac:dyDescent="0.3">
      <c r="J838" s="338"/>
      <c r="K838" s="338"/>
      <c r="L838" s="339"/>
      <c r="M838" s="340"/>
      <c r="N838" s="340"/>
      <c r="O838" s="341"/>
    </row>
    <row r="839" spans="10:15" ht="15.75" customHeight="1" x14ac:dyDescent="0.3">
      <c r="J839" s="338"/>
      <c r="K839" s="338"/>
      <c r="L839" s="339"/>
      <c r="M839" s="340"/>
      <c r="N839" s="340"/>
      <c r="O839" s="341"/>
    </row>
    <row r="840" spans="10:15" ht="15.75" customHeight="1" x14ac:dyDescent="0.3">
      <c r="J840" s="338"/>
      <c r="K840" s="338"/>
      <c r="L840" s="339"/>
      <c r="M840" s="340"/>
      <c r="N840" s="340"/>
      <c r="O840" s="341"/>
    </row>
    <row r="841" spans="10:15" ht="15.75" customHeight="1" x14ac:dyDescent="0.3">
      <c r="J841" s="338"/>
      <c r="K841" s="338"/>
      <c r="L841" s="339"/>
      <c r="M841" s="340"/>
      <c r="N841" s="340"/>
      <c r="O841" s="341"/>
    </row>
    <row r="842" spans="10:15" ht="15.75" customHeight="1" x14ac:dyDescent="0.3">
      <c r="J842" s="338"/>
      <c r="K842" s="338"/>
      <c r="L842" s="339"/>
      <c r="M842" s="340"/>
      <c r="N842" s="340"/>
      <c r="O842" s="341"/>
    </row>
    <row r="843" spans="10:15" ht="15.75" customHeight="1" x14ac:dyDescent="0.3">
      <c r="J843" s="338"/>
      <c r="K843" s="338"/>
      <c r="L843" s="339"/>
      <c r="M843" s="340"/>
      <c r="N843" s="340"/>
      <c r="O843" s="341"/>
    </row>
    <row r="844" spans="10:15" ht="15.75" customHeight="1" x14ac:dyDescent="0.3">
      <c r="J844" s="338"/>
      <c r="K844" s="338"/>
      <c r="L844" s="339"/>
      <c r="M844" s="340"/>
      <c r="N844" s="340"/>
      <c r="O844" s="341"/>
    </row>
    <row r="845" spans="10:15" ht="15.75" customHeight="1" x14ac:dyDescent="0.3">
      <c r="J845" s="338"/>
      <c r="K845" s="338"/>
      <c r="L845" s="339"/>
      <c r="M845" s="340"/>
      <c r="N845" s="340"/>
      <c r="O845" s="341"/>
    </row>
    <row r="846" spans="10:15" ht="15.75" customHeight="1" x14ac:dyDescent="0.3">
      <c r="J846" s="338"/>
      <c r="K846" s="338"/>
      <c r="L846" s="339"/>
      <c r="M846" s="340"/>
      <c r="N846" s="340"/>
      <c r="O846" s="341"/>
    </row>
    <row r="847" spans="10:15" ht="15.75" customHeight="1" x14ac:dyDescent="0.3">
      <c r="J847" s="338"/>
      <c r="K847" s="338"/>
      <c r="L847" s="339"/>
      <c r="M847" s="340"/>
      <c r="N847" s="340"/>
      <c r="O847" s="341"/>
    </row>
    <row r="848" spans="10:15" ht="15.75" customHeight="1" x14ac:dyDescent="0.3">
      <c r="J848" s="338"/>
      <c r="K848" s="338"/>
      <c r="L848" s="339"/>
      <c r="M848" s="340"/>
      <c r="N848" s="340"/>
      <c r="O848" s="341"/>
    </row>
    <row r="849" spans="10:15" ht="15.75" customHeight="1" x14ac:dyDescent="0.3">
      <c r="J849" s="338"/>
      <c r="K849" s="338"/>
      <c r="L849" s="339"/>
      <c r="M849" s="340"/>
      <c r="N849" s="340"/>
      <c r="O849" s="341"/>
    </row>
    <row r="850" spans="10:15" ht="15.75" customHeight="1" x14ac:dyDescent="0.3">
      <c r="J850" s="338"/>
      <c r="K850" s="338"/>
      <c r="L850" s="339"/>
      <c r="M850" s="340"/>
      <c r="N850" s="340"/>
      <c r="O850" s="341"/>
    </row>
    <row r="851" spans="10:15" ht="15.75" customHeight="1" x14ac:dyDescent="0.3">
      <c r="J851" s="338"/>
      <c r="K851" s="338"/>
      <c r="L851" s="339"/>
      <c r="M851" s="340"/>
      <c r="N851" s="340"/>
      <c r="O851" s="341"/>
    </row>
    <row r="852" spans="10:15" ht="15.75" customHeight="1" x14ac:dyDescent="0.3">
      <c r="J852" s="338"/>
      <c r="K852" s="338"/>
      <c r="L852" s="339"/>
      <c r="M852" s="340"/>
      <c r="N852" s="340"/>
      <c r="O852" s="341"/>
    </row>
    <row r="853" spans="10:15" ht="15.75" customHeight="1" x14ac:dyDescent="0.3">
      <c r="J853" s="338"/>
      <c r="K853" s="338"/>
      <c r="L853" s="339"/>
      <c r="M853" s="340"/>
      <c r="N853" s="340"/>
      <c r="O853" s="341"/>
    </row>
    <row r="854" spans="10:15" ht="15.75" customHeight="1" x14ac:dyDescent="0.3">
      <c r="J854" s="338"/>
      <c r="K854" s="338"/>
      <c r="L854" s="339"/>
      <c r="M854" s="340"/>
      <c r="N854" s="340"/>
      <c r="O854" s="341"/>
    </row>
    <row r="855" spans="10:15" ht="15.75" customHeight="1" x14ac:dyDescent="0.3">
      <c r="J855" s="338"/>
      <c r="K855" s="338"/>
      <c r="L855" s="339"/>
      <c r="M855" s="340"/>
      <c r="N855" s="340"/>
      <c r="O855" s="341"/>
    </row>
    <row r="856" spans="10:15" ht="15.75" customHeight="1" x14ac:dyDescent="0.3">
      <c r="J856" s="338"/>
      <c r="K856" s="338"/>
      <c r="L856" s="339"/>
      <c r="M856" s="340"/>
      <c r="N856" s="340"/>
      <c r="O856" s="341"/>
    </row>
    <row r="857" spans="10:15" ht="15.75" customHeight="1" x14ac:dyDescent="0.3">
      <c r="J857" s="338"/>
      <c r="K857" s="338"/>
      <c r="L857" s="339"/>
      <c r="M857" s="340"/>
      <c r="N857" s="340"/>
      <c r="O857" s="341"/>
    </row>
    <row r="858" spans="10:15" ht="15.75" customHeight="1" x14ac:dyDescent="0.3">
      <c r="J858" s="338"/>
      <c r="K858" s="338"/>
      <c r="L858" s="339"/>
      <c r="M858" s="340"/>
      <c r="N858" s="340"/>
      <c r="O858" s="341"/>
    </row>
    <row r="859" spans="10:15" ht="15.75" customHeight="1" x14ac:dyDescent="0.3">
      <c r="J859" s="338"/>
      <c r="K859" s="338"/>
      <c r="L859" s="339"/>
      <c r="M859" s="340"/>
      <c r="N859" s="340"/>
      <c r="O859" s="341"/>
    </row>
    <row r="860" spans="10:15" ht="15.75" customHeight="1" x14ac:dyDescent="0.3">
      <c r="J860" s="338"/>
      <c r="K860" s="338"/>
      <c r="L860" s="339"/>
      <c r="M860" s="340"/>
      <c r="N860" s="340"/>
      <c r="O860" s="341"/>
    </row>
    <row r="861" spans="10:15" ht="15.75" customHeight="1" x14ac:dyDescent="0.3">
      <c r="J861" s="338"/>
      <c r="K861" s="338"/>
      <c r="L861" s="339"/>
      <c r="M861" s="340"/>
      <c r="N861" s="340"/>
      <c r="O861" s="341"/>
    </row>
    <row r="862" spans="10:15" ht="15.75" customHeight="1" x14ac:dyDescent="0.3">
      <c r="J862" s="338"/>
      <c r="K862" s="338"/>
      <c r="L862" s="339"/>
      <c r="M862" s="340"/>
      <c r="N862" s="340"/>
      <c r="O862" s="341"/>
    </row>
    <row r="863" spans="10:15" ht="15.75" customHeight="1" x14ac:dyDescent="0.3">
      <c r="J863" s="338"/>
      <c r="K863" s="338"/>
      <c r="L863" s="339"/>
      <c r="M863" s="340"/>
      <c r="N863" s="340"/>
      <c r="O863" s="341"/>
    </row>
    <row r="864" spans="10:15" ht="15.75" customHeight="1" x14ac:dyDescent="0.3">
      <c r="J864" s="338"/>
      <c r="K864" s="338"/>
      <c r="L864" s="339"/>
      <c r="M864" s="340"/>
      <c r="N864" s="340"/>
      <c r="O864" s="341"/>
    </row>
    <row r="865" spans="10:15" ht="15.75" customHeight="1" x14ac:dyDescent="0.3">
      <c r="J865" s="338"/>
      <c r="K865" s="338"/>
      <c r="L865" s="339"/>
      <c r="M865" s="340"/>
      <c r="N865" s="340"/>
      <c r="O865" s="341"/>
    </row>
    <row r="866" spans="10:15" ht="15.75" customHeight="1" x14ac:dyDescent="0.3">
      <c r="J866" s="338"/>
      <c r="K866" s="338"/>
      <c r="L866" s="339"/>
      <c r="M866" s="340"/>
      <c r="N866" s="340"/>
      <c r="O866" s="341"/>
    </row>
    <row r="867" spans="10:15" ht="15.75" customHeight="1" x14ac:dyDescent="0.3">
      <c r="J867" s="338"/>
      <c r="K867" s="338"/>
      <c r="L867" s="339"/>
      <c r="M867" s="340"/>
      <c r="N867" s="340"/>
      <c r="O867" s="341"/>
    </row>
    <row r="868" spans="10:15" ht="15.75" customHeight="1" x14ac:dyDescent="0.3">
      <c r="J868" s="338"/>
      <c r="K868" s="338"/>
      <c r="L868" s="339"/>
      <c r="M868" s="340"/>
      <c r="N868" s="340"/>
      <c r="O868" s="341"/>
    </row>
    <row r="869" spans="10:15" ht="15.75" customHeight="1" x14ac:dyDescent="0.3">
      <c r="J869" s="338"/>
      <c r="K869" s="338"/>
      <c r="L869" s="339"/>
      <c r="M869" s="340"/>
      <c r="N869" s="340"/>
      <c r="O869" s="341"/>
    </row>
    <row r="870" spans="10:15" ht="15.75" customHeight="1" x14ac:dyDescent="0.3">
      <c r="J870" s="338"/>
      <c r="K870" s="338"/>
      <c r="L870" s="339"/>
      <c r="M870" s="340"/>
      <c r="N870" s="340"/>
      <c r="O870" s="341"/>
    </row>
    <row r="871" spans="10:15" ht="15.75" customHeight="1" x14ac:dyDescent="0.3">
      <c r="J871" s="338"/>
      <c r="K871" s="338"/>
      <c r="L871" s="339"/>
      <c r="M871" s="340"/>
      <c r="N871" s="340"/>
      <c r="O871" s="341"/>
    </row>
    <row r="872" spans="10:15" ht="15.75" customHeight="1" x14ac:dyDescent="0.3">
      <c r="J872" s="338"/>
      <c r="K872" s="338"/>
      <c r="L872" s="339"/>
      <c r="M872" s="340"/>
      <c r="N872" s="340"/>
      <c r="O872" s="341"/>
    </row>
    <row r="873" spans="10:15" ht="15.75" customHeight="1" x14ac:dyDescent="0.3">
      <c r="J873" s="338"/>
      <c r="K873" s="338"/>
      <c r="L873" s="339"/>
      <c r="M873" s="340"/>
      <c r="N873" s="340"/>
      <c r="O873" s="341"/>
    </row>
    <row r="874" spans="10:15" ht="15.75" customHeight="1" x14ac:dyDescent="0.3">
      <c r="J874" s="338"/>
      <c r="K874" s="338"/>
      <c r="L874" s="339"/>
      <c r="M874" s="340"/>
      <c r="N874" s="340"/>
      <c r="O874" s="341"/>
    </row>
    <row r="875" spans="10:15" ht="15.75" customHeight="1" x14ac:dyDescent="0.3">
      <c r="J875" s="338"/>
      <c r="K875" s="338"/>
      <c r="L875" s="339"/>
      <c r="M875" s="340"/>
      <c r="N875" s="340"/>
      <c r="O875" s="341"/>
    </row>
    <row r="876" spans="10:15" ht="15.75" customHeight="1" x14ac:dyDescent="0.3">
      <c r="J876" s="338"/>
      <c r="K876" s="338"/>
      <c r="L876" s="339"/>
      <c r="M876" s="340"/>
      <c r="N876" s="340"/>
      <c r="O876" s="341"/>
    </row>
    <row r="877" spans="10:15" ht="15.75" customHeight="1" x14ac:dyDescent="0.3">
      <c r="J877" s="338"/>
      <c r="K877" s="338"/>
      <c r="L877" s="339"/>
      <c r="M877" s="340"/>
      <c r="N877" s="340"/>
      <c r="O877" s="341"/>
    </row>
    <row r="878" spans="10:15" ht="15.75" customHeight="1" x14ac:dyDescent="0.3">
      <c r="J878" s="338"/>
      <c r="K878" s="338"/>
      <c r="L878" s="339"/>
      <c r="M878" s="340"/>
      <c r="N878" s="340"/>
      <c r="O878" s="341"/>
    </row>
    <row r="879" spans="10:15" ht="15.75" customHeight="1" x14ac:dyDescent="0.3">
      <c r="J879" s="338"/>
      <c r="K879" s="338"/>
      <c r="L879" s="339"/>
      <c r="M879" s="340"/>
      <c r="N879" s="340"/>
      <c r="O879" s="341"/>
    </row>
    <row r="880" spans="10:15" ht="15.75" customHeight="1" x14ac:dyDescent="0.3">
      <c r="J880" s="338"/>
      <c r="K880" s="338"/>
      <c r="L880" s="339"/>
      <c r="M880" s="340"/>
      <c r="N880" s="340"/>
      <c r="O880" s="341"/>
    </row>
    <row r="881" spans="10:15" ht="15.75" customHeight="1" x14ac:dyDescent="0.3">
      <c r="J881" s="338"/>
      <c r="K881" s="338"/>
      <c r="L881" s="339"/>
      <c r="M881" s="340"/>
      <c r="N881" s="340"/>
      <c r="O881" s="341"/>
    </row>
    <row r="882" spans="10:15" ht="15.75" customHeight="1" x14ac:dyDescent="0.3">
      <c r="J882" s="338"/>
      <c r="K882" s="338"/>
      <c r="L882" s="339"/>
      <c r="M882" s="340"/>
      <c r="N882" s="340"/>
      <c r="O882" s="341"/>
    </row>
    <row r="883" spans="10:15" ht="15.75" customHeight="1" x14ac:dyDescent="0.3">
      <c r="J883" s="338"/>
      <c r="K883" s="338"/>
      <c r="L883" s="339"/>
      <c r="M883" s="340"/>
      <c r="N883" s="340"/>
      <c r="O883" s="341"/>
    </row>
    <row r="884" spans="10:15" ht="15.75" customHeight="1" x14ac:dyDescent="0.3">
      <c r="J884" s="338"/>
      <c r="K884" s="338"/>
      <c r="L884" s="339"/>
      <c r="M884" s="340"/>
      <c r="N884" s="340"/>
      <c r="O884" s="341"/>
    </row>
    <row r="885" spans="10:15" ht="15.75" customHeight="1" x14ac:dyDescent="0.3">
      <c r="J885" s="338"/>
      <c r="K885" s="338"/>
      <c r="L885" s="339"/>
      <c r="M885" s="340"/>
      <c r="N885" s="340"/>
      <c r="O885" s="341"/>
    </row>
    <row r="886" spans="10:15" ht="15.75" customHeight="1" x14ac:dyDescent="0.3">
      <c r="J886" s="338"/>
      <c r="K886" s="338"/>
      <c r="L886" s="339"/>
      <c r="M886" s="340"/>
      <c r="N886" s="340"/>
      <c r="O886" s="341"/>
    </row>
    <row r="887" spans="10:15" ht="15.75" customHeight="1" x14ac:dyDescent="0.3">
      <c r="J887" s="338"/>
      <c r="K887" s="338"/>
      <c r="L887" s="339"/>
      <c r="M887" s="340"/>
      <c r="N887" s="340"/>
      <c r="O887" s="341"/>
    </row>
    <row r="888" spans="10:15" ht="15.75" customHeight="1" x14ac:dyDescent="0.3">
      <c r="J888" s="338"/>
      <c r="K888" s="338"/>
      <c r="L888" s="339"/>
      <c r="M888" s="340"/>
      <c r="N888" s="340"/>
      <c r="O888" s="341"/>
    </row>
    <row r="889" spans="10:15" ht="15.75" customHeight="1" x14ac:dyDescent="0.3">
      <c r="J889" s="338"/>
      <c r="K889" s="338"/>
      <c r="L889" s="339"/>
      <c r="M889" s="340"/>
      <c r="N889" s="340"/>
      <c r="O889" s="341"/>
    </row>
    <row r="890" spans="10:15" ht="15.75" customHeight="1" x14ac:dyDescent="0.3">
      <c r="J890" s="338"/>
      <c r="K890" s="338"/>
      <c r="L890" s="339"/>
      <c r="M890" s="340"/>
      <c r="N890" s="340"/>
      <c r="O890" s="341"/>
    </row>
    <row r="891" spans="10:15" ht="15.75" customHeight="1" x14ac:dyDescent="0.3">
      <c r="J891" s="338"/>
      <c r="K891" s="338"/>
      <c r="L891" s="339"/>
      <c r="M891" s="340"/>
      <c r="N891" s="340"/>
      <c r="O891" s="341"/>
    </row>
    <row r="892" spans="10:15" ht="15.75" customHeight="1" x14ac:dyDescent="0.3">
      <c r="J892" s="338"/>
      <c r="K892" s="338"/>
      <c r="L892" s="339"/>
      <c r="M892" s="340"/>
      <c r="N892" s="340"/>
      <c r="O892" s="341"/>
    </row>
    <row r="893" spans="10:15" ht="15.75" customHeight="1" x14ac:dyDescent="0.3">
      <c r="J893" s="338"/>
      <c r="K893" s="338"/>
      <c r="L893" s="339"/>
      <c r="M893" s="340"/>
      <c r="N893" s="340"/>
      <c r="O893" s="341"/>
    </row>
    <row r="894" spans="10:15" ht="15.75" customHeight="1" x14ac:dyDescent="0.3">
      <c r="J894" s="338"/>
      <c r="K894" s="338"/>
      <c r="L894" s="339"/>
      <c r="M894" s="340"/>
      <c r="N894" s="340"/>
      <c r="O894" s="341"/>
    </row>
    <row r="895" spans="10:15" ht="15.75" customHeight="1" x14ac:dyDescent="0.3">
      <c r="J895" s="338"/>
      <c r="K895" s="338"/>
      <c r="L895" s="339"/>
      <c r="M895" s="340"/>
      <c r="N895" s="340"/>
      <c r="O895" s="341"/>
    </row>
    <row r="896" spans="10:15" ht="15.75" customHeight="1" x14ac:dyDescent="0.3">
      <c r="J896" s="338"/>
      <c r="K896" s="338"/>
      <c r="L896" s="339"/>
      <c r="M896" s="340"/>
      <c r="N896" s="340"/>
      <c r="O896" s="341"/>
    </row>
    <row r="897" spans="10:15" ht="15.75" customHeight="1" x14ac:dyDescent="0.3">
      <c r="J897" s="338"/>
      <c r="K897" s="338"/>
      <c r="L897" s="339"/>
      <c r="M897" s="340"/>
      <c r="N897" s="340"/>
      <c r="O897" s="341"/>
    </row>
    <row r="898" spans="10:15" ht="15.75" customHeight="1" x14ac:dyDescent="0.3">
      <c r="J898" s="338"/>
      <c r="K898" s="338"/>
      <c r="L898" s="339"/>
      <c r="M898" s="340"/>
      <c r="N898" s="340"/>
      <c r="O898" s="341"/>
    </row>
    <row r="899" spans="10:15" ht="15.75" customHeight="1" x14ac:dyDescent="0.3">
      <c r="J899" s="338"/>
      <c r="K899" s="338"/>
      <c r="L899" s="339"/>
      <c r="M899" s="340"/>
      <c r="N899" s="340"/>
      <c r="O899" s="341"/>
    </row>
    <row r="900" spans="10:15" ht="15.75" customHeight="1" x14ac:dyDescent="0.3">
      <c r="J900" s="338"/>
      <c r="K900" s="338"/>
      <c r="L900" s="339"/>
      <c r="M900" s="340"/>
      <c r="N900" s="340"/>
      <c r="O900" s="341"/>
    </row>
    <row r="901" spans="10:15" ht="15.75" customHeight="1" x14ac:dyDescent="0.3">
      <c r="J901" s="338"/>
      <c r="K901" s="338"/>
      <c r="L901" s="339"/>
      <c r="M901" s="340"/>
      <c r="N901" s="340"/>
      <c r="O901" s="341"/>
    </row>
    <row r="902" spans="10:15" ht="15.75" customHeight="1" x14ac:dyDescent="0.3">
      <c r="J902" s="338"/>
      <c r="K902" s="338"/>
      <c r="L902" s="339"/>
      <c r="M902" s="340"/>
      <c r="N902" s="340"/>
      <c r="O902" s="341"/>
    </row>
    <row r="903" spans="10:15" ht="15.75" customHeight="1" x14ac:dyDescent="0.3">
      <c r="J903" s="338"/>
      <c r="K903" s="338"/>
      <c r="L903" s="339"/>
      <c r="M903" s="340"/>
      <c r="N903" s="340"/>
      <c r="O903" s="341"/>
    </row>
    <row r="904" spans="10:15" ht="15.75" customHeight="1" x14ac:dyDescent="0.3">
      <c r="J904" s="338"/>
      <c r="K904" s="338"/>
      <c r="L904" s="339"/>
      <c r="M904" s="340"/>
      <c r="N904" s="340"/>
      <c r="O904" s="341"/>
    </row>
    <row r="905" spans="10:15" ht="15.75" customHeight="1" x14ac:dyDescent="0.3">
      <c r="J905" s="338"/>
      <c r="K905" s="338"/>
      <c r="L905" s="339"/>
      <c r="M905" s="340"/>
      <c r="N905" s="340"/>
      <c r="O905" s="341"/>
    </row>
    <row r="906" spans="10:15" ht="15.75" customHeight="1" x14ac:dyDescent="0.3">
      <c r="J906" s="338"/>
      <c r="K906" s="338"/>
      <c r="L906" s="339"/>
      <c r="M906" s="340"/>
      <c r="N906" s="340"/>
      <c r="O906" s="341"/>
    </row>
    <row r="907" spans="10:15" ht="15.75" customHeight="1" x14ac:dyDescent="0.3">
      <c r="J907" s="338"/>
      <c r="K907" s="338"/>
      <c r="L907" s="339"/>
      <c r="M907" s="340"/>
      <c r="N907" s="340"/>
      <c r="O907" s="341"/>
    </row>
    <row r="908" spans="10:15" ht="15.75" customHeight="1" x14ac:dyDescent="0.3">
      <c r="J908" s="338"/>
      <c r="K908" s="338"/>
      <c r="L908" s="339"/>
      <c r="M908" s="340"/>
      <c r="N908" s="340"/>
      <c r="O908" s="341"/>
    </row>
    <row r="909" spans="10:15" ht="15.75" customHeight="1" x14ac:dyDescent="0.3">
      <c r="J909" s="338"/>
      <c r="K909" s="338"/>
      <c r="L909" s="339"/>
      <c r="M909" s="340"/>
      <c r="N909" s="340"/>
      <c r="O909" s="341"/>
    </row>
    <row r="910" spans="10:15" ht="15.75" customHeight="1" x14ac:dyDescent="0.3">
      <c r="J910" s="338"/>
      <c r="K910" s="338"/>
      <c r="L910" s="339"/>
      <c r="M910" s="340"/>
      <c r="N910" s="340"/>
      <c r="O910" s="341"/>
    </row>
    <row r="911" spans="10:15" ht="15.75" customHeight="1" x14ac:dyDescent="0.3">
      <c r="J911" s="338"/>
      <c r="K911" s="338"/>
      <c r="L911" s="339"/>
      <c r="M911" s="340"/>
      <c r="N911" s="340"/>
      <c r="O911" s="341"/>
    </row>
    <row r="912" spans="10:15" ht="15.75" customHeight="1" x14ac:dyDescent="0.3">
      <c r="J912" s="338"/>
      <c r="K912" s="338"/>
      <c r="L912" s="339"/>
      <c r="M912" s="340"/>
      <c r="N912" s="340"/>
      <c r="O912" s="341"/>
    </row>
    <row r="913" spans="10:15" ht="15.75" customHeight="1" x14ac:dyDescent="0.3">
      <c r="J913" s="338"/>
      <c r="K913" s="338"/>
      <c r="L913" s="339"/>
      <c r="M913" s="340"/>
      <c r="N913" s="340"/>
      <c r="O913" s="341"/>
    </row>
    <row r="914" spans="10:15" ht="15.75" customHeight="1" x14ac:dyDescent="0.3">
      <c r="J914" s="338"/>
      <c r="K914" s="338"/>
      <c r="L914" s="339"/>
      <c r="M914" s="340"/>
      <c r="N914" s="340"/>
      <c r="O914" s="341"/>
    </row>
    <row r="915" spans="10:15" ht="15.75" customHeight="1" x14ac:dyDescent="0.3">
      <c r="J915" s="338"/>
      <c r="K915" s="338"/>
      <c r="L915" s="339"/>
      <c r="M915" s="340"/>
      <c r="N915" s="340"/>
      <c r="O915" s="341"/>
    </row>
    <row r="916" spans="10:15" ht="15.75" customHeight="1" x14ac:dyDescent="0.3">
      <c r="J916" s="338"/>
      <c r="K916" s="338"/>
      <c r="L916" s="339"/>
      <c r="M916" s="340"/>
      <c r="N916" s="340"/>
      <c r="O916" s="341"/>
    </row>
    <row r="917" spans="10:15" ht="15.75" customHeight="1" x14ac:dyDescent="0.3">
      <c r="J917" s="338"/>
      <c r="K917" s="338"/>
      <c r="L917" s="339"/>
      <c r="M917" s="340"/>
      <c r="N917" s="340"/>
      <c r="O917" s="341"/>
    </row>
    <row r="918" spans="10:15" ht="15.75" customHeight="1" x14ac:dyDescent="0.3">
      <c r="J918" s="338"/>
      <c r="K918" s="338"/>
      <c r="L918" s="339"/>
      <c r="M918" s="340"/>
      <c r="N918" s="340"/>
      <c r="O918" s="341"/>
    </row>
    <row r="919" spans="10:15" ht="15.75" customHeight="1" x14ac:dyDescent="0.3">
      <c r="J919" s="338"/>
      <c r="K919" s="338"/>
      <c r="L919" s="339"/>
      <c r="M919" s="340"/>
      <c r="N919" s="340"/>
      <c r="O919" s="341"/>
    </row>
    <row r="920" spans="10:15" ht="15.75" customHeight="1" x14ac:dyDescent="0.3">
      <c r="J920" s="338"/>
      <c r="K920" s="338"/>
      <c r="L920" s="339"/>
      <c r="M920" s="340"/>
      <c r="N920" s="340"/>
      <c r="O920" s="341"/>
    </row>
    <row r="921" spans="10:15" ht="15.75" customHeight="1" x14ac:dyDescent="0.3">
      <c r="J921" s="338"/>
      <c r="K921" s="338"/>
      <c r="L921" s="339"/>
      <c r="M921" s="340"/>
      <c r="N921" s="340"/>
      <c r="O921" s="341"/>
    </row>
    <row r="922" spans="10:15" ht="15.75" customHeight="1" x14ac:dyDescent="0.3">
      <c r="J922" s="338"/>
      <c r="K922" s="338"/>
      <c r="L922" s="339"/>
      <c r="M922" s="340"/>
      <c r="N922" s="340"/>
      <c r="O922" s="341"/>
    </row>
    <row r="923" spans="10:15" ht="15.75" customHeight="1" x14ac:dyDescent="0.3">
      <c r="J923" s="338"/>
      <c r="K923" s="338"/>
      <c r="L923" s="339"/>
      <c r="M923" s="340"/>
      <c r="N923" s="340"/>
      <c r="O923" s="341"/>
    </row>
    <row r="924" spans="10:15" ht="15.75" customHeight="1" x14ac:dyDescent="0.3">
      <c r="J924" s="338"/>
      <c r="K924" s="338"/>
      <c r="L924" s="339"/>
      <c r="M924" s="340"/>
      <c r="N924" s="340"/>
      <c r="O924" s="341"/>
    </row>
    <row r="925" spans="10:15" ht="15.75" customHeight="1" x14ac:dyDescent="0.3">
      <c r="J925" s="338"/>
      <c r="K925" s="338"/>
      <c r="L925" s="339"/>
      <c r="M925" s="340"/>
      <c r="N925" s="340"/>
      <c r="O925" s="341"/>
    </row>
    <row r="926" spans="10:15" ht="15.75" customHeight="1" x14ac:dyDescent="0.3">
      <c r="J926" s="338"/>
      <c r="K926" s="338"/>
      <c r="L926" s="339"/>
      <c r="M926" s="340"/>
      <c r="N926" s="340"/>
      <c r="O926" s="341"/>
    </row>
    <row r="927" spans="10:15" ht="15.75" customHeight="1" x14ac:dyDescent="0.3">
      <c r="J927" s="338"/>
      <c r="K927" s="338"/>
      <c r="L927" s="339"/>
      <c r="M927" s="340"/>
      <c r="N927" s="340"/>
      <c r="O927" s="341"/>
    </row>
    <row r="928" spans="10:15" ht="15.75" customHeight="1" x14ac:dyDescent="0.3">
      <c r="J928" s="338"/>
      <c r="K928" s="338"/>
      <c r="L928" s="339"/>
      <c r="M928" s="340"/>
      <c r="N928" s="340"/>
      <c r="O928" s="341"/>
    </row>
    <row r="929" spans="10:15" ht="15.75" customHeight="1" x14ac:dyDescent="0.3">
      <c r="J929" s="338"/>
      <c r="K929" s="338"/>
      <c r="L929" s="339"/>
      <c r="M929" s="340"/>
      <c r="N929" s="340"/>
      <c r="O929" s="341"/>
    </row>
    <row r="930" spans="10:15" ht="15.75" customHeight="1" x14ac:dyDescent="0.3">
      <c r="J930" s="338"/>
      <c r="K930" s="338"/>
      <c r="L930" s="339"/>
      <c r="M930" s="340"/>
      <c r="N930" s="340"/>
      <c r="O930" s="341"/>
    </row>
    <row r="931" spans="10:15" ht="15.75" customHeight="1" x14ac:dyDescent="0.3">
      <c r="J931" s="338"/>
      <c r="K931" s="338"/>
      <c r="L931" s="339"/>
      <c r="M931" s="340"/>
      <c r="N931" s="340"/>
      <c r="O931" s="341"/>
    </row>
    <row r="932" spans="10:15" ht="15.75" customHeight="1" x14ac:dyDescent="0.3">
      <c r="J932" s="338"/>
      <c r="K932" s="338"/>
      <c r="L932" s="339"/>
      <c r="M932" s="340"/>
      <c r="N932" s="340"/>
      <c r="O932" s="341"/>
    </row>
    <row r="933" spans="10:15" ht="15.75" customHeight="1" x14ac:dyDescent="0.3">
      <c r="J933" s="338"/>
      <c r="K933" s="338"/>
      <c r="L933" s="339"/>
      <c r="M933" s="340"/>
      <c r="N933" s="340"/>
      <c r="O933" s="341"/>
    </row>
    <row r="934" spans="10:15" ht="15.75" customHeight="1" x14ac:dyDescent="0.3">
      <c r="J934" s="338"/>
      <c r="K934" s="338"/>
      <c r="L934" s="339"/>
      <c r="M934" s="340"/>
      <c r="N934" s="340"/>
      <c r="O934" s="341"/>
    </row>
    <row r="935" spans="10:15" ht="15.75" customHeight="1" x14ac:dyDescent="0.3">
      <c r="J935" s="338"/>
      <c r="K935" s="338"/>
      <c r="L935" s="339"/>
      <c r="M935" s="340"/>
      <c r="N935" s="340"/>
      <c r="O935" s="341"/>
    </row>
    <row r="936" spans="10:15" ht="15.75" customHeight="1" x14ac:dyDescent="0.3">
      <c r="J936" s="338"/>
      <c r="K936" s="338"/>
      <c r="L936" s="339"/>
      <c r="M936" s="340"/>
      <c r="N936" s="340"/>
      <c r="O936" s="341"/>
    </row>
    <row r="937" spans="10:15" ht="15.75" customHeight="1" x14ac:dyDescent="0.3">
      <c r="J937" s="338"/>
      <c r="K937" s="338"/>
      <c r="L937" s="339"/>
      <c r="M937" s="340"/>
      <c r="N937" s="340"/>
      <c r="O937" s="341"/>
    </row>
    <row r="938" spans="10:15" ht="15.75" customHeight="1" x14ac:dyDescent="0.3">
      <c r="J938" s="338"/>
      <c r="K938" s="338"/>
      <c r="L938" s="339"/>
      <c r="M938" s="340"/>
      <c r="N938" s="340"/>
      <c r="O938" s="341"/>
    </row>
    <row r="939" spans="10:15" ht="15.75" customHeight="1" x14ac:dyDescent="0.3">
      <c r="J939" s="338"/>
      <c r="K939" s="338"/>
      <c r="L939" s="339"/>
      <c r="M939" s="340"/>
      <c r="N939" s="340"/>
      <c r="O939" s="341"/>
    </row>
    <row r="940" spans="10:15" ht="15.75" customHeight="1" x14ac:dyDescent="0.3">
      <c r="J940" s="338"/>
      <c r="K940" s="338"/>
      <c r="L940" s="339"/>
      <c r="M940" s="340"/>
      <c r="N940" s="340"/>
      <c r="O940" s="341"/>
    </row>
    <row r="941" spans="10:15" ht="15.75" customHeight="1" x14ac:dyDescent="0.3">
      <c r="J941" s="338"/>
      <c r="K941" s="338"/>
      <c r="L941" s="339"/>
      <c r="M941" s="340"/>
      <c r="N941" s="340"/>
      <c r="O941" s="341"/>
    </row>
    <row r="942" spans="10:15" ht="15.75" customHeight="1" x14ac:dyDescent="0.3">
      <c r="J942" s="338"/>
      <c r="K942" s="338"/>
      <c r="L942" s="339"/>
      <c r="M942" s="340"/>
      <c r="N942" s="340"/>
      <c r="O942" s="341"/>
    </row>
    <row r="943" spans="10:15" ht="15.75" customHeight="1" x14ac:dyDescent="0.3">
      <c r="J943" s="338"/>
      <c r="K943" s="338"/>
      <c r="L943" s="339"/>
      <c r="M943" s="340"/>
      <c r="N943" s="340"/>
      <c r="O943" s="341"/>
    </row>
    <row r="944" spans="10:15" ht="15.75" customHeight="1" x14ac:dyDescent="0.3">
      <c r="J944" s="338"/>
      <c r="K944" s="338"/>
      <c r="L944" s="339"/>
      <c r="M944" s="340"/>
      <c r="N944" s="340"/>
      <c r="O944" s="341"/>
    </row>
    <row r="945" spans="10:15" ht="15.75" customHeight="1" x14ac:dyDescent="0.3">
      <c r="J945" s="338"/>
      <c r="K945" s="338"/>
      <c r="L945" s="339"/>
      <c r="M945" s="340"/>
      <c r="N945" s="340"/>
      <c r="O945" s="341"/>
    </row>
    <row r="946" spans="10:15" ht="15.75" customHeight="1" x14ac:dyDescent="0.3">
      <c r="J946" s="338"/>
      <c r="K946" s="338"/>
      <c r="L946" s="339"/>
      <c r="M946" s="340"/>
      <c r="N946" s="340"/>
      <c r="O946" s="341"/>
    </row>
    <row r="947" spans="10:15" ht="15.75" customHeight="1" x14ac:dyDescent="0.3">
      <c r="J947" s="338"/>
      <c r="K947" s="338"/>
      <c r="L947" s="339"/>
      <c r="M947" s="340"/>
      <c r="N947" s="340"/>
      <c r="O947" s="341"/>
    </row>
    <row r="948" spans="10:15" ht="15.75" customHeight="1" x14ac:dyDescent="0.3">
      <c r="J948" s="338"/>
      <c r="K948" s="338"/>
      <c r="L948" s="339"/>
      <c r="M948" s="340"/>
      <c r="N948" s="340"/>
      <c r="O948" s="341"/>
    </row>
    <row r="949" spans="10:15" ht="15.75" customHeight="1" x14ac:dyDescent="0.3">
      <c r="J949" s="338"/>
      <c r="K949" s="338"/>
      <c r="L949" s="339"/>
      <c r="M949" s="340"/>
      <c r="N949" s="340"/>
      <c r="O949" s="341"/>
    </row>
    <row r="950" spans="10:15" ht="15.75" customHeight="1" x14ac:dyDescent="0.3">
      <c r="J950" s="338"/>
      <c r="K950" s="338"/>
      <c r="L950" s="339"/>
      <c r="M950" s="340"/>
      <c r="N950" s="340"/>
      <c r="O950" s="341"/>
    </row>
    <row r="951" spans="10:15" ht="15.75" customHeight="1" x14ac:dyDescent="0.3">
      <c r="J951" s="338"/>
      <c r="K951" s="338"/>
      <c r="L951" s="339"/>
      <c r="M951" s="340"/>
      <c r="N951" s="340"/>
      <c r="O951" s="341"/>
    </row>
    <row r="952" spans="10:15" ht="15.75" customHeight="1" x14ac:dyDescent="0.3">
      <c r="J952" s="338"/>
      <c r="K952" s="338"/>
      <c r="L952" s="339"/>
      <c r="M952" s="340"/>
      <c r="N952" s="340"/>
      <c r="O952" s="341"/>
    </row>
    <row r="953" spans="10:15" ht="15.75" customHeight="1" x14ac:dyDescent="0.3">
      <c r="J953" s="338"/>
      <c r="K953" s="338"/>
      <c r="L953" s="339"/>
      <c r="M953" s="340"/>
      <c r="N953" s="340"/>
      <c r="O953" s="341"/>
    </row>
    <row r="954" spans="10:15" ht="15.75" customHeight="1" x14ac:dyDescent="0.3">
      <c r="J954" s="338"/>
      <c r="K954" s="338"/>
      <c r="L954" s="339"/>
      <c r="M954" s="340"/>
      <c r="N954" s="340"/>
      <c r="O954" s="341"/>
    </row>
    <row r="955" spans="10:15" ht="15.75" customHeight="1" x14ac:dyDescent="0.3">
      <c r="J955" s="338"/>
      <c r="K955" s="338"/>
      <c r="L955" s="339"/>
      <c r="M955" s="340"/>
      <c r="N955" s="340"/>
      <c r="O955" s="341"/>
    </row>
    <row r="956" spans="10:15" ht="15.75" customHeight="1" x14ac:dyDescent="0.3">
      <c r="J956" s="338"/>
      <c r="K956" s="338"/>
      <c r="L956" s="339"/>
      <c r="M956" s="340"/>
      <c r="N956" s="340"/>
      <c r="O956" s="341"/>
    </row>
    <row r="957" spans="10:15" ht="15.75" customHeight="1" x14ac:dyDescent="0.3">
      <c r="J957" s="338"/>
      <c r="K957" s="338"/>
      <c r="L957" s="339"/>
      <c r="M957" s="340"/>
      <c r="N957" s="340"/>
      <c r="O957" s="341"/>
    </row>
    <row r="958" spans="10:15" ht="15.75" customHeight="1" x14ac:dyDescent="0.3">
      <c r="J958" s="338"/>
      <c r="K958" s="338"/>
      <c r="L958" s="339"/>
      <c r="M958" s="340"/>
      <c r="N958" s="340"/>
      <c r="O958" s="341"/>
    </row>
    <row r="959" spans="10:15" ht="15.75" customHeight="1" x14ac:dyDescent="0.3">
      <c r="J959" s="338"/>
      <c r="K959" s="338"/>
      <c r="L959" s="339"/>
      <c r="M959" s="340"/>
      <c r="N959" s="340"/>
      <c r="O959" s="341"/>
    </row>
    <row r="960" spans="10:15" ht="15.75" customHeight="1" x14ac:dyDescent="0.3">
      <c r="J960" s="338"/>
      <c r="K960" s="338"/>
      <c r="L960" s="339"/>
      <c r="M960" s="340"/>
      <c r="N960" s="340"/>
      <c r="O960" s="341"/>
    </row>
    <row r="961" spans="10:15" ht="15.75" customHeight="1" x14ac:dyDescent="0.3">
      <c r="J961" s="338"/>
      <c r="K961" s="338"/>
      <c r="L961" s="339"/>
      <c r="M961" s="340"/>
      <c r="N961" s="340"/>
      <c r="O961" s="341"/>
    </row>
    <row r="962" spans="10:15" ht="15.75" customHeight="1" x14ac:dyDescent="0.3">
      <c r="J962" s="338"/>
      <c r="K962" s="338"/>
      <c r="L962" s="339"/>
      <c r="M962" s="340"/>
      <c r="N962" s="340"/>
      <c r="O962" s="341"/>
    </row>
    <row r="963" spans="10:15" ht="15.75" customHeight="1" x14ac:dyDescent="0.3">
      <c r="J963" s="338"/>
      <c r="K963" s="338"/>
      <c r="L963" s="339"/>
      <c r="M963" s="340"/>
      <c r="N963" s="340"/>
      <c r="O963" s="341"/>
    </row>
    <row r="964" spans="10:15" ht="15.75" customHeight="1" x14ac:dyDescent="0.3">
      <c r="J964" s="338"/>
      <c r="K964" s="338"/>
      <c r="L964" s="339"/>
      <c r="M964" s="340"/>
      <c r="N964" s="340"/>
      <c r="O964" s="341"/>
    </row>
    <row r="965" spans="10:15" ht="15.75" customHeight="1" x14ac:dyDescent="0.3">
      <c r="J965" s="338"/>
      <c r="K965" s="338"/>
      <c r="L965" s="339"/>
      <c r="M965" s="340"/>
      <c r="N965" s="340"/>
      <c r="O965" s="341"/>
    </row>
    <row r="966" spans="10:15" ht="15.75" customHeight="1" x14ac:dyDescent="0.3">
      <c r="J966" s="338"/>
      <c r="K966" s="338"/>
      <c r="L966" s="339"/>
      <c r="M966" s="340"/>
      <c r="N966" s="340"/>
      <c r="O966" s="341"/>
    </row>
    <row r="967" spans="10:15" ht="15.75" customHeight="1" x14ac:dyDescent="0.3">
      <c r="J967" s="338"/>
      <c r="K967" s="338"/>
      <c r="L967" s="339"/>
      <c r="M967" s="340"/>
      <c r="N967" s="340"/>
      <c r="O967" s="341"/>
    </row>
    <row r="968" spans="10:15" ht="15.75" customHeight="1" x14ac:dyDescent="0.3">
      <c r="J968" s="338"/>
      <c r="K968" s="338"/>
      <c r="L968" s="339"/>
      <c r="M968" s="340"/>
      <c r="N968" s="340"/>
      <c r="O968" s="341"/>
    </row>
    <row r="969" spans="10:15" ht="15.75" customHeight="1" x14ac:dyDescent="0.3">
      <c r="J969" s="338"/>
      <c r="K969" s="338"/>
      <c r="L969" s="339"/>
      <c r="M969" s="340"/>
      <c r="N969" s="340"/>
      <c r="O969" s="341"/>
    </row>
    <row r="970" spans="10:15" ht="15.75" customHeight="1" x14ac:dyDescent="0.3">
      <c r="J970" s="338"/>
      <c r="K970" s="338"/>
      <c r="L970" s="339"/>
      <c r="M970" s="340"/>
      <c r="N970" s="340"/>
      <c r="O970" s="341"/>
    </row>
    <row r="971" spans="10:15" ht="15.75" customHeight="1" x14ac:dyDescent="0.3">
      <c r="J971" s="338"/>
      <c r="K971" s="338"/>
      <c r="L971" s="339"/>
      <c r="M971" s="340"/>
      <c r="N971" s="340"/>
      <c r="O971" s="341"/>
    </row>
    <row r="972" spans="10:15" ht="15.75" customHeight="1" x14ac:dyDescent="0.3">
      <c r="J972" s="338"/>
      <c r="K972" s="338"/>
      <c r="L972" s="339"/>
      <c r="M972" s="340"/>
      <c r="N972" s="340"/>
      <c r="O972" s="341"/>
    </row>
    <row r="973" spans="10:15" ht="15.75" customHeight="1" x14ac:dyDescent="0.3">
      <c r="J973" s="338"/>
      <c r="K973" s="338"/>
      <c r="L973" s="339"/>
      <c r="M973" s="340"/>
      <c r="N973" s="340"/>
      <c r="O973" s="341"/>
    </row>
    <row r="974" spans="10:15" ht="15.75" customHeight="1" x14ac:dyDescent="0.3">
      <c r="J974" s="338"/>
      <c r="K974" s="338"/>
      <c r="L974" s="339"/>
      <c r="M974" s="340"/>
      <c r="N974" s="340"/>
      <c r="O974" s="341"/>
    </row>
    <row r="975" spans="10:15" ht="15.75" customHeight="1" x14ac:dyDescent="0.3">
      <c r="J975" s="338"/>
      <c r="K975" s="338"/>
      <c r="L975" s="339"/>
      <c r="M975" s="340"/>
      <c r="N975" s="340"/>
      <c r="O975" s="341"/>
    </row>
    <row r="976" spans="10:15" ht="15.75" customHeight="1" x14ac:dyDescent="0.3">
      <c r="J976" s="338"/>
      <c r="K976" s="338"/>
      <c r="L976" s="339"/>
      <c r="M976" s="340"/>
      <c r="N976" s="340"/>
      <c r="O976" s="341"/>
    </row>
    <row r="977" spans="10:15" ht="15.75" customHeight="1" x14ac:dyDescent="0.3">
      <c r="J977" s="338"/>
      <c r="K977" s="338"/>
      <c r="L977" s="339"/>
      <c r="M977" s="340"/>
      <c r="N977" s="340"/>
      <c r="O977" s="341"/>
    </row>
    <row r="978" spans="10:15" ht="15.75" customHeight="1" x14ac:dyDescent="0.3">
      <c r="J978" s="338"/>
      <c r="K978" s="338"/>
      <c r="L978" s="339"/>
      <c r="M978" s="340"/>
      <c r="N978" s="340"/>
      <c r="O978" s="341"/>
    </row>
    <row r="979" spans="10:15" ht="15.75" customHeight="1" x14ac:dyDescent="0.3">
      <c r="J979" s="338"/>
      <c r="K979" s="338"/>
      <c r="L979" s="339"/>
      <c r="M979" s="340"/>
      <c r="N979" s="340"/>
      <c r="O979" s="341"/>
    </row>
    <row r="980" spans="10:15" ht="15.75" customHeight="1" x14ac:dyDescent="0.3">
      <c r="J980" s="338"/>
      <c r="K980" s="338"/>
      <c r="L980" s="339"/>
      <c r="M980" s="340"/>
      <c r="N980" s="340"/>
      <c r="O980" s="341"/>
    </row>
    <row r="981" spans="10:15" ht="15.75" customHeight="1" x14ac:dyDescent="0.3">
      <c r="J981" s="338"/>
      <c r="K981" s="338"/>
      <c r="L981" s="339"/>
      <c r="M981" s="340"/>
      <c r="N981" s="340"/>
      <c r="O981" s="341"/>
    </row>
    <row r="982" spans="10:15" ht="15.75" customHeight="1" x14ac:dyDescent="0.3">
      <c r="J982" s="338"/>
      <c r="K982" s="338"/>
      <c r="L982" s="339"/>
      <c r="M982" s="340"/>
      <c r="N982" s="340"/>
      <c r="O982" s="341"/>
    </row>
    <row r="983" spans="10:15" ht="15.75" customHeight="1" x14ac:dyDescent="0.3">
      <c r="J983" s="338"/>
      <c r="K983" s="338"/>
      <c r="L983" s="339"/>
      <c r="M983" s="340"/>
      <c r="N983" s="340"/>
      <c r="O983" s="341"/>
    </row>
    <row r="984" spans="10:15" ht="15.75" customHeight="1" x14ac:dyDescent="0.3">
      <c r="J984" s="338"/>
      <c r="K984" s="338"/>
      <c r="L984" s="339"/>
      <c r="M984" s="340"/>
      <c r="N984" s="340"/>
      <c r="O984" s="341"/>
    </row>
    <row r="985" spans="10:15" ht="15.75" customHeight="1" x14ac:dyDescent="0.3">
      <c r="J985" s="338"/>
      <c r="K985" s="338"/>
      <c r="L985" s="339"/>
      <c r="M985" s="340"/>
      <c r="N985" s="340"/>
      <c r="O985" s="341"/>
    </row>
    <row r="986" spans="10:15" ht="15.75" customHeight="1" x14ac:dyDescent="0.3">
      <c r="J986" s="338"/>
      <c r="K986" s="338"/>
      <c r="L986" s="339"/>
      <c r="M986" s="340"/>
      <c r="N986" s="340"/>
      <c r="O986" s="341"/>
    </row>
    <row r="987" spans="10:15" ht="15.75" customHeight="1" x14ac:dyDescent="0.3">
      <c r="J987" s="338"/>
      <c r="K987" s="338"/>
      <c r="L987" s="339"/>
      <c r="M987" s="340"/>
      <c r="N987" s="340"/>
      <c r="O987" s="341"/>
    </row>
    <row r="988" spans="10:15" ht="15.75" customHeight="1" x14ac:dyDescent="0.3">
      <c r="J988" s="338"/>
      <c r="K988" s="338"/>
      <c r="L988" s="339"/>
      <c r="M988" s="340"/>
      <c r="N988" s="340"/>
      <c r="O988" s="341"/>
    </row>
    <row r="989" spans="10:15" ht="15.75" customHeight="1" x14ac:dyDescent="0.3">
      <c r="J989" s="338"/>
      <c r="K989" s="338"/>
      <c r="L989" s="339"/>
      <c r="M989" s="340"/>
      <c r="N989" s="340"/>
      <c r="O989" s="341"/>
    </row>
    <row r="990" spans="10:15" ht="15.75" customHeight="1" x14ac:dyDescent="0.3">
      <c r="J990" s="338"/>
      <c r="K990" s="338"/>
      <c r="L990" s="339"/>
      <c r="M990" s="340"/>
      <c r="N990" s="340"/>
      <c r="O990" s="341"/>
    </row>
    <row r="991" spans="10:15" ht="15.75" customHeight="1" x14ac:dyDescent="0.3">
      <c r="J991" s="338"/>
      <c r="K991" s="338"/>
      <c r="L991" s="339"/>
      <c r="M991" s="340"/>
      <c r="N991" s="340"/>
      <c r="O991" s="341"/>
    </row>
    <row r="992" spans="10:15" ht="15.75" customHeight="1" x14ac:dyDescent="0.3">
      <c r="J992" s="338"/>
      <c r="K992" s="338"/>
      <c r="L992" s="339"/>
      <c r="M992" s="340"/>
      <c r="N992" s="340"/>
      <c r="O992" s="341"/>
    </row>
    <row r="993" spans="10:15" ht="15.75" customHeight="1" x14ac:dyDescent="0.3">
      <c r="J993" s="338"/>
      <c r="K993" s="338"/>
      <c r="L993" s="339"/>
      <c r="M993" s="340"/>
      <c r="N993" s="340"/>
      <c r="O993" s="341"/>
    </row>
    <row r="994" spans="10:15" ht="15.75" customHeight="1" x14ac:dyDescent="0.3">
      <c r="J994" s="338"/>
      <c r="K994" s="338"/>
      <c r="L994" s="339"/>
      <c r="M994" s="340"/>
      <c r="N994" s="340"/>
      <c r="O994" s="341"/>
    </row>
    <row r="995" spans="10:15" ht="15.75" customHeight="1" x14ac:dyDescent="0.3">
      <c r="J995" s="338"/>
      <c r="K995" s="338"/>
      <c r="L995" s="339"/>
      <c r="M995" s="340"/>
      <c r="N995" s="340"/>
      <c r="O995" s="341"/>
    </row>
    <row r="996" spans="10:15" ht="15.75" customHeight="1" x14ac:dyDescent="0.3">
      <c r="J996" s="338"/>
      <c r="K996" s="338"/>
      <c r="L996" s="339"/>
      <c r="M996" s="340"/>
      <c r="N996" s="340"/>
      <c r="O996" s="341"/>
    </row>
    <row r="997" spans="10:15" ht="15.75" customHeight="1" x14ac:dyDescent="0.3">
      <c r="J997" s="338"/>
      <c r="K997" s="338"/>
      <c r="L997" s="339"/>
      <c r="M997" s="340"/>
      <c r="N997" s="340"/>
      <c r="O997" s="341"/>
    </row>
    <row r="998" spans="10:15" ht="15.75" customHeight="1" x14ac:dyDescent="0.3">
      <c r="J998" s="338"/>
      <c r="K998" s="338"/>
      <c r="L998" s="339"/>
      <c r="M998" s="340"/>
      <c r="N998" s="340"/>
      <c r="O998" s="341"/>
    </row>
    <row r="999" spans="10:15" ht="15.75" customHeight="1" x14ac:dyDescent="0.3">
      <c r="J999" s="338"/>
      <c r="K999" s="338"/>
      <c r="L999" s="339"/>
      <c r="M999" s="340"/>
      <c r="N999" s="340"/>
      <c r="O999" s="341"/>
    </row>
    <row r="1000" spans="10:15" ht="15.75" customHeight="1" x14ac:dyDescent="0.3">
      <c r="J1000" s="338"/>
      <c r="K1000" s="338"/>
      <c r="L1000" s="339"/>
      <c r="M1000" s="340"/>
      <c r="N1000" s="340"/>
      <c r="O1000" s="341"/>
    </row>
    <row r="1001" spans="10:15" ht="15.75" customHeight="1" x14ac:dyDescent="0.3">
      <c r="J1001" s="338"/>
      <c r="K1001" s="338"/>
      <c r="L1001" s="339"/>
      <c r="M1001" s="340"/>
      <c r="N1001" s="340"/>
      <c r="O1001" s="341"/>
    </row>
    <row r="1002" spans="10:15" ht="15.75" customHeight="1" x14ac:dyDescent="0.3">
      <c r="J1002" s="338"/>
      <c r="K1002" s="338"/>
      <c r="L1002" s="339"/>
      <c r="M1002" s="340"/>
      <c r="N1002" s="340"/>
      <c r="O1002" s="341"/>
    </row>
    <row r="1003" spans="10:15" ht="15.75" customHeight="1" x14ac:dyDescent="0.3">
      <c r="J1003" s="338"/>
      <c r="K1003" s="338"/>
      <c r="L1003" s="339"/>
      <c r="M1003" s="340"/>
      <c r="N1003" s="340"/>
      <c r="O1003" s="341"/>
    </row>
    <row r="1004" spans="10:15" ht="15.75" customHeight="1" x14ac:dyDescent="0.3">
      <c r="J1004" s="338"/>
      <c r="K1004" s="338"/>
      <c r="L1004" s="339"/>
      <c r="M1004" s="340"/>
      <c r="N1004" s="340"/>
      <c r="O1004" s="341"/>
    </row>
    <row r="1005" spans="10:15" ht="15.75" customHeight="1" x14ac:dyDescent="0.3">
      <c r="J1005" s="338"/>
      <c r="K1005" s="338"/>
      <c r="L1005" s="339"/>
      <c r="M1005" s="340"/>
      <c r="N1005" s="340"/>
      <c r="O1005" s="341"/>
    </row>
    <row r="1006" spans="10:15" ht="15.75" customHeight="1" x14ac:dyDescent="0.3">
      <c r="J1006" s="338"/>
      <c r="K1006" s="338"/>
      <c r="L1006" s="339"/>
      <c r="M1006" s="340"/>
      <c r="N1006" s="340"/>
      <c r="O1006" s="341"/>
    </row>
    <row r="1007" spans="10:15" ht="15.75" customHeight="1" x14ac:dyDescent="0.3">
      <c r="J1007" s="338"/>
      <c r="K1007" s="338"/>
      <c r="L1007" s="339"/>
      <c r="M1007" s="340"/>
      <c r="N1007" s="340"/>
      <c r="O1007" s="341"/>
    </row>
    <row r="1008" spans="10:15" ht="15.75" customHeight="1" x14ac:dyDescent="0.3">
      <c r="J1008" s="338"/>
      <c r="K1008" s="338"/>
      <c r="L1008" s="339"/>
      <c r="M1008" s="340"/>
      <c r="N1008" s="340"/>
      <c r="O1008" s="341"/>
    </row>
    <row r="1009" spans="10:15" ht="15.75" customHeight="1" x14ac:dyDescent="0.3">
      <c r="J1009" s="338"/>
      <c r="K1009" s="338"/>
      <c r="L1009" s="339"/>
      <c r="M1009" s="340"/>
      <c r="N1009" s="340"/>
      <c r="O1009" s="341"/>
    </row>
    <row r="1010" spans="10:15" ht="15.75" customHeight="1" x14ac:dyDescent="0.3">
      <c r="J1010" s="338"/>
      <c r="K1010" s="338"/>
      <c r="L1010" s="339"/>
      <c r="M1010" s="340"/>
      <c r="N1010" s="340"/>
      <c r="O1010" s="341"/>
    </row>
    <row r="1011" spans="10:15" ht="15.75" customHeight="1" x14ac:dyDescent="0.3">
      <c r="J1011" s="338"/>
      <c r="K1011" s="338"/>
      <c r="L1011" s="339"/>
      <c r="M1011" s="340"/>
      <c r="N1011" s="340"/>
      <c r="O1011" s="341"/>
    </row>
    <row r="1012" spans="10:15" ht="15.75" customHeight="1" x14ac:dyDescent="0.3">
      <c r="J1012" s="338"/>
      <c r="K1012" s="338"/>
      <c r="L1012" s="339"/>
      <c r="M1012" s="340"/>
      <c r="N1012" s="340"/>
      <c r="O1012" s="341"/>
    </row>
    <row r="1013" spans="10:15" ht="15.75" customHeight="1" x14ac:dyDescent="0.3">
      <c r="J1013" s="338"/>
      <c r="K1013" s="338"/>
      <c r="L1013" s="339"/>
      <c r="M1013" s="340"/>
      <c r="N1013" s="340"/>
      <c r="O1013" s="341"/>
    </row>
    <row r="1014" spans="10:15" ht="15.75" customHeight="1" x14ac:dyDescent="0.3">
      <c r="J1014" s="338"/>
      <c r="K1014" s="338"/>
      <c r="L1014" s="339"/>
      <c r="M1014" s="340"/>
      <c r="N1014" s="340"/>
      <c r="O1014" s="341"/>
    </row>
    <row r="1015" spans="10:15" ht="15.75" customHeight="1" x14ac:dyDescent="0.3">
      <c r="J1015" s="338"/>
      <c r="K1015" s="338"/>
      <c r="L1015" s="339"/>
      <c r="M1015" s="340"/>
      <c r="N1015" s="340"/>
      <c r="O1015" s="341"/>
    </row>
    <row r="1016" spans="10:15" ht="15.75" customHeight="1" x14ac:dyDescent="0.3">
      <c r="J1016" s="338"/>
      <c r="K1016" s="338"/>
      <c r="L1016" s="339"/>
      <c r="M1016" s="340"/>
      <c r="N1016" s="340"/>
      <c r="O1016" s="341"/>
    </row>
    <row r="1017" spans="10:15" ht="15.75" customHeight="1" x14ac:dyDescent="0.3">
      <c r="J1017" s="338"/>
      <c r="K1017" s="338"/>
      <c r="L1017" s="339"/>
      <c r="M1017" s="340"/>
      <c r="N1017" s="340"/>
      <c r="O1017" s="341"/>
    </row>
    <row r="1018" spans="10:15" ht="15.75" customHeight="1" x14ac:dyDescent="0.3">
      <c r="J1018" s="338"/>
      <c r="K1018" s="338"/>
      <c r="L1018" s="339"/>
      <c r="M1018" s="340"/>
      <c r="N1018" s="340"/>
      <c r="O1018" s="341"/>
    </row>
    <row r="1019" spans="10:15" ht="15.75" customHeight="1" x14ac:dyDescent="0.3">
      <c r="J1019" s="338"/>
      <c r="K1019" s="338"/>
      <c r="L1019" s="339"/>
      <c r="M1019" s="340"/>
      <c r="N1019" s="340"/>
      <c r="O1019" s="341"/>
    </row>
    <row r="1020" spans="10:15" ht="15.75" customHeight="1" x14ac:dyDescent="0.3">
      <c r="J1020" s="338"/>
      <c r="K1020" s="338"/>
      <c r="L1020" s="339"/>
      <c r="M1020" s="340"/>
      <c r="N1020" s="340"/>
      <c r="O1020" s="341"/>
    </row>
    <row r="1021" spans="10:15" ht="15.75" customHeight="1" x14ac:dyDescent="0.3">
      <c r="J1021" s="338"/>
      <c r="K1021" s="338"/>
      <c r="L1021" s="339"/>
      <c r="M1021" s="340"/>
      <c r="N1021" s="340"/>
      <c r="O1021" s="341"/>
    </row>
    <row r="1022" spans="10:15" ht="15.75" customHeight="1" x14ac:dyDescent="0.3">
      <c r="J1022" s="338"/>
      <c r="K1022" s="338"/>
      <c r="L1022" s="339"/>
      <c r="M1022" s="340"/>
      <c r="N1022" s="340"/>
      <c r="O1022" s="341"/>
    </row>
    <row r="1023" spans="10:15" ht="15.75" customHeight="1" x14ac:dyDescent="0.3">
      <c r="J1023" s="338"/>
      <c r="K1023" s="338"/>
      <c r="L1023" s="339"/>
      <c r="M1023" s="340"/>
      <c r="N1023" s="340"/>
      <c r="O1023" s="341"/>
    </row>
    <row r="1024" spans="10:15" ht="15.75" customHeight="1" x14ac:dyDescent="0.3">
      <c r="J1024" s="338"/>
      <c r="K1024" s="338"/>
      <c r="L1024" s="339"/>
      <c r="M1024" s="340"/>
      <c r="N1024" s="340"/>
      <c r="O1024" s="341"/>
    </row>
  </sheetData>
  <mergeCells count="2">
    <mergeCell ref="H2:I2"/>
    <mergeCell ref="D3:F3"/>
  </mergeCells>
  <printOptions horizontalCentered="1"/>
  <pageMargins left="0.51181102362204722" right="0.31496062992125984" top="0.35433070866141736" bottom="0.3543307086614173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4548-C8C3-4715-8EAD-9A9E992CFAB4}">
  <sheetPr>
    <tabColor rgb="FFF4B083"/>
    <pageSetUpPr fitToPage="1"/>
  </sheetPr>
  <dimension ref="A1:L1045"/>
  <sheetViews>
    <sheetView workbookViewId="0">
      <pane xSplit="2" ySplit="5" topLeftCell="C6" activePane="bottomRight" state="frozen"/>
      <selection pane="topRight" activeCell="H1" sqref="H1"/>
      <selection pane="bottomLeft" activeCell="A17" sqref="A17"/>
      <selection pane="bottomRight" activeCell="C14" sqref="C14"/>
    </sheetView>
  </sheetViews>
  <sheetFormatPr defaultColWidth="17.19921875" defaultRowHeight="15" customHeight="1" x14ac:dyDescent="0.3"/>
  <cols>
    <col min="1" max="1" width="8.19921875" style="118" customWidth="1"/>
    <col min="2" max="2" width="33.8984375" style="121" customWidth="1"/>
    <col min="3" max="3" width="13.19921875" style="342" customWidth="1"/>
    <col min="4" max="4" width="15.5" style="342" customWidth="1"/>
    <col min="5" max="5" width="14.69921875" style="342" customWidth="1"/>
    <col min="6" max="6" width="12.8984375" style="119" customWidth="1"/>
    <col min="7" max="7" width="15.59765625" style="119" customWidth="1"/>
    <col min="8" max="8" width="14.3984375" style="119" customWidth="1"/>
    <col min="9" max="16384" width="17.19921875" style="121"/>
  </cols>
  <sheetData>
    <row r="1" spans="1:11" ht="43.2" customHeight="1" x14ac:dyDescent="0.3">
      <c r="B1" s="372" t="s">
        <v>77</v>
      </c>
      <c r="C1" s="372"/>
      <c r="D1" s="372"/>
      <c r="E1" s="372"/>
      <c r="F1" s="373"/>
      <c r="H1" s="120">
        <f ca="1">TODAY()</f>
        <v>46143</v>
      </c>
    </row>
    <row r="2" spans="1:11" ht="15.6" x14ac:dyDescent="0.3">
      <c r="B2" s="122"/>
      <c r="C2" s="381" t="s">
        <v>111</v>
      </c>
      <c r="D2" s="382"/>
      <c r="E2" s="123">
        <f>+E66</f>
        <v>1500</v>
      </c>
      <c r="F2" s="381" t="s">
        <v>78</v>
      </c>
      <c r="G2" s="382"/>
      <c r="H2" s="123">
        <f>+F66-G66</f>
        <v>6408</v>
      </c>
    </row>
    <row r="3" spans="1:11" ht="14.4" x14ac:dyDescent="0.3">
      <c r="H3" s="123"/>
    </row>
    <row r="4" spans="1:11" ht="14.4" x14ac:dyDescent="0.3">
      <c r="A4" s="124"/>
      <c r="B4" s="125"/>
      <c r="C4" s="378" t="s">
        <v>110</v>
      </c>
      <c r="D4" s="379"/>
      <c r="E4" s="380"/>
      <c r="F4" s="374" t="s">
        <v>79</v>
      </c>
      <c r="G4" s="375"/>
      <c r="H4" s="376"/>
    </row>
    <row r="5" spans="1:11" ht="20.100000000000001" customHeight="1" x14ac:dyDescent="0.3">
      <c r="A5" s="118" t="s">
        <v>17</v>
      </c>
      <c r="B5" s="126" t="s">
        <v>18</v>
      </c>
      <c r="C5" s="343" t="s">
        <v>20</v>
      </c>
      <c r="D5" s="343" t="s">
        <v>19</v>
      </c>
      <c r="E5" s="344" t="s">
        <v>21</v>
      </c>
      <c r="F5" s="127" t="s">
        <v>20</v>
      </c>
      <c r="G5" s="127" t="s">
        <v>19</v>
      </c>
      <c r="H5" s="128" t="s">
        <v>21</v>
      </c>
    </row>
    <row r="6" spans="1:11" ht="31.5" customHeight="1" x14ac:dyDescent="0.3">
      <c r="A6" s="129">
        <v>45965</v>
      </c>
      <c r="B6" s="126" t="s">
        <v>80</v>
      </c>
      <c r="C6" s="345"/>
      <c r="D6" s="345"/>
      <c r="E6" s="345">
        <f>+C6-D6</f>
        <v>0</v>
      </c>
      <c r="F6" s="127">
        <v>58960</v>
      </c>
      <c r="G6" s="127">
        <v>0</v>
      </c>
      <c r="H6" s="128">
        <f>+F6-G6</f>
        <v>58960</v>
      </c>
    </row>
    <row r="7" spans="1:11" ht="14.4" x14ac:dyDescent="0.3">
      <c r="A7" s="129">
        <v>45985</v>
      </c>
      <c r="B7" s="126" t="s">
        <v>81</v>
      </c>
      <c r="C7" s="345"/>
      <c r="D7" s="345"/>
      <c r="E7" s="345">
        <f t="shared" ref="E7:E14" si="0">+C7-D7</f>
        <v>0</v>
      </c>
      <c r="F7" s="130"/>
      <c r="G7" s="130">
        <v>71168</v>
      </c>
      <c r="H7" s="131">
        <f t="shared" ref="H7:H13" si="1">H6-G7+F7</f>
        <v>-12208</v>
      </c>
    </row>
    <row r="8" spans="1:11" ht="14.4" x14ac:dyDescent="0.3">
      <c r="A8" s="129">
        <v>45991</v>
      </c>
      <c r="B8" s="126" t="s">
        <v>82</v>
      </c>
      <c r="C8" s="345"/>
      <c r="D8" s="345"/>
      <c r="E8" s="345">
        <f t="shared" si="0"/>
        <v>0</v>
      </c>
      <c r="F8" s="130">
        <v>42600</v>
      </c>
      <c r="G8" s="130"/>
      <c r="H8" s="131">
        <f t="shared" si="1"/>
        <v>30392</v>
      </c>
    </row>
    <row r="9" spans="1:11" ht="14.4" x14ac:dyDescent="0.3">
      <c r="A9" s="129">
        <v>46007</v>
      </c>
      <c r="B9" s="126" t="s">
        <v>83</v>
      </c>
      <c r="C9" s="345"/>
      <c r="D9" s="345"/>
      <c r="E9" s="345">
        <f t="shared" si="0"/>
        <v>0</v>
      </c>
      <c r="F9" s="130">
        <f>960*70</f>
        <v>67200</v>
      </c>
      <c r="G9" s="130"/>
      <c r="H9" s="131">
        <f t="shared" si="1"/>
        <v>97592</v>
      </c>
      <c r="I9" s="132">
        <f>+G9/800</f>
        <v>0</v>
      </c>
    </row>
    <row r="10" spans="1:11" ht="14.4" x14ac:dyDescent="0.3">
      <c r="A10" s="129">
        <v>46377</v>
      </c>
      <c r="B10" s="126" t="s">
        <v>84</v>
      </c>
      <c r="C10" s="345"/>
      <c r="D10" s="345"/>
      <c r="E10" s="345">
        <f t="shared" si="0"/>
        <v>0</v>
      </c>
      <c r="F10" s="130"/>
      <c r="G10" s="130">
        <v>88960</v>
      </c>
      <c r="H10" s="131">
        <f t="shared" si="1"/>
        <v>8632</v>
      </c>
    </row>
    <row r="11" spans="1:11" ht="14.4" x14ac:dyDescent="0.3">
      <c r="A11" s="129">
        <v>46030</v>
      </c>
      <c r="B11" s="126" t="s">
        <v>85</v>
      </c>
      <c r="C11" s="345"/>
      <c r="D11" s="345"/>
      <c r="E11" s="345">
        <f t="shared" si="0"/>
        <v>0</v>
      </c>
      <c r="F11" s="130">
        <v>88960</v>
      </c>
      <c r="G11" s="130"/>
      <c r="H11" s="131">
        <f t="shared" si="1"/>
        <v>97592</v>
      </c>
      <c r="I11" s="133" t="s">
        <v>86</v>
      </c>
    </row>
    <row r="12" spans="1:11" ht="14.4" x14ac:dyDescent="0.3">
      <c r="A12" s="129">
        <v>46108</v>
      </c>
      <c r="B12" s="126" t="s">
        <v>87</v>
      </c>
      <c r="C12" s="345"/>
      <c r="D12" s="345"/>
      <c r="E12" s="345">
        <f t="shared" si="0"/>
        <v>0</v>
      </c>
      <c r="F12" s="130"/>
      <c r="G12" s="130">
        <f>625*88.96</f>
        <v>55599.999999999993</v>
      </c>
      <c r="H12" s="131">
        <f t="shared" si="1"/>
        <v>41992.000000000007</v>
      </c>
    </row>
    <row r="13" spans="1:11" ht="14.4" x14ac:dyDescent="0.3">
      <c r="A13" s="129">
        <v>46129</v>
      </c>
      <c r="B13" s="126" t="s">
        <v>88</v>
      </c>
      <c r="C13" s="345"/>
      <c r="D13" s="345"/>
      <c r="E13" s="345">
        <f t="shared" si="0"/>
        <v>0</v>
      </c>
      <c r="F13" s="130"/>
      <c r="G13" s="130">
        <f>400*88.96</f>
        <v>35584</v>
      </c>
      <c r="H13" s="131">
        <f t="shared" si="1"/>
        <v>6408.0000000000073</v>
      </c>
      <c r="I13" s="134" t="s">
        <v>115</v>
      </c>
    </row>
    <row r="14" spans="1:11" ht="14.4" x14ac:dyDescent="0.3">
      <c r="A14" s="129">
        <v>46133</v>
      </c>
      <c r="B14" s="126" t="s">
        <v>109</v>
      </c>
      <c r="C14" s="345">
        <v>1500</v>
      </c>
      <c r="D14" s="345"/>
      <c r="E14" s="345">
        <f t="shared" si="0"/>
        <v>1500</v>
      </c>
      <c r="F14" s="130"/>
      <c r="G14" s="130"/>
      <c r="H14" s="131"/>
    </row>
    <row r="15" spans="1:11" ht="15.6" x14ac:dyDescent="0.3">
      <c r="A15" s="129"/>
      <c r="B15" s="135"/>
      <c r="C15" s="346"/>
      <c r="D15" s="346"/>
      <c r="E15" s="346"/>
      <c r="F15" s="130"/>
      <c r="G15" s="130"/>
      <c r="H15" s="131"/>
      <c r="I15" s="136"/>
      <c r="J15" s="137"/>
      <c r="K15" s="138"/>
    </row>
    <row r="16" spans="1:11" ht="14.4" x14ac:dyDescent="0.3">
      <c r="A16" s="129"/>
      <c r="B16" s="139"/>
      <c r="C16" s="345"/>
      <c r="D16" s="345"/>
      <c r="E16" s="345"/>
      <c r="F16" s="130"/>
      <c r="G16" s="130"/>
      <c r="H16" s="131"/>
    </row>
    <row r="17" spans="1:12" ht="14.4" x14ac:dyDescent="0.3">
      <c r="A17" s="129"/>
      <c r="B17" s="140"/>
      <c r="C17" s="347"/>
      <c r="D17" s="347"/>
      <c r="E17" s="347"/>
      <c r="F17" s="130"/>
      <c r="G17" s="130"/>
      <c r="H17" s="131"/>
    </row>
    <row r="18" spans="1:12" ht="15.75" customHeight="1" x14ac:dyDescent="0.35">
      <c r="A18" s="129"/>
      <c r="B18" s="140"/>
      <c r="C18" s="347"/>
      <c r="D18" s="347"/>
      <c r="E18" s="347"/>
      <c r="F18" s="130"/>
      <c r="G18" s="130"/>
      <c r="H18" s="131"/>
      <c r="I18" s="141"/>
      <c r="J18" s="142"/>
      <c r="K18" s="143"/>
      <c r="L18" s="142"/>
    </row>
    <row r="19" spans="1:12" ht="14.4" x14ac:dyDescent="0.3">
      <c r="A19" s="129"/>
      <c r="B19" s="140"/>
      <c r="C19" s="347"/>
      <c r="D19" s="347"/>
      <c r="E19" s="347"/>
      <c r="F19" s="130"/>
      <c r="G19" s="130"/>
      <c r="H19" s="131"/>
      <c r="I19" s="144"/>
      <c r="J19" s="377"/>
      <c r="K19" s="377"/>
      <c r="L19" s="145"/>
    </row>
    <row r="20" spans="1:12" ht="14.4" x14ac:dyDescent="0.3">
      <c r="A20" s="129"/>
      <c r="B20" s="140"/>
      <c r="C20" s="347"/>
      <c r="D20" s="347"/>
      <c r="E20" s="347"/>
      <c r="F20" s="130"/>
      <c r="G20" s="130"/>
      <c r="H20" s="131"/>
      <c r="I20" s="144"/>
      <c r="J20" s="142"/>
      <c r="K20" s="142"/>
      <c r="L20" s="146"/>
    </row>
    <row r="21" spans="1:12" ht="14.4" x14ac:dyDescent="0.3">
      <c r="A21" s="129"/>
      <c r="B21" s="140"/>
      <c r="C21" s="347"/>
      <c r="D21" s="347"/>
      <c r="E21" s="347"/>
      <c r="F21" s="130"/>
      <c r="G21" s="130"/>
      <c r="H21" s="131"/>
      <c r="I21" s="144"/>
      <c r="J21" s="142"/>
      <c r="K21" s="142"/>
      <c r="L21" s="142"/>
    </row>
    <row r="22" spans="1:12" ht="14.4" x14ac:dyDescent="0.3">
      <c r="A22" s="129"/>
      <c r="B22" s="140"/>
      <c r="C22" s="347"/>
      <c r="D22" s="347"/>
      <c r="E22" s="347"/>
      <c r="F22" s="130"/>
      <c r="G22" s="130"/>
      <c r="H22" s="131"/>
      <c r="I22" s="147"/>
      <c r="J22" s="142"/>
      <c r="K22" s="143"/>
      <c r="L22" s="142"/>
    </row>
    <row r="23" spans="1:12" ht="15.75" customHeight="1" x14ac:dyDescent="0.3">
      <c r="A23" s="129"/>
      <c r="B23" s="140"/>
      <c r="C23" s="347"/>
      <c r="D23" s="347"/>
      <c r="E23" s="347"/>
      <c r="F23" s="130"/>
      <c r="G23" s="130"/>
      <c r="H23" s="131"/>
      <c r="I23" s="144"/>
      <c r="J23" s="142"/>
      <c r="K23" s="143"/>
      <c r="L23" s="142"/>
    </row>
    <row r="24" spans="1:12" ht="15.75" customHeight="1" x14ac:dyDescent="0.3">
      <c r="A24" s="129"/>
      <c r="B24" s="126"/>
      <c r="C24" s="345"/>
      <c r="D24" s="345"/>
      <c r="E24" s="345"/>
      <c r="F24" s="130"/>
      <c r="G24" s="130"/>
      <c r="H24" s="131"/>
      <c r="J24" s="142"/>
      <c r="K24" s="143"/>
      <c r="L24" s="142"/>
    </row>
    <row r="25" spans="1:12" ht="15.75" customHeight="1" x14ac:dyDescent="0.3">
      <c r="A25" s="129"/>
      <c r="B25" s="126"/>
      <c r="C25" s="345"/>
      <c r="D25" s="345"/>
      <c r="E25" s="345"/>
      <c r="F25" s="130"/>
      <c r="G25" s="130"/>
      <c r="H25" s="131"/>
      <c r="J25" s="142"/>
      <c r="K25" s="143"/>
      <c r="L25" s="142"/>
    </row>
    <row r="26" spans="1:12" ht="15.75" customHeight="1" x14ac:dyDescent="0.3">
      <c r="A26" s="129"/>
      <c r="B26" s="126"/>
      <c r="C26" s="345"/>
      <c r="D26" s="345"/>
      <c r="E26" s="345"/>
      <c r="F26" s="130"/>
      <c r="G26" s="130"/>
      <c r="H26" s="131"/>
      <c r="J26" s="142"/>
      <c r="K26" s="143"/>
      <c r="L26" s="142"/>
    </row>
    <row r="27" spans="1:12" ht="15.75" customHeight="1" x14ac:dyDescent="0.3">
      <c r="A27" s="129"/>
      <c r="B27" s="140"/>
      <c r="C27" s="347"/>
      <c r="D27" s="347"/>
      <c r="E27" s="347"/>
      <c r="F27" s="130"/>
      <c r="G27" s="130"/>
      <c r="H27" s="131"/>
      <c r="J27" s="142"/>
      <c r="K27" s="143"/>
      <c r="L27" s="142"/>
    </row>
    <row r="28" spans="1:12" ht="15.75" customHeight="1" x14ac:dyDescent="0.3">
      <c r="A28" s="129"/>
      <c r="B28" s="140"/>
      <c r="C28" s="347"/>
      <c r="D28" s="347"/>
      <c r="E28" s="347"/>
      <c r="F28" s="130"/>
      <c r="G28" s="130"/>
      <c r="H28" s="131"/>
      <c r="J28" s="148"/>
      <c r="K28" s="149"/>
      <c r="L28" s="142"/>
    </row>
    <row r="29" spans="1:12" ht="15.75" customHeight="1" x14ac:dyDescent="0.3">
      <c r="A29" s="129"/>
      <c r="B29" s="140"/>
      <c r="C29" s="347"/>
      <c r="D29" s="347"/>
      <c r="E29" s="347"/>
      <c r="F29" s="130"/>
      <c r="G29" s="130"/>
      <c r="H29" s="131"/>
      <c r="K29" s="150"/>
    </row>
    <row r="30" spans="1:12" ht="15.75" customHeight="1" x14ac:dyDescent="0.3">
      <c r="A30" s="129"/>
      <c r="B30" s="126"/>
      <c r="C30" s="345"/>
      <c r="D30" s="345"/>
      <c r="E30" s="345"/>
      <c r="F30" s="130"/>
      <c r="G30" s="130"/>
      <c r="H30" s="131"/>
      <c r="K30" s="150"/>
    </row>
    <row r="31" spans="1:12" ht="15.75" customHeight="1" x14ac:dyDescent="0.3">
      <c r="A31" s="129"/>
      <c r="B31" s="126"/>
      <c r="C31" s="345"/>
      <c r="D31" s="345"/>
      <c r="E31" s="345"/>
      <c r="F31" s="130"/>
      <c r="G31" s="130"/>
      <c r="H31" s="131"/>
      <c r="K31" s="150"/>
    </row>
    <row r="32" spans="1:12" ht="15.75" customHeight="1" x14ac:dyDescent="0.3">
      <c r="A32" s="129"/>
      <c r="B32" s="140"/>
      <c r="C32" s="348"/>
      <c r="D32" s="348"/>
      <c r="E32" s="348"/>
      <c r="F32" s="151"/>
      <c r="G32" s="151"/>
      <c r="H32" s="152"/>
      <c r="K32" s="150"/>
    </row>
    <row r="33" spans="1:11" ht="15.75" customHeight="1" x14ac:dyDescent="0.3">
      <c r="A33" s="129"/>
      <c r="B33" s="126"/>
      <c r="C33" s="345"/>
      <c r="D33" s="345"/>
      <c r="E33" s="345"/>
      <c r="F33" s="130"/>
      <c r="G33" s="153"/>
      <c r="H33" s="152"/>
      <c r="I33" s="134"/>
      <c r="K33" s="150"/>
    </row>
    <row r="34" spans="1:11" ht="15.75" customHeight="1" x14ac:dyDescent="0.3">
      <c r="A34" s="129"/>
      <c r="B34" s="126"/>
      <c r="C34" s="349"/>
      <c r="D34" s="349"/>
      <c r="E34" s="349"/>
      <c r="F34" s="154"/>
      <c r="G34" s="154"/>
      <c r="H34" s="152"/>
      <c r="K34" s="150"/>
    </row>
    <row r="35" spans="1:11" ht="15.75" customHeight="1" x14ac:dyDescent="0.3">
      <c r="A35" s="129"/>
      <c r="B35" s="126"/>
      <c r="C35" s="349"/>
      <c r="D35" s="349"/>
      <c r="E35" s="349"/>
      <c r="F35" s="154"/>
      <c r="G35" s="154"/>
      <c r="H35" s="152"/>
      <c r="K35" s="150"/>
    </row>
    <row r="36" spans="1:11" ht="15.75" customHeight="1" x14ac:dyDescent="0.3">
      <c r="A36" s="129"/>
      <c r="B36" s="126"/>
      <c r="C36" s="349"/>
      <c r="D36" s="349"/>
      <c r="E36" s="349"/>
      <c r="F36" s="154"/>
      <c r="G36" s="154"/>
      <c r="H36" s="152"/>
      <c r="K36" s="150"/>
    </row>
    <row r="37" spans="1:11" ht="15.75" customHeight="1" x14ac:dyDescent="0.3">
      <c r="A37" s="129"/>
      <c r="B37" s="126"/>
      <c r="C37" s="349"/>
      <c r="D37" s="349"/>
      <c r="E37" s="349"/>
      <c r="F37" s="154"/>
      <c r="G37" s="154"/>
      <c r="H37" s="152"/>
      <c r="K37" s="150"/>
    </row>
    <row r="38" spans="1:11" ht="15.75" customHeight="1" x14ac:dyDescent="0.3">
      <c r="A38" s="129"/>
      <c r="B38" s="126"/>
      <c r="C38" s="349"/>
      <c r="D38" s="349"/>
      <c r="E38" s="349"/>
      <c r="F38" s="154"/>
      <c r="G38" s="154"/>
      <c r="H38" s="152"/>
      <c r="K38" s="150"/>
    </row>
    <row r="39" spans="1:11" ht="15.75" customHeight="1" x14ac:dyDescent="0.3">
      <c r="A39" s="129"/>
      <c r="B39" s="126"/>
      <c r="C39" s="349"/>
      <c r="D39" s="349"/>
      <c r="E39" s="349"/>
      <c r="F39" s="154"/>
      <c r="G39" s="154"/>
      <c r="H39" s="152"/>
      <c r="K39" s="150"/>
    </row>
    <row r="40" spans="1:11" ht="15.75" customHeight="1" x14ac:dyDescent="0.3">
      <c r="A40" s="129"/>
      <c r="B40" s="126"/>
      <c r="C40" s="349"/>
      <c r="D40" s="349"/>
      <c r="E40" s="349"/>
      <c r="F40" s="154"/>
      <c r="G40" s="154"/>
      <c r="H40" s="152"/>
      <c r="K40" s="150"/>
    </row>
    <row r="41" spans="1:11" ht="15.75" customHeight="1" x14ac:dyDescent="0.3">
      <c r="A41" s="129"/>
      <c r="B41" s="126"/>
      <c r="C41" s="349"/>
      <c r="D41" s="349"/>
      <c r="E41" s="349"/>
      <c r="F41" s="154"/>
      <c r="G41" s="154"/>
      <c r="H41" s="152"/>
      <c r="K41" s="150"/>
    </row>
    <row r="42" spans="1:11" ht="15.75" customHeight="1" x14ac:dyDescent="0.3">
      <c r="A42" s="129"/>
      <c r="B42" s="126"/>
      <c r="C42" s="349"/>
      <c r="D42" s="349"/>
      <c r="E42" s="349"/>
      <c r="F42" s="154"/>
      <c r="G42" s="154"/>
      <c r="H42" s="152"/>
      <c r="K42" s="150"/>
    </row>
    <row r="43" spans="1:11" ht="15.75" customHeight="1" x14ac:dyDescent="0.3">
      <c r="A43" s="129"/>
      <c r="B43" s="126"/>
      <c r="C43" s="349"/>
      <c r="D43" s="349"/>
      <c r="E43" s="349"/>
      <c r="F43" s="154"/>
      <c r="G43" s="154"/>
      <c r="H43" s="152"/>
      <c r="I43" s="155"/>
      <c r="K43" s="150"/>
    </row>
    <row r="44" spans="1:11" ht="15.75" customHeight="1" x14ac:dyDescent="0.3">
      <c r="A44" s="129"/>
      <c r="B44" s="126"/>
      <c r="C44" s="349"/>
      <c r="D44" s="349"/>
      <c r="E44" s="349"/>
      <c r="F44" s="154"/>
      <c r="G44" s="154"/>
      <c r="H44" s="152"/>
      <c r="I44" s="155"/>
      <c r="K44" s="150"/>
    </row>
    <row r="45" spans="1:11" ht="15.75" customHeight="1" x14ac:dyDescent="0.3">
      <c r="A45" s="129"/>
      <c r="B45" s="126"/>
      <c r="C45" s="349"/>
      <c r="D45" s="349"/>
      <c r="E45" s="349"/>
      <c r="F45" s="154"/>
      <c r="G45" s="154"/>
      <c r="H45" s="152"/>
      <c r="I45" s="156"/>
      <c r="K45" s="150"/>
    </row>
    <row r="46" spans="1:11" ht="15.75" customHeight="1" x14ac:dyDescent="0.3">
      <c r="A46" s="129"/>
      <c r="B46" s="126"/>
      <c r="C46" s="349"/>
      <c r="D46" s="349"/>
      <c r="E46" s="349"/>
      <c r="F46" s="154"/>
      <c r="G46" s="154"/>
      <c r="H46" s="152"/>
      <c r="K46" s="150"/>
    </row>
    <row r="47" spans="1:11" ht="15.75" customHeight="1" x14ac:dyDescent="0.3">
      <c r="A47" s="129"/>
      <c r="B47" s="126"/>
      <c r="C47" s="349"/>
      <c r="D47" s="349"/>
      <c r="E47" s="349"/>
      <c r="F47" s="154"/>
      <c r="G47" s="154"/>
      <c r="H47" s="152"/>
      <c r="K47" s="150"/>
    </row>
    <row r="48" spans="1:11" ht="15.75" customHeight="1" x14ac:dyDescent="0.3">
      <c r="A48" s="129"/>
      <c r="B48" s="126"/>
      <c r="C48" s="349"/>
      <c r="D48" s="349"/>
      <c r="E48" s="349"/>
      <c r="F48" s="154"/>
      <c r="G48" s="154"/>
      <c r="H48" s="152"/>
      <c r="K48" s="150"/>
    </row>
    <row r="49" spans="1:11" ht="15.75" customHeight="1" x14ac:dyDescent="0.3">
      <c r="A49" s="129"/>
      <c r="B49" s="126"/>
      <c r="C49" s="349"/>
      <c r="D49" s="349"/>
      <c r="E49" s="349"/>
      <c r="F49" s="154"/>
      <c r="G49" s="154"/>
      <c r="H49" s="152"/>
      <c r="I49" s="155"/>
      <c r="K49" s="150"/>
    </row>
    <row r="50" spans="1:11" ht="15.75" customHeight="1" x14ac:dyDescent="0.3">
      <c r="A50" s="129"/>
      <c r="B50" s="126"/>
      <c r="C50" s="349"/>
      <c r="D50" s="349"/>
      <c r="E50" s="349"/>
      <c r="F50" s="154"/>
      <c r="G50" s="154"/>
      <c r="H50" s="152"/>
      <c r="I50" s="155"/>
      <c r="K50" s="150"/>
    </row>
    <row r="51" spans="1:11" ht="15.75" customHeight="1" x14ac:dyDescent="0.3">
      <c r="A51" s="129"/>
      <c r="B51" s="126"/>
      <c r="C51" s="349"/>
      <c r="D51" s="349"/>
      <c r="E51" s="349"/>
      <c r="F51" s="154"/>
      <c r="G51" s="154"/>
      <c r="H51" s="152"/>
      <c r="I51" s="156"/>
      <c r="K51" s="150"/>
    </row>
    <row r="52" spans="1:11" ht="15.75" customHeight="1" x14ac:dyDescent="0.3">
      <c r="A52" s="129"/>
      <c r="B52" s="126"/>
      <c r="C52" s="349"/>
      <c r="D52" s="349"/>
      <c r="E52" s="349"/>
      <c r="F52" s="154"/>
      <c r="G52" s="154"/>
      <c r="H52" s="152"/>
      <c r="K52" s="150"/>
    </row>
    <row r="53" spans="1:11" ht="15.75" customHeight="1" x14ac:dyDescent="0.3">
      <c r="A53" s="129"/>
      <c r="B53" s="126"/>
      <c r="C53" s="349"/>
      <c r="D53" s="349"/>
      <c r="E53" s="349"/>
      <c r="F53" s="154"/>
      <c r="G53" s="154"/>
      <c r="H53" s="152"/>
      <c r="K53" s="150"/>
    </row>
    <row r="54" spans="1:11" ht="15.75" customHeight="1" x14ac:dyDescent="0.3">
      <c r="A54" s="129"/>
      <c r="B54" s="126"/>
      <c r="C54" s="349"/>
      <c r="D54" s="349"/>
      <c r="E54" s="349"/>
      <c r="F54" s="154"/>
      <c r="G54" s="154"/>
      <c r="H54" s="152"/>
      <c r="K54" s="150"/>
    </row>
    <row r="55" spans="1:11" ht="15.75" customHeight="1" x14ac:dyDescent="0.3">
      <c r="A55" s="129"/>
      <c r="B55" s="126"/>
      <c r="C55" s="349"/>
      <c r="D55" s="349"/>
      <c r="E55" s="349"/>
      <c r="F55" s="154"/>
      <c r="G55" s="154"/>
      <c r="H55" s="152"/>
      <c r="K55" s="150"/>
    </row>
    <row r="56" spans="1:11" ht="15.75" customHeight="1" x14ac:dyDescent="0.3">
      <c r="A56" s="129"/>
      <c r="B56" s="126"/>
      <c r="C56" s="349"/>
      <c r="D56" s="349"/>
      <c r="E56" s="349"/>
      <c r="F56" s="154"/>
      <c r="G56" s="154"/>
      <c r="H56" s="152"/>
      <c r="K56" s="150"/>
    </row>
    <row r="57" spans="1:11" ht="15.75" customHeight="1" x14ac:dyDescent="0.3">
      <c r="A57" s="129"/>
      <c r="B57" s="126"/>
      <c r="C57" s="349"/>
      <c r="D57" s="349"/>
      <c r="E57" s="349"/>
      <c r="F57" s="154"/>
      <c r="G57" s="154"/>
      <c r="H57" s="152"/>
      <c r="K57" s="150"/>
    </row>
    <row r="58" spans="1:11" ht="15.75" customHeight="1" x14ac:dyDescent="0.3">
      <c r="A58" s="129"/>
      <c r="B58" s="126"/>
      <c r="C58" s="349"/>
      <c r="D58" s="349"/>
      <c r="E58" s="349"/>
      <c r="F58" s="154"/>
      <c r="G58" s="154"/>
      <c r="H58" s="152"/>
      <c r="K58" s="150"/>
    </row>
    <row r="59" spans="1:11" ht="15.75" customHeight="1" x14ac:dyDescent="0.3">
      <c r="A59" s="129"/>
      <c r="B59" s="126"/>
      <c r="C59" s="349"/>
      <c r="D59" s="349"/>
      <c r="E59" s="349"/>
      <c r="F59" s="154"/>
      <c r="G59" s="154"/>
      <c r="H59" s="152"/>
      <c r="K59" s="150"/>
    </row>
    <row r="60" spans="1:11" ht="15.75" customHeight="1" x14ac:dyDescent="0.3">
      <c r="A60" s="129"/>
      <c r="B60" s="157"/>
      <c r="C60" s="350"/>
      <c r="D60" s="350"/>
      <c r="E60" s="350"/>
      <c r="F60" s="158"/>
      <c r="G60" s="158"/>
      <c r="H60" s="159"/>
      <c r="K60" s="150"/>
    </row>
    <row r="61" spans="1:11" ht="15.75" customHeight="1" x14ac:dyDescent="0.3">
      <c r="A61" s="129"/>
      <c r="B61" s="126"/>
      <c r="C61" s="349"/>
      <c r="D61" s="349"/>
      <c r="E61" s="349"/>
      <c r="F61" s="154"/>
      <c r="G61" s="154"/>
      <c r="H61" s="152"/>
      <c r="K61" s="150"/>
    </row>
    <row r="62" spans="1:11" ht="15.75" customHeight="1" x14ac:dyDescent="0.3">
      <c r="A62" s="129"/>
      <c r="B62" s="126"/>
      <c r="C62" s="349"/>
      <c r="D62" s="349"/>
      <c r="E62" s="349"/>
      <c r="F62" s="154"/>
      <c r="G62" s="154"/>
      <c r="H62" s="152"/>
      <c r="K62" s="150"/>
    </row>
    <row r="63" spans="1:11" ht="15.75" customHeight="1" x14ac:dyDescent="0.3">
      <c r="A63" s="129"/>
      <c r="B63" s="126"/>
      <c r="C63" s="349"/>
      <c r="D63" s="349"/>
      <c r="E63" s="349"/>
      <c r="F63" s="154"/>
      <c r="G63" s="154"/>
      <c r="H63" s="152"/>
      <c r="K63" s="150"/>
    </row>
    <row r="64" spans="1:11" ht="15.75" customHeight="1" x14ac:dyDescent="0.3">
      <c r="A64" s="129"/>
      <c r="B64" s="126"/>
      <c r="C64" s="349"/>
      <c r="D64" s="349"/>
      <c r="E64" s="349"/>
      <c r="F64" s="154"/>
      <c r="G64" s="154"/>
      <c r="H64" s="152"/>
      <c r="K64" s="150"/>
    </row>
    <row r="65" spans="1:11" ht="15.75" customHeight="1" x14ac:dyDescent="0.3">
      <c r="A65" s="129"/>
      <c r="B65" s="126"/>
      <c r="C65" s="349"/>
      <c r="D65" s="349"/>
      <c r="E65" s="349"/>
      <c r="F65" s="154"/>
      <c r="G65" s="154"/>
      <c r="H65" s="152"/>
      <c r="K65" s="150"/>
    </row>
    <row r="66" spans="1:11" ht="15.75" customHeight="1" x14ac:dyDescent="0.3">
      <c r="A66" s="129"/>
      <c r="B66" s="160" t="s">
        <v>89</v>
      </c>
      <c r="C66" s="351">
        <f>SUM(C6:C57)</f>
        <v>1500</v>
      </c>
      <c r="D66" s="351">
        <f t="shared" ref="D66:E66" si="2">SUM(D6:D57)</f>
        <v>0</v>
      </c>
      <c r="E66" s="351">
        <f t="shared" si="2"/>
        <v>1500</v>
      </c>
      <c r="F66" s="154">
        <f>SUM(F6:F65)</f>
        <v>257720</v>
      </c>
      <c r="G66" s="154">
        <f>SUM(G6:G65)</f>
        <v>251312</v>
      </c>
      <c r="H66" s="152">
        <f>+F66-G66</f>
        <v>6408</v>
      </c>
      <c r="I66" s="138"/>
      <c r="K66" s="150"/>
    </row>
    <row r="67" spans="1:11" ht="15.75" customHeight="1" x14ac:dyDescent="0.3">
      <c r="A67" s="129"/>
      <c r="B67" s="161"/>
      <c r="C67" s="352"/>
      <c r="D67" s="352"/>
      <c r="E67" s="352"/>
      <c r="F67" s="162"/>
      <c r="G67" s="163"/>
      <c r="H67" s="152"/>
      <c r="J67" s="134"/>
      <c r="K67" s="150"/>
    </row>
    <row r="68" spans="1:11" ht="15.75" customHeight="1" x14ac:dyDescent="0.3">
      <c r="F68" s="164"/>
      <c r="G68" s="164"/>
      <c r="H68" s="165"/>
      <c r="K68" s="150"/>
    </row>
    <row r="69" spans="1:11" ht="15.75" customHeight="1" x14ac:dyDescent="0.3">
      <c r="F69" s="154"/>
      <c r="G69" s="154"/>
      <c r="H69" s="166"/>
      <c r="K69" s="150"/>
    </row>
    <row r="70" spans="1:11" ht="15.75" customHeight="1" x14ac:dyDescent="0.3">
      <c r="F70" s="154"/>
      <c r="G70" s="154"/>
      <c r="H70" s="166"/>
      <c r="K70" s="150"/>
    </row>
    <row r="71" spans="1:11" ht="15.75" customHeight="1" x14ac:dyDescent="0.3">
      <c r="F71" s="154"/>
      <c r="G71" s="154"/>
      <c r="H71" s="166"/>
      <c r="K71" s="150"/>
    </row>
    <row r="72" spans="1:11" ht="15.75" customHeight="1" x14ac:dyDescent="0.3">
      <c r="F72" s="154"/>
      <c r="G72" s="154"/>
      <c r="H72" s="166"/>
    </row>
    <row r="73" spans="1:11" ht="15.75" customHeight="1" x14ac:dyDescent="0.3">
      <c r="F73" s="154"/>
      <c r="G73" s="154"/>
      <c r="H73" s="166"/>
    </row>
    <row r="74" spans="1:11" ht="15.75" customHeight="1" x14ac:dyDescent="0.3">
      <c r="F74" s="154"/>
      <c r="G74" s="154"/>
      <c r="H74" s="166"/>
    </row>
    <row r="75" spans="1:11" ht="15.75" customHeight="1" x14ac:dyDescent="0.3">
      <c r="F75" s="154"/>
      <c r="G75" s="154"/>
      <c r="H75" s="166"/>
    </row>
    <row r="76" spans="1:11" ht="15.75" customHeight="1" x14ac:dyDescent="0.3">
      <c r="F76" s="154"/>
      <c r="G76" s="154"/>
      <c r="H76" s="166"/>
    </row>
    <row r="77" spans="1:11" ht="15.75" customHeight="1" x14ac:dyDescent="0.3">
      <c r="F77" s="154"/>
      <c r="G77" s="154"/>
      <c r="H77" s="166"/>
    </row>
    <row r="78" spans="1:11" ht="15.75" customHeight="1" x14ac:dyDescent="0.3">
      <c r="F78" s="154"/>
      <c r="G78" s="154"/>
      <c r="H78" s="166"/>
    </row>
    <row r="79" spans="1:11" ht="15.75" customHeight="1" x14ac:dyDescent="0.3">
      <c r="H79" s="123"/>
    </row>
    <row r="80" spans="1:11" ht="15.75" customHeight="1" x14ac:dyDescent="0.3">
      <c r="H80" s="123"/>
    </row>
    <row r="81" spans="8:8" ht="15.75" customHeight="1" x14ac:dyDescent="0.3">
      <c r="H81" s="123"/>
    </row>
    <row r="82" spans="8:8" ht="15.75" customHeight="1" x14ac:dyDescent="0.3">
      <c r="H82" s="123"/>
    </row>
    <row r="83" spans="8:8" ht="15.75" customHeight="1" x14ac:dyDescent="0.3">
      <c r="H83" s="123"/>
    </row>
    <row r="84" spans="8:8" ht="15.75" customHeight="1" x14ac:dyDescent="0.3">
      <c r="H84" s="123"/>
    </row>
    <row r="85" spans="8:8" ht="15.75" customHeight="1" x14ac:dyDescent="0.3">
      <c r="H85" s="123"/>
    </row>
    <row r="86" spans="8:8" ht="15.75" customHeight="1" x14ac:dyDescent="0.3">
      <c r="H86" s="123"/>
    </row>
    <row r="87" spans="8:8" ht="15.75" customHeight="1" x14ac:dyDescent="0.3">
      <c r="H87" s="123"/>
    </row>
    <row r="88" spans="8:8" ht="15.75" customHeight="1" x14ac:dyDescent="0.3">
      <c r="H88" s="123"/>
    </row>
    <row r="89" spans="8:8" ht="15.75" customHeight="1" x14ac:dyDescent="0.3">
      <c r="H89" s="123"/>
    </row>
    <row r="90" spans="8:8" ht="15.75" customHeight="1" x14ac:dyDescent="0.3">
      <c r="H90" s="123"/>
    </row>
    <row r="91" spans="8:8" ht="15.75" customHeight="1" x14ac:dyDescent="0.3">
      <c r="H91" s="123"/>
    </row>
    <row r="92" spans="8:8" ht="15.75" customHeight="1" x14ac:dyDescent="0.3">
      <c r="H92" s="123"/>
    </row>
    <row r="93" spans="8:8" ht="15.75" customHeight="1" x14ac:dyDescent="0.3">
      <c r="H93" s="123"/>
    </row>
    <row r="94" spans="8:8" ht="15.75" customHeight="1" x14ac:dyDescent="0.3">
      <c r="H94" s="123"/>
    </row>
    <row r="95" spans="8:8" ht="15.75" customHeight="1" x14ac:dyDescent="0.3">
      <c r="H95" s="123"/>
    </row>
    <row r="96" spans="8:8" ht="15.75" customHeight="1" x14ac:dyDescent="0.3">
      <c r="H96" s="123"/>
    </row>
    <row r="97" spans="8:8" ht="15.75" customHeight="1" x14ac:dyDescent="0.3">
      <c r="H97" s="123"/>
    </row>
    <row r="98" spans="8:8" ht="15.75" customHeight="1" x14ac:dyDescent="0.3">
      <c r="H98" s="123"/>
    </row>
    <row r="99" spans="8:8" ht="15.75" customHeight="1" x14ac:dyDescent="0.3">
      <c r="H99" s="123"/>
    </row>
    <row r="100" spans="8:8" ht="15.75" customHeight="1" x14ac:dyDescent="0.3">
      <c r="H100" s="123"/>
    </row>
    <row r="101" spans="8:8" ht="15.75" customHeight="1" x14ac:dyDescent="0.3">
      <c r="H101" s="123"/>
    </row>
    <row r="102" spans="8:8" ht="15.75" customHeight="1" x14ac:dyDescent="0.3">
      <c r="H102" s="123"/>
    </row>
    <row r="103" spans="8:8" ht="15.75" customHeight="1" x14ac:dyDescent="0.3">
      <c r="H103" s="123"/>
    </row>
    <row r="104" spans="8:8" ht="15.75" customHeight="1" x14ac:dyDescent="0.3">
      <c r="H104" s="123"/>
    </row>
    <row r="105" spans="8:8" ht="15.75" customHeight="1" x14ac:dyDescent="0.3">
      <c r="H105" s="123"/>
    </row>
    <row r="106" spans="8:8" ht="15.75" customHeight="1" x14ac:dyDescent="0.3">
      <c r="H106" s="123"/>
    </row>
    <row r="107" spans="8:8" ht="15.75" customHeight="1" x14ac:dyDescent="0.3">
      <c r="H107" s="123"/>
    </row>
    <row r="108" spans="8:8" ht="15.75" customHeight="1" x14ac:dyDescent="0.3">
      <c r="H108" s="123"/>
    </row>
    <row r="109" spans="8:8" ht="15.75" customHeight="1" x14ac:dyDescent="0.3">
      <c r="H109" s="123"/>
    </row>
    <row r="110" spans="8:8" ht="15.75" customHeight="1" x14ac:dyDescent="0.3">
      <c r="H110" s="123"/>
    </row>
    <row r="111" spans="8:8" ht="15.75" customHeight="1" x14ac:dyDescent="0.3">
      <c r="H111" s="123"/>
    </row>
    <row r="112" spans="8:8" ht="15.75" customHeight="1" x14ac:dyDescent="0.3">
      <c r="H112" s="123"/>
    </row>
    <row r="113" spans="8:8" ht="15.75" customHeight="1" x14ac:dyDescent="0.3">
      <c r="H113" s="123"/>
    </row>
    <row r="114" spans="8:8" ht="15.75" customHeight="1" x14ac:dyDescent="0.3">
      <c r="H114" s="123"/>
    </row>
    <row r="115" spans="8:8" ht="15.75" customHeight="1" x14ac:dyDescent="0.3">
      <c r="H115" s="123"/>
    </row>
    <row r="116" spans="8:8" ht="15.75" customHeight="1" x14ac:dyDescent="0.3">
      <c r="H116" s="123"/>
    </row>
    <row r="117" spans="8:8" ht="15.75" customHeight="1" x14ac:dyDescent="0.3">
      <c r="H117" s="123"/>
    </row>
    <row r="118" spans="8:8" ht="15.75" customHeight="1" x14ac:dyDescent="0.3">
      <c r="H118" s="123"/>
    </row>
    <row r="119" spans="8:8" ht="15.75" customHeight="1" x14ac:dyDescent="0.3">
      <c r="H119" s="123"/>
    </row>
    <row r="120" spans="8:8" ht="15.75" customHeight="1" x14ac:dyDescent="0.3">
      <c r="H120" s="123"/>
    </row>
    <row r="121" spans="8:8" ht="15.75" customHeight="1" x14ac:dyDescent="0.3">
      <c r="H121" s="123"/>
    </row>
    <row r="122" spans="8:8" ht="15.75" customHeight="1" x14ac:dyDescent="0.3">
      <c r="H122" s="123"/>
    </row>
    <row r="123" spans="8:8" ht="15.75" customHeight="1" x14ac:dyDescent="0.3">
      <c r="H123" s="123"/>
    </row>
    <row r="124" spans="8:8" ht="15.75" customHeight="1" x14ac:dyDescent="0.3">
      <c r="H124" s="123"/>
    </row>
    <row r="125" spans="8:8" ht="15.75" customHeight="1" x14ac:dyDescent="0.3">
      <c r="H125" s="123"/>
    </row>
    <row r="126" spans="8:8" ht="15.75" customHeight="1" x14ac:dyDescent="0.3">
      <c r="H126" s="123"/>
    </row>
    <row r="127" spans="8:8" ht="15.75" customHeight="1" x14ac:dyDescent="0.3">
      <c r="H127" s="123"/>
    </row>
    <row r="128" spans="8:8" ht="15.75" customHeight="1" x14ac:dyDescent="0.3">
      <c r="H128" s="123"/>
    </row>
    <row r="129" spans="8:8" ht="15.75" customHeight="1" x14ac:dyDescent="0.3">
      <c r="H129" s="123"/>
    </row>
    <row r="130" spans="8:8" ht="15.75" customHeight="1" x14ac:dyDescent="0.3">
      <c r="H130" s="123"/>
    </row>
    <row r="131" spans="8:8" ht="15.75" customHeight="1" x14ac:dyDescent="0.3">
      <c r="H131" s="123"/>
    </row>
    <row r="132" spans="8:8" ht="15.75" customHeight="1" x14ac:dyDescent="0.3">
      <c r="H132" s="123"/>
    </row>
    <row r="133" spans="8:8" ht="15.75" customHeight="1" x14ac:dyDescent="0.3">
      <c r="H133" s="123"/>
    </row>
    <row r="134" spans="8:8" ht="15.75" customHeight="1" x14ac:dyDescent="0.3">
      <c r="H134" s="123"/>
    </row>
    <row r="135" spans="8:8" ht="15.75" customHeight="1" x14ac:dyDescent="0.3">
      <c r="H135" s="123"/>
    </row>
    <row r="136" spans="8:8" ht="15.75" customHeight="1" x14ac:dyDescent="0.3">
      <c r="H136" s="123"/>
    </row>
    <row r="137" spans="8:8" ht="15.75" customHeight="1" x14ac:dyDescent="0.3">
      <c r="H137" s="123"/>
    </row>
    <row r="138" spans="8:8" ht="15.75" customHeight="1" x14ac:dyDescent="0.3">
      <c r="H138" s="123"/>
    </row>
    <row r="139" spans="8:8" ht="15.75" customHeight="1" x14ac:dyDescent="0.3">
      <c r="H139" s="123"/>
    </row>
    <row r="140" spans="8:8" ht="15.75" customHeight="1" x14ac:dyDescent="0.3">
      <c r="H140" s="123"/>
    </row>
    <row r="141" spans="8:8" ht="15.75" customHeight="1" x14ac:dyDescent="0.3">
      <c r="H141" s="123"/>
    </row>
    <row r="142" spans="8:8" ht="15.75" customHeight="1" x14ac:dyDescent="0.3">
      <c r="H142" s="123"/>
    </row>
    <row r="143" spans="8:8" ht="15.75" customHeight="1" x14ac:dyDescent="0.3">
      <c r="H143" s="123"/>
    </row>
    <row r="144" spans="8:8" ht="15.75" customHeight="1" x14ac:dyDescent="0.3">
      <c r="H144" s="123"/>
    </row>
    <row r="145" spans="8:8" ht="15.75" customHeight="1" x14ac:dyDescent="0.3">
      <c r="H145" s="123"/>
    </row>
    <row r="146" spans="8:8" ht="15.75" customHeight="1" x14ac:dyDescent="0.3">
      <c r="H146" s="123"/>
    </row>
    <row r="147" spans="8:8" ht="15.75" customHeight="1" x14ac:dyDescent="0.3">
      <c r="H147" s="123"/>
    </row>
    <row r="148" spans="8:8" ht="15.75" customHeight="1" x14ac:dyDescent="0.3">
      <c r="H148" s="123"/>
    </row>
    <row r="149" spans="8:8" ht="15.75" customHeight="1" x14ac:dyDescent="0.3">
      <c r="H149" s="123"/>
    </row>
    <row r="150" spans="8:8" ht="15.75" customHeight="1" x14ac:dyDescent="0.3">
      <c r="H150" s="123"/>
    </row>
    <row r="151" spans="8:8" ht="15.75" customHeight="1" x14ac:dyDescent="0.3">
      <c r="H151" s="123"/>
    </row>
    <row r="152" spans="8:8" ht="15.75" customHeight="1" x14ac:dyDescent="0.3">
      <c r="H152" s="123"/>
    </row>
    <row r="153" spans="8:8" ht="15.75" customHeight="1" x14ac:dyDescent="0.3">
      <c r="H153" s="123"/>
    </row>
    <row r="154" spans="8:8" ht="15.75" customHeight="1" x14ac:dyDescent="0.3">
      <c r="H154" s="123"/>
    </row>
    <row r="155" spans="8:8" ht="15.75" customHeight="1" x14ac:dyDescent="0.3">
      <c r="H155" s="123"/>
    </row>
    <row r="156" spans="8:8" ht="15.75" customHeight="1" x14ac:dyDescent="0.3">
      <c r="H156" s="123"/>
    </row>
    <row r="157" spans="8:8" ht="15.75" customHeight="1" x14ac:dyDescent="0.3">
      <c r="H157" s="123"/>
    </row>
    <row r="158" spans="8:8" ht="15.75" customHeight="1" x14ac:dyDescent="0.3">
      <c r="H158" s="123"/>
    </row>
    <row r="159" spans="8:8" ht="15.75" customHeight="1" x14ac:dyDescent="0.3">
      <c r="H159" s="123"/>
    </row>
    <row r="160" spans="8:8" ht="15.75" customHeight="1" x14ac:dyDescent="0.3">
      <c r="H160" s="123"/>
    </row>
    <row r="161" spans="8:8" ht="15.75" customHeight="1" x14ac:dyDescent="0.3">
      <c r="H161" s="123"/>
    </row>
    <row r="162" spans="8:8" ht="15.75" customHeight="1" x14ac:dyDescent="0.3">
      <c r="H162" s="123"/>
    </row>
    <row r="163" spans="8:8" ht="15.75" customHeight="1" x14ac:dyDescent="0.3">
      <c r="H163" s="123"/>
    </row>
    <row r="164" spans="8:8" ht="15.75" customHeight="1" x14ac:dyDescent="0.3">
      <c r="H164" s="123"/>
    </row>
    <row r="165" spans="8:8" ht="15.75" customHeight="1" x14ac:dyDescent="0.3">
      <c r="H165" s="123"/>
    </row>
    <row r="166" spans="8:8" ht="15.75" customHeight="1" x14ac:dyDescent="0.3">
      <c r="H166" s="123"/>
    </row>
    <row r="167" spans="8:8" ht="15.75" customHeight="1" x14ac:dyDescent="0.3">
      <c r="H167" s="123"/>
    </row>
    <row r="168" spans="8:8" ht="15.75" customHeight="1" x14ac:dyDescent="0.3">
      <c r="H168" s="123"/>
    </row>
    <row r="169" spans="8:8" ht="15.75" customHeight="1" x14ac:dyDescent="0.3">
      <c r="H169" s="123"/>
    </row>
    <row r="170" spans="8:8" ht="15.75" customHeight="1" x14ac:dyDescent="0.3">
      <c r="H170" s="123"/>
    </row>
    <row r="171" spans="8:8" ht="15.75" customHeight="1" x14ac:dyDescent="0.3">
      <c r="H171" s="123"/>
    </row>
    <row r="172" spans="8:8" ht="15.75" customHeight="1" x14ac:dyDescent="0.3">
      <c r="H172" s="123"/>
    </row>
    <row r="173" spans="8:8" ht="15.75" customHeight="1" x14ac:dyDescent="0.3">
      <c r="H173" s="123"/>
    </row>
    <row r="174" spans="8:8" ht="15.75" customHeight="1" x14ac:dyDescent="0.3">
      <c r="H174" s="123"/>
    </row>
    <row r="175" spans="8:8" ht="15.75" customHeight="1" x14ac:dyDescent="0.3">
      <c r="H175" s="123"/>
    </row>
    <row r="176" spans="8:8" ht="15.75" customHeight="1" x14ac:dyDescent="0.3">
      <c r="H176" s="123"/>
    </row>
    <row r="177" spans="8:8" ht="15.75" customHeight="1" x14ac:dyDescent="0.3">
      <c r="H177" s="123"/>
    </row>
    <row r="178" spans="8:8" ht="15.75" customHeight="1" x14ac:dyDescent="0.3">
      <c r="H178" s="123"/>
    </row>
    <row r="179" spans="8:8" ht="15.75" customHeight="1" x14ac:dyDescent="0.3">
      <c r="H179" s="123"/>
    </row>
    <row r="180" spans="8:8" ht="15.75" customHeight="1" x14ac:dyDescent="0.3">
      <c r="H180" s="123"/>
    </row>
    <row r="181" spans="8:8" ht="15.75" customHeight="1" x14ac:dyDescent="0.3">
      <c r="H181" s="123"/>
    </row>
    <row r="182" spans="8:8" ht="15.75" customHeight="1" x14ac:dyDescent="0.3">
      <c r="H182" s="123"/>
    </row>
    <row r="183" spans="8:8" ht="15.75" customHeight="1" x14ac:dyDescent="0.3">
      <c r="H183" s="123"/>
    </row>
    <row r="184" spans="8:8" ht="15.75" customHeight="1" x14ac:dyDescent="0.3">
      <c r="H184" s="123"/>
    </row>
    <row r="185" spans="8:8" ht="15.75" customHeight="1" x14ac:dyDescent="0.3">
      <c r="H185" s="123"/>
    </row>
    <row r="186" spans="8:8" ht="15.75" customHeight="1" x14ac:dyDescent="0.3">
      <c r="H186" s="123"/>
    </row>
    <row r="187" spans="8:8" ht="15.75" customHeight="1" x14ac:dyDescent="0.3">
      <c r="H187" s="123"/>
    </row>
    <row r="188" spans="8:8" ht="15.75" customHeight="1" x14ac:dyDescent="0.3">
      <c r="H188" s="123"/>
    </row>
    <row r="189" spans="8:8" ht="15.75" customHeight="1" x14ac:dyDescent="0.3">
      <c r="H189" s="123"/>
    </row>
    <row r="190" spans="8:8" ht="15.75" customHeight="1" x14ac:dyDescent="0.3">
      <c r="H190" s="123"/>
    </row>
    <row r="191" spans="8:8" ht="15.75" customHeight="1" x14ac:dyDescent="0.3">
      <c r="H191" s="123"/>
    </row>
    <row r="192" spans="8:8" ht="15.75" customHeight="1" x14ac:dyDescent="0.3">
      <c r="H192" s="123"/>
    </row>
    <row r="193" spans="8:8" ht="15.75" customHeight="1" x14ac:dyDescent="0.3">
      <c r="H193" s="123"/>
    </row>
    <row r="194" spans="8:8" ht="15.75" customHeight="1" x14ac:dyDescent="0.3">
      <c r="H194" s="123"/>
    </row>
    <row r="195" spans="8:8" ht="15.75" customHeight="1" x14ac:dyDescent="0.3">
      <c r="H195" s="123"/>
    </row>
    <row r="196" spans="8:8" ht="15.75" customHeight="1" x14ac:dyDescent="0.3">
      <c r="H196" s="123"/>
    </row>
    <row r="197" spans="8:8" ht="15.75" customHeight="1" x14ac:dyDescent="0.3">
      <c r="H197" s="123"/>
    </row>
    <row r="198" spans="8:8" ht="15.75" customHeight="1" x14ac:dyDescent="0.3">
      <c r="H198" s="123"/>
    </row>
    <row r="199" spans="8:8" ht="15.75" customHeight="1" x14ac:dyDescent="0.3">
      <c r="H199" s="123"/>
    </row>
    <row r="200" spans="8:8" ht="15.75" customHeight="1" x14ac:dyDescent="0.3">
      <c r="H200" s="123"/>
    </row>
    <row r="201" spans="8:8" ht="15.75" customHeight="1" x14ac:dyDescent="0.3">
      <c r="H201" s="123"/>
    </row>
    <row r="202" spans="8:8" ht="15.75" customHeight="1" x14ac:dyDescent="0.3">
      <c r="H202" s="123"/>
    </row>
    <row r="203" spans="8:8" ht="15.75" customHeight="1" x14ac:dyDescent="0.3">
      <c r="H203" s="123"/>
    </row>
    <row r="204" spans="8:8" ht="15.75" customHeight="1" x14ac:dyDescent="0.3">
      <c r="H204" s="123"/>
    </row>
    <row r="205" spans="8:8" ht="15.75" customHeight="1" x14ac:dyDescent="0.3">
      <c r="H205" s="123"/>
    </row>
    <row r="206" spans="8:8" ht="15.75" customHeight="1" x14ac:dyDescent="0.3">
      <c r="H206" s="123"/>
    </row>
    <row r="207" spans="8:8" ht="15.75" customHeight="1" x14ac:dyDescent="0.3">
      <c r="H207" s="123"/>
    </row>
    <row r="208" spans="8:8" ht="15.75" customHeight="1" x14ac:dyDescent="0.3">
      <c r="H208" s="123"/>
    </row>
    <row r="209" spans="8:8" ht="15.75" customHeight="1" x14ac:dyDescent="0.3">
      <c r="H209" s="123"/>
    </row>
    <row r="210" spans="8:8" ht="15.75" customHeight="1" x14ac:dyDescent="0.3">
      <c r="H210" s="123"/>
    </row>
    <row r="211" spans="8:8" ht="15.75" customHeight="1" x14ac:dyDescent="0.3">
      <c r="H211" s="123"/>
    </row>
    <row r="212" spans="8:8" ht="15.75" customHeight="1" x14ac:dyDescent="0.3">
      <c r="H212" s="123"/>
    </row>
    <row r="213" spans="8:8" ht="15.75" customHeight="1" x14ac:dyDescent="0.3">
      <c r="H213" s="123"/>
    </row>
    <row r="214" spans="8:8" ht="15.75" customHeight="1" x14ac:dyDescent="0.3">
      <c r="H214" s="123"/>
    </row>
    <row r="215" spans="8:8" ht="15.75" customHeight="1" x14ac:dyDescent="0.3">
      <c r="H215" s="123"/>
    </row>
    <row r="216" spans="8:8" ht="15.75" customHeight="1" x14ac:dyDescent="0.3">
      <c r="H216" s="123"/>
    </row>
    <row r="217" spans="8:8" ht="15.75" customHeight="1" x14ac:dyDescent="0.3">
      <c r="H217" s="123"/>
    </row>
    <row r="218" spans="8:8" ht="15.75" customHeight="1" x14ac:dyDescent="0.3">
      <c r="H218" s="123"/>
    </row>
    <row r="219" spans="8:8" ht="15.75" customHeight="1" x14ac:dyDescent="0.3">
      <c r="H219" s="123"/>
    </row>
    <row r="220" spans="8:8" ht="15.75" customHeight="1" x14ac:dyDescent="0.3">
      <c r="H220" s="123"/>
    </row>
    <row r="221" spans="8:8" ht="15.75" customHeight="1" x14ac:dyDescent="0.3">
      <c r="H221" s="123"/>
    </row>
    <row r="222" spans="8:8" ht="15.75" customHeight="1" x14ac:dyDescent="0.3">
      <c r="H222" s="123"/>
    </row>
    <row r="223" spans="8:8" ht="15.75" customHeight="1" x14ac:dyDescent="0.3">
      <c r="H223" s="123"/>
    </row>
    <row r="224" spans="8:8" ht="15.75" customHeight="1" x14ac:dyDescent="0.3">
      <c r="H224" s="123"/>
    </row>
    <row r="225" spans="8:8" ht="15.75" customHeight="1" x14ac:dyDescent="0.3">
      <c r="H225" s="123"/>
    </row>
    <row r="226" spans="8:8" ht="15.75" customHeight="1" x14ac:dyDescent="0.3">
      <c r="H226" s="123"/>
    </row>
    <row r="227" spans="8:8" ht="15.75" customHeight="1" x14ac:dyDescent="0.3">
      <c r="H227" s="123"/>
    </row>
    <row r="228" spans="8:8" ht="15.75" customHeight="1" x14ac:dyDescent="0.3">
      <c r="H228" s="123"/>
    </row>
    <row r="229" spans="8:8" ht="15.75" customHeight="1" x14ac:dyDescent="0.3">
      <c r="H229" s="123"/>
    </row>
    <row r="230" spans="8:8" ht="15.75" customHeight="1" x14ac:dyDescent="0.3">
      <c r="H230" s="123"/>
    </row>
    <row r="231" spans="8:8" ht="15.75" customHeight="1" x14ac:dyDescent="0.3">
      <c r="H231" s="123"/>
    </row>
    <row r="232" spans="8:8" ht="15.75" customHeight="1" x14ac:dyDescent="0.3">
      <c r="H232" s="123"/>
    </row>
    <row r="233" spans="8:8" ht="15.75" customHeight="1" x14ac:dyDescent="0.3">
      <c r="H233" s="123"/>
    </row>
    <row r="234" spans="8:8" ht="15.75" customHeight="1" x14ac:dyDescent="0.3">
      <c r="H234" s="123"/>
    </row>
    <row r="235" spans="8:8" ht="15.75" customHeight="1" x14ac:dyDescent="0.3">
      <c r="H235" s="123"/>
    </row>
    <row r="236" spans="8:8" ht="15.75" customHeight="1" x14ac:dyDescent="0.3">
      <c r="H236" s="123"/>
    </row>
    <row r="237" spans="8:8" ht="15.75" customHeight="1" x14ac:dyDescent="0.3">
      <c r="H237" s="123"/>
    </row>
    <row r="238" spans="8:8" ht="15.75" customHeight="1" x14ac:dyDescent="0.3">
      <c r="H238" s="123"/>
    </row>
    <row r="239" spans="8:8" ht="15.75" customHeight="1" x14ac:dyDescent="0.3">
      <c r="H239" s="123"/>
    </row>
    <row r="240" spans="8:8" ht="15.75" customHeight="1" x14ac:dyDescent="0.3">
      <c r="H240" s="123"/>
    </row>
    <row r="241" spans="8:8" ht="15.75" customHeight="1" x14ac:dyDescent="0.3">
      <c r="H241" s="123"/>
    </row>
    <row r="242" spans="8:8" ht="15.75" customHeight="1" x14ac:dyDescent="0.3">
      <c r="H242" s="123"/>
    </row>
    <row r="243" spans="8:8" ht="15.75" customHeight="1" x14ac:dyDescent="0.3">
      <c r="H243" s="123"/>
    </row>
    <row r="244" spans="8:8" ht="15.75" customHeight="1" x14ac:dyDescent="0.3">
      <c r="H244" s="123"/>
    </row>
    <row r="245" spans="8:8" ht="15.75" customHeight="1" x14ac:dyDescent="0.3">
      <c r="H245" s="123"/>
    </row>
    <row r="246" spans="8:8" ht="15.75" customHeight="1" x14ac:dyDescent="0.3">
      <c r="H246" s="123"/>
    </row>
    <row r="247" spans="8:8" ht="15.75" customHeight="1" x14ac:dyDescent="0.3">
      <c r="H247" s="123"/>
    </row>
    <row r="248" spans="8:8" ht="15.75" customHeight="1" x14ac:dyDescent="0.3">
      <c r="H248" s="123"/>
    </row>
    <row r="249" spans="8:8" ht="15.75" customHeight="1" x14ac:dyDescent="0.3">
      <c r="H249" s="123"/>
    </row>
    <row r="250" spans="8:8" ht="15.75" customHeight="1" x14ac:dyDescent="0.3">
      <c r="H250" s="123"/>
    </row>
    <row r="251" spans="8:8" ht="15.75" customHeight="1" x14ac:dyDescent="0.3">
      <c r="H251" s="123"/>
    </row>
    <row r="252" spans="8:8" ht="15.75" customHeight="1" x14ac:dyDescent="0.3">
      <c r="H252" s="123"/>
    </row>
    <row r="253" spans="8:8" ht="15.75" customHeight="1" x14ac:dyDescent="0.3">
      <c r="H253" s="123"/>
    </row>
    <row r="254" spans="8:8" ht="15.75" customHeight="1" x14ac:dyDescent="0.3">
      <c r="H254" s="123"/>
    </row>
    <row r="255" spans="8:8" ht="15.75" customHeight="1" x14ac:dyDescent="0.3">
      <c r="H255" s="123"/>
    </row>
    <row r="256" spans="8:8" ht="15.75" customHeight="1" x14ac:dyDescent="0.3">
      <c r="H256" s="123"/>
    </row>
    <row r="257" spans="8:8" ht="15.75" customHeight="1" x14ac:dyDescent="0.3">
      <c r="H257" s="123"/>
    </row>
    <row r="258" spans="8:8" ht="15.75" customHeight="1" x14ac:dyDescent="0.3">
      <c r="H258" s="123"/>
    </row>
    <row r="259" spans="8:8" ht="15.75" customHeight="1" x14ac:dyDescent="0.3">
      <c r="H259" s="123"/>
    </row>
    <row r="260" spans="8:8" ht="15.75" customHeight="1" x14ac:dyDescent="0.3">
      <c r="H260" s="123"/>
    </row>
    <row r="261" spans="8:8" ht="15.75" customHeight="1" x14ac:dyDescent="0.3">
      <c r="H261" s="123"/>
    </row>
    <row r="262" spans="8:8" ht="15.75" customHeight="1" x14ac:dyDescent="0.3">
      <c r="H262" s="123"/>
    </row>
    <row r="263" spans="8:8" ht="15.75" customHeight="1" x14ac:dyDescent="0.3">
      <c r="H263" s="123"/>
    </row>
    <row r="264" spans="8:8" ht="15.75" customHeight="1" x14ac:dyDescent="0.3">
      <c r="H264" s="123"/>
    </row>
    <row r="265" spans="8:8" ht="15.75" customHeight="1" x14ac:dyDescent="0.3">
      <c r="H265" s="123"/>
    </row>
    <row r="266" spans="8:8" ht="15.75" customHeight="1" x14ac:dyDescent="0.3">
      <c r="H266" s="123"/>
    </row>
    <row r="267" spans="8:8" ht="15.75" customHeight="1" x14ac:dyDescent="0.3">
      <c r="H267" s="123"/>
    </row>
    <row r="268" spans="8:8" ht="15.75" customHeight="1" x14ac:dyDescent="0.3">
      <c r="H268" s="123"/>
    </row>
    <row r="269" spans="8:8" ht="15.75" customHeight="1" x14ac:dyDescent="0.3">
      <c r="H269" s="123"/>
    </row>
    <row r="270" spans="8:8" ht="15.75" customHeight="1" x14ac:dyDescent="0.3">
      <c r="H270" s="123"/>
    </row>
    <row r="271" spans="8:8" ht="15.75" customHeight="1" x14ac:dyDescent="0.3">
      <c r="H271" s="123"/>
    </row>
    <row r="272" spans="8:8" ht="15.75" customHeight="1" x14ac:dyDescent="0.3">
      <c r="H272" s="123"/>
    </row>
    <row r="273" spans="8:8" ht="15.75" customHeight="1" x14ac:dyDescent="0.3">
      <c r="H273" s="123"/>
    </row>
    <row r="274" spans="8:8" ht="15.75" customHeight="1" x14ac:dyDescent="0.3">
      <c r="H274" s="123"/>
    </row>
    <row r="275" spans="8:8" ht="15.75" customHeight="1" x14ac:dyDescent="0.3">
      <c r="H275" s="123"/>
    </row>
    <row r="276" spans="8:8" ht="15.75" customHeight="1" x14ac:dyDescent="0.3">
      <c r="H276" s="123"/>
    </row>
    <row r="277" spans="8:8" ht="15.75" customHeight="1" x14ac:dyDescent="0.3">
      <c r="H277" s="123"/>
    </row>
    <row r="278" spans="8:8" ht="15.75" customHeight="1" x14ac:dyDescent="0.3">
      <c r="H278" s="123"/>
    </row>
    <row r="279" spans="8:8" ht="15.75" customHeight="1" x14ac:dyDescent="0.3">
      <c r="H279" s="123"/>
    </row>
    <row r="280" spans="8:8" ht="15.75" customHeight="1" x14ac:dyDescent="0.3">
      <c r="H280" s="123"/>
    </row>
    <row r="281" spans="8:8" ht="15.75" customHeight="1" x14ac:dyDescent="0.3">
      <c r="H281" s="123"/>
    </row>
    <row r="282" spans="8:8" ht="15.75" customHeight="1" x14ac:dyDescent="0.3">
      <c r="H282" s="123"/>
    </row>
    <row r="283" spans="8:8" ht="15.75" customHeight="1" x14ac:dyDescent="0.3">
      <c r="H283" s="123"/>
    </row>
    <row r="284" spans="8:8" ht="15.75" customHeight="1" x14ac:dyDescent="0.3">
      <c r="H284" s="123"/>
    </row>
    <row r="285" spans="8:8" ht="15.75" customHeight="1" x14ac:dyDescent="0.3">
      <c r="H285" s="123"/>
    </row>
    <row r="286" spans="8:8" ht="15.75" customHeight="1" x14ac:dyDescent="0.3">
      <c r="H286" s="123"/>
    </row>
    <row r="287" spans="8:8" ht="15.75" customHeight="1" x14ac:dyDescent="0.3">
      <c r="H287" s="123"/>
    </row>
    <row r="288" spans="8:8" ht="15.75" customHeight="1" x14ac:dyDescent="0.3">
      <c r="H288" s="123"/>
    </row>
    <row r="289" spans="8:8" ht="15.75" customHeight="1" x14ac:dyDescent="0.3">
      <c r="H289" s="123"/>
    </row>
    <row r="290" spans="8:8" ht="15.75" customHeight="1" x14ac:dyDescent="0.3">
      <c r="H290" s="123"/>
    </row>
    <row r="291" spans="8:8" ht="15.75" customHeight="1" x14ac:dyDescent="0.3">
      <c r="H291" s="123"/>
    </row>
    <row r="292" spans="8:8" ht="15.75" customHeight="1" x14ac:dyDescent="0.3">
      <c r="H292" s="123"/>
    </row>
    <row r="293" spans="8:8" ht="15.75" customHeight="1" x14ac:dyDescent="0.3">
      <c r="H293" s="123"/>
    </row>
    <row r="294" spans="8:8" ht="15.75" customHeight="1" x14ac:dyDescent="0.3">
      <c r="H294" s="123"/>
    </row>
    <row r="295" spans="8:8" ht="15.75" customHeight="1" x14ac:dyDescent="0.3">
      <c r="H295" s="123"/>
    </row>
    <row r="296" spans="8:8" ht="15.75" customHeight="1" x14ac:dyDescent="0.3">
      <c r="H296" s="123"/>
    </row>
    <row r="297" spans="8:8" ht="15.75" customHeight="1" x14ac:dyDescent="0.3">
      <c r="H297" s="123"/>
    </row>
    <row r="298" spans="8:8" ht="15.75" customHeight="1" x14ac:dyDescent="0.3">
      <c r="H298" s="123"/>
    </row>
    <row r="299" spans="8:8" ht="15.75" customHeight="1" x14ac:dyDescent="0.3">
      <c r="H299" s="123"/>
    </row>
    <row r="300" spans="8:8" ht="15.75" customHeight="1" x14ac:dyDescent="0.3">
      <c r="H300" s="123"/>
    </row>
    <row r="301" spans="8:8" ht="15.75" customHeight="1" x14ac:dyDescent="0.3">
      <c r="H301" s="123"/>
    </row>
    <row r="302" spans="8:8" ht="15.75" customHeight="1" x14ac:dyDescent="0.3">
      <c r="H302" s="123"/>
    </row>
    <row r="303" spans="8:8" ht="15.75" customHeight="1" x14ac:dyDescent="0.3">
      <c r="H303" s="123"/>
    </row>
    <row r="304" spans="8:8" ht="15.75" customHeight="1" x14ac:dyDescent="0.3">
      <c r="H304" s="123"/>
    </row>
    <row r="305" spans="8:8" ht="15.75" customHeight="1" x14ac:dyDescent="0.3">
      <c r="H305" s="123"/>
    </row>
    <row r="306" spans="8:8" ht="15.75" customHeight="1" x14ac:dyDescent="0.3">
      <c r="H306" s="123"/>
    </row>
    <row r="307" spans="8:8" ht="15.75" customHeight="1" x14ac:dyDescent="0.3">
      <c r="H307" s="123"/>
    </row>
    <row r="308" spans="8:8" ht="15.75" customHeight="1" x14ac:dyDescent="0.3">
      <c r="H308" s="123"/>
    </row>
    <row r="309" spans="8:8" ht="15.75" customHeight="1" x14ac:dyDescent="0.3">
      <c r="H309" s="123"/>
    </row>
    <row r="310" spans="8:8" ht="15.75" customHeight="1" x14ac:dyDescent="0.3">
      <c r="H310" s="123"/>
    </row>
    <row r="311" spans="8:8" ht="15.75" customHeight="1" x14ac:dyDescent="0.3">
      <c r="H311" s="123"/>
    </row>
    <row r="312" spans="8:8" ht="15.75" customHeight="1" x14ac:dyDescent="0.3">
      <c r="H312" s="123"/>
    </row>
    <row r="313" spans="8:8" ht="15.75" customHeight="1" x14ac:dyDescent="0.3">
      <c r="H313" s="123"/>
    </row>
    <row r="314" spans="8:8" ht="15.75" customHeight="1" x14ac:dyDescent="0.3">
      <c r="H314" s="123"/>
    </row>
    <row r="315" spans="8:8" ht="15.75" customHeight="1" x14ac:dyDescent="0.3">
      <c r="H315" s="123"/>
    </row>
    <row r="316" spans="8:8" ht="15.75" customHeight="1" x14ac:dyDescent="0.3">
      <c r="H316" s="123"/>
    </row>
    <row r="317" spans="8:8" ht="15.75" customHeight="1" x14ac:dyDescent="0.3">
      <c r="H317" s="123"/>
    </row>
    <row r="318" spans="8:8" ht="15.75" customHeight="1" x14ac:dyDescent="0.3">
      <c r="H318" s="123"/>
    </row>
    <row r="319" spans="8:8" ht="15.75" customHeight="1" x14ac:dyDescent="0.3">
      <c r="H319" s="123"/>
    </row>
    <row r="320" spans="8:8" ht="15.75" customHeight="1" x14ac:dyDescent="0.3">
      <c r="H320" s="123"/>
    </row>
    <row r="321" spans="8:8" ht="15.75" customHeight="1" x14ac:dyDescent="0.3">
      <c r="H321" s="123"/>
    </row>
    <row r="322" spans="8:8" ht="15.75" customHeight="1" x14ac:dyDescent="0.3">
      <c r="H322" s="123"/>
    </row>
    <row r="323" spans="8:8" ht="15.75" customHeight="1" x14ac:dyDescent="0.3">
      <c r="H323" s="123"/>
    </row>
    <row r="324" spans="8:8" ht="15.75" customHeight="1" x14ac:dyDescent="0.3">
      <c r="H324" s="123"/>
    </row>
    <row r="325" spans="8:8" ht="15.75" customHeight="1" x14ac:dyDescent="0.3">
      <c r="H325" s="123"/>
    </row>
    <row r="326" spans="8:8" ht="15.75" customHeight="1" x14ac:dyDescent="0.3">
      <c r="H326" s="123"/>
    </row>
    <row r="327" spans="8:8" ht="15.75" customHeight="1" x14ac:dyDescent="0.3">
      <c r="H327" s="123"/>
    </row>
    <row r="328" spans="8:8" ht="15.75" customHeight="1" x14ac:dyDescent="0.3">
      <c r="H328" s="123"/>
    </row>
    <row r="329" spans="8:8" ht="15.75" customHeight="1" x14ac:dyDescent="0.3">
      <c r="H329" s="123"/>
    </row>
    <row r="330" spans="8:8" ht="15.75" customHeight="1" x14ac:dyDescent="0.3">
      <c r="H330" s="123"/>
    </row>
    <row r="331" spans="8:8" ht="15.75" customHeight="1" x14ac:dyDescent="0.3">
      <c r="H331" s="123"/>
    </row>
    <row r="332" spans="8:8" ht="15.75" customHeight="1" x14ac:dyDescent="0.3">
      <c r="H332" s="123"/>
    </row>
    <row r="333" spans="8:8" ht="15.75" customHeight="1" x14ac:dyDescent="0.3">
      <c r="H333" s="123"/>
    </row>
    <row r="334" spans="8:8" ht="15.75" customHeight="1" x14ac:dyDescent="0.3">
      <c r="H334" s="123"/>
    </row>
    <row r="335" spans="8:8" ht="15.75" customHeight="1" x14ac:dyDescent="0.3">
      <c r="H335" s="123"/>
    </row>
    <row r="336" spans="8:8" ht="15.75" customHeight="1" x14ac:dyDescent="0.3">
      <c r="H336" s="123"/>
    </row>
    <row r="337" spans="8:8" ht="15.75" customHeight="1" x14ac:dyDescent="0.3">
      <c r="H337" s="123"/>
    </row>
    <row r="338" spans="8:8" ht="15.75" customHeight="1" x14ac:dyDescent="0.3">
      <c r="H338" s="123"/>
    </row>
    <row r="339" spans="8:8" ht="15.75" customHeight="1" x14ac:dyDescent="0.3">
      <c r="H339" s="123"/>
    </row>
    <row r="340" spans="8:8" ht="15.75" customHeight="1" x14ac:dyDescent="0.3">
      <c r="H340" s="123"/>
    </row>
    <row r="341" spans="8:8" ht="15.75" customHeight="1" x14ac:dyDescent="0.3">
      <c r="H341" s="123"/>
    </row>
    <row r="342" spans="8:8" ht="15.75" customHeight="1" x14ac:dyDescent="0.3">
      <c r="H342" s="123"/>
    </row>
    <row r="343" spans="8:8" ht="15.75" customHeight="1" x14ac:dyDescent="0.3">
      <c r="H343" s="123"/>
    </row>
    <row r="344" spans="8:8" ht="15.75" customHeight="1" x14ac:dyDescent="0.3">
      <c r="H344" s="123"/>
    </row>
    <row r="345" spans="8:8" ht="15.75" customHeight="1" x14ac:dyDescent="0.3">
      <c r="H345" s="123"/>
    </row>
    <row r="346" spans="8:8" ht="15.75" customHeight="1" x14ac:dyDescent="0.3">
      <c r="H346" s="123"/>
    </row>
    <row r="347" spans="8:8" ht="15.75" customHeight="1" x14ac:dyDescent="0.3">
      <c r="H347" s="123"/>
    </row>
    <row r="348" spans="8:8" ht="15.75" customHeight="1" x14ac:dyDescent="0.3">
      <c r="H348" s="123"/>
    </row>
    <row r="349" spans="8:8" ht="15.75" customHeight="1" x14ac:dyDescent="0.3">
      <c r="H349" s="123"/>
    </row>
    <row r="350" spans="8:8" ht="15.75" customHeight="1" x14ac:dyDescent="0.3">
      <c r="H350" s="123"/>
    </row>
    <row r="351" spans="8:8" ht="15.75" customHeight="1" x14ac:dyDescent="0.3">
      <c r="H351" s="123"/>
    </row>
    <row r="352" spans="8:8" ht="15.75" customHeight="1" x14ac:dyDescent="0.3">
      <c r="H352" s="123"/>
    </row>
    <row r="353" spans="8:8" ht="15.75" customHeight="1" x14ac:dyDescent="0.3">
      <c r="H353" s="123"/>
    </row>
    <row r="354" spans="8:8" ht="15.75" customHeight="1" x14ac:dyDescent="0.3">
      <c r="H354" s="123"/>
    </row>
    <row r="355" spans="8:8" ht="15.75" customHeight="1" x14ac:dyDescent="0.3">
      <c r="H355" s="123"/>
    </row>
    <row r="356" spans="8:8" ht="15.75" customHeight="1" x14ac:dyDescent="0.3">
      <c r="H356" s="123"/>
    </row>
    <row r="357" spans="8:8" ht="15.75" customHeight="1" x14ac:dyDescent="0.3">
      <c r="H357" s="123"/>
    </row>
    <row r="358" spans="8:8" ht="15.75" customHeight="1" x14ac:dyDescent="0.3">
      <c r="H358" s="123"/>
    </row>
    <row r="359" spans="8:8" ht="15.75" customHeight="1" x14ac:dyDescent="0.3">
      <c r="H359" s="123"/>
    </row>
    <row r="360" spans="8:8" ht="15.75" customHeight="1" x14ac:dyDescent="0.3">
      <c r="H360" s="123"/>
    </row>
    <row r="361" spans="8:8" ht="15.75" customHeight="1" x14ac:dyDescent="0.3">
      <c r="H361" s="123"/>
    </row>
    <row r="362" spans="8:8" ht="15.75" customHeight="1" x14ac:dyDescent="0.3">
      <c r="H362" s="123"/>
    </row>
    <row r="363" spans="8:8" ht="15.75" customHeight="1" x14ac:dyDescent="0.3">
      <c r="H363" s="123"/>
    </row>
    <row r="364" spans="8:8" ht="15.75" customHeight="1" x14ac:dyDescent="0.3">
      <c r="H364" s="123"/>
    </row>
    <row r="365" spans="8:8" ht="15.75" customHeight="1" x14ac:dyDescent="0.3">
      <c r="H365" s="123"/>
    </row>
    <row r="366" spans="8:8" ht="15.75" customHeight="1" x14ac:dyDescent="0.3">
      <c r="H366" s="123"/>
    </row>
    <row r="367" spans="8:8" ht="15.75" customHeight="1" x14ac:dyDescent="0.3">
      <c r="H367" s="123"/>
    </row>
    <row r="368" spans="8:8" ht="15.75" customHeight="1" x14ac:dyDescent="0.3">
      <c r="H368" s="123"/>
    </row>
    <row r="369" spans="8:8" ht="15.75" customHeight="1" x14ac:dyDescent="0.3">
      <c r="H369" s="123"/>
    </row>
    <row r="370" spans="8:8" ht="15.75" customHeight="1" x14ac:dyDescent="0.3">
      <c r="H370" s="123"/>
    </row>
    <row r="371" spans="8:8" ht="15.75" customHeight="1" x14ac:dyDescent="0.3">
      <c r="H371" s="123"/>
    </row>
    <row r="372" spans="8:8" ht="15.75" customHeight="1" x14ac:dyDescent="0.3">
      <c r="H372" s="123"/>
    </row>
    <row r="373" spans="8:8" ht="15.75" customHeight="1" x14ac:dyDescent="0.3">
      <c r="H373" s="123"/>
    </row>
    <row r="374" spans="8:8" ht="15.75" customHeight="1" x14ac:dyDescent="0.3">
      <c r="H374" s="123"/>
    </row>
    <row r="375" spans="8:8" ht="15.75" customHeight="1" x14ac:dyDescent="0.3">
      <c r="H375" s="123"/>
    </row>
    <row r="376" spans="8:8" ht="15.75" customHeight="1" x14ac:dyDescent="0.3">
      <c r="H376" s="123"/>
    </row>
    <row r="377" spans="8:8" ht="15.75" customHeight="1" x14ac:dyDescent="0.3">
      <c r="H377" s="123"/>
    </row>
    <row r="378" spans="8:8" ht="15.75" customHeight="1" x14ac:dyDescent="0.3">
      <c r="H378" s="123"/>
    </row>
    <row r="379" spans="8:8" ht="15.75" customHeight="1" x14ac:dyDescent="0.3">
      <c r="H379" s="123"/>
    </row>
    <row r="380" spans="8:8" ht="15.75" customHeight="1" x14ac:dyDescent="0.3">
      <c r="H380" s="123"/>
    </row>
    <row r="381" spans="8:8" ht="15.75" customHeight="1" x14ac:dyDescent="0.3">
      <c r="H381" s="123"/>
    </row>
    <row r="382" spans="8:8" ht="15.75" customHeight="1" x14ac:dyDescent="0.3">
      <c r="H382" s="123"/>
    </row>
    <row r="383" spans="8:8" ht="15.75" customHeight="1" x14ac:dyDescent="0.3">
      <c r="H383" s="123"/>
    </row>
    <row r="384" spans="8:8" ht="15.75" customHeight="1" x14ac:dyDescent="0.3">
      <c r="H384" s="123"/>
    </row>
    <row r="385" spans="8:8" ht="15.75" customHeight="1" x14ac:dyDescent="0.3">
      <c r="H385" s="123"/>
    </row>
    <row r="386" spans="8:8" ht="15.75" customHeight="1" x14ac:dyDescent="0.3">
      <c r="H386" s="123"/>
    </row>
    <row r="387" spans="8:8" ht="15.75" customHeight="1" x14ac:dyDescent="0.3">
      <c r="H387" s="123"/>
    </row>
    <row r="388" spans="8:8" ht="15.75" customHeight="1" x14ac:dyDescent="0.3">
      <c r="H388" s="123"/>
    </row>
    <row r="389" spans="8:8" ht="15.75" customHeight="1" x14ac:dyDescent="0.3">
      <c r="H389" s="123"/>
    </row>
    <row r="390" spans="8:8" ht="15.75" customHeight="1" x14ac:dyDescent="0.3">
      <c r="H390" s="123"/>
    </row>
    <row r="391" spans="8:8" ht="15.75" customHeight="1" x14ac:dyDescent="0.3">
      <c r="H391" s="123"/>
    </row>
    <row r="392" spans="8:8" ht="15.75" customHeight="1" x14ac:dyDescent="0.3">
      <c r="H392" s="123"/>
    </row>
    <row r="393" spans="8:8" ht="15.75" customHeight="1" x14ac:dyDescent="0.3">
      <c r="H393" s="123"/>
    </row>
    <row r="394" spans="8:8" ht="15.75" customHeight="1" x14ac:dyDescent="0.3">
      <c r="H394" s="123"/>
    </row>
    <row r="395" spans="8:8" ht="15.75" customHeight="1" x14ac:dyDescent="0.3">
      <c r="H395" s="123"/>
    </row>
    <row r="396" spans="8:8" ht="15.75" customHeight="1" x14ac:dyDescent="0.3">
      <c r="H396" s="123"/>
    </row>
    <row r="397" spans="8:8" ht="15.75" customHeight="1" x14ac:dyDescent="0.3">
      <c r="H397" s="123"/>
    </row>
    <row r="398" spans="8:8" ht="15.75" customHeight="1" x14ac:dyDescent="0.3">
      <c r="H398" s="123"/>
    </row>
    <row r="399" spans="8:8" ht="15.75" customHeight="1" x14ac:dyDescent="0.3">
      <c r="H399" s="123"/>
    </row>
    <row r="400" spans="8:8" ht="15.75" customHeight="1" x14ac:dyDescent="0.3">
      <c r="H400" s="123"/>
    </row>
    <row r="401" spans="8:8" ht="15.75" customHeight="1" x14ac:dyDescent="0.3">
      <c r="H401" s="123"/>
    </row>
    <row r="402" spans="8:8" ht="15.75" customHeight="1" x14ac:dyDescent="0.3">
      <c r="H402" s="123"/>
    </row>
    <row r="403" spans="8:8" ht="15.75" customHeight="1" x14ac:dyDescent="0.3">
      <c r="H403" s="123"/>
    </row>
    <row r="404" spans="8:8" ht="15.75" customHeight="1" x14ac:dyDescent="0.3">
      <c r="H404" s="123"/>
    </row>
    <row r="405" spans="8:8" ht="15.75" customHeight="1" x14ac:dyDescent="0.3">
      <c r="H405" s="123"/>
    </row>
    <row r="406" spans="8:8" ht="15.75" customHeight="1" x14ac:dyDescent="0.3">
      <c r="H406" s="123"/>
    </row>
    <row r="407" spans="8:8" ht="15.75" customHeight="1" x14ac:dyDescent="0.3">
      <c r="H407" s="123"/>
    </row>
    <row r="408" spans="8:8" ht="15.75" customHeight="1" x14ac:dyDescent="0.3">
      <c r="H408" s="123"/>
    </row>
    <row r="409" spans="8:8" ht="15.75" customHeight="1" x14ac:dyDescent="0.3">
      <c r="H409" s="123"/>
    </row>
    <row r="410" spans="8:8" ht="15.75" customHeight="1" x14ac:dyDescent="0.3">
      <c r="H410" s="123"/>
    </row>
    <row r="411" spans="8:8" ht="15.75" customHeight="1" x14ac:dyDescent="0.3">
      <c r="H411" s="123"/>
    </row>
    <row r="412" spans="8:8" ht="15.75" customHeight="1" x14ac:dyDescent="0.3">
      <c r="H412" s="123"/>
    </row>
    <row r="413" spans="8:8" ht="15.75" customHeight="1" x14ac:dyDescent="0.3">
      <c r="H413" s="123"/>
    </row>
    <row r="414" spans="8:8" ht="15.75" customHeight="1" x14ac:dyDescent="0.3">
      <c r="H414" s="123"/>
    </row>
    <row r="415" spans="8:8" ht="15.75" customHeight="1" x14ac:dyDescent="0.3">
      <c r="H415" s="123"/>
    </row>
    <row r="416" spans="8:8" ht="15.75" customHeight="1" x14ac:dyDescent="0.3">
      <c r="H416" s="123"/>
    </row>
    <row r="417" spans="8:8" ht="15.75" customHeight="1" x14ac:dyDescent="0.3">
      <c r="H417" s="123"/>
    </row>
    <row r="418" spans="8:8" ht="15.75" customHeight="1" x14ac:dyDescent="0.3">
      <c r="H418" s="123"/>
    </row>
    <row r="419" spans="8:8" ht="15.75" customHeight="1" x14ac:dyDescent="0.3">
      <c r="H419" s="123"/>
    </row>
    <row r="420" spans="8:8" ht="15.75" customHeight="1" x14ac:dyDescent="0.3">
      <c r="H420" s="123"/>
    </row>
    <row r="421" spans="8:8" ht="15.75" customHeight="1" x14ac:dyDescent="0.3">
      <c r="H421" s="123"/>
    </row>
    <row r="422" spans="8:8" ht="15.75" customHeight="1" x14ac:dyDescent="0.3">
      <c r="H422" s="123"/>
    </row>
    <row r="423" spans="8:8" ht="15.75" customHeight="1" x14ac:dyDescent="0.3">
      <c r="H423" s="123"/>
    </row>
    <row r="424" spans="8:8" ht="15.75" customHeight="1" x14ac:dyDescent="0.3">
      <c r="H424" s="123"/>
    </row>
    <row r="425" spans="8:8" ht="15.75" customHeight="1" x14ac:dyDescent="0.3">
      <c r="H425" s="123"/>
    </row>
    <row r="426" spans="8:8" ht="15.75" customHeight="1" x14ac:dyDescent="0.3">
      <c r="H426" s="123"/>
    </row>
    <row r="427" spans="8:8" ht="15.75" customHeight="1" x14ac:dyDescent="0.3">
      <c r="H427" s="123"/>
    </row>
    <row r="428" spans="8:8" ht="15.75" customHeight="1" x14ac:dyDescent="0.3">
      <c r="H428" s="123"/>
    </row>
    <row r="429" spans="8:8" ht="15.75" customHeight="1" x14ac:dyDescent="0.3">
      <c r="H429" s="123"/>
    </row>
    <row r="430" spans="8:8" ht="15.75" customHeight="1" x14ac:dyDescent="0.3">
      <c r="H430" s="123"/>
    </row>
    <row r="431" spans="8:8" ht="15.75" customHeight="1" x14ac:dyDescent="0.3">
      <c r="H431" s="123"/>
    </row>
    <row r="432" spans="8:8" ht="15.75" customHeight="1" x14ac:dyDescent="0.3">
      <c r="H432" s="123"/>
    </row>
    <row r="433" spans="8:8" ht="15.75" customHeight="1" x14ac:dyDescent="0.3">
      <c r="H433" s="123"/>
    </row>
    <row r="434" spans="8:8" ht="15.75" customHeight="1" x14ac:dyDescent="0.3">
      <c r="H434" s="123"/>
    </row>
    <row r="435" spans="8:8" ht="15.75" customHeight="1" x14ac:dyDescent="0.3">
      <c r="H435" s="123"/>
    </row>
    <row r="436" spans="8:8" ht="15.75" customHeight="1" x14ac:dyDescent="0.3">
      <c r="H436" s="123"/>
    </row>
    <row r="437" spans="8:8" ht="15.75" customHeight="1" x14ac:dyDescent="0.3">
      <c r="H437" s="123"/>
    </row>
    <row r="438" spans="8:8" ht="15.75" customHeight="1" x14ac:dyDescent="0.3">
      <c r="H438" s="123"/>
    </row>
    <row r="439" spans="8:8" ht="15.75" customHeight="1" x14ac:dyDescent="0.3">
      <c r="H439" s="123"/>
    </row>
    <row r="440" spans="8:8" ht="15.75" customHeight="1" x14ac:dyDescent="0.3">
      <c r="H440" s="123"/>
    </row>
    <row r="441" spans="8:8" ht="15.75" customHeight="1" x14ac:dyDescent="0.3">
      <c r="H441" s="123"/>
    </row>
    <row r="442" spans="8:8" ht="15.75" customHeight="1" x14ac:dyDescent="0.3">
      <c r="H442" s="123"/>
    </row>
    <row r="443" spans="8:8" ht="15.75" customHeight="1" x14ac:dyDescent="0.3">
      <c r="H443" s="123"/>
    </row>
    <row r="444" spans="8:8" ht="15.75" customHeight="1" x14ac:dyDescent="0.3">
      <c r="H444" s="123"/>
    </row>
    <row r="445" spans="8:8" ht="15.75" customHeight="1" x14ac:dyDescent="0.3">
      <c r="H445" s="123"/>
    </row>
    <row r="446" spans="8:8" ht="15.75" customHeight="1" x14ac:dyDescent="0.3">
      <c r="H446" s="123"/>
    </row>
    <row r="447" spans="8:8" ht="15.75" customHeight="1" x14ac:dyDescent="0.3">
      <c r="H447" s="123"/>
    </row>
    <row r="448" spans="8:8" ht="15.75" customHeight="1" x14ac:dyDescent="0.3">
      <c r="H448" s="123"/>
    </row>
    <row r="449" spans="8:8" ht="15.75" customHeight="1" x14ac:dyDescent="0.3">
      <c r="H449" s="123"/>
    </row>
    <row r="450" spans="8:8" ht="15.75" customHeight="1" x14ac:dyDescent="0.3">
      <c r="H450" s="123"/>
    </row>
    <row r="451" spans="8:8" ht="15.75" customHeight="1" x14ac:dyDescent="0.3">
      <c r="H451" s="123"/>
    </row>
    <row r="452" spans="8:8" ht="15.75" customHeight="1" x14ac:dyDescent="0.3">
      <c r="H452" s="123"/>
    </row>
    <row r="453" spans="8:8" ht="15.75" customHeight="1" x14ac:dyDescent="0.3">
      <c r="H453" s="123"/>
    </row>
    <row r="454" spans="8:8" ht="15.75" customHeight="1" x14ac:dyDescent="0.3">
      <c r="H454" s="123"/>
    </row>
    <row r="455" spans="8:8" ht="15.75" customHeight="1" x14ac:dyDescent="0.3">
      <c r="H455" s="123"/>
    </row>
    <row r="456" spans="8:8" ht="15.75" customHeight="1" x14ac:dyDescent="0.3">
      <c r="H456" s="123"/>
    </row>
    <row r="457" spans="8:8" ht="15.75" customHeight="1" x14ac:dyDescent="0.3">
      <c r="H457" s="123"/>
    </row>
    <row r="458" spans="8:8" ht="15.75" customHeight="1" x14ac:dyDescent="0.3">
      <c r="H458" s="123"/>
    </row>
    <row r="459" spans="8:8" ht="15.75" customHeight="1" x14ac:dyDescent="0.3">
      <c r="H459" s="123"/>
    </row>
    <row r="460" spans="8:8" ht="15.75" customHeight="1" x14ac:dyDescent="0.3">
      <c r="H460" s="123"/>
    </row>
    <row r="461" spans="8:8" ht="15.75" customHeight="1" x14ac:dyDescent="0.3">
      <c r="H461" s="123"/>
    </row>
    <row r="462" spans="8:8" ht="15.75" customHeight="1" x14ac:dyDescent="0.3">
      <c r="H462" s="123"/>
    </row>
    <row r="463" spans="8:8" ht="15.75" customHeight="1" x14ac:dyDescent="0.3">
      <c r="H463" s="123"/>
    </row>
    <row r="464" spans="8:8" ht="15.75" customHeight="1" x14ac:dyDescent="0.3">
      <c r="H464" s="123"/>
    </row>
    <row r="465" spans="8:8" ht="15.75" customHeight="1" x14ac:dyDescent="0.3">
      <c r="H465" s="123"/>
    </row>
    <row r="466" spans="8:8" ht="15.75" customHeight="1" x14ac:dyDescent="0.3">
      <c r="H466" s="123"/>
    </row>
    <row r="467" spans="8:8" ht="15.75" customHeight="1" x14ac:dyDescent="0.3">
      <c r="H467" s="123"/>
    </row>
    <row r="468" spans="8:8" ht="15.75" customHeight="1" x14ac:dyDescent="0.3">
      <c r="H468" s="123"/>
    </row>
    <row r="469" spans="8:8" ht="15.75" customHeight="1" x14ac:dyDescent="0.3">
      <c r="H469" s="123"/>
    </row>
    <row r="470" spans="8:8" ht="15.75" customHeight="1" x14ac:dyDescent="0.3">
      <c r="H470" s="123"/>
    </row>
    <row r="471" spans="8:8" ht="15.75" customHeight="1" x14ac:dyDescent="0.3">
      <c r="H471" s="123"/>
    </row>
    <row r="472" spans="8:8" ht="15.75" customHeight="1" x14ac:dyDescent="0.3">
      <c r="H472" s="123"/>
    </row>
    <row r="473" spans="8:8" ht="15.75" customHeight="1" x14ac:dyDescent="0.3">
      <c r="H473" s="123"/>
    </row>
    <row r="474" spans="8:8" ht="15.75" customHeight="1" x14ac:dyDescent="0.3">
      <c r="H474" s="123"/>
    </row>
    <row r="475" spans="8:8" ht="15.75" customHeight="1" x14ac:dyDescent="0.3">
      <c r="H475" s="123"/>
    </row>
    <row r="476" spans="8:8" ht="15.75" customHeight="1" x14ac:dyDescent="0.3">
      <c r="H476" s="123"/>
    </row>
    <row r="477" spans="8:8" ht="15.75" customHeight="1" x14ac:dyDescent="0.3">
      <c r="H477" s="123"/>
    </row>
    <row r="478" spans="8:8" ht="15.75" customHeight="1" x14ac:dyDescent="0.3">
      <c r="H478" s="123"/>
    </row>
    <row r="479" spans="8:8" ht="15.75" customHeight="1" x14ac:dyDescent="0.3">
      <c r="H479" s="123"/>
    </row>
    <row r="480" spans="8:8" ht="15.75" customHeight="1" x14ac:dyDescent="0.3">
      <c r="H480" s="123"/>
    </row>
    <row r="481" spans="8:8" ht="15.75" customHeight="1" x14ac:dyDescent="0.3">
      <c r="H481" s="123"/>
    </row>
    <row r="482" spans="8:8" ht="15.75" customHeight="1" x14ac:dyDescent="0.3">
      <c r="H482" s="123"/>
    </row>
    <row r="483" spans="8:8" ht="15.75" customHeight="1" x14ac:dyDescent="0.3">
      <c r="H483" s="123"/>
    </row>
    <row r="484" spans="8:8" ht="15.75" customHeight="1" x14ac:dyDescent="0.3">
      <c r="H484" s="123"/>
    </row>
    <row r="485" spans="8:8" ht="15.75" customHeight="1" x14ac:dyDescent="0.3">
      <c r="H485" s="123"/>
    </row>
    <row r="486" spans="8:8" ht="15.75" customHeight="1" x14ac:dyDescent="0.3">
      <c r="H486" s="123"/>
    </row>
    <row r="487" spans="8:8" ht="15.75" customHeight="1" x14ac:dyDescent="0.3">
      <c r="H487" s="123"/>
    </row>
    <row r="488" spans="8:8" ht="15.75" customHeight="1" x14ac:dyDescent="0.3">
      <c r="H488" s="123"/>
    </row>
    <row r="489" spans="8:8" ht="15.75" customHeight="1" x14ac:dyDescent="0.3">
      <c r="H489" s="123"/>
    </row>
    <row r="490" spans="8:8" ht="15.75" customHeight="1" x14ac:dyDescent="0.3">
      <c r="H490" s="123"/>
    </row>
    <row r="491" spans="8:8" ht="15.75" customHeight="1" x14ac:dyDescent="0.3">
      <c r="H491" s="123"/>
    </row>
    <row r="492" spans="8:8" ht="15.75" customHeight="1" x14ac:dyDescent="0.3">
      <c r="H492" s="123"/>
    </row>
    <row r="493" spans="8:8" ht="15.75" customHeight="1" x14ac:dyDescent="0.3">
      <c r="H493" s="123"/>
    </row>
    <row r="494" spans="8:8" ht="15.75" customHeight="1" x14ac:dyDescent="0.3">
      <c r="H494" s="123"/>
    </row>
    <row r="495" spans="8:8" ht="15.75" customHeight="1" x14ac:dyDescent="0.3">
      <c r="H495" s="123"/>
    </row>
    <row r="496" spans="8:8" ht="15.75" customHeight="1" x14ac:dyDescent="0.3">
      <c r="H496" s="123"/>
    </row>
    <row r="497" spans="8:8" ht="15.75" customHeight="1" x14ac:dyDescent="0.3">
      <c r="H497" s="123"/>
    </row>
    <row r="498" spans="8:8" ht="15.75" customHeight="1" x14ac:dyDescent="0.3">
      <c r="H498" s="123"/>
    </row>
    <row r="499" spans="8:8" ht="15.75" customHeight="1" x14ac:dyDescent="0.3">
      <c r="H499" s="123"/>
    </row>
    <row r="500" spans="8:8" ht="15.75" customHeight="1" x14ac:dyDescent="0.3">
      <c r="H500" s="123"/>
    </row>
    <row r="501" spans="8:8" ht="15.75" customHeight="1" x14ac:dyDescent="0.3">
      <c r="H501" s="123"/>
    </row>
    <row r="502" spans="8:8" ht="15.75" customHeight="1" x14ac:dyDescent="0.3">
      <c r="H502" s="123"/>
    </row>
    <row r="503" spans="8:8" ht="15.75" customHeight="1" x14ac:dyDescent="0.3">
      <c r="H503" s="123"/>
    </row>
    <row r="504" spans="8:8" ht="15.75" customHeight="1" x14ac:dyDescent="0.3">
      <c r="H504" s="123"/>
    </row>
    <row r="505" spans="8:8" ht="15.75" customHeight="1" x14ac:dyDescent="0.3">
      <c r="H505" s="123"/>
    </row>
    <row r="506" spans="8:8" ht="15.75" customHeight="1" x14ac:dyDescent="0.3">
      <c r="H506" s="123"/>
    </row>
    <row r="507" spans="8:8" ht="15.75" customHeight="1" x14ac:dyDescent="0.3">
      <c r="H507" s="123"/>
    </row>
    <row r="508" spans="8:8" ht="15.75" customHeight="1" x14ac:dyDescent="0.3">
      <c r="H508" s="123"/>
    </row>
    <row r="509" spans="8:8" ht="15.75" customHeight="1" x14ac:dyDescent="0.3">
      <c r="H509" s="123"/>
    </row>
    <row r="510" spans="8:8" ht="15.75" customHeight="1" x14ac:dyDescent="0.3">
      <c r="H510" s="123"/>
    </row>
    <row r="511" spans="8:8" ht="15.75" customHeight="1" x14ac:dyDescent="0.3">
      <c r="H511" s="123"/>
    </row>
    <row r="512" spans="8:8" ht="15.75" customHeight="1" x14ac:dyDescent="0.3">
      <c r="H512" s="123"/>
    </row>
    <row r="513" spans="8:8" ht="15.75" customHeight="1" x14ac:dyDescent="0.3">
      <c r="H513" s="123"/>
    </row>
    <row r="514" spans="8:8" ht="15.75" customHeight="1" x14ac:dyDescent="0.3">
      <c r="H514" s="123"/>
    </row>
    <row r="515" spans="8:8" ht="15.75" customHeight="1" x14ac:dyDescent="0.3">
      <c r="H515" s="123"/>
    </row>
    <row r="516" spans="8:8" ht="15.75" customHeight="1" x14ac:dyDescent="0.3">
      <c r="H516" s="123"/>
    </row>
    <row r="517" spans="8:8" ht="15.75" customHeight="1" x14ac:dyDescent="0.3">
      <c r="H517" s="123"/>
    </row>
    <row r="518" spans="8:8" ht="15.75" customHeight="1" x14ac:dyDescent="0.3">
      <c r="H518" s="123"/>
    </row>
    <row r="519" spans="8:8" ht="15.75" customHeight="1" x14ac:dyDescent="0.3">
      <c r="H519" s="123"/>
    </row>
    <row r="520" spans="8:8" ht="15.75" customHeight="1" x14ac:dyDescent="0.3">
      <c r="H520" s="123"/>
    </row>
    <row r="521" spans="8:8" ht="15.75" customHeight="1" x14ac:dyDescent="0.3">
      <c r="H521" s="123"/>
    </row>
    <row r="522" spans="8:8" ht="15.75" customHeight="1" x14ac:dyDescent="0.3">
      <c r="H522" s="123"/>
    </row>
    <row r="523" spans="8:8" ht="15.75" customHeight="1" x14ac:dyDescent="0.3">
      <c r="H523" s="123"/>
    </row>
    <row r="524" spans="8:8" ht="15.75" customHeight="1" x14ac:dyDescent="0.3">
      <c r="H524" s="123"/>
    </row>
    <row r="525" spans="8:8" ht="15.75" customHeight="1" x14ac:dyDescent="0.3">
      <c r="H525" s="123"/>
    </row>
    <row r="526" spans="8:8" ht="15.75" customHeight="1" x14ac:dyDescent="0.3">
      <c r="H526" s="123"/>
    </row>
    <row r="527" spans="8:8" ht="15.75" customHeight="1" x14ac:dyDescent="0.3">
      <c r="H527" s="123"/>
    </row>
    <row r="528" spans="8:8" ht="15.75" customHeight="1" x14ac:dyDescent="0.3">
      <c r="H528" s="123"/>
    </row>
    <row r="529" spans="8:8" ht="15.75" customHeight="1" x14ac:dyDescent="0.3">
      <c r="H529" s="123"/>
    </row>
    <row r="530" spans="8:8" ht="15.75" customHeight="1" x14ac:dyDescent="0.3">
      <c r="H530" s="123"/>
    </row>
    <row r="531" spans="8:8" ht="15.75" customHeight="1" x14ac:dyDescent="0.3">
      <c r="H531" s="123"/>
    </row>
    <row r="532" spans="8:8" ht="15.75" customHeight="1" x14ac:dyDescent="0.3">
      <c r="H532" s="123"/>
    </row>
    <row r="533" spans="8:8" ht="15.75" customHeight="1" x14ac:dyDescent="0.3">
      <c r="H533" s="123"/>
    </row>
    <row r="534" spans="8:8" ht="15.75" customHeight="1" x14ac:dyDescent="0.3">
      <c r="H534" s="123"/>
    </row>
    <row r="535" spans="8:8" ht="15.75" customHeight="1" x14ac:dyDescent="0.3">
      <c r="H535" s="123"/>
    </row>
    <row r="536" spans="8:8" ht="15.75" customHeight="1" x14ac:dyDescent="0.3">
      <c r="H536" s="123"/>
    </row>
    <row r="537" spans="8:8" ht="15.75" customHeight="1" x14ac:dyDescent="0.3">
      <c r="H537" s="123"/>
    </row>
    <row r="538" spans="8:8" ht="15.75" customHeight="1" x14ac:dyDescent="0.3">
      <c r="H538" s="123"/>
    </row>
    <row r="539" spans="8:8" ht="15.75" customHeight="1" x14ac:dyDescent="0.3">
      <c r="H539" s="123"/>
    </row>
    <row r="540" spans="8:8" ht="15.75" customHeight="1" x14ac:dyDescent="0.3">
      <c r="H540" s="123"/>
    </row>
    <row r="541" spans="8:8" ht="15.75" customHeight="1" x14ac:dyDescent="0.3">
      <c r="H541" s="123"/>
    </row>
    <row r="542" spans="8:8" ht="15.75" customHeight="1" x14ac:dyDescent="0.3">
      <c r="H542" s="123"/>
    </row>
    <row r="543" spans="8:8" ht="15.75" customHeight="1" x14ac:dyDescent="0.3">
      <c r="H543" s="123"/>
    </row>
    <row r="544" spans="8:8" ht="15.75" customHeight="1" x14ac:dyDescent="0.3">
      <c r="H544" s="123"/>
    </row>
    <row r="545" spans="8:8" ht="15.75" customHeight="1" x14ac:dyDescent="0.3">
      <c r="H545" s="123"/>
    </row>
    <row r="546" spans="8:8" ht="15.75" customHeight="1" x14ac:dyDescent="0.3">
      <c r="H546" s="123"/>
    </row>
    <row r="547" spans="8:8" ht="15.75" customHeight="1" x14ac:dyDescent="0.3">
      <c r="H547" s="123"/>
    </row>
    <row r="548" spans="8:8" ht="15.75" customHeight="1" x14ac:dyDescent="0.3">
      <c r="H548" s="123"/>
    </row>
    <row r="549" spans="8:8" ht="15.75" customHeight="1" x14ac:dyDescent="0.3">
      <c r="H549" s="123"/>
    </row>
    <row r="550" spans="8:8" ht="15.75" customHeight="1" x14ac:dyDescent="0.3">
      <c r="H550" s="123"/>
    </row>
    <row r="551" spans="8:8" ht="15.75" customHeight="1" x14ac:dyDescent="0.3">
      <c r="H551" s="123"/>
    </row>
    <row r="552" spans="8:8" ht="15.75" customHeight="1" x14ac:dyDescent="0.3">
      <c r="H552" s="123"/>
    </row>
    <row r="553" spans="8:8" ht="15.75" customHeight="1" x14ac:dyDescent="0.3">
      <c r="H553" s="123"/>
    </row>
    <row r="554" spans="8:8" ht="15.75" customHeight="1" x14ac:dyDescent="0.3">
      <c r="H554" s="123"/>
    </row>
    <row r="555" spans="8:8" ht="15.75" customHeight="1" x14ac:dyDescent="0.3">
      <c r="H555" s="123"/>
    </row>
    <row r="556" spans="8:8" ht="15.75" customHeight="1" x14ac:dyDescent="0.3">
      <c r="H556" s="123"/>
    </row>
    <row r="557" spans="8:8" ht="15.75" customHeight="1" x14ac:dyDescent="0.3">
      <c r="H557" s="123"/>
    </row>
    <row r="558" spans="8:8" ht="15.75" customHeight="1" x14ac:dyDescent="0.3">
      <c r="H558" s="123"/>
    </row>
    <row r="559" spans="8:8" ht="15.75" customHeight="1" x14ac:dyDescent="0.3">
      <c r="H559" s="123"/>
    </row>
    <row r="560" spans="8:8" ht="15.75" customHeight="1" x14ac:dyDescent="0.3">
      <c r="H560" s="123"/>
    </row>
    <row r="561" spans="8:8" ht="15.75" customHeight="1" x14ac:dyDescent="0.3">
      <c r="H561" s="123"/>
    </row>
    <row r="562" spans="8:8" ht="15.75" customHeight="1" x14ac:dyDescent="0.3">
      <c r="H562" s="123"/>
    </row>
    <row r="563" spans="8:8" ht="15.75" customHeight="1" x14ac:dyDescent="0.3">
      <c r="H563" s="123"/>
    </row>
    <row r="564" spans="8:8" ht="15.75" customHeight="1" x14ac:dyDescent="0.3">
      <c r="H564" s="123"/>
    </row>
    <row r="565" spans="8:8" ht="15.75" customHeight="1" x14ac:dyDescent="0.3">
      <c r="H565" s="123"/>
    </row>
    <row r="566" spans="8:8" ht="15.75" customHeight="1" x14ac:dyDescent="0.3">
      <c r="H566" s="123"/>
    </row>
    <row r="567" spans="8:8" ht="15.75" customHeight="1" x14ac:dyDescent="0.3">
      <c r="H567" s="123"/>
    </row>
    <row r="568" spans="8:8" ht="15.75" customHeight="1" x14ac:dyDescent="0.3">
      <c r="H568" s="123"/>
    </row>
    <row r="569" spans="8:8" ht="15.75" customHeight="1" x14ac:dyDescent="0.3">
      <c r="H569" s="123"/>
    </row>
    <row r="570" spans="8:8" ht="15.75" customHeight="1" x14ac:dyDescent="0.3">
      <c r="H570" s="123"/>
    </row>
    <row r="571" spans="8:8" ht="15.75" customHeight="1" x14ac:dyDescent="0.3">
      <c r="H571" s="123"/>
    </row>
    <row r="572" spans="8:8" ht="15.75" customHeight="1" x14ac:dyDescent="0.3">
      <c r="H572" s="123"/>
    </row>
    <row r="573" spans="8:8" ht="15.75" customHeight="1" x14ac:dyDescent="0.3">
      <c r="H573" s="123"/>
    </row>
    <row r="574" spans="8:8" ht="15.75" customHeight="1" x14ac:dyDescent="0.3">
      <c r="H574" s="123"/>
    </row>
    <row r="575" spans="8:8" ht="15.75" customHeight="1" x14ac:dyDescent="0.3">
      <c r="H575" s="123"/>
    </row>
    <row r="576" spans="8:8" ht="15.75" customHeight="1" x14ac:dyDescent="0.3">
      <c r="H576" s="123"/>
    </row>
    <row r="577" spans="8:8" ht="15.75" customHeight="1" x14ac:dyDescent="0.3">
      <c r="H577" s="123"/>
    </row>
    <row r="578" spans="8:8" ht="15.75" customHeight="1" x14ac:dyDescent="0.3">
      <c r="H578" s="123"/>
    </row>
    <row r="579" spans="8:8" ht="15.75" customHeight="1" x14ac:dyDescent="0.3">
      <c r="H579" s="123"/>
    </row>
    <row r="580" spans="8:8" ht="15.75" customHeight="1" x14ac:dyDescent="0.3">
      <c r="H580" s="123"/>
    </row>
    <row r="581" spans="8:8" ht="15.75" customHeight="1" x14ac:dyDescent="0.3">
      <c r="H581" s="123"/>
    </row>
    <row r="582" spans="8:8" ht="15.75" customHeight="1" x14ac:dyDescent="0.3">
      <c r="H582" s="123"/>
    </row>
    <row r="583" spans="8:8" ht="15.75" customHeight="1" x14ac:dyDescent="0.3">
      <c r="H583" s="123"/>
    </row>
    <row r="584" spans="8:8" ht="15.75" customHeight="1" x14ac:dyDescent="0.3">
      <c r="H584" s="123"/>
    </row>
    <row r="585" spans="8:8" ht="15.75" customHeight="1" x14ac:dyDescent="0.3">
      <c r="H585" s="123"/>
    </row>
    <row r="586" spans="8:8" ht="15.75" customHeight="1" x14ac:dyDescent="0.3">
      <c r="H586" s="123"/>
    </row>
    <row r="587" spans="8:8" ht="15.75" customHeight="1" x14ac:dyDescent="0.3">
      <c r="H587" s="123"/>
    </row>
    <row r="588" spans="8:8" ht="15.75" customHeight="1" x14ac:dyDescent="0.3">
      <c r="H588" s="123"/>
    </row>
    <row r="589" spans="8:8" ht="15.75" customHeight="1" x14ac:dyDescent="0.3">
      <c r="H589" s="123"/>
    </row>
    <row r="590" spans="8:8" ht="15.75" customHeight="1" x14ac:dyDescent="0.3">
      <c r="H590" s="123"/>
    </row>
    <row r="591" spans="8:8" ht="15.75" customHeight="1" x14ac:dyDescent="0.3">
      <c r="H591" s="123"/>
    </row>
    <row r="592" spans="8:8" ht="15.75" customHeight="1" x14ac:dyDescent="0.3">
      <c r="H592" s="123"/>
    </row>
    <row r="593" spans="8:8" ht="15.75" customHeight="1" x14ac:dyDescent="0.3">
      <c r="H593" s="123"/>
    </row>
    <row r="594" spans="8:8" ht="15.75" customHeight="1" x14ac:dyDescent="0.3">
      <c r="H594" s="123"/>
    </row>
    <row r="595" spans="8:8" ht="15.75" customHeight="1" x14ac:dyDescent="0.3">
      <c r="H595" s="123"/>
    </row>
    <row r="596" spans="8:8" ht="15.75" customHeight="1" x14ac:dyDescent="0.3">
      <c r="H596" s="123"/>
    </row>
    <row r="597" spans="8:8" ht="15.75" customHeight="1" x14ac:dyDescent="0.3">
      <c r="H597" s="123"/>
    </row>
    <row r="598" spans="8:8" ht="15.75" customHeight="1" x14ac:dyDescent="0.3">
      <c r="H598" s="123"/>
    </row>
    <row r="599" spans="8:8" ht="15.75" customHeight="1" x14ac:dyDescent="0.3">
      <c r="H599" s="123"/>
    </row>
    <row r="600" spans="8:8" ht="15.75" customHeight="1" x14ac:dyDescent="0.3">
      <c r="H600" s="123"/>
    </row>
    <row r="601" spans="8:8" ht="15.75" customHeight="1" x14ac:dyDescent="0.3">
      <c r="H601" s="123"/>
    </row>
    <row r="602" spans="8:8" ht="15.75" customHeight="1" x14ac:dyDescent="0.3">
      <c r="H602" s="123"/>
    </row>
    <row r="603" spans="8:8" ht="15.75" customHeight="1" x14ac:dyDescent="0.3">
      <c r="H603" s="123"/>
    </row>
    <row r="604" spans="8:8" ht="15.75" customHeight="1" x14ac:dyDescent="0.3">
      <c r="H604" s="123"/>
    </row>
    <row r="605" spans="8:8" ht="15.75" customHeight="1" x14ac:dyDescent="0.3">
      <c r="H605" s="123"/>
    </row>
    <row r="606" spans="8:8" ht="15.75" customHeight="1" x14ac:dyDescent="0.3">
      <c r="H606" s="123"/>
    </row>
    <row r="607" spans="8:8" ht="15.75" customHeight="1" x14ac:dyDescent="0.3">
      <c r="H607" s="123"/>
    </row>
    <row r="608" spans="8:8" ht="15.75" customHeight="1" x14ac:dyDescent="0.3">
      <c r="H608" s="123"/>
    </row>
    <row r="609" spans="8:8" ht="15.75" customHeight="1" x14ac:dyDescent="0.3">
      <c r="H609" s="123"/>
    </row>
    <row r="610" spans="8:8" ht="15.75" customHeight="1" x14ac:dyDescent="0.3">
      <c r="H610" s="123"/>
    </row>
    <row r="611" spans="8:8" ht="15.75" customHeight="1" x14ac:dyDescent="0.3">
      <c r="H611" s="123"/>
    </row>
    <row r="612" spans="8:8" ht="15.75" customHeight="1" x14ac:dyDescent="0.3">
      <c r="H612" s="123"/>
    </row>
    <row r="613" spans="8:8" ht="15.75" customHeight="1" x14ac:dyDescent="0.3">
      <c r="H613" s="123"/>
    </row>
    <row r="614" spans="8:8" ht="15.75" customHeight="1" x14ac:dyDescent="0.3">
      <c r="H614" s="123"/>
    </row>
    <row r="615" spans="8:8" ht="15.75" customHeight="1" x14ac:dyDescent="0.3">
      <c r="H615" s="123"/>
    </row>
    <row r="616" spans="8:8" ht="15.75" customHeight="1" x14ac:dyDescent="0.3">
      <c r="H616" s="123"/>
    </row>
    <row r="617" spans="8:8" ht="15.75" customHeight="1" x14ac:dyDescent="0.3">
      <c r="H617" s="123"/>
    </row>
    <row r="618" spans="8:8" ht="15.75" customHeight="1" x14ac:dyDescent="0.3">
      <c r="H618" s="123"/>
    </row>
    <row r="619" spans="8:8" ht="15.75" customHeight="1" x14ac:dyDescent="0.3">
      <c r="H619" s="123"/>
    </row>
    <row r="620" spans="8:8" ht="15.75" customHeight="1" x14ac:dyDescent="0.3">
      <c r="H620" s="123"/>
    </row>
    <row r="621" spans="8:8" ht="15.75" customHeight="1" x14ac:dyDescent="0.3">
      <c r="H621" s="123"/>
    </row>
    <row r="622" spans="8:8" ht="15.75" customHeight="1" x14ac:dyDescent="0.3">
      <c r="H622" s="123"/>
    </row>
    <row r="623" spans="8:8" ht="15.75" customHeight="1" x14ac:dyDescent="0.3">
      <c r="H623" s="123"/>
    </row>
    <row r="624" spans="8:8" ht="15.75" customHeight="1" x14ac:dyDescent="0.3">
      <c r="H624" s="123"/>
    </row>
    <row r="625" spans="8:8" ht="15.75" customHeight="1" x14ac:dyDescent="0.3">
      <c r="H625" s="123"/>
    </row>
    <row r="626" spans="8:8" ht="15.75" customHeight="1" x14ac:dyDescent="0.3">
      <c r="H626" s="123"/>
    </row>
    <row r="627" spans="8:8" ht="15.75" customHeight="1" x14ac:dyDescent="0.3">
      <c r="H627" s="123"/>
    </row>
    <row r="628" spans="8:8" ht="15.75" customHeight="1" x14ac:dyDescent="0.3">
      <c r="H628" s="123"/>
    </row>
    <row r="629" spans="8:8" ht="15.75" customHeight="1" x14ac:dyDescent="0.3">
      <c r="H629" s="123"/>
    </row>
    <row r="630" spans="8:8" ht="15.75" customHeight="1" x14ac:dyDescent="0.3">
      <c r="H630" s="123"/>
    </row>
    <row r="631" spans="8:8" ht="15.75" customHeight="1" x14ac:dyDescent="0.3">
      <c r="H631" s="123"/>
    </row>
    <row r="632" spans="8:8" ht="15.75" customHeight="1" x14ac:dyDescent="0.3">
      <c r="H632" s="123"/>
    </row>
    <row r="633" spans="8:8" ht="15.75" customHeight="1" x14ac:dyDescent="0.3">
      <c r="H633" s="123"/>
    </row>
    <row r="634" spans="8:8" ht="15.75" customHeight="1" x14ac:dyDescent="0.3">
      <c r="H634" s="123"/>
    </row>
    <row r="635" spans="8:8" ht="15.75" customHeight="1" x14ac:dyDescent="0.3">
      <c r="H635" s="123"/>
    </row>
    <row r="636" spans="8:8" ht="15.75" customHeight="1" x14ac:dyDescent="0.3">
      <c r="H636" s="123"/>
    </row>
    <row r="637" spans="8:8" ht="15.75" customHeight="1" x14ac:dyDescent="0.3">
      <c r="H637" s="123"/>
    </row>
    <row r="638" spans="8:8" ht="15.75" customHeight="1" x14ac:dyDescent="0.3">
      <c r="H638" s="123"/>
    </row>
    <row r="639" spans="8:8" ht="15.75" customHeight="1" x14ac:dyDescent="0.3">
      <c r="H639" s="123"/>
    </row>
    <row r="640" spans="8:8" ht="15.75" customHeight="1" x14ac:dyDescent="0.3">
      <c r="H640" s="123"/>
    </row>
    <row r="641" spans="8:8" ht="15.75" customHeight="1" x14ac:dyDescent="0.3">
      <c r="H641" s="123"/>
    </row>
    <row r="642" spans="8:8" ht="15.75" customHeight="1" x14ac:dyDescent="0.3">
      <c r="H642" s="123"/>
    </row>
    <row r="643" spans="8:8" ht="15.75" customHeight="1" x14ac:dyDescent="0.3">
      <c r="H643" s="123"/>
    </row>
    <row r="644" spans="8:8" ht="15.75" customHeight="1" x14ac:dyDescent="0.3">
      <c r="H644" s="123"/>
    </row>
    <row r="645" spans="8:8" ht="15.75" customHeight="1" x14ac:dyDescent="0.3">
      <c r="H645" s="123"/>
    </row>
    <row r="646" spans="8:8" ht="15.75" customHeight="1" x14ac:dyDescent="0.3">
      <c r="H646" s="123"/>
    </row>
    <row r="647" spans="8:8" ht="15.75" customHeight="1" x14ac:dyDescent="0.3">
      <c r="H647" s="123"/>
    </row>
    <row r="648" spans="8:8" ht="15.75" customHeight="1" x14ac:dyDescent="0.3">
      <c r="H648" s="123"/>
    </row>
    <row r="649" spans="8:8" ht="15.75" customHeight="1" x14ac:dyDescent="0.3">
      <c r="H649" s="123"/>
    </row>
    <row r="650" spans="8:8" ht="15.75" customHeight="1" x14ac:dyDescent="0.3">
      <c r="H650" s="123"/>
    </row>
    <row r="651" spans="8:8" ht="15.75" customHeight="1" x14ac:dyDescent="0.3">
      <c r="H651" s="123"/>
    </row>
    <row r="652" spans="8:8" ht="15.75" customHeight="1" x14ac:dyDescent="0.3">
      <c r="H652" s="123"/>
    </row>
    <row r="653" spans="8:8" ht="15.75" customHeight="1" x14ac:dyDescent="0.3">
      <c r="H653" s="123"/>
    </row>
    <row r="654" spans="8:8" ht="15.75" customHeight="1" x14ac:dyDescent="0.3">
      <c r="H654" s="123"/>
    </row>
    <row r="655" spans="8:8" ht="15.75" customHeight="1" x14ac:dyDescent="0.3">
      <c r="H655" s="123"/>
    </row>
    <row r="656" spans="8:8" ht="15.75" customHeight="1" x14ac:dyDescent="0.3">
      <c r="H656" s="123"/>
    </row>
    <row r="657" spans="8:8" ht="15.75" customHeight="1" x14ac:dyDescent="0.3">
      <c r="H657" s="123"/>
    </row>
    <row r="658" spans="8:8" ht="15.75" customHeight="1" x14ac:dyDescent="0.3">
      <c r="H658" s="123"/>
    </row>
    <row r="659" spans="8:8" ht="15.75" customHeight="1" x14ac:dyDescent="0.3">
      <c r="H659" s="123"/>
    </row>
    <row r="660" spans="8:8" ht="15.75" customHeight="1" x14ac:dyDescent="0.3">
      <c r="H660" s="123"/>
    </row>
    <row r="661" spans="8:8" ht="15.75" customHeight="1" x14ac:dyDescent="0.3">
      <c r="H661" s="123"/>
    </row>
    <row r="662" spans="8:8" ht="15.75" customHeight="1" x14ac:dyDescent="0.3">
      <c r="H662" s="123"/>
    </row>
    <row r="663" spans="8:8" ht="15.75" customHeight="1" x14ac:dyDescent="0.3">
      <c r="H663" s="123"/>
    </row>
    <row r="664" spans="8:8" ht="15.75" customHeight="1" x14ac:dyDescent="0.3">
      <c r="H664" s="123"/>
    </row>
    <row r="665" spans="8:8" ht="15.75" customHeight="1" x14ac:dyDescent="0.3">
      <c r="H665" s="123"/>
    </row>
    <row r="666" spans="8:8" ht="15.75" customHeight="1" x14ac:dyDescent="0.3">
      <c r="H666" s="123"/>
    </row>
    <row r="667" spans="8:8" ht="15.75" customHeight="1" x14ac:dyDescent="0.3">
      <c r="H667" s="123"/>
    </row>
    <row r="668" spans="8:8" ht="15.75" customHeight="1" x14ac:dyDescent="0.3">
      <c r="H668" s="123"/>
    </row>
    <row r="669" spans="8:8" ht="15.75" customHeight="1" x14ac:dyDescent="0.3">
      <c r="H669" s="123"/>
    </row>
    <row r="670" spans="8:8" ht="15.75" customHeight="1" x14ac:dyDescent="0.3">
      <c r="H670" s="123"/>
    </row>
    <row r="671" spans="8:8" ht="15.75" customHeight="1" x14ac:dyDescent="0.3">
      <c r="H671" s="123"/>
    </row>
    <row r="672" spans="8:8" ht="15.75" customHeight="1" x14ac:dyDescent="0.3">
      <c r="H672" s="123"/>
    </row>
    <row r="673" spans="8:8" ht="15.75" customHeight="1" x14ac:dyDescent="0.3">
      <c r="H673" s="123"/>
    </row>
    <row r="674" spans="8:8" ht="15.75" customHeight="1" x14ac:dyDescent="0.3">
      <c r="H674" s="123"/>
    </row>
    <row r="675" spans="8:8" ht="15.75" customHeight="1" x14ac:dyDescent="0.3">
      <c r="H675" s="123"/>
    </row>
    <row r="676" spans="8:8" ht="15.75" customHeight="1" x14ac:dyDescent="0.3">
      <c r="H676" s="123"/>
    </row>
    <row r="677" spans="8:8" ht="15.75" customHeight="1" x14ac:dyDescent="0.3">
      <c r="H677" s="123"/>
    </row>
    <row r="678" spans="8:8" ht="15.75" customHeight="1" x14ac:dyDescent="0.3">
      <c r="H678" s="123"/>
    </row>
    <row r="679" spans="8:8" ht="15.75" customHeight="1" x14ac:dyDescent="0.3">
      <c r="H679" s="123"/>
    </row>
    <row r="680" spans="8:8" ht="15.75" customHeight="1" x14ac:dyDescent="0.3">
      <c r="H680" s="123"/>
    </row>
    <row r="681" spans="8:8" ht="15.75" customHeight="1" x14ac:dyDescent="0.3">
      <c r="H681" s="123"/>
    </row>
    <row r="682" spans="8:8" ht="15.75" customHeight="1" x14ac:dyDescent="0.3">
      <c r="H682" s="123"/>
    </row>
    <row r="683" spans="8:8" ht="15.75" customHeight="1" x14ac:dyDescent="0.3">
      <c r="H683" s="123"/>
    </row>
    <row r="684" spans="8:8" ht="15.75" customHeight="1" x14ac:dyDescent="0.3">
      <c r="H684" s="123"/>
    </row>
    <row r="685" spans="8:8" ht="15.75" customHeight="1" x14ac:dyDescent="0.3">
      <c r="H685" s="123"/>
    </row>
    <row r="686" spans="8:8" ht="15.75" customHeight="1" x14ac:dyDescent="0.3">
      <c r="H686" s="123"/>
    </row>
    <row r="687" spans="8:8" ht="15.75" customHeight="1" x14ac:dyDescent="0.3">
      <c r="H687" s="123"/>
    </row>
    <row r="688" spans="8:8" ht="15.75" customHeight="1" x14ac:dyDescent="0.3">
      <c r="H688" s="123"/>
    </row>
    <row r="689" spans="8:8" ht="15.75" customHeight="1" x14ac:dyDescent="0.3">
      <c r="H689" s="123"/>
    </row>
    <row r="690" spans="8:8" ht="15.75" customHeight="1" x14ac:dyDescent="0.3">
      <c r="H690" s="123"/>
    </row>
    <row r="691" spans="8:8" ht="15.75" customHeight="1" x14ac:dyDescent="0.3">
      <c r="H691" s="123"/>
    </row>
    <row r="692" spans="8:8" ht="15.75" customHeight="1" x14ac:dyDescent="0.3">
      <c r="H692" s="123"/>
    </row>
    <row r="693" spans="8:8" ht="15.75" customHeight="1" x14ac:dyDescent="0.3">
      <c r="H693" s="123"/>
    </row>
    <row r="694" spans="8:8" ht="15.75" customHeight="1" x14ac:dyDescent="0.3">
      <c r="H694" s="123"/>
    </row>
    <row r="695" spans="8:8" ht="15.75" customHeight="1" x14ac:dyDescent="0.3">
      <c r="H695" s="123"/>
    </row>
    <row r="696" spans="8:8" ht="15.75" customHeight="1" x14ac:dyDescent="0.3">
      <c r="H696" s="123"/>
    </row>
    <row r="697" spans="8:8" ht="15.75" customHeight="1" x14ac:dyDescent="0.3">
      <c r="H697" s="123"/>
    </row>
    <row r="698" spans="8:8" ht="15.75" customHeight="1" x14ac:dyDescent="0.3">
      <c r="H698" s="123"/>
    </row>
    <row r="699" spans="8:8" ht="15.75" customHeight="1" x14ac:dyDescent="0.3">
      <c r="H699" s="123"/>
    </row>
    <row r="700" spans="8:8" ht="15.75" customHeight="1" x14ac:dyDescent="0.3">
      <c r="H700" s="123"/>
    </row>
    <row r="701" spans="8:8" ht="15.75" customHeight="1" x14ac:dyDescent="0.3">
      <c r="H701" s="123"/>
    </row>
    <row r="702" spans="8:8" ht="15.75" customHeight="1" x14ac:dyDescent="0.3">
      <c r="H702" s="123"/>
    </row>
    <row r="703" spans="8:8" ht="15.75" customHeight="1" x14ac:dyDescent="0.3">
      <c r="H703" s="123"/>
    </row>
    <row r="704" spans="8:8" ht="15.75" customHeight="1" x14ac:dyDescent="0.3">
      <c r="H704" s="123"/>
    </row>
    <row r="705" spans="8:8" ht="15.75" customHeight="1" x14ac:dyDescent="0.3">
      <c r="H705" s="123"/>
    </row>
    <row r="706" spans="8:8" ht="15.75" customHeight="1" x14ac:dyDescent="0.3">
      <c r="H706" s="123"/>
    </row>
    <row r="707" spans="8:8" ht="15.75" customHeight="1" x14ac:dyDescent="0.3">
      <c r="H707" s="123"/>
    </row>
    <row r="708" spans="8:8" ht="15.75" customHeight="1" x14ac:dyDescent="0.3">
      <c r="H708" s="123"/>
    </row>
    <row r="709" spans="8:8" ht="15.75" customHeight="1" x14ac:dyDescent="0.3">
      <c r="H709" s="123"/>
    </row>
    <row r="710" spans="8:8" ht="15.75" customHeight="1" x14ac:dyDescent="0.3">
      <c r="H710" s="123"/>
    </row>
    <row r="711" spans="8:8" ht="15.75" customHeight="1" x14ac:dyDescent="0.3">
      <c r="H711" s="123"/>
    </row>
    <row r="712" spans="8:8" ht="15.75" customHeight="1" x14ac:dyDescent="0.3">
      <c r="H712" s="123"/>
    </row>
    <row r="713" spans="8:8" ht="15.75" customHeight="1" x14ac:dyDescent="0.3">
      <c r="H713" s="123"/>
    </row>
    <row r="714" spans="8:8" ht="15.75" customHeight="1" x14ac:dyDescent="0.3">
      <c r="H714" s="123"/>
    </row>
    <row r="715" spans="8:8" ht="15.75" customHeight="1" x14ac:dyDescent="0.3">
      <c r="H715" s="123"/>
    </row>
    <row r="716" spans="8:8" ht="15.75" customHeight="1" x14ac:dyDescent="0.3">
      <c r="H716" s="123"/>
    </row>
    <row r="717" spans="8:8" ht="15.75" customHeight="1" x14ac:dyDescent="0.3">
      <c r="H717" s="123"/>
    </row>
    <row r="718" spans="8:8" ht="15.75" customHeight="1" x14ac:dyDescent="0.3">
      <c r="H718" s="123"/>
    </row>
    <row r="719" spans="8:8" ht="15.75" customHeight="1" x14ac:dyDescent="0.3">
      <c r="H719" s="123"/>
    </row>
    <row r="720" spans="8:8" ht="15.75" customHeight="1" x14ac:dyDescent="0.3">
      <c r="H720" s="123"/>
    </row>
    <row r="721" spans="8:8" ht="15.75" customHeight="1" x14ac:dyDescent="0.3">
      <c r="H721" s="123"/>
    </row>
    <row r="722" spans="8:8" ht="15.75" customHeight="1" x14ac:dyDescent="0.3">
      <c r="H722" s="123"/>
    </row>
    <row r="723" spans="8:8" ht="15.75" customHeight="1" x14ac:dyDescent="0.3">
      <c r="H723" s="123"/>
    </row>
    <row r="724" spans="8:8" ht="15.75" customHeight="1" x14ac:dyDescent="0.3">
      <c r="H724" s="123"/>
    </row>
    <row r="725" spans="8:8" ht="15.75" customHeight="1" x14ac:dyDescent="0.3">
      <c r="H725" s="123"/>
    </row>
    <row r="726" spans="8:8" ht="15.75" customHeight="1" x14ac:dyDescent="0.3">
      <c r="H726" s="123"/>
    </row>
    <row r="727" spans="8:8" ht="15.75" customHeight="1" x14ac:dyDescent="0.3">
      <c r="H727" s="123"/>
    </row>
    <row r="728" spans="8:8" ht="15.75" customHeight="1" x14ac:dyDescent="0.3">
      <c r="H728" s="123"/>
    </row>
    <row r="729" spans="8:8" ht="15.75" customHeight="1" x14ac:dyDescent="0.3">
      <c r="H729" s="123"/>
    </row>
    <row r="730" spans="8:8" ht="15.75" customHeight="1" x14ac:dyDescent="0.3">
      <c r="H730" s="123"/>
    </row>
    <row r="731" spans="8:8" ht="15.75" customHeight="1" x14ac:dyDescent="0.3">
      <c r="H731" s="123"/>
    </row>
    <row r="732" spans="8:8" ht="15.75" customHeight="1" x14ac:dyDescent="0.3">
      <c r="H732" s="123"/>
    </row>
    <row r="733" spans="8:8" ht="15.75" customHeight="1" x14ac:dyDescent="0.3">
      <c r="H733" s="123"/>
    </row>
    <row r="734" spans="8:8" ht="15.75" customHeight="1" x14ac:dyDescent="0.3">
      <c r="H734" s="123"/>
    </row>
    <row r="735" spans="8:8" ht="15.75" customHeight="1" x14ac:dyDescent="0.3">
      <c r="H735" s="123"/>
    </row>
    <row r="736" spans="8:8" ht="15.75" customHeight="1" x14ac:dyDescent="0.3">
      <c r="H736" s="123"/>
    </row>
    <row r="737" spans="8:8" ht="15.75" customHeight="1" x14ac:dyDescent="0.3">
      <c r="H737" s="123"/>
    </row>
    <row r="738" spans="8:8" ht="15.75" customHeight="1" x14ac:dyDescent="0.3">
      <c r="H738" s="123"/>
    </row>
    <row r="739" spans="8:8" ht="15.75" customHeight="1" x14ac:dyDescent="0.3">
      <c r="H739" s="123"/>
    </row>
    <row r="740" spans="8:8" ht="15.75" customHeight="1" x14ac:dyDescent="0.3">
      <c r="H740" s="123"/>
    </row>
    <row r="741" spans="8:8" ht="15.75" customHeight="1" x14ac:dyDescent="0.3">
      <c r="H741" s="123"/>
    </row>
    <row r="742" spans="8:8" ht="15.75" customHeight="1" x14ac:dyDescent="0.3">
      <c r="H742" s="123"/>
    </row>
    <row r="743" spans="8:8" ht="15.75" customHeight="1" x14ac:dyDescent="0.3">
      <c r="H743" s="123"/>
    </row>
    <row r="744" spans="8:8" ht="15.75" customHeight="1" x14ac:dyDescent="0.3">
      <c r="H744" s="123"/>
    </row>
    <row r="745" spans="8:8" ht="15.75" customHeight="1" x14ac:dyDescent="0.3">
      <c r="H745" s="123"/>
    </row>
    <row r="746" spans="8:8" ht="15.75" customHeight="1" x14ac:dyDescent="0.3">
      <c r="H746" s="123"/>
    </row>
    <row r="747" spans="8:8" ht="15.75" customHeight="1" x14ac:dyDescent="0.3">
      <c r="H747" s="123"/>
    </row>
    <row r="748" spans="8:8" ht="15.75" customHeight="1" x14ac:dyDescent="0.3">
      <c r="H748" s="123"/>
    </row>
    <row r="749" spans="8:8" ht="15.75" customHeight="1" x14ac:dyDescent="0.3">
      <c r="H749" s="123"/>
    </row>
    <row r="750" spans="8:8" ht="15.75" customHeight="1" x14ac:dyDescent="0.3">
      <c r="H750" s="123"/>
    </row>
    <row r="751" spans="8:8" ht="15.75" customHeight="1" x14ac:dyDescent="0.3">
      <c r="H751" s="123"/>
    </row>
    <row r="752" spans="8:8" ht="15.75" customHeight="1" x14ac:dyDescent="0.3">
      <c r="H752" s="123"/>
    </row>
    <row r="753" spans="8:8" ht="15.75" customHeight="1" x14ac:dyDescent="0.3">
      <c r="H753" s="123"/>
    </row>
    <row r="754" spans="8:8" ht="15.75" customHeight="1" x14ac:dyDescent="0.3">
      <c r="H754" s="123"/>
    </row>
    <row r="755" spans="8:8" ht="15.75" customHeight="1" x14ac:dyDescent="0.3">
      <c r="H755" s="123"/>
    </row>
    <row r="756" spans="8:8" ht="15.75" customHeight="1" x14ac:dyDescent="0.3">
      <c r="H756" s="123"/>
    </row>
    <row r="757" spans="8:8" ht="15.75" customHeight="1" x14ac:dyDescent="0.3">
      <c r="H757" s="123"/>
    </row>
    <row r="758" spans="8:8" ht="15.75" customHeight="1" x14ac:dyDescent="0.3">
      <c r="H758" s="123"/>
    </row>
    <row r="759" spans="8:8" ht="15.75" customHeight="1" x14ac:dyDescent="0.3">
      <c r="H759" s="123"/>
    </row>
    <row r="760" spans="8:8" ht="15.75" customHeight="1" x14ac:dyDescent="0.3">
      <c r="H760" s="123"/>
    </row>
    <row r="761" spans="8:8" ht="15.75" customHeight="1" x14ac:dyDescent="0.3">
      <c r="H761" s="123"/>
    </row>
    <row r="762" spans="8:8" ht="15.75" customHeight="1" x14ac:dyDescent="0.3">
      <c r="H762" s="123"/>
    </row>
    <row r="763" spans="8:8" ht="15.75" customHeight="1" x14ac:dyDescent="0.3">
      <c r="H763" s="123"/>
    </row>
    <row r="764" spans="8:8" ht="15.75" customHeight="1" x14ac:dyDescent="0.3">
      <c r="H764" s="123"/>
    </row>
    <row r="765" spans="8:8" ht="15.75" customHeight="1" x14ac:dyDescent="0.3">
      <c r="H765" s="123"/>
    </row>
    <row r="766" spans="8:8" ht="15.75" customHeight="1" x14ac:dyDescent="0.3">
      <c r="H766" s="123"/>
    </row>
    <row r="767" spans="8:8" ht="15.75" customHeight="1" x14ac:dyDescent="0.3">
      <c r="H767" s="123"/>
    </row>
    <row r="768" spans="8:8" ht="15.75" customHeight="1" x14ac:dyDescent="0.3">
      <c r="H768" s="123"/>
    </row>
    <row r="769" spans="8:8" ht="15.75" customHeight="1" x14ac:dyDescent="0.3">
      <c r="H769" s="123"/>
    </row>
    <row r="770" spans="8:8" ht="15.75" customHeight="1" x14ac:dyDescent="0.3">
      <c r="H770" s="123"/>
    </row>
    <row r="771" spans="8:8" ht="15.75" customHeight="1" x14ac:dyDescent="0.3">
      <c r="H771" s="123"/>
    </row>
    <row r="772" spans="8:8" ht="15.75" customHeight="1" x14ac:dyDescent="0.3">
      <c r="H772" s="123"/>
    </row>
    <row r="773" spans="8:8" ht="15.75" customHeight="1" x14ac:dyDescent="0.3">
      <c r="H773" s="123"/>
    </row>
    <row r="774" spans="8:8" ht="15.75" customHeight="1" x14ac:dyDescent="0.3">
      <c r="H774" s="123"/>
    </row>
    <row r="775" spans="8:8" ht="15.75" customHeight="1" x14ac:dyDescent="0.3">
      <c r="H775" s="123"/>
    </row>
    <row r="776" spans="8:8" ht="15.75" customHeight="1" x14ac:dyDescent="0.3">
      <c r="H776" s="123"/>
    </row>
    <row r="777" spans="8:8" ht="15.75" customHeight="1" x14ac:dyDescent="0.3">
      <c r="H777" s="123"/>
    </row>
    <row r="778" spans="8:8" ht="15.75" customHeight="1" x14ac:dyDescent="0.3">
      <c r="H778" s="123"/>
    </row>
    <row r="779" spans="8:8" ht="15.75" customHeight="1" x14ac:dyDescent="0.3">
      <c r="H779" s="123"/>
    </row>
    <row r="780" spans="8:8" ht="15.75" customHeight="1" x14ac:dyDescent="0.3">
      <c r="H780" s="123"/>
    </row>
    <row r="781" spans="8:8" ht="15.75" customHeight="1" x14ac:dyDescent="0.3">
      <c r="H781" s="123"/>
    </row>
    <row r="782" spans="8:8" ht="15.75" customHeight="1" x14ac:dyDescent="0.3">
      <c r="H782" s="123"/>
    </row>
    <row r="783" spans="8:8" ht="15.75" customHeight="1" x14ac:dyDescent="0.3">
      <c r="H783" s="123"/>
    </row>
    <row r="784" spans="8:8" ht="15.75" customHeight="1" x14ac:dyDescent="0.3">
      <c r="H784" s="123"/>
    </row>
    <row r="785" spans="8:8" ht="15.75" customHeight="1" x14ac:dyDescent="0.3">
      <c r="H785" s="123"/>
    </row>
    <row r="786" spans="8:8" ht="15.75" customHeight="1" x14ac:dyDescent="0.3">
      <c r="H786" s="123"/>
    </row>
    <row r="787" spans="8:8" ht="15.75" customHeight="1" x14ac:dyDescent="0.3">
      <c r="H787" s="123"/>
    </row>
    <row r="788" spans="8:8" ht="15.75" customHeight="1" x14ac:dyDescent="0.3">
      <c r="H788" s="123"/>
    </row>
    <row r="789" spans="8:8" ht="15.75" customHeight="1" x14ac:dyDescent="0.3">
      <c r="H789" s="123"/>
    </row>
    <row r="790" spans="8:8" ht="15.75" customHeight="1" x14ac:dyDescent="0.3">
      <c r="H790" s="123"/>
    </row>
    <row r="791" spans="8:8" ht="15.75" customHeight="1" x14ac:dyDescent="0.3">
      <c r="H791" s="123"/>
    </row>
    <row r="792" spans="8:8" ht="15.75" customHeight="1" x14ac:dyDescent="0.3">
      <c r="H792" s="123"/>
    </row>
    <row r="793" spans="8:8" ht="15.75" customHeight="1" x14ac:dyDescent="0.3">
      <c r="H793" s="123"/>
    </row>
    <row r="794" spans="8:8" ht="15.75" customHeight="1" x14ac:dyDescent="0.3">
      <c r="H794" s="123"/>
    </row>
    <row r="795" spans="8:8" ht="15.75" customHeight="1" x14ac:dyDescent="0.3">
      <c r="H795" s="123"/>
    </row>
    <row r="796" spans="8:8" ht="15.75" customHeight="1" x14ac:dyDescent="0.3">
      <c r="H796" s="123"/>
    </row>
    <row r="797" spans="8:8" ht="15.75" customHeight="1" x14ac:dyDescent="0.3">
      <c r="H797" s="123"/>
    </row>
    <row r="798" spans="8:8" ht="15.75" customHeight="1" x14ac:dyDescent="0.3">
      <c r="H798" s="123"/>
    </row>
    <row r="799" spans="8:8" ht="15.75" customHeight="1" x14ac:dyDescent="0.3">
      <c r="H799" s="123"/>
    </row>
    <row r="800" spans="8:8" ht="15.75" customHeight="1" x14ac:dyDescent="0.3">
      <c r="H800" s="123"/>
    </row>
    <row r="801" spans="8:8" ht="15.75" customHeight="1" x14ac:dyDescent="0.3">
      <c r="H801" s="123"/>
    </row>
    <row r="802" spans="8:8" ht="15.75" customHeight="1" x14ac:dyDescent="0.3">
      <c r="H802" s="123"/>
    </row>
    <row r="803" spans="8:8" ht="15.75" customHeight="1" x14ac:dyDescent="0.3">
      <c r="H803" s="123"/>
    </row>
    <row r="804" spans="8:8" ht="15.75" customHeight="1" x14ac:dyDescent="0.3">
      <c r="H804" s="123"/>
    </row>
    <row r="805" spans="8:8" ht="15.75" customHeight="1" x14ac:dyDescent="0.3">
      <c r="H805" s="123"/>
    </row>
    <row r="806" spans="8:8" ht="15.75" customHeight="1" x14ac:dyDescent="0.3">
      <c r="H806" s="123"/>
    </row>
    <row r="807" spans="8:8" ht="15.75" customHeight="1" x14ac:dyDescent="0.3">
      <c r="H807" s="123"/>
    </row>
    <row r="808" spans="8:8" ht="15.75" customHeight="1" x14ac:dyDescent="0.3">
      <c r="H808" s="123"/>
    </row>
    <row r="809" spans="8:8" ht="15.75" customHeight="1" x14ac:dyDescent="0.3">
      <c r="H809" s="123"/>
    </row>
    <row r="810" spans="8:8" ht="15.75" customHeight="1" x14ac:dyDescent="0.3">
      <c r="H810" s="123"/>
    </row>
    <row r="811" spans="8:8" ht="15.75" customHeight="1" x14ac:dyDescent="0.3">
      <c r="H811" s="123"/>
    </row>
    <row r="812" spans="8:8" ht="15.75" customHeight="1" x14ac:dyDescent="0.3">
      <c r="H812" s="123"/>
    </row>
    <row r="813" spans="8:8" ht="15.75" customHeight="1" x14ac:dyDescent="0.3">
      <c r="H813" s="123"/>
    </row>
    <row r="814" spans="8:8" ht="15.75" customHeight="1" x14ac:dyDescent="0.3">
      <c r="H814" s="123"/>
    </row>
    <row r="815" spans="8:8" ht="15.75" customHeight="1" x14ac:dyDescent="0.3">
      <c r="H815" s="123"/>
    </row>
    <row r="816" spans="8:8" ht="15.75" customHeight="1" x14ac:dyDescent="0.3">
      <c r="H816" s="123"/>
    </row>
    <row r="817" spans="8:8" ht="15.75" customHeight="1" x14ac:dyDescent="0.3">
      <c r="H817" s="123"/>
    </row>
    <row r="818" spans="8:8" ht="15.75" customHeight="1" x14ac:dyDescent="0.3">
      <c r="H818" s="123"/>
    </row>
    <row r="819" spans="8:8" ht="15.75" customHeight="1" x14ac:dyDescent="0.3">
      <c r="H819" s="123"/>
    </row>
    <row r="820" spans="8:8" ht="15.75" customHeight="1" x14ac:dyDescent="0.3">
      <c r="H820" s="123"/>
    </row>
    <row r="821" spans="8:8" ht="15.75" customHeight="1" x14ac:dyDescent="0.3">
      <c r="H821" s="123"/>
    </row>
    <row r="822" spans="8:8" ht="15.75" customHeight="1" x14ac:dyDescent="0.3">
      <c r="H822" s="123"/>
    </row>
    <row r="823" spans="8:8" ht="15.75" customHeight="1" x14ac:dyDescent="0.3">
      <c r="H823" s="123"/>
    </row>
    <row r="824" spans="8:8" ht="15.75" customHeight="1" x14ac:dyDescent="0.3">
      <c r="H824" s="123"/>
    </row>
    <row r="825" spans="8:8" ht="15.75" customHeight="1" x14ac:dyDescent="0.3">
      <c r="H825" s="123"/>
    </row>
    <row r="826" spans="8:8" ht="15.75" customHeight="1" x14ac:dyDescent="0.3">
      <c r="H826" s="123"/>
    </row>
    <row r="827" spans="8:8" ht="15.75" customHeight="1" x14ac:dyDescent="0.3">
      <c r="H827" s="123"/>
    </row>
    <row r="828" spans="8:8" ht="15.75" customHeight="1" x14ac:dyDescent="0.3">
      <c r="H828" s="123"/>
    </row>
    <row r="829" spans="8:8" ht="15.75" customHeight="1" x14ac:dyDescent="0.3">
      <c r="H829" s="123"/>
    </row>
    <row r="830" spans="8:8" ht="15.75" customHeight="1" x14ac:dyDescent="0.3">
      <c r="H830" s="123"/>
    </row>
    <row r="831" spans="8:8" ht="15.75" customHeight="1" x14ac:dyDescent="0.3">
      <c r="H831" s="123"/>
    </row>
    <row r="832" spans="8:8" ht="15.75" customHeight="1" x14ac:dyDescent="0.3">
      <c r="H832" s="123"/>
    </row>
    <row r="833" spans="8:8" ht="15.75" customHeight="1" x14ac:dyDescent="0.3">
      <c r="H833" s="123"/>
    </row>
    <row r="834" spans="8:8" ht="15.75" customHeight="1" x14ac:dyDescent="0.3">
      <c r="H834" s="123"/>
    </row>
    <row r="835" spans="8:8" ht="15.75" customHeight="1" x14ac:dyDescent="0.3">
      <c r="H835" s="123"/>
    </row>
    <row r="836" spans="8:8" ht="15.75" customHeight="1" x14ac:dyDescent="0.3">
      <c r="H836" s="123"/>
    </row>
    <row r="837" spans="8:8" ht="15.75" customHeight="1" x14ac:dyDescent="0.3">
      <c r="H837" s="123"/>
    </row>
    <row r="838" spans="8:8" ht="15.75" customHeight="1" x14ac:dyDescent="0.3">
      <c r="H838" s="123"/>
    </row>
    <row r="839" spans="8:8" ht="15.75" customHeight="1" x14ac:dyDescent="0.3">
      <c r="H839" s="123"/>
    </row>
    <row r="840" spans="8:8" ht="15.75" customHeight="1" x14ac:dyDescent="0.3">
      <c r="H840" s="123"/>
    </row>
    <row r="841" spans="8:8" ht="15.75" customHeight="1" x14ac:dyDescent="0.3">
      <c r="H841" s="123"/>
    </row>
    <row r="842" spans="8:8" ht="15.75" customHeight="1" x14ac:dyDescent="0.3">
      <c r="H842" s="123"/>
    </row>
    <row r="843" spans="8:8" ht="15.75" customHeight="1" x14ac:dyDescent="0.3">
      <c r="H843" s="123"/>
    </row>
    <row r="844" spans="8:8" ht="15.75" customHeight="1" x14ac:dyDescent="0.3">
      <c r="H844" s="123"/>
    </row>
    <row r="845" spans="8:8" ht="15.75" customHeight="1" x14ac:dyDescent="0.3">
      <c r="H845" s="123"/>
    </row>
    <row r="846" spans="8:8" ht="15.75" customHeight="1" x14ac:dyDescent="0.3">
      <c r="H846" s="123"/>
    </row>
    <row r="847" spans="8:8" ht="15.75" customHeight="1" x14ac:dyDescent="0.3">
      <c r="H847" s="123"/>
    </row>
    <row r="848" spans="8:8" ht="15.75" customHeight="1" x14ac:dyDescent="0.3">
      <c r="H848" s="123"/>
    </row>
    <row r="849" spans="8:8" ht="15.75" customHeight="1" x14ac:dyDescent="0.3">
      <c r="H849" s="123"/>
    </row>
    <row r="850" spans="8:8" ht="15.75" customHeight="1" x14ac:dyDescent="0.3">
      <c r="H850" s="123"/>
    </row>
    <row r="851" spans="8:8" ht="15.75" customHeight="1" x14ac:dyDescent="0.3">
      <c r="H851" s="123"/>
    </row>
    <row r="852" spans="8:8" ht="15.75" customHeight="1" x14ac:dyDescent="0.3">
      <c r="H852" s="123"/>
    </row>
    <row r="853" spans="8:8" ht="15.75" customHeight="1" x14ac:dyDescent="0.3">
      <c r="H853" s="123"/>
    </row>
    <row r="854" spans="8:8" ht="15.75" customHeight="1" x14ac:dyDescent="0.3">
      <c r="H854" s="123"/>
    </row>
    <row r="855" spans="8:8" ht="15.75" customHeight="1" x14ac:dyDescent="0.3">
      <c r="H855" s="123"/>
    </row>
    <row r="856" spans="8:8" ht="15.75" customHeight="1" x14ac:dyDescent="0.3">
      <c r="H856" s="123"/>
    </row>
    <row r="857" spans="8:8" ht="15.75" customHeight="1" x14ac:dyDescent="0.3">
      <c r="H857" s="123"/>
    </row>
    <row r="858" spans="8:8" ht="15.75" customHeight="1" x14ac:dyDescent="0.3">
      <c r="H858" s="123"/>
    </row>
    <row r="859" spans="8:8" ht="15.75" customHeight="1" x14ac:dyDescent="0.3">
      <c r="H859" s="123"/>
    </row>
    <row r="860" spans="8:8" ht="15.75" customHeight="1" x14ac:dyDescent="0.3">
      <c r="H860" s="123"/>
    </row>
    <row r="861" spans="8:8" ht="15.75" customHeight="1" x14ac:dyDescent="0.3">
      <c r="H861" s="123"/>
    </row>
    <row r="862" spans="8:8" ht="15.75" customHeight="1" x14ac:dyDescent="0.3">
      <c r="H862" s="123"/>
    </row>
    <row r="863" spans="8:8" ht="15.75" customHeight="1" x14ac:dyDescent="0.3">
      <c r="H863" s="123"/>
    </row>
    <row r="864" spans="8:8" ht="15.75" customHeight="1" x14ac:dyDescent="0.3">
      <c r="H864" s="123"/>
    </row>
    <row r="865" spans="8:8" ht="15.75" customHeight="1" x14ac:dyDescent="0.3">
      <c r="H865" s="123"/>
    </row>
    <row r="866" spans="8:8" ht="15.75" customHeight="1" x14ac:dyDescent="0.3">
      <c r="H866" s="123"/>
    </row>
    <row r="867" spans="8:8" ht="15.75" customHeight="1" x14ac:dyDescent="0.3">
      <c r="H867" s="123"/>
    </row>
    <row r="868" spans="8:8" ht="15.75" customHeight="1" x14ac:dyDescent="0.3">
      <c r="H868" s="123"/>
    </row>
    <row r="869" spans="8:8" ht="15.75" customHeight="1" x14ac:dyDescent="0.3">
      <c r="H869" s="123"/>
    </row>
    <row r="870" spans="8:8" ht="15.75" customHeight="1" x14ac:dyDescent="0.3">
      <c r="H870" s="123"/>
    </row>
    <row r="871" spans="8:8" ht="15.75" customHeight="1" x14ac:dyDescent="0.3">
      <c r="H871" s="123"/>
    </row>
    <row r="872" spans="8:8" ht="15.75" customHeight="1" x14ac:dyDescent="0.3">
      <c r="H872" s="123"/>
    </row>
    <row r="873" spans="8:8" ht="15.75" customHeight="1" x14ac:dyDescent="0.3">
      <c r="H873" s="123"/>
    </row>
    <row r="874" spans="8:8" ht="15.75" customHeight="1" x14ac:dyDescent="0.3">
      <c r="H874" s="123"/>
    </row>
    <row r="875" spans="8:8" ht="15.75" customHeight="1" x14ac:dyDescent="0.3">
      <c r="H875" s="123"/>
    </row>
    <row r="876" spans="8:8" ht="15.75" customHeight="1" x14ac:dyDescent="0.3">
      <c r="H876" s="123"/>
    </row>
    <row r="877" spans="8:8" ht="15.75" customHeight="1" x14ac:dyDescent="0.3">
      <c r="H877" s="123"/>
    </row>
    <row r="878" spans="8:8" ht="15.75" customHeight="1" x14ac:dyDescent="0.3">
      <c r="H878" s="123"/>
    </row>
    <row r="879" spans="8:8" ht="15.75" customHeight="1" x14ac:dyDescent="0.3">
      <c r="H879" s="123"/>
    </row>
    <row r="880" spans="8:8" ht="15.75" customHeight="1" x14ac:dyDescent="0.3">
      <c r="H880" s="123"/>
    </row>
    <row r="881" spans="8:8" ht="15.75" customHeight="1" x14ac:dyDescent="0.3">
      <c r="H881" s="123"/>
    </row>
    <row r="882" spans="8:8" ht="15.75" customHeight="1" x14ac:dyDescent="0.3">
      <c r="H882" s="123"/>
    </row>
    <row r="883" spans="8:8" ht="15.75" customHeight="1" x14ac:dyDescent="0.3">
      <c r="H883" s="123"/>
    </row>
    <row r="884" spans="8:8" ht="15.75" customHeight="1" x14ac:dyDescent="0.3">
      <c r="H884" s="123"/>
    </row>
    <row r="885" spans="8:8" ht="15.75" customHeight="1" x14ac:dyDescent="0.3">
      <c r="H885" s="123"/>
    </row>
    <row r="886" spans="8:8" ht="15.75" customHeight="1" x14ac:dyDescent="0.3">
      <c r="H886" s="123"/>
    </row>
    <row r="887" spans="8:8" ht="15.75" customHeight="1" x14ac:dyDescent="0.3">
      <c r="H887" s="123"/>
    </row>
    <row r="888" spans="8:8" ht="15.75" customHeight="1" x14ac:dyDescent="0.3">
      <c r="H888" s="123"/>
    </row>
    <row r="889" spans="8:8" ht="15.75" customHeight="1" x14ac:dyDescent="0.3">
      <c r="H889" s="123"/>
    </row>
    <row r="890" spans="8:8" ht="15.75" customHeight="1" x14ac:dyDescent="0.3">
      <c r="H890" s="123"/>
    </row>
    <row r="891" spans="8:8" ht="15.75" customHeight="1" x14ac:dyDescent="0.3">
      <c r="H891" s="123"/>
    </row>
    <row r="892" spans="8:8" ht="15.75" customHeight="1" x14ac:dyDescent="0.3">
      <c r="H892" s="123"/>
    </row>
    <row r="893" spans="8:8" ht="15.75" customHeight="1" x14ac:dyDescent="0.3">
      <c r="H893" s="123"/>
    </row>
    <row r="894" spans="8:8" ht="15.75" customHeight="1" x14ac:dyDescent="0.3">
      <c r="H894" s="123"/>
    </row>
    <row r="895" spans="8:8" ht="15.75" customHeight="1" x14ac:dyDescent="0.3">
      <c r="H895" s="123"/>
    </row>
    <row r="896" spans="8:8" ht="15.75" customHeight="1" x14ac:dyDescent="0.3">
      <c r="H896" s="123"/>
    </row>
    <row r="897" spans="8:8" ht="15.75" customHeight="1" x14ac:dyDescent="0.3">
      <c r="H897" s="123"/>
    </row>
    <row r="898" spans="8:8" ht="15.75" customHeight="1" x14ac:dyDescent="0.3">
      <c r="H898" s="123"/>
    </row>
    <row r="899" spans="8:8" ht="15.75" customHeight="1" x14ac:dyDescent="0.3">
      <c r="H899" s="123"/>
    </row>
    <row r="900" spans="8:8" ht="15.75" customHeight="1" x14ac:dyDescent="0.3">
      <c r="H900" s="123"/>
    </row>
    <row r="901" spans="8:8" ht="15.75" customHeight="1" x14ac:dyDescent="0.3">
      <c r="H901" s="123"/>
    </row>
    <row r="902" spans="8:8" ht="15.75" customHeight="1" x14ac:dyDescent="0.3">
      <c r="H902" s="123"/>
    </row>
    <row r="903" spans="8:8" ht="15.75" customHeight="1" x14ac:dyDescent="0.3">
      <c r="H903" s="123"/>
    </row>
    <row r="904" spans="8:8" ht="15.75" customHeight="1" x14ac:dyDescent="0.3">
      <c r="H904" s="123"/>
    </row>
    <row r="905" spans="8:8" ht="15.75" customHeight="1" x14ac:dyDescent="0.3">
      <c r="H905" s="123"/>
    </row>
    <row r="906" spans="8:8" ht="15.75" customHeight="1" x14ac:dyDescent="0.3">
      <c r="H906" s="123"/>
    </row>
    <row r="907" spans="8:8" ht="15.75" customHeight="1" x14ac:dyDescent="0.3">
      <c r="H907" s="123"/>
    </row>
    <row r="908" spans="8:8" ht="15.75" customHeight="1" x14ac:dyDescent="0.3">
      <c r="H908" s="123"/>
    </row>
    <row r="909" spans="8:8" ht="15.75" customHeight="1" x14ac:dyDescent="0.3">
      <c r="H909" s="123"/>
    </row>
    <row r="910" spans="8:8" ht="15.75" customHeight="1" x14ac:dyDescent="0.3">
      <c r="H910" s="123"/>
    </row>
    <row r="911" spans="8:8" ht="15.75" customHeight="1" x14ac:dyDescent="0.3">
      <c r="H911" s="123"/>
    </row>
    <row r="912" spans="8:8" ht="15.75" customHeight="1" x14ac:dyDescent="0.3">
      <c r="H912" s="123"/>
    </row>
    <row r="913" spans="8:8" ht="15.75" customHeight="1" x14ac:dyDescent="0.3">
      <c r="H913" s="123"/>
    </row>
    <row r="914" spans="8:8" ht="15.75" customHeight="1" x14ac:dyDescent="0.3">
      <c r="H914" s="123"/>
    </row>
    <row r="915" spans="8:8" ht="15.75" customHeight="1" x14ac:dyDescent="0.3">
      <c r="H915" s="123"/>
    </row>
    <row r="916" spans="8:8" ht="15.75" customHeight="1" x14ac:dyDescent="0.3">
      <c r="H916" s="123"/>
    </row>
    <row r="917" spans="8:8" ht="15.75" customHeight="1" x14ac:dyDescent="0.3">
      <c r="H917" s="123"/>
    </row>
    <row r="918" spans="8:8" ht="15.75" customHeight="1" x14ac:dyDescent="0.3">
      <c r="H918" s="123"/>
    </row>
    <row r="919" spans="8:8" ht="15.75" customHeight="1" x14ac:dyDescent="0.3">
      <c r="H919" s="123"/>
    </row>
    <row r="920" spans="8:8" ht="15.75" customHeight="1" x14ac:dyDescent="0.3">
      <c r="H920" s="123"/>
    </row>
    <row r="921" spans="8:8" ht="15.75" customHeight="1" x14ac:dyDescent="0.3">
      <c r="H921" s="123"/>
    </row>
    <row r="922" spans="8:8" ht="15.75" customHeight="1" x14ac:dyDescent="0.3">
      <c r="H922" s="123"/>
    </row>
    <row r="923" spans="8:8" ht="15.75" customHeight="1" x14ac:dyDescent="0.3">
      <c r="H923" s="123"/>
    </row>
    <row r="924" spans="8:8" ht="15.75" customHeight="1" x14ac:dyDescent="0.3">
      <c r="H924" s="123"/>
    </row>
    <row r="925" spans="8:8" ht="15.75" customHeight="1" x14ac:dyDescent="0.3">
      <c r="H925" s="123"/>
    </row>
    <row r="926" spans="8:8" ht="15.75" customHeight="1" x14ac:dyDescent="0.3">
      <c r="H926" s="123"/>
    </row>
    <row r="927" spans="8:8" ht="15.75" customHeight="1" x14ac:dyDescent="0.3">
      <c r="H927" s="123"/>
    </row>
    <row r="928" spans="8:8" ht="15.75" customHeight="1" x14ac:dyDescent="0.3">
      <c r="H928" s="123"/>
    </row>
    <row r="929" spans="8:8" ht="15.75" customHeight="1" x14ac:dyDescent="0.3">
      <c r="H929" s="123"/>
    </row>
    <row r="930" spans="8:8" ht="15.75" customHeight="1" x14ac:dyDescent="0.3">
      <c r="H930" s="123"/>
    </row>
    <row r="931" spans="8:8" ht="15.75" customHeight="1" x14ac:dyDescent="0.3">
      <c r="H931" s="123"/>
    </row>
    <row r="932" spans="8:8" ht="15.75" customHeight="1" x14ac:dyDescent="0.3">
      <c r="H932" s="123"/>
    </row>
    <row r="933" spans="8:8" ht="15.75" customHeight="1" x14ac:dyDescent="0.3">
      <c r="H933" s="123"/>
    </row>
    <row r="934" spans="8:8" ht="15.75" customHeight="1" x14ac:dyDescent="0.3">
      <c r="H934" s="123"/>
    </row>
    <row r="935" spans="8:8" ht="15.75" customHeight="1" x14ac:dyDescent="0.3">
      <c r="H935" s="123"/>
    </row>
    <row r="936" spans="8:8" ht="15.75" customHeight="1" x14ac:dyDescent="0.3">
      <c r="H936" s="123"/>
    </row>
    <row r="937" spans="8:8" ht="15.75" customHeight="1" x14ac:dyDescent="0.3">
      <c r="H937" s="123"/>
    </row>
    <row r="938" spans="8:8" ht="15.75" customHeight="1" x14ac:dyDescent="0.3">
      <c r="H938" s="123"/>
    </row>
    <row r="939" spans="8:8" ht="15.75" customHeight="1" x14ac:dyDescent="0.3">
      <c r="H939" s="123"/>
    </row>
    <row r="940" spans="8:8" ht="15.75" customHeight="1" x14ac:dyDescent="0.3">
      <c r="H940" s="123"/>
    </row>
    <row r="941" spans="8:8" ht="15.75" customHeight="1" x14ac:dyDescent="0.3">
      <c r="H941" s="123"/>
    </row>
    <row r="942" spans="8:8" ht="15.75" customHeight="1" x14ac:dyDescent="0.3">
      <c r="H942" s="123"/>
    </row>
    <row r="943" spans="8:8" ht="15.75" customHeight="1" x14ac:dyDescent="0.3">
      <c r="H943" s="123"/>
    </row>
    <row r="944" spans="8:8" ht="15.75" customHeight="1" x14ac:dyDescent="0.3">
      <c r="H944" s="123"/>
    </row>
    <row r="945" spans="8:8" ht="15.75" customHeight="1" x14ac:dyDescent="0.3">
      <c r="H945" s="123"/>
    </row>
    <row r="946" spans="8:8" ht="15.75" customHeight="1" x14ac:dyDescent="0.3">
      <c r="H946" s="123"/>
    </row>
    <row r="947" spans="8:8" ht="15.75" customHeight="1" x14ac:dyDescent="0.3">
      <c r="H947" s="123"/>
    </row>
    <row r="948" spans="8:8" ht="15.75" customHeight="1" x14ac:dyDescent="0.3">
      <c r="H948" s="123"/>
    </row>
    <row r="949" spans="8:8" ht="15.75" customHeight="1" x14ac:dyDescent="0.3">
      <c r="H949" s="123"/>
    </row>
    <row r="950" spans="8:8" ht="15.75" customHeight="1" x14ac:dyDescent="0.3">
      <c r="H950" s="123"/>
    </row>
    <row r="951" spans="8:8" ht="15.75" customHeight="1" x14ac:dyDescent="0.3">
      <c r="H951" s="123"/>
    </row>
    <row r="952" spans="8:8" ht="15.75" customHeight="1" x14ac:dyDescent="0.3">
      <c r="H952" s="123"/>
    </row>
    <row r="953" spans="8:8" ht="15.75" customHeight="1" x14ac:dyDescent="0.3">
      <c r="H953" s="123"/>
    </row>
    <row r="954" spans="8:8" ht="15.75" customHeight="1" x14ac:dyDescent="0.3">
      <c r="H954" s="123"/>
    </row>
    <row r="955" spans="8:8" ht="15.75" customHeight="1" x14ac:dyDescent="0.3">
      <c r="H955" s="123"/>
    </row>
    <row r="956" spans="8:8" ht="15.75" customHeight="1" x14ac:dyDescent="0.3">
      <c r="H956" s="123"/>
    </row>
    <row r="957" spans="8:8" ht="15.75" customHeight="1" x14ac:dyDescent="0.3">
      <c r="H957" s="123"/>
    </row>
    <row r="958" spans="8:8" ht="15.75" customHeight="1" x14ac:dyDescent="0.3">
      <c r="H958" s="123"/>
    </row>
    <row r="959" spans="8:8" ht="15.75" customHeight="1" x14ac:dyDescent="0.3">
      <c r="H959" s="123"/>
    </row>
    <row r="960" spans="8:8" ht="15.75" customHeight="1" x14ac:dyDescent="0.3">
      <c r="H960" s="123"/>
    </row>
    <row r="961" spans="8:8" ht="15.75" customHeight="1" x14ac:dyDescent="0.3">
      <c r="H961" s="123"/>
    </row>
    <row r="962" spans="8:8" ht="15.75" customHeight="1" x14ac:dyDescent="0.3">
      <c r="H962" s="123"/>
    </row>
    <row r="963" spans="8:8" ht="15.75" customHeight="1" x14ac:dyDescent="0.3">
      <c r="H963" s="123"/>
    </row>
    <row r="964" spans="8:8" ht="15.75" customHeight="1" x14ac:dyDescent="0.3">
      <c r="H964" s="123"/>
    </row>
    <row r="965" spans="8:8" ht="15.75" customHeight="1" x14ac:dyDescent="0.3">
      <c r="H965" s="123"/>
    </row>
    <row r="966" spans="8:8" ht="15.75" customHeight="1" x14ac:dyDescent="0.3">
      <c r="H966" s="123"/>
    </row>
    <row r="967" spans="8:8" ht="15.75" customHeight="1" x14ac:dyDescent="0.3">
      <c r="H967" s="123"/>
    </row>
    <row r="968" spans="8:8" ht="15.75" customHeight="1" x14ac:dyDescent="0.3">
      <c r="H968" s="123"/>
    </row>
    <row r="969" spans="8:8" ht="15.75" customHeight="1" x14ac:dyDescent="0.3">
      <c r="H969" s="123"/>
    </row>
    <row r="970" spans="8:8" ht="15.75" customHeight="1" x14ac:dyDescent="0.3">
      <c r="H970" s="123"/>
    </row>
    <row r="971" spans="8:8" ht="15.75" customHeight="1" x14ac:dyDescent="0.3">
      <c r="H971" s="123"/>
    </row>
    <row r="972" spans="8:8" ht="15.75" customHeight="1" x14ac:dyDescent="0.3">
      <c r="H972" s="123"/>
    </row>
    <row r="973" spans="8:8" ht="15.75" customHeight="1" x14ac:dyDescent="0.3">
      <c r="H973" s="123"/>
    </row>
    <row r="974" spans="8:8" ht="15.75" customHeight="1" x14ac:dyDescent="0.3">
      <c r="H974" s="123"/>
    </row>
    <row r="975" spans="8:8" ht="15.75" customHeight="1" x14ac:dyDescent="0.3">
      <c r="H975" s="123"/>
    </row>
    <row r="976" spans="8:8" ht="15.75" customHeight="1" x14ac:dyDescent="0.3">
      <c r="H976" s="123"/>
    </row>
    <row r="977" spans="8:8" ht="15.75" customHeight="1" x14ac:dyDescent="0.3">
      <c r="H977" s="123"/>
    </row>
    <row r="978" spans="8:8" ht="15.75" customHeight="1" x14ac:dyDescent="0.3">
      <c r="H978" s="123"/>
    </row>
    <row r="979" spans="8:8" ht="15.75" customHeight="1" x14ac:dyDescent="0.3">
      <c r="H979" s="123"/>
    </row>
    <row r="980" spans="8:8" ht="15.75" customHeight="1" x14ac:dyDescent="0.3">
      <c r="H980" s="123"/>
    </row>
    <row r="981" spans="8:8" ht="15.75" customHeight="1" x14ac:dyDescent="0.3">
      <c r="H981" s="123"/>
    </row>
    <row r="982" spans="8:8" ht="15.75" customHeight="1" x14ac:dyDescent="0.3">
      <c r="H982" s="123"/>
    </row>
    <row r="983" spans="8:8" ht="15.75" customHeight="1" x14ac:dyDescent="0.3">
      <c r="H983" s="123"/>
    </row>
    <row r="984" spans="8:8" ht="15.75" customHeight="1" x14ac:dyDescent="0.3">
      <c r="H984" s="123"/>
    </row>
    <row r="985" spans="8:8" ht="15.75" customHeight="1" x14ac:dyDescent="0.3">
      <c r="H985" s="123"/>
    </row>
    <row r="986" spans="8:8" ht="15.75" customHeight="1" x14ac:dyDescent="0.3">
      <c r="H986" s="123"/>
    </row>
    <row r="987" spans="8:8" ht="15.75" customHeight="1" x14ac:dyDescent="0.3">
      <c r="H987" s="123"/>
    </row>
    <row r="988" spans="8:8" ht="15.75" customHeight="1" x14ac:dyDescent="0.3">
      <c r="H988" s="123"/>
    </row>
    <row r="989" spans="8:8" ht="15.75" customHeight="1" x14ac:dyDescent="0.3">
      <c r="H989" s="123"/>
    </row>
    <row r="990" spans="8:8" ht="15.75" customHeight="1" x14ac:dyDescent="0.3">
      <c r="H990" s="123"/>
    </row>
    <row r="991" spans="8:8" ht="15.75" customHeight="1" x14ac:dyDescent="0.3">
      <c r="H991" s="123"/>
    </row>
    <row r="992" spans="8:8" ht="15.75" customHeight="1" x14ac:dyDescent="0.3">
      <c r="H992" s="123"/>
    </row>
    <row r="993" spans="8:8" ht="15.75" customHeight="1" x14ac:dyDescent="0.3">
      <c r="H993" s="123"/>
    </row>
    <row r="994" spans="8:8" ht="15.75" customHeight="1" x14ac:dyDescent="0.3">
      <c r="H994" s="123"/>
    </row>
    <row r="995" spans="8:8" ht="15.75" customHeight="1" x14ac:dyDescent="0.3">
      <c r="H995" s="123"/>
    </row>
    <row r="996" spans="8:8" ht="15.75" customHeight="1" x14ac:dyDescent="0.3">
      <c r="H996" s="123"/>
    </row>
    <row r="997" spans="8:8" ht="15.75" customHeight="1" x14ac:dyDescent="0.3">
      <c r="H997" s="123"/>
    </row>
    <row r="998" spans="8:8" ht="15.75" customHeight="1" x14ac:dyDescent="0.3">
      <c r="H998" s="123"/>
    </row>
    <row r="999" spans="8:8" ht="15.75" customHeight="1" x14ac:dyDescent="0.3">
      <c r="H999" s="123"/>
    </row>
    <row r="1000" spans="8:8" ht="15.75" customHeight="1" x14ac:dyDescent="0.3">
      <c r="H1000" s="123"/>
    </row>
    <row r="1001" spans="8:8" ht="15.75" customHeight="1" x14ac:dyDescent="0.3">
      <c r="H1001" s="123"/>
    </row>
    <row r="1002" spans="8:8" ht="15.75" customHeight="1" x14ac:dyDescent="0.3">
      <c r="H1002" s="123"/>
    </row>
    <row r="1003" spans="8:8" ht="15.75" customHeight="1" x14ac:dyDescent="0.3">
      <c r="H1003" s="123"/>
    </row>
    <row r="1004" spans="8:8" ht="15.75" customHeight="1" x14ac:dyDescent="0.3">
      <c r="H1004" s="123"/>
    </row>
    <row r="1005" spans="8:8" ht="15.75" customHeight="1" x14ac:dyDescent="0.3">
      <c r="H1005" s="123"/>
    </row>
    <row r="1006" spans="8:8" ht="15.75" customHeight="1" x14ac:dyDescent="0.3">
      <c r="H1006" s="123"/>
    </row>
    <row r="1007" spans="8:8" ht="15.75" customHeight="1" x14ac:dyDescent="0.3">
      <c r="H1007" s="123"/>
    </row>
    <row r="1008" spans="8:8" ht="15.75" customHeight="1" x14ac:dyDescent="0.3">
      <c r="H1008" s="123"/>
    </row>
    <row r="1009" spans="8:8" ht="15.75" customHeight="1" x14ac:dyDescent="0.3">
      <c r="H1009" s="123"/>
    </row>
    <row r="1010" spans="8:8" ht="15.75" customHeight="1" x14ac:dyDescent="0.3">
      <c r="H1010" s="123"/>
    </row>
    <row r="1011" spans="8:8" ht="15.75" customHeight="1" x14ac:dyDescent="0.3">
      <c r="H1011" s="123"/>
    </row>
    <row r="1012" spans="8:8" ht="15.75" customHeight="1" x14ac:dyDescent="0.3">
      <c r="H1012" s="123"/>
    </row>
    <row r="1013" spans="8:8" ht="15.75" customHeight="1" x14ac:dyDescent="0.3">
      <c r="H1013" s="123"/>
    </row>
    <row r="1014" spans="8:8" ht="15.75" customHeight="1" x14ac:dyDescent="0.3">
      <c r="H1014" s="123"/>
    </row>
    <row r="1015" spans="8:8" ht="15.75" customHeight="1" x14ac:dyDescent="0.3">
      <c r="H1015" s="123"/>
    </row>
    <row r="1016" spans="8:8" ht="15.75" customHeight="1" x14ac:dyDescent="0.3">
      <c r="H1016" s="123"/>
    </row>
    <row r="1017" spans="8:8" ht="15.75" customHeight="1" x14ac:dyDescent="0.3">
      <c r="H1017" s="123"/>
    </row>
    <row r="1018" spans="8:8" ht="15.75" customHeight="1" x14ac:dyDescent="0.3">
      <c r="H1018" s="123"/>
    </row>
    <row r="1019" spans="8:8" ht="15.75" customHeight="1" x14ac:dyDescent="0.3">
      <c r="H1019" s="123"/>
    </row>
    <row r="1020" spans="8:8" ht="15.75" customHeight="1" x14ac:dyDescent="0.3">
      <c r="H1020" s="123"/>
    </row>
    <row r="1021" spans="8:8" ht="15.75" customHeight="1" x14ac:dyDescent="0.3">
      <c r="H1021" s="123"/>
    </row>
    <row r="1022" spans="8:8" ht="15.75" customHeight="1" x14ac:dyDescent="0.3">
      <c r="H1022" s="123"/>
    </row>
    <row r="1023" spans="8:8" ht="15.75" customHeight="1" x14ac:dyDescent="0.3">
      <c r="H1023" s="123"/>
    </row>
    <row r="1024" spans="8:8" ht="15.75" customHeight="1" x14ac:dyDescent="0.3">
      <c r="H1024" s="123"/>
    </row>
    <row r="1025" spans="8:8" ht="15" customHeight="1" x14ac:dyDescent="0.3">
      <c r="H1025" s="123"/>
    </row>
    <row r="1026" spans="8:8" ht="15" customHeight="1" x14ac:dyDescent="0.3">
      <c r="H1026" s="123"/>
    </row>
    <row r="1027" spans="8:8" ht="15" customHeight="1" x14ac:dyDescent="0.3">
      <c r="H1027" s="123"/>
    </row>
    <row r="1028" spans="8:8" ht="15" customHeight="1" x14ac:dyDescent="0.3">
      <c r="H1028" s="123"/>
    </row>
    <row r="1029" spans="8:8" ht="15" customHeight="1" x14ac:dyDescent="0.3">
      <c r="H1029" s="123"/>
    </row>
    <row r="1030" spans="8:8" ht="15" customHeight="1" x14ac:dyDescent="0.3">
      <c r="H1030" s="123"/>
    </row>
    <row r="1031" spans="8:8" ht="15" customHeight="1" x14ac:dyDescent="0.3">
      <c r="H1031" s="123"/>
    </row>
    <row r="1032" spans="8:8" ht="15" customHeight="1" x14ac:dyDescent="0.3">
      <c r="H1032" s="123"/>
    </row>
    <row r="1033" spans="8:8" ht="15" customHeight="1" x14ac:dyDescent="0.3">
      <c r="H1033" s="123"/>
    </row>
    <row r="1034" spans="8:8" ht="15" customHeight="1" x14ac:dyDescent="0.3">
      <c r="H1034" s="123"/>
    </row>
    <row r="1035" spans="8:8" ht="15" customHeight="1" x14ac:dyDescent="0.3">
      <c r="H1035" s="123"/>
    </row>
    <row r="1036" spans="8:8" ht="15" customHeight="1" x14ac:dyDescent="0.3">
      <c r="H1036" s="123"/>
    </row>
    <row r="1037" spans="8:8" ht="15" customHeight="1" x14ac:dyDescent="0.3">
      <c r="H1037" s="123"/>
    </row>
    <row r="1038" spans="8:8" ht="15" customHeight="1" x14ac:dyDescent="0.3">
      <c r="H1038" s="123"/>
    </row>
    <row r="1039" spans="8:8" ht="15" customHeight="1" x14ac:dyDescent="0.3">
      <c r="H1039" s="123"/>
    </row>
    <row r="1040" spans="8:8" ht="15" customHeight="1" x14ac:dyDescent="0.3">
      <c r="H1040" s="123"/>
    </row>
    <row r="1041" spans="8:8" ht="15" customHeight="1" x14ac:dyDescent="0.3">
      <c r="H1041" s="123"/>
    </row>
    <row r="1042" spans="8:8" ht="15" customHeight="1" x14ac:dyDescent="0.3">
      <c r="H1042" s="123"/>
    </row>
    <row r="1043" spans="8:8" ht="15" customHeight="1" x14ac:dyDescent="0.3">
      <c r="H1043" s="123"/>
    </row>
    <row r="1044" spans="8:8" ht="15" customHeight="1" x14ac:dyDescent="0.3">
      <c r="H1044" s="123"/>
    </row>
    <row r="1045" spans="8:8" ht="15" customHeight="1" x14ac:dyDescent="0.3">
      <c r="H1045" s="123"/>
    </row>
  </sheetData>
  <mergeCells count="6">
    <mergeCell ref="B1:F1"/>
    <mergeCell ref="F4:H4"/>
    <mergeCell ref="J19:K19"/>
    <mergeCell ref="C4:E4"/>
    <mergeCell ref="F2:G2"/>
    <mergeCell ref="C2:D2"/>
  </mergeCells>
  <printOptions horizontalCentered="1"/>
  <pageMargins left="0.51181102362204722" right="0.31496062992125984" top="0.35433070866141736" bottom="0.35433070866141736" header="0" footer="0"/>
  <pageSetup paperSize="9" scale="82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AEAE-B4B8-49E0-877A-8CA88034BC2C}">
  <sheetPr>
    <tabColor rgb="FFF4B083"/>
  </sheetPr>
  <dimension ref="A1:Z1035"/>
  <sheetViews>
    <sheetView topLeftCell="H1" workbookViewId="0">
      <pane xSplit="2" ySplit="16" topLeftCell="J17" activePane="bottomRight" state="frozen"/>
      <selection activeCell="H1" sqref="H1"/>
      <selection pane="topRight" activeCell="J1" sqref="J1"/>
      <selection pane="bottomLeft" activeCell="H5" sqref="H5"/>
      <selection pane="bottomRight" activeCell="J27" sqref="J27"/>
    </sheetView>
  </sheetViews>
  <sheetFormatPr defaultColWidth="13" defaultRowHeight="15" customHeight="1" x14ac:dyDescent="0.3"/>
  <cols>
    <col min="1" max="2" width="9" style="174" hidden="1" customWidth="1"/>
    <col min="3" max="3" width="39.59765625" style="174" hidden="1" customWidth="1"/>
    <col min="4" max="5" width="9.5" style="174" hidden="1" customWidth="1"/>
    <col min="6" max="6" width="7.796875" style="174" hidden="1" customWidth="1"/>
    <col min="7" max="7" width="2.69921875" style="174" hidden="1" customWidth="1"/>
    <col min="8" max="8" width="9" style="174" customWidth="1"/>
    <col min="9" max="9" width="37.796875" style="174" customWidth="1"/>
    <col min="10" max="10" width="9.296875" style="174" customWidth="1"/>
    <col min="11" max="11" width="9.59765625" style="174" customWidth="1"/>
    <col min="12" max="12" width="10.796875" style="174" customWidth="1"/>
    <col min="13" max="13" width="10.19921875" style="174" customWidth="1"/>
    <col min="14" max="14" width="9.796875" style="174" customWidth="1"/>
    <col min="15" max="15" width="10.796875" style="174" customWidth="1"/>
    <col min="16" max="16" width="2.69921875" style="174" customWidth="1"/>
    <col min="17" max="17" width="7.19921875" style="174" customWidth="1"/>
    <col min="18" max="18" width="7.796875" style="174" bestFit="1" customWidth="1"/>
    <col min="19" max="26" width="7.796875" style="174" customWidth="1"/>
    <col min="27" max="16384" width="13" style="174"/>
  </cols>
  <sheetData>
    <row r="1" spans="1:15" ht="18" x14ac:dyDescent="0.35">
      <c r="A1" s="167" t="s">
        <v>90</v>
      </c>
      <c r="B1" s="167"/>
      <c r="C1" s="168"/>
      <c r="D1" s="169"/>
      <c r="E1" s="170" t="s">
        <v>91</v>
      </c>
      <c r="F1" s="171">
        <f>F45</f>
        <v>0</v>
      </c>
      <c r="G1" s="172"/>
      <c r="H1" s="173" t="s">
        <v>92</v>
      </c>
      <c r="I1" s="172"/>
      <c r="J1" s="175" t="s">
        <v>93</v>
      </c>
      <c r="K1" s="231"/>
      <c r="L1" s="231">
        <f>+L67</f>
        <v>0</v>
      </c>
      <c r="M1" s="252" t="s">
        <v>78</v>
      </c>
      <c r="N1" s="231"/>
      <c r="O1" s="251">
        <f>+O67</f>
        <v>0</v>
      </c>
    </row>
    <row r="2" spans="1:15" ht="18" x14ac:dyDescent="0.35">
      <c r="A2" s="167"/>
      <c r="B2" s="167"/>
      <c r="C2" s="168"/>
      <c r="D2" s="169"/>
      <c r="E2" s="170"/>
      <c r="F2" s="171"/>
      <c r="G2" s="172"/>
      <c r="H2" s="250" t="s">
        <v>101</v>
      </c>
      <c r="I2" s="172"/>
      <c r="J2" s="175">
        <f>+J3-L1</f>
        <v>0</v>
      </c>
      <c r="K2" s="231"/>
      <c r="L2" s="250" t="s">
        <v>101</v>
      </c>
      <c r="M2" s="249"/>
      <c r="N2" s="249"/>
      <c r="O2" s="248">
        <f>+O3-O67</f>
        <v>0</v>
      </c>
    </row>
    <row r="3" spans="1:15" ht="18" x14ac:dyDescent="0.35">
      <c r="A3" s="167"/>
      <c r="B3" s="167"/>
      <c r="C3" s="168"/>
      <c r="D3" s="169"/>
      <c r="E3" s="170"/>
      <c r="F3" s="171"/>
      <c r="G3" s="172"/>
      <c r="H3" s="247" t="s">
        <v>100</v>
      </c>
      <c r="I3" s="245"/>
      <c r="J3" s="241">
        <f>SUM(J5:J10)</f>
        <v>0</v>
      </c>
      <c r="K3" s="245"/>
      <c r="L3" s="246" t="s">
        <v>100</v>
      </c>
      <c r="M3" s="245"/>
      <c r="N3" s="245"/>
      <c r="O3" s="243">
        <f>SUM(O5:O10)</f>
        <v>0</v>
      </c>
    </row>
    <row r="4" spans="1:15" ht="18" x14ac:dyDescent="0.35">
      <c r="A4" s="167"/>
      <c r="B4" s="167"/>
      <c r="C4" s="168"/>
      <c r="D4" s="169"/>
      <c r="E4" s="170"/>
      <c r="F4" s="171"/>
      <c r="G4" s="172"/>
      <c r="H4" s="245"/>
      <c r="I4" s="245"/>
      <c r="J4" s="241"/>
      <c r="K4" s="245"/>
      <c r="L4" s="245"/>
      <c r="M4" s="245"/>
      <c r="N4" s="245"/>
      <c r="O4" s="241"/>
    </row>
    <row r="5" spans="1:15" ht="18" x14ac:dyDescent="0.35">
      <c r="A5" s="167"/>
      <c r="B5" s="167"/>
      <c r="C5" s="168"/>
      <c r="D5" s="169"/>
      <c r="E5" s="170"/>
      <c r="F5" s="171"/>
      <c r="G5" s="172"/>
      <c r="H5" s="245">
        <v>100</v>
      </c>
      <c r="I5" s="245">
        <v>0</v>
      </c>
      <c r="J5" s="241">
        <f t="shared" ref="J5:J10" si="0">+H5*I5</f>
        <v>0</v>
      </c>
      <c r="K5" s="245"/>
      <c r="L5" s="245">
        <v>1000</v>
      </c>
      <c r="M5" s="245"/>
      <c r="N5" s="245">
        <v>0</v>
      </c>
      <c r="O5" s="243">
        <f t="shared" ref="O5:O10" si="1">+L5*N5</f>
        <v>0</v>
      </c>
    </row>
    <row r="6" spans="1:15" ht="18" x14ac:dyDescent="0.35">
      <c r="A6" s="167"/>
      <c r="B6" s="167"/>
      <c r="C6" s="168"/>
      <c r="D6" s="169"/>
      <c r="E6" s="170"/>
      <c r="F6" s="171"/>
      <c r="G6" s="172"/>
      <c r="H6" s="245">
        <v>50</v>
      </c>
      <c r="I6" s="245">
        <v>0</v>
      </c>
      <c r="J6" s="241">
        <f t="shared" si="0"/>
        <v>0</v>
      </c>
      <c r="K6" s="245"/>
      <c r="L6" s="245">
        <v>500</v>
      </c>
      <c r="M6" s="245"/>
      <c r="N6" s="245">
        <v>0</v>
      </c>
      <c r="O6" s="243">
        <f t="shared" si="1"/>
        <v>0</v>
      </c>
    </row>
    <row r="7" spans="1:15" ht="18" x14ac:dyDescent="0.35">
      <c r="A7" s="167"/>
      <c r="B7" s="167"/>
      <c r="C7" s="168"/>
      <c r="D7" s="169"/>
      <c r="E7" s="170"/>
      <c r="F7" s="171"/>
      <c r="G7" s="172"/>
      <c r="H7" s="245">
        <v>20</v>
      </c>
      <c r="I7" s="245">
        <v>0</v>
      </c>
      <c r="J7" s="241">
        <f t="shared" si="0"/>
        <v>0</v>
      </c>
      <c r="K7" s="245"/>
      <c r="L7" s="245">
        <v>200</v>
      </c>
      <c r="M7" s="245"/>
      <c r="N7" s="245">
        <v>0</v>
      </c>
      <c r="O7" s="243">
        <f t="shared" si="1"/>
        <v>0</v>
      </c>
    </row>
    <row r="8" spans="1:15" ht="18" x14ac:dyDescent="0.35">
      <c r="A8" s="167"/>
      <c r="B8" s="167"/>
      <c r="C8" s="168"/>
      <c r="D8" s="169"/>
      <c r="E8" s="170"/>
      <c r="F8" s="171"/>
      <c r="G8" s="172"/>
      <c r="H8" s="245">
        <v>10</v>
      </c>
      <c r="I8" s="245">
        <v>0</v>
      </c>
      <c r="J8" s="241">
        <f t="shared" si="0"/>
        <v>0</v>
      </c>
      <c r="K8" s="245"/>
      <c r="L8" s="245">
        <v>100</v>
      </c>
      <c r="M8" s="245"/>
      <c r="N8" s="245">
        <v>0</v>
      </c>
      <c r="O8" s="243">
        <f t="shared" si="1"/>
        <v>0</v>
      </c>
    </row>
    <row r="9" spans="1:15" ht="18" x14ac:dyDescent="0.35">
      <c r="A9" s="167"/>
      <c r="B9" s="167"/>
      <c r="C9" s="168"/>
      <c r="D9" s="169"/>
      <c r="E9" s="170"/>
      <c r="F9" s="171"/>
      <c r="G9" s="172"/>
      <c r="H9" s="245">
        <v>5</v>
      </c>
      <c r="I9" s="245"/>
      <c r="J9" s="241">
        <f t="shared" si="0"/>
        <v>0</v>
      </c>
      <c r="K9" s="245"/>
      <c r="L9" s="245">
        <v>50</v>
      </c>
      <c r="M9" s="245"/>
      <c r="N9" s="245">
        <v>0</v>
      </c>
      <c r="O9" s="243">
        <f t="shared" si="1"/>
        <v>0</v>
      </c>
    </row>
    <row r="10" spans="1:15" ht="18" x14ac:dyDescent="0.35">
      <c r="A10" s="167"/>
      <c r="B10" s="167"/>
      <c r="C10" s="168"/>
      <c r="D10" s="169"/>
      <c r="E10" s="170"/>
      <c r="F10" s="171"/>
      <c r="G10" s="172"/>
      <c r="H10" s="244">
        <v>2</v>
      </c>
      <c r="I10" s="244">
        <v>0</v>
      </c>
      <c r="J10" s="241">
        <f t="shared" si="0"/>
        <v>0</v>
      </c>
      <c r="K10" s="244"/>
      <c r="L10" s="244">
        <v>2</v>
      </c>
      <c r="M10" s="244"/>
      <c r="N10" s="244">
        <v>0</v>
      </c>
      <c r="O10" s="243">
        <f t="shared" si="1"/>
        <v>0</v>
      </c>
    </row>
    <row r="11" spans="1:15" ht="18" x14ac:dyDescent="0.35">
      <c r="A11" s="167"/>
      <c r="B11" s="167"/>
      <c r="C11" s="168"/>
      <c r="D11" s="169"/>
      <c r="E11" s="170"/>
      <c r="F11" s="171"/>
      <c r="G11" s="172"/>
      <c r="H11" s="242">
        <v>1</v>
      </c>
      <c r="I11" s="242"/>
      <c r="J11" s="241"/>
      <c r="K11" s="242"/>
      <c r="L11" s="242">
        <v>1</v>
      </c>
      <c r="M11" s="242"/>
      <c r="N11" s="242"/>
      <c r="O11" s="241"/>
    </row>
    <row r="12" spans="1:15" ht="18" x14ac:dyDescent="0.35">
      <c r="A12" s="167"/>
      <c r="B12" s="167"/>
      <c r="C12" s="168"/>
      <c r="D12" s="169"/>
      <c r="E12" s="170"/>
      <c r="F12" s="171"/>
      <c r="G12" s="172"/>
      <c r="H12" s="173"/>
      <c r="I12" s="172"/>
      <c r="J12" s="175"/>
      <c r="K12" s="231"/>
    </row>
    <row r="13" spans="1:15" ht="18" x14ac:dyDescent="0.35">
      <c r="A13" s="167"/>
      <c r="B13" s="167"/>
      <c r="C13" s="168"/>
      <c r="D13" s="169"/>
      <c r="E13" s="170"/>
      <c r="F13" s="171"/>
      <c r="G13" s="172"/>
      <c r="H13" s="173"/>
      <c r="I13" s="172"/>
      <c r="J13" s="175"/>
      <c r="K13" s="231"/>
      <c r="O13" s="230"/>
    </row>
    <row r="14" spans="1:15" ht="14.4" x14ac:dyDescent="0.3">
      <c r="J14" s="230"/>
      <c r="K14" s="230"/>
      <c r="L14" s="242"/>
      <c r="M14" s="242"/>
      <c r="N14" s="242"/>
      <c r="O14" s="241"/>
    </row>
    <row r="15" spans="1:15" ht="14.4" x14ac:dyDescent="0.3">
      <c r="A15" s="176"/>
      <c r="B15" s="177"/>
      <c r="C15" s="178"/>
      <c r="D15" s="383" t="s">
        <v>15</v>
      </c>
      <c r="E15" s="384"/>
      <c r="F15" s="385"/>
      <c r="H15" s="176"/>
      <c r="I15" s="178"/>
      <c r="J15" s="179"/>
      <c r="K15" s="180" t="s">
        <v>16</v>
      </c>
      <c r="L15" s="181"/>
      <c r="M15" s="181"/>
      <c r="N15" s="181"/>
      <c r="O15" s="240"/>
    </row>
    <row r="16" spans="1:15" ht="14.4" x14ac:dyDescent="0.3">
      <c r="A16" s="182" t="s">
        <v>17</v>
      </c>
      <c r="B16" s="183"/>
      <c r="C16" s="184" t="s">
        <v>18</v>
      </c>
      <c r="D16" s="184" t="s">
        <v>19</v>
      </c>
      <c r="E16" s="184" t="s">
        <v>20</v>
      </c>
      <c r="F16" s="185" t="s">
        <v>21</v>
      </c>
      <c r="H16" s="182" t="s">
        <v>17</v>
      </c>
      <c r="I16" s="184" t="s">
        <v>18</v>
      </c>
      <c r="J16" s="186" t="s">
        <v>20</v>
      </c>
      <c r="K16" s="186" t="s">
        <v>19</v>
      </c>
      <c r="L16" s="188" t="s">
        <v>21</v>
      </c>
      <c r="M16" s="186" t="s">
        <v>20</v>
      </c>
      <c r="N16" s="186" t="s">
        <v>19</v>
      </c>
      <c r="O16" s="188" t="s">
        <v>21</v>
      </c>
    </row>
    <row r="17" spans="1:26" ht="14.4" x14ac:dyDescent="0.3">
      <c r="A17" s="182"/>
      <c r="B17" s="183"/>
      <c r="C17" s="184"/>
      <c r="D17" s="184"/>
      <c r="E17" s="184"/>
      <c r="F17" s="185"/>
      <c r="H17" s="182"/>
      <c r="I17" s="184"/>
      <c r="J17" s="186"/>
      <c r="K17" s="186"/>
      <c r="L17" s="188"/>
      <c r="M17" s="186"/>
      <c r="N17" s="186"/>
      <c r="O17" s="188"/>
    </row>
    <row r="18" spans="1:26" ht="14.4" x14ac:dyDescent="0.3">
      <c r="A18" s="189">
        <v>45488</v>
      </c>
      <c r="B18" s="190"/>
      <c r="C18" s="184" t="s">
        <v>24</v>
      </c>
      <c r="D18" s="191"/>
      <c r="E18" s="191"/>
      <c r="F18" s="192">
        <f>F17-D18+E18</f>
        <v>0</v>
      </c>
      <c r="H18" s="189">
        <v>45769</v>
      </c>
      <c r="I18" s="184" t="s">
        <v>24</v>
      </c>
      <c r="J18" s="186">
        <v>0</v>
      </c>
      <c r="K18" s="186"/>
      <c r="L18" s="188">
        <f>L17-K18+J18</f>
        <v>0</v>
      </c>
      <c r="M18" s="237"/>
      <c r="N18" s="237"/>
      <c r="O18" s="239">
        <f>O17-N18+M18</f>
        <v>0</v>
      </c>
    </row>
    <row r="19" spans="1:26" ht="14.4" x14ac:dyDescent="0.3">
      <c r="A19" s="189"/>
      <c r="B19" s="190"/>
      <c r="C19" s="184"/>
      <c r="D19" s="191"/>
      <c r="E19" s="191"/>
      <c r="F19" s="192"/>
      <c r="H19" s="189">
        <v>45770</v>
      </c>
      <c r="I19" s="184" t="s">
        <v>99</v>
      </c>
      <c r="J19" s="186"/>
      <c r="K19" s="186"/>
      <c r="L19" s="188"/>
      <c r="M19" s="237"/>
      <c r="N19" s="237">
        <v>1000</v>
      </c>
      <c r="O19" s="239">
        <f>+O18+M19-N19</f>
        <v>-1000</v>
      </c>
    </row>
    <row r="20" spans="1:26" ht="14.4" x14ac:dyDescent="0.3">
      <c r="A20" s="189"/>
      <c r="B20" s="190"/>
      <c r="C20" s="184"/>
      <c r="D20" s="191"/>
      <c r="E20" s="191"/>
      <c r="F20" s="192"/>
      <c r="H20" s="189">
        <v>45775</v>
      </c>
      <c r="I20" s="184" t="s">
        <v>98</v>
      </c>
      <c r="J20" s="186"/>
      <c r="K20" s="186"/>
      <c r="L20" s="188"/>
      <c r="M20" s="237">
        <v>1000</v>
      </c>
      <c r="N20" s="237"/>
      <c r="O20" s="239">
        <f>+O19+M20-N20</f>
        <v>0</v>
      </c>
    </row>
    <row r="21" spans="1:26" ht="14.4" x14ac:dyDescent="0.3">
      <c r="A21" s="182"/>
      <c r="B21" s="183"/>
      <c r="C21" s="184"/>
      <c r="D21" s="191"/>
      <c r="E21" s="191"/>
      <c r="F21" s="192" t="e">
        <f>#REF!-D21+E21</f>
        <v>#REF!</v>
      </c>
      <c r="H21" s="189"/>
      <c r="I21" s="184"/>
      <c r="J21" s="186"/>
      <c r="K21" s="186"/>
      <c r="L21" s="188"/>
      <c r="M21" s="237"/>
      <c r="N21" s="237"/>
      <c r="O21" s="239"/>
    </row>
    <row r="22" spans="1:26" ht="14.4" x14ac:dyDescent="0.3">
      <c r="A22" s="189"/>
      <c r="B22" s="190"/>
      <c r="C22" s="184"/>
      <c r="D22" s="191"/>
      <c r="E22" s="191"/>
      <c r="F22" s="192" t="e">
        <f>F21-D22+E22</f>
        <v>#REF!</v>
      </c>
      <c r="H22" s="189"/>
      <c r="I22" s="184"/>
      <c r="J22" s="186"/>
      <c r="K22" s="186"/>
      <c r="L22" s="188"/>
      <c r="M22" s="237"/>
      <c r="N22" s="237"/>
      <c r="O22" s="239">
        <f t="shared" ref="O22:O32" si="2">O21-N22+M22</f>
        <v>0</v>
      </c>
    </row>
    <row r="23" spans="1:26" ht="14.4" x14ac:dyDescent="0.3">
      <c r="A23" s="189"/>
      <c r="B23" s="190"/>
      <c r="C23" s="184"/>
      <c r="D23" s="191"/>
      <c r="E23" s="191"/>
      <c r="F23" s="192" t="e">
        <f>#REF!-D23+E23</f>
        <v>#REF!</v>
      </c>
      <c r="H23" s="182"/>
      <c r="I23" s="184"/>
      <c r="J23" s="186"/>
      <c r="K23" s="186"/>
      <c r="L23" s="188"/>
      <c r="M23" s="237"/>
      <c r="N23" s="237"/>
      <c r="O23" s="239">
        <f t="shared" si="2"/>
        <v>0</v>
      </c>
    </row>
    <row r="24" spans="1:26" ht="14.4" x14ac:dyDescent="0.3">
      <c r="A24" s="189">
        <v>45604</v>
      </c>
      <c r="B24" s="190"/>
      <c r="C24" s="184" t="s">
        <v>97</v>
      </c>
      <c r="D24" s="193"/>
      <c r="E24" s="193">
        <f>G24*K24</f>
        <v>0</v>
      </c>
      <c r="F24" s="192" t="e">
        <f t="shared" ref="F24:F32" si="3">F23-D24+E24</f>
        <v>#REF!</v>
      </c>
      <c r="G24" s="194">
        <v>63.25</v>
      </c>
      <c r="H24" s="189"/>
      <c r="I24" s="184"/>
      <c r="J24" s="186"/>
      <c r="K24" s="186"/>
      <c r="L24" s="188"/>
      <c r="M24" s="237"/>
      <c r="N24" s="237"/>
      <c r="O24" s="239">
        <f t="shared" si="2"/>
        <v>0</v>
      </c>
    </row>
    <row r="25" spans="1:26" ht="14.4" x14ac:dyDescent="0.3">
      <c r="A25" s="189"/>
      <c r="B25" s="190"/>
      <c r="C25" s="184"/>
      <c r="D25" s="193"/>
      <c r="E25" s="191"/>
      <c r="F25" s="192" t="e">
        <f t="shared" si="3"/>
        <v>#REF!</v>
      </c>
      <c r="H25" s="189"/>
      <c r="I25" s="184"/>
      <c r="J25" s="186"/>
      <c r="K25" s="186"/>
      <c r="L25" s="188"/>
      <c r="M25" s="237"/>
      <c r="N25" s="237"/>
      <c r="O25" s="239">
        <f t="shared" si="2"/>
        <v>0</v>
      </c>
    </row>
    <row r="26" spans="1:26" ht="14.4" x14ac:dyDescent="0.3">
      <c r="A26" s="189"/>
      <c r="B26" s="190"/>
      <c r="C26" s="195"/>
      <c r="D26" s="193"/>
      <c r="E26" s="191"/>
      <c r="F26" s="192" t="e">
        <f t="shared" si="3"/>
        <v>#REF!</v>
      </c>
      <c r="H26" s="189"/>
      <c r="I26" s="184"/>
      <c r="J26" s="186"/>
      <c r="K26" s="186"/>
      <c r="L26" s="188"/>
      <c r="M26" s="237"/>
      <c r="N26" s="237"/>
      <c r="O26" s="239">
        <f t="shared" si="2"/>
        <v>0</v>
      </c>
    </row>
    <row r="27" spans="1:26" ht="14.4" x14ac:dyDescent="0.3">
      <c r="A27" s="189"/>
      <c r="B27" s="190"/>
      <c r="C27" s="195"/>
      <c r="D27" s="193"/>
      <c r="E27" s="193"/>
      <c r="F27" s="192" t="e">
        <f t="shared" si="3"/>
        <v>#REF!</v>
      </c>
      <c r="H27" s="189"/>
      <c r="I27" s="184"/>
      <c r="J27" s="186"/>
      <c r="K27" s="186"/>
      <c r="L27" s="188"/>
      <c r="M27" s="237"/>
      <c r="N27" s="237"/>
      <c r="O27" s="239">
        <f t="shared" si="2"/>
        <v>0</v>
      </c>
    </row>
    <row r="28" spans="1:26" ht="14.4" x14ac:dyDescent="0.3">
      <c r="A28" s="189"/>
      <c r="B28" s="190"/>
      <c r="C28" s="195"/>
      <c r="D28" s="193"/>
      <c r="E28" s="191"/>
      <c r="F28" s="192" t="e">
        <f t="shared" si="3"/>
        <v>#REF!</v>
      </c>
      <c r="H28" s="189"/>
      <c r="I28" s="184"/>
      <c r="J28" s="186"/>
      <c r="K28" s="186"/>
      <c r="L28" s="188"/>
      <c r="M28" s="237"/>
      <c r="N28" s="237"/>
      <c r="O28" s="239">
        <f t="shared" si="2"/>
        <v>0</v>
      </c>
    </row>
    <row r="29" spans="1:26" ht="14.4" x14ac:dyDescent="0.3">
      <c r="A29" s="189"/>
      <c r="B29" s="190"/>
      <c r="C29" s="195"/>
      <c r="D29" s="193"/>
      <c r="E29" s="191"/>
      <c r="F29" s="196" t="e">
        <f t="shared" si="3"/>
        <v>#REF!</v>
      </c>
      <c r="H29" s="189"/>
      <c r="I29" s="184"/>
      <c r="J29" s="186"/>
      <c r="K29" s="186"/>
      <c r="L29" s="188"/>
      <c r="M29" s="237"/>
      <c r="N29" s="237"/>
      <c r="O29" s="239">
        <f t="shared" si="2"/>
        <v>0</v>
      </c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</row>
    <row r="30" spans="1:26" ht="14.4" x14ac:dyDescent="0.3">
      <c r="A30" s="189"/>
      <c r="B30" s="190"/>
      <c r="C30" s="195"/>
      <c r="D30" s="193"/>
      <c r="E30" s="191"/>
      <c r="F30" s="192" t="e">
        <f t="shared" si="3"/>
        <v>#REF!</v>
      </c>
      <c r="H30" s="189"/>
      <c r="I30" s="184"/>
      <c r="J30" s="186"/>
      <c r="K30" s="186"/>
      <c r="L30" s="188"/>
      <c r="M30" s="237"/>
      <c r="N30" s="237"/>
      <c r="O30" s="239">
        <f t="shared" si="2"/>
        <v>0</v>
      </c>
    </row>
    <row r="31" spans="1:26" ht="14.4" x14ac:dyDescent="0.3">
      <c r="A31" s="189"/>
      <c r="B31" s="190"/>
      <c r="C31" s="195"/>
      <c r="D31" s="193"/>
      <c r="E31" s="191"/>
      <c r="F31" s="192" t="e">
        <f t="shared" si="3"/>
        <v>#REF!</v>
      </c>
      <c r="H31" s="189"/>
      <c r="I31" s="184"/>
      <c r="J31" s="186"/>
      <c r="K31" s="186"/>
      <c r="L31" s="188"/>
      <c r="M31" s="237"/>
      <c r="N31" s="237"/>
      <c r="O31" s="239">
        <f t="shared" si="2"/>
        <v>0</v>
      </c>
    </row>
    <row r="32" spans="1:26" ht="14.4" x14ac:dyDescent="0.3">
      <c r="A32" s="189"/>
      <c r="B32" s="190"/>
      <c r="C32" s="195"/>
      <c r="D32" s="193"/>
      <c r="E32" s="191"/>
      <c r="F32" s="192" t="e">
        <f t="shared" si="3"/>
        <v>#REF!</v>
      </c>
      <c r="H32" s="189"/>
      <c r="I32" s="184"/>
      <c r="J32" s="186"/>
      <c r="K32" s="186"/>
      <c r="L32" s="188"/>
      <c r="M32" s="237"/>
      <c r="N32" s="237"/>
      <c r="O32" s="239">
        <f t="shared" si="2"/>
        <v>0</v>
      </c>
      <c r="Q32" s="198"/>
      <c r="R32" s="198"/>
    </row>
    <row r="33" spans="1:18" ht="14.4" x14ac:dyDescent="0.3">
      <c r="A33" s="189"/>
      <c r="B33" s="190"/>
      <c r="C33" s="195"/>
      <c r="D33" s="193"/>
      <c r="E33" s="191"/>
      <c r="F33" s="192"/>
      <c r="H33" s="189"/>
      <c r="I33" s="184"/>
      <c r="J33" s="186"/>
      <c r="K33" s="186"/>
      <c r="L33" s="188"/>
      <c r="M33" s="237"/>
      <c r="N33" s="237"/>
      <c r="O33" s="239"/>
    </row>
    <row r="34" spans="1:18" ht="14.4" x14ac:dyDescent="0.3">
      <c r="A34" s="189"/>
      <c r="B34" s="190"/>
      <c r="C34" s="184"/>
      <c r="D34" s="193"/>
      <c r="E34" s="191"/>
      <c r="F34" s="192"/>
      <c r="H34" s="189"/>
      <c r="I34" s="184"/>
      <c r="J34" s="186"/>
      <c r="K34" s="186"/>
      <c r="L34" s="188"/>
      <c r="M34" s="237"/>
      <c r="N34" s="237"/>
      <c r="O34" s="239"/>
    </row>
    <row r="35" spans="1:18" ht="15.75" customHeight="1" x14ac:dyDescent="0.3">
      <c r="A35" s="199"/>
      <c r="B35" s="200"/>
      <c r="C35" s="201"/>
      <c r="D35" s="201"/>
      <c r="E35" s="201"/>
      <c r="F35" s="202"/>
      <c r="H35" s="189"/>
      <c r="I35" s="184"/>
      <c r="J35" s="186"/>
      <c r="K35" s="186"/>
      <c r="L35" s="188"/>
      <c r="M35" s="237"/>
      <c r="N35" s="237"/>
      <c r="O35" s="239"/>
    </row>
    <row r="36" spans="1:18" ht="15.75" customHeight="1" x14ac:dyDescent="0.3">
      <c r="A36" s="203"/>
      <c r="D36" s="191"/>
      <c r="E36" s="191"/>
      <c r="F36" s="192"/>
      <c r="H36" s="189"/>
      <c r="I36" s="184"/>
      <c r="J36" s="186"/>
      <c r="K36" s="186"/>
      <c r="L36" s="188"/>
      <c r="M36" s="237"/>
      <c r="N36" s="237"/>
      <c r="O36" s="239"/>
      <c r="Q36" s="204"/>
      <c r="R36" s="204"/>
    </row>
    <row r="37" spans="1:18" ht="15.75" customHeight="1" x14ac:dyDescent="0.3">
      <c r="A37" s="189"/>
      <c r="B37" s="190"/>
      <c r="C37" s="184"/>
      <c r="D37" s="191"/>
      <c r="E37" s="191"/>
      <c r="F37" s="192"/>
      <c r="H37" s="189"/>
      <c r="I37" s="184"/>
      <c r="J37" s="186"/>
      <c r="K37" s="186"/>
      <c r="L37" s="188"/>
      <c r="M37" s="237"/>
      <c r="N37" s="237"/>
      <c r="O37" s="239"/>
    </row>
    <row r="38" spans="1:18" ht="15.75" customHeight="1" x14ac:dyDescent="0.3">
      <c r="A38" s="189"/>
      <c r="B38" s="190"/>
      <c r="C38" s="184"/>
      <c r="D38" s="191"/>
      <c r="E38" s="191"/>
      <c r="F38" s="192"/>
      <c r="H38" s="182"/>
      <c r="I38" s="184"/>
      <c r="J38" s="186"/>
      <c r="K38" s="186"/>
      <c r="L38" s="188"/>
      <c r="M38" s="237"/>
      <c r="N38" s="237"/>
      <c r="O38" s="239"/>
    </row>
    <row r="39" spans="1:18" ht="15.75" customHeight="1" x14ac:dyDescent="0.3">
      <c r="A39" s="189"/>
      <c r="B39" s="190"/>
      <c r="C39" s="184"/>
      <c r="D39" s="191"/>
      <c r="E39" s="191"/>
      <c r="F39" s="192"/>
      <c r="H39" s="189"/>
      <c r="I39" s="184"/>
      <c r="J39" s="186"/>
      <c r="K39" s="186"/>
      <c r="L39" s="188"/>
      <c r="M39" s="237"/>
      <c r="N39" s="237"/>
      <c r="O39" s="239"/>
    </row>
    <row r="40" spans="1:18" ht="15.75" customHeight="1" x14ac:dyDescent="0.3">
      <c r="A40" s="189"/>
      <c r="B40" s="190"/>
      <c r="C40" s="184"/>
      <c r="D40" s="191"/>
      <c r="E40" s="191"/>
      <c r="F40" s="192"/>
      <c r="H40" s="189"/>
      <c r="I40" s="184"/>
      <c r="J40" s="186"/>
      <c r="K40" s="186"/>
      <c r="L40" s="188"/>
      <c r="M40" s="237"/>
      <c r="N40" s="237"/>
      <c r="O40" s="239"/>
    </row>
    <row r="41" spans="1:18" ht="15.75" customHeight="1" x14ac:dyDescent="0.3">
      <c r="A41" s="189"/>
      <c r="B41" s="190"/>
      <c r="C41" s="184"/>
      <c r="D41" s="191"/>
      <c r="E41" s="191"/>
      <c r="F41" s="192"/>
      <c r="H41" s="189"/>
      <c r="I41" s="184"/>
      <c r="J41" s="186"/>
      <c r="K41" s="186"/>
      <c r="L41" s="188"/>
      <c r="M41" s="237"/>
      <c r="N41" s="237"/>
      <c r="O41" s="239"/>
    </row>
    <row r="42" spans="1:18" ht="15.75" customHeight="1" x14ac:dyDescent="0.3">
      <c r="A42" s="189"/>
      <c r="B42" s="190"/>
      <c r="C42" s="184"/>
      <c r="D42" s="191"/>
      <c r="E42" s="191"/>
      <c r="F42" s="192"/>
      <c r="H42" s="182"/>
      <c r="I42" s="184"/>
      <c r="J42" s="186"/>
      <c r="K42" s="186"/>
      <c r="L42" s="188"/>
      <c r="M42" s="237"/>
      <c r="N42" s="237"/>
      <c r="O42" s="239"/>
    </row>
    <row r="43" spans="1:18" ht="15.75" customHeight="1" x14ac:dyDescent="0.3">
      <c r="A43" s="189"/>
      <c r="B43" s="190"/>
      <c r="C43" s="184"/>
      <c r="D43" s="191"/>
      <c r="E43" s="191"/>
      <c r="F43" s="192"/>
      <c r="H43" s="189"/>
      <c r="I43" s="184"/>
      <c r="J43" s="186"/>
      <c r="K43" s="186"/>
      <c r="L43" s="188"/>
      <c r="M43" s="237"/>
      <c r="N43" s="237"/>
      <c r="O43" s="239"/>
    </row>
    <row r="44" spans="1:18" ht="15.75" customHeight="1" x14ac:dyDescent="0.3">
      <c r="A44" s="189"/>
      <c r="B44" s="190"/>
      <c r="C44" s="184"/>
      <c r="D44" s="191"/>
      <c r="E44" s="191"/>
      <c r="F44" s="192"/>
      <c r="H44" s="187"/>
      <c r="I44" s="184"/>
      <c r="J44" s="186"/>
      <c r="K44" s="186"/>
      <c r="L44" s="188"/>
      <c r="M44" s="237"/>
      <c r="N44" s="237"/>
      <c r="O44" s="239"/>
      <c r="Q44" s="205"/>
      <c r="R44" s="205"/>
    </row>
    <row r="45" spans="1:18" ht="15.75" customHeight="1" x14ac:dyDescent="0.3">
      <c r="A45" s="182"/>
      <c r="B45" s="183"/>
      <c r="C45" s="184"/>
      <c r="D45" s="191"/>
      <c r="E45" s="191"/>
      <c r="F45" s="192"/>
      <c r="H45" s="182"/>
      <c r="I45" s="206"/>
      <c r="J45" s="207"/>
      <c r="K45" s="207"/>
      <c r="L45" s="208"/>
      <c r="M45" s="237"/>
      <c r="N45" s="237"/>
      <c r="O45" s="234"/>
      <c r="Q45" s="204"/>
      <c r="R45" s="204"/>
    </row>
    <row r="46" spans="1:18" ht="15.75" customHeight="1" x14ac:dyDescent="0.3">
      <c r="A46" s="209"/>
      <c r="B46" s="210"/>
      <c r="C46" s="211"/>
      <c r="D46" s="212"/>
      <c r="E46" s="212"/>
      <c r="F46" s="213"/>
      <c r="H46" s="214"/>
      <c r="I46" s="215"/>
      <c r="J46" s="216"/>
      <c r="K46" s="216"/>
      <c r="L46" s="208"/>
      <c r="M46" s="222"/>
      <c r="N46" s="238"/>
      <c r="O46" s="234"/>
    </row>
    <row r="47" spans="1:18" ht="15.75" customHeight="1" x14ac:dyDescent="0.3">
      <c r="A47" s="217"/>
      <c r="B47" s="218"/>
      <c r="C47" s="219"/>
      <c r="D47" s="220"/>
      <c r="E47" s="220"/>
      <c r="F47" s="221"/>
      <c r="H47" s="187"/>
      <c r="I47" s="206"/>
      <c r="J47" s="207"/>
      <c r="K47" s="207"/>
      <c r="L47" s="208"/>
      <c r="M47" s="237"/>
      <c r="N47" s="236"/>
      <c r="O47" s="234"/>
      <c r="Q47" s="204"/>
      <c r="R47" s="204"/>
    </row>
    <row r="48" spans="1:18" ht="15.75" customHeight="1" x14ac:dyDescent="0.3">
      <c r="A48" s="217"/>
      <c r="B48" s="218"/>
      <c r="C48" s="219"/>
      <c r="D48" s="220"/>
      <c r="E48" s="220"/>
      <c r="F48" s="221"/>
      <c r="H48" s="214"/>
      <c r="I48" s="206"/>
      <c r="J48" s="216"/>
      <c r="K48" s="216"/>
      <c r="L48" s="208"/>
      <c r="M48" s="235"/>
      <c r="N48" s="235"/>
      <c r="O48" s="234"/>
      <c r="Q48" s="204"/>
      <c r="R48" s="204"/>
    </row>
    <row r="49" spans="1:18" ht="15.75" customHeight="1" x14ac:dyDescent="0.3">
      <c r="A49" s="217"/>
      <c r="B49" s="218"/>
      <c r="C49" s="219"/>
      <c r="D49" s="220"/>
      <c r="E49" s="220"/>
      <c r="F49" s="221"/>
      <c r="H49" s="214"/>
      <c r="I49" s="215"/>
      <c r="J49" s="216"/>
      <c r="K49" s="216"/>
      <c r="L49" s="208"/>
      <c r="M49" s="235"/>
      <c r="N49" s="235"/>
      <c r="O49" s="234"/>
      <c r="Q49" s="204"/>
      <c r="R49" s="204"/>
    </row>
    <row r="50" spans="1:18" ht="15.75" customHeight="1" x14ac:dyDescent="0.3">
      <c r="A50" s="217"/>
      <c r="B50" s="218"/>
      <c r="C50" s="219"/>
      <c r="D50" s="220"/>
      <c r="E50" s="220"/>
      <c r="F50" s="221"/>
      <c r="H50" s="214"/>
      <c r="I50" s="215"/>
      <c r="J50" s="216"/>
      <c r="K50" s="216"/>
      <c r="L50" s="208"/>
      <c r="M50" s="235"/>
      <c r="N50" s="235"/>
      <c r="O50" s="234"/>
      <c r="Q50" s="204"/>
      <c r="R50" s="204"/>
    </row>
    <row r="51" spans="1:18" ht="15.75" customHeight="1" x14ac:dyDescent="0.3">
      <c r="A51" s="217"/>
      <c r="B51" s="218"/>
      <c r="C51" s="219"/>
      <c r="D51" s="220"/>
      <c r="E51" s="220"/>
      <c r="F51" s="221"/>
      <c r="H51" s="214"/>
      <c r="I51" s="215"/>
      <c r="J51" s="222"/>
      <c r="K51" s="222"/>
      <c r="L51" s="208"/>
      <c r="M51" s="235"/>
      <c r="N51" s="235"/>
      <c r="O51" s="234"/>
      <c r="Q51" s="204"/>
      <c r="R51" s="204"/>
    </row>
    <row r="52" spans="1:18" ht="15.75" customHeight="1" x14ac:dyDescent="0.3">
      <c r="A52" s="217"/>
      <c r="B52" s="218"/>
      <c r="C52" s="219"/>
      <c r="D52" s="220"/>
      <c r="E52" s="220"/>
      <c r="F52" s="221"/>
      <c r="H52" s="214"/>
      <c r="I52" s="215"/>
      <c r="J52" s="222"/>
      <c r="K52" s="222"/>
      <c r="L52" s="208"/>
      <c r="M52" s="235"/>
      <c r="N52" s="235"/>
      <c r="O52" s="234"/>
      <c r="Q52" s="204"/>
      <c r="R52" s="204"/>
    </row>
    <row r="53" spans="1:18" ht="15.75" customHeight="1" x14ac:dyDescent="0.3">
      <c r="A53" s="217"/>
      <c r="B53" s="218"/>
      <c r="C53" s="219"/>
      <c r="D53" s="220"/>
      <c r="E53" s="220"/>
      <c r="F53" s="221"/>
      <c r="H53" s="214"/>
      <c r="I53" s="215"/>
      <c r="J53" s="222"/>
      <c r="K53" s="222"/>
      <c r="L53" s="208"/>
      <c r="M53" s="235"/>
      <c r="N53" s="235"/>
      <c r="O53" s="234"/>
      <c r="Q53" s="204"/>
      <c r="R53" s="204"/>
    </row>
    <row r="54" spans="1:18" ht="15.75" customHeight="1" x14ac:dyDescent="0.3">
      <c r="A54" s="217"/>
      <c r="B54" s="218"/>
      <c r="C54" s="219"/>
      <c r="D54" s="220"/>
      <c r="E54" s="220"/>
      <c r="F54" s="221"/>
      <c r="H54" s="214"/>
      <c r="I54" s="215"/>
      <c r="J54" s="222"/>
      <c r="K54" s="222"/>
      <c r="L54" s="208"/>
      <c r="M54" s="235"/>
      <c r="N54" s="235"/>
      <c r="O54" s="234"/>
      <c r="Q54" s="204"/>
      <c r="R54" s="204"/>
    </row>
    <row r="55" spans="1:18" ht="15.75" customHeight="1" x14ac:dyDescent="0.3">
      <c r="A55" s="217"/>
      <c r="B55" s="218"/>
      <c r="C55" s="219"/>
      <c r="D55" s="220"/>
      <c r="E55" s="220"/>
      <c r="F55" s="221"/>
      <c r="H55" s="214"/>
      <c r="I55" s="215"/>
      <c r="J55" s="222"/>
      <c r="K55" s="222"/>
      <c r="L55" s="208"/>
      <c r="M55" s="235"/>
      <c r="N55" s="235"/>
      <c r="O55" s="234"/>
      <c r="Q55" s="204"/>
      <c r="R55" s="204"/>
    </row>
    <row r="56" spans="1:18" ht="15.75" customHeight="1" x14ac:dyDescent="0.3">
      <c r="A56" s="217"/>
      <c r="B56" s="218"/>
      <c r="C56" s="219"/>
      <c r="D56" s="220"/>
      <c r="E56" s="220"/>
      <c r="F56" s="221"/>
      <c r="H56" s="217"/>
      <c r="I56" s="223"/>
      <c r="J56" s="222"/>
      <c r="K56" s="222"/>
      <c r="L56" s="224"/>
      <c r="M56" s="235"/>
      <c r="N56" s="235"/>
      <c r="O56" s="234"/>
      <c r="Q56" s="204"/>
      <c r="R56" s="204"/>
    </row>
    <row r="57" spans="1:18" ht="15.75" customHeight="1" x14ac:dyDescent="0.3">
      <c r="A57" s="217"/>
      <c r="B57" s="218"/>
      <c r="C57" s="219"/>
      <c r="D57" s="220"/>
      <c r="E57" s="220"/>
      <c r="F57" s="221"/>
      <c r="H57" s="217"/>
      <c r="I57" s="223"/>
      <c r="J57" s="222"/>
      <c r="K57" s="222"/>
      <c r="L57" s="224"/>
      <c r="M57" s="235"/>
      <c r="N57" s="235"/>
      <c r="O57" s="234"/>
      <c r="Q57" s="204"/>
      <c r="R57" s="204"/>
    </row>
    <row r="58" spans="1:18" ht="15.75" customHeight="1" x14ac:dyDescent="0.3">
      <c r="A58" s="217"/>
      <c r="B58" s="218"/>
      <c r="C58" s="219"/>
      <c r="D58" s="220"/>
      <c r="E58" s="220"/>
      <c r="F58" s="221"/>
      <c r="H58" s="217"/>
      <c r="I58" s="223"/>
      <c r="J58" s="222"/>
      <c r="K58" s="222"/>
      <c r="L58" s="224"/>
      <c r="M58" s="235"/>
      <c r="N58" s="235"/>
      <c r="O58" s="234"/>
      <c r="Q58" s="204"/>
      <c r="R58" s="204"/>
    </row>
    <row r="59" spans="1:18" ht="15.75" customHeight="1" x14ac:dyDescent="0.3">
      <c r="A59" s="217"/>
      <c r="B59" s="218"/>
      <c r="C59" s="219"/>
      <c r="D59" s="220"/>
      <c r="E59" s="220"/>
      <c r="F59" s="221"/>
      <c r="H59" s="217"/>
      <c r="I59" s="223"/>
      <c r="J59" s="222"/>
      <c r="K59" s="222"/>
      <c r="L59" s="224"/>
      <c r="M59" s="235"/>
      <c r="N59" s="235"/>
      <c r="O59" s="234"/>
      <c r="Q59" s="204"/>
      <c r="R59" s="204"/>
    </row>
    <row r="60" spans="1:18" ht="15.75" customHeight="1" x14ac:dyDescent="0.3">
      <c r="A60" s="217"/>
      <c r="B60" s="218"/>
      <c r="C60" s="219"/>
      <c r="D60" s="220"/>
      <c r="E60" s="220"/>
      <c r="F60" s="221"/>
      <c r="H60" s="217"/>
      <c r="I60" s="223"/>
      <c r="J60" s="222"/>
      <c r="K60" s="222"/>
      <c r="L60" s="224"/>
      <c r="M60" s="235"/>
      <c r="N60" s="235"/>
      <c r="O60" s="234"/>
      <c r="Q60" s="204"/>
      <c r="R60" s="204"/>
    </row>
    <row r="61" spans="1:18" ht="15.75" customHeight="1" x14ac:dyDescent="0.3">
      <c r="A61" s="217"/>
      <c r="B61" s="218"/>
      <c r="C61" s="219"/>
      <c r="D61" s="220"/>
      <c r="E61" s="220"/>
      <c r="F61" s="221"/>
      <c r="H61" s="217"/>
      <c r="I61" s="223"/>
      <c r="J61" s="222"/>
      <c r="K61" s="222"/>
      <c r="L61" s="224"/>
      <c r="M61" s="235"/>
      <c r="N61" s="235"/>
      <c r="O61" s="234"/>
      <c r="Q61" s="204"/>
      <c r="R61" s="204"/>
    </row>
    <row r="62" spans="1:18" ht="15.75" customHeight="1" x14ac:dyDescent="0.3">
      <c r="A62" s="217"/>
      <c r="B62" s="218"/>
      <c r="C62" s="219"/>
      <c r="D62" s="220"/>
      <c r="E62" s="220"/>
      <c r="F62" s="221"/>
      <c r="H62" s="217"/>
      <c r="I62" s="223"/>
      <c r="J62" s="222"/>
      <c r="K62" s="222"/>
      <c r="L62" s="224"/>
      <c r="M62" s="235"/>
      <c r="N62" s="235"/>
      <c r="O62" s="234"/>
      <c r="Q62" s="204"/>
      <c r="R62" s="204"/>
    </row>
    <row r="63" spans="1:18" ht="15.75" customHeight="1" x14ac:dyDescent="0.3">
      <c r="A63" s="217"/>
      <c r="B63" s="218"/>
      <c r="C63" s="219"/>
      <c r="D63" s="220"/>
      <c r="E63" s="220"/>
      <c r="F63" s="221"/>
      <c r="H63" s="217"/>
      <c r="I63" s="223"/>
      <c r="J63" s="222"/>
      <c r="K63" s="222"/>
      <c r="L63" s="224"/>
      <c r="M63" s="235"/>
      <c r="N63" s="235"/>
      <c r="O63" s="234"/>
      <c r="Q63" s="204"/>
      <c r="R63" s="204"/>
    </row>
    <row r="64" spans="1:18" ht="15.75" customHeight="1" x14ac:dyDescent="0.3">
      <c r="A64" s="217"/>
      <c r="B64" s="218"/>
      <c r="C64" s="219"/>
      <c r="D64" s="220"/>
      <c r="E64" s="220"/>
      <c r="F64" s="221"/>
      <c r="H64" s="217"/>
      <c r="I64" s="223"/>
      <c r="J64" s="222"/>
      <c r="K64" s="222"/>
      <c r="L64" s="224"/>
      <c r="M64" s="235"/>
      <c r="N64" s="235"/>
      <c r="O64" s="234"/>
      <c r="Q64" s="204"/>
      <c r="R64" s="204"/>
    </row>
    <row r="65" spans="1:18" ht="15.75" customHeight="1" x14ac:dyDescent="0.3">
      <c r="A65" s="217"/>
      <c r="B65" s="218"/>
      <c r="C65" s="219"/>
      <c r="D65" s="220"/>
      <c r="E65" s="220"/>
      <c r="F65" s="221"/>
      <c r="H65" s="217"/>
      <c r="I65" s="223"/>
      <c r="J65" s="222"/>
      <c r="K65" s="222"/>
      <c r="L65" s="224"/>
      <c r="M65" s="235"/>
      <c r="N65" s="235"/>
      <c r="O65" s="234"/>
      <c r="Q65" s="204"/>
      <c r="R65" s="204"/>
    </row>
    <row r="66" spans="1:18" ht="15.75" customHeight="1" x14ac:dyDescent="0.3">
      <c r="A66" s="217"/>
      <c r="B66" s="218"/>
      <c r="C66" s="219"/>
      <c r="D66" s="220"/>
      <c r="E66" s="220"/>
      <c r="F66" s="221"/>
      <c r="H66" s="217"/>
      <c r="I66" s="223"/>
      <c r="J66" s="222"/>
      <c r="K66" s="222"/>
      <c r="L66" s="224"/>
      <c r="M66" s="235"/>
      <c r="N66" s="235"/>
      <c r="O66" s="234"/>
      <c r="Q66" s="204"/>
      <c r="R66" s="204"/>
    </row>
    <row r="67" spans="1:18" ht="15.75" customHeight="1" x14ac:dyDescent="0.3">
      <c r="H67" s="225"/>
      <c r="I67" s="226"/>
      <c r="J67" s="227">
        <f>SUM(J17:J66)</f>
        <v>0</v>
      </c>
      <c r="K67" s="227">
        <f>SUM(K17:K66)</f>
        <v>0</v>
      </c>
      <c r="L67" s="228">
        <f>+J67-K67</f>
        <v>0</v>
      </c>
      <c r="M67" s="233">
        <f>SUM(M17:M66)</f>
        <v>1000</v>
      </c>
      <c r="N67" s="233">
        <f>SUM(N17:N66)</f>
        <v>1000</v>
      </c>
      <c r="O67" s="232">
        <f>+M67-N67</f>
        <v>0</v>
      </c>
    </row>
    <row r="68" spans="1:18" ht="15.75" customHeight="1" x14ac:dyDescent="0.3">
      <c r="E68" s="229">
        <f>D29+D31</f>
        <v>0</v>
      </c>
      <c r="J68" s="230"/>
      <c r="K68" s="230"/>
      <c r="L68" s="231"/>
      <c r="M68" s="230"/>
      <c r="N68" s="230"/>
      <c r="O68" s="231"/>
    </row>
    <row r="69" spans="1:18" ht="15.75" customHeight="1" x14ac:dyDescent="0.3">
      <c r="E69" s="229">
        <f>E68/65</f>
        <v>0</v>
      </c>
      <c r="J69" s="230"/>
      <c r="K69" s="230"/>
      <c r="L69" s="231"/>
      <c r="M69" s="230"/>
      <c r="N69" s="230"/>
      <c r="O69" s="231"/>
    </row>
    <row r="70" spans="1:18" ht="15.75" customHeight="1" x14ac:dyDescent="0.3">
      <c r="J70" s="230"/>
      <c r="K70" s="230"/>
      <c r="L70" s="231"/>
      <c r="M70" s="230"/>
      <c r="N70" s="230"/>
      <c r="O70" s="231"/>
    </row>
    <row r="71" spans="1:18" ht="15.75" customHeight="1" x14ac:dyDescent="0.3">
      <c r="J71" s="230"/>
      <c r="K71" s="230"/>
      <c r="L71" s="231"/>
      <c r="M71" s="230"/>
      <c r="N71" s="230"/>
      <c r="O71" s="231"/>
    </row>
    <row r="72" spans="1:18" ht="15.75" customHeight="1" x14ac:dyDescent="0.3">
      <c r="J72" s="230"/>
      <c r="K72" s="230"/>
      <c r="L72" s="231"/>
      <c r="M72" s="230"/>
      <c r="N72" s="230"/>
      <c r="O72" s="231"/>
    </row>
    <row r="73" spans="1:18" ht="15.75" customHeight="1" x14ac:dyDescent="0.3">
      <c r="J73" s="230"/>
      <c r="K73" s="230"/>
      <c r="L73" s="231"/>
      <c r="M73" s="230"/>
      <c r="N73" s="230"/>
      <c r="O73" s="231"/>
    </row>
    <row r="74" spans="1:18" ht="15.75" customHeight="1" x14ac:dyDescent="0.3">
      <c r="J74" s="230"/>
      <c r="K74" s="230"/>
      <c r="L74" s="231"/>
      <c r="M74" s="230"/>
      <c r="N74" s="230"/>
      <c r="O74" s="231"/>
    </row>
    <row r="75" spans="1:18" ht="15.75" customHeight="1" x14ac:dyDescent="0.3">
      <c r="J75" s="230"/>
      <c r="K75" s="230"/>
      <c r="L75" s="231"/>
      <c r="M75" s="230"/>
      <c r="N75" s="230"/>
      <c r="O75" s="231"/>
    </row>
    <row r="76" spans="1:18" ht="15.75" customHeight="1" x14ac:dyDescent="0.3">
      <c r="J76" s="230"/>
      <c r="K76" s="230"/>
      <c r="L76" s="231"/>
      <c r="M76" s="230"/>
      <c r="N76" s="230"/>
      <c r="O76" s="231"/>
    </row>
    <row r="77" spans="1:18" ht="15.75" customHeight="1" x14ac:dyDescent="0.3">
      <c r="J77" s="230"/>
      <c r="K77" s="230"/>
      <c r="L77" s="231"/>
      <c r="M77" s="230"/>
      <c r="N77" s="230"/>
      <c r="O77" s="231"/>
    </row>
    <row r="78" spans="1:18" ht="15.75" customHeight="1" x14ac:dyDescent="0.3">
      <c r="J78" s="230"/>
      <c r="K78" s="230"/>
      <c r="L78" s="231"/>
      <c r="M78" s="230"/>
      <c r="N78" s="230"/>
      <c r="O78" s="231"/>
    </row>
    <row r="79" spans="1:18" ht="15.75" customHeight="1" x14ac:dyDescent="0.3">
      <c r="J79" s="230"/>
      <c r="K79" s="230"/>
      <c r="L79" s="231"/>
      <c r="M79" s="230"/>
      <c r="N79" s="230"/>
      <c r="O79" s="231"/>
    </row>
    <row r="80" spans="1:18" ht="15.75" customHeight="1" x14ac:dyDescent="0.3">
      <c r="J80" s="230"/>
      <c r="K80" s="230"/>
      <c r="L80" s="231"/>
      <c r="M80" s="230"/>
      <c r="N80" s="230"/>
      <c r="O80" s="231"/>
    </row>
    <row r="81" spans="10:15" ht="15.75" customHeight="1" x14ac:dyDescent="0.3">
      <c r="J81" s="230"/>
      <c r="K81" s="230"/>
      <c r="L81" s="231"/>
      <c r="M81" s="230"/>
      <c r="N81" s="230"/>
      <c r="O81" s="231"/>
    </row>
    <row r="82" spans="10:15" ht="15.75" customHeight="1" x14ac:dyDescent="0.3">
      <c r="J82" s="230"/>
      <c r="K82" s="230"/>
      <c r="L82" s="231"/>
      <c r="M82" s="230"/>
      <c r="N82" s="230"/>
      <c r="O82" s="231"/>
    </row>
    <row r="83" spans="10:15" ht="15.75" customHeight="1" x14ac:dyDescent="0.3">
      <c r="J83" s="230"/>
      <c r="K83" s="230"/>
      <c r="L83" s="231"/>
      <c r="M83" s="230"/>
      <c r="N83" s="230"/>
      <c r="O83" s="231"/>
    </row>
    <row r="84" spans="10:15" ht="15.75" customHeight="1" x14ac:dyDescent="0.3">
      <c r="J84" s="230"/>
      <c r="K84" s="230"/>
      <c r="L84" s="231"/>
      <c r="M84" s="230"/>
      <c r="N84" s="230"/>
      <c r="O84" s="231"/>
    </row>
    <row r="85" spans="10:15" ht="15.75" customHeight="1" x14ac:dyDescent="0.3">
      <c r="J85" s="230"/>
      <c r="K85" s="230"/>
      <c r="L85" s="231"/>
      <c r="M85" s="230"/>
      <c r="N85" s="230"/>
      <c r="O85" s="231"/>
    </row>
    <row r="86" spans="10:15" ht="15.75" customHeight="1" x14ac:dyDescent="0.3">
      <c r="J86" s="230"/>
      <c r="K86" s="230"/>
      <c r="L86" s="231"/>
      <c r="M86" s="230"/>
      <c r="N86" s="230"/>
      <c r="O86" s="231"/>
    </row>
    <row r="87" spans="10:15" ht="15.75" customHeight="1" x14ac:dyDescent="0.3">
      <c r="J87" s="230"/>
      <c r="K87" s="230"/>
      <c r="L87" s="231"/>
      <c r="M87" s="230"/>
      <c r="N87" s="230"/>
      <c r="O87" s="231"/>
    </row>
    <row r="88" spans="10:15" ht="15.75" customHeight="1" x14ac:dyDescent="0.3">
      <c r="J88" s="230"/>
      <c r="K88" s="230"/>
      <c r="L88" s="231"/>
      <c r="M88" s="230"/>
      <c r="N88" s="230"/>
      <c r="O88" s="231"/>
    </row>
    <row r="89" spans="10:15" ht="15.75" customHeight="1" x14ac:dyDescent="0.3">
      <c r="J89" s="230"/>
      <c r="K89" s="230"/>
      <c r="L89" s="231"/>
      <c r="M89" s="230"/>
      <c r="N89" s="230"/>
      <c r="O89" s="231"/>
    </row>
    <row r="90" spans="10:15" ht="15.75" customHeight="1" x14ac:dyDescent="0.3">
      <c r="J90" s="230"/>
      <c r="K90" s="230"/>
      <c r="L90" s="231"/>
      <c r="M90" s="230"/>
      <c r="N90" s="230"/>
      <c r="O90" s="231"/>
    </row>
    <row r="91" spans="10:15" ht="15.75" customHeight="1" x14ac:dyDescent="0.3">
      <c r="J91" s="230"/>
      <c r="K91" s="230"/>
      <c r="L91" s="231"/>
      <c r="M91" s="230"/>
      <c r="N91" s="230"/>
      <c r="O91" s="231"/>
    </row>
    <row r="92" spans="10:15" ht="15.75" customHeight="1" x14ac:dyDescent="0.3">
      <c r="J92" s="230"/>
      <c r="K92" s="230"/>
      <c r="L92" s="231"/>
      <c r="M92" s="230"/>
      <c r="N92" s="230"/>
      <c r="O92" s="231"/>
    </row>
    <row r="93" spans="10:15" ht="15.75" customHeight="1" x14ac:dyDescent="0.3">
      <c r="J93" s="230"/>
      <c r="K93" s="230"/>
      <c r="L93" s="231"/>
      <c r="M93" s="230"/>
      <c r="N93" s="230"/>
      <c r="O93" s="231"/>
    </row>
    <row r="94" spans="10:15" ht="15.75" customHeight="1" x14ac:dyDescent="0.3">
      <c r="J94" s="230"/>
      <c r="K94" s="230"/>
      <c r="L94" s="231"/>
      <c r="M94" s="230"/>
      <c r="N94" s="230"/>
      <c r="O94" s="231"/>
    </row>
    <row r="95" spans="10:15" ht="15.75" customHeight="1" x14ac:dyDescent="0.3">
      <c r="J95" s="230"/>
      <c r="K95" s="230"/>
      <c r="L95" s="231"/>
      <c r="M95" s="230"/>
      <c r="N95" s="230"/>
      <c r="O95" s="231"/>
    </row>
    <row r="96" spans="10:15" ht="15.75" customHeight="1" x14ac:dyDescent="0.3">
      <c r="J96" s="230"/>
      <c r="K96" s="230"/>
      <c r="L96" s="231"/>
      <c r="M96" s="230"/>
      <c r="N96" s="230"/>
      <c r="O96" s="231"/>
    </row>
    <row r="97" spans="10:15" ht="15.75" customHeight="1" x14ac:dyDescent="0.3">
      <c r="J97" s="230"/>
      <c r="K97" s="230"/>
      <c r="L97" s="231"/>
      <c r="M97" s="230"/>
      <c r="N97" s="230"/>
      <c r="O97" s="231"/>
    </row>
    <row r="98" spans="10:15" ht="15.75" customHeight="1" x14ac:dyDescent="0.3">
      <c r="J98" s="230"/>
      <c r="K98" s="230"/>
      <c r="L98" s="231"/>
      <c r="M98" s="230"/>
      <c r="N98" s="230"/>
      <c r="O98" s="231"/>
    </row>
    <row r="99" spans="10:15" ht="15.75" customHeight="1" x14ac:dyDescent="0.3">
      <c r="J99" s="230"/>
      <c r="K99" s="230"/>
      <c r="L99" s="231"/>
      <c r="M99" s="230"/>
      <c r="N99" s="230"/>
      <c r="O99" s="231"/>
    </row>
    <row r="100" spans="10:15" ht="15.75" customHeight="1" x14ac:dyDescent="0.3">
      <c r="J100" s="230"/>
      <c r="K100" s="230"/>
      <c r="L100" s="231"/>
      <c r="M100" s="230"/>
      <c r="N100" s="230"/>
      <c r="O100" s="231"/>
    </row>
    <row r="101" spans="10:15" ht="15.75" customHeight="1" x14ac:dyDescent="0.3">
      <c r="J101" s="230"/>
      <c r="K101" s="230"/>
      <c r="L101" s="231"/>
      <c r="M101" s="230"/>
      <c r="N101" s="230"/>
      <c r="O101" s="231"/>
    </row>
    <row r="102" spans="10:15" ht="15.75" customHeight="1" x14ac:dyDescent="0.3">
      <c r="J102" s="230"/>
      <c r="K102" s="230"/>
      <c r="L102" s="231"/>
      <c r="M102" s="230"/>
      <c r="N102" s="230"/>
      <c r="O102" s="231"/>
    </row>
    <row r="103" spans="10:15" ht="15.75" customHeight="1" x14ac:dyDescent="0.3">
      <c r="J103" s="230"/>
      <c r="K103" s="230"/>
      <c r="L103" s="231"/>
      <c r="M103" s="230"/>
      <c r="N103" s="230"/>
      <c r="O103" s="231"/>
    </row>
    <row r="104" spans="10:15" ht="15.75" customHeight="1" x14ac:dyDescent="0.3">
      <c r="J104" s="230"/>
      <c r="K104" s="230"/>
      <c r="L104" s="231"/>
      <c r="M104" s="230"/>
      <c r="N104" s="230"/>
      <c r="O104" s="231"/>
    </row>
    <row r="105" spans="10:15" ht="15.75" customHeight="1" x14ac:dyDescent="0.3">
      <c r="J105" s="230"/>
      <c r="K105" s="230"/>
      <c r="L105" s="231"/>
      <c r="M105" s="230"/>
      <c r="N105" s="230"/>
      <c r="O105" s="231"/>
    </row>
    <row r="106" spans="10:15" ht="15.75" customHeight="1" x14ac:dyDescent="0.3">
      <c r="J106" s="230"/>
      <c r="K106" s="230"/>
      <c r="L106" s="231"/>
      <c r="M106" s="230"/>
      <c r="N106" s="230"/>
      <c r="O106" s="231"/>
    </row>
    <row r="107" spans="10:15" ht="15.75" customHeight="1" x14ac:dyDescent="0.3">
      <c r="J107" s="230"/>
      <c r="K107" s="230"/>
      <c r="L107" s="231"/>
      <c r="M107" s="230"/>
      <c r="N107" s="230"/>
      <c r="O107" s="231"/>
    </row>
    <row r="108" spans="10:15" ht="15.75" customHeight="1" x14ac:dyDescent="0.3">
      <c r="J108" s="230"/>
      <c r="K108" s="230"/>
      <c r="L108" s="231"/>
      <c r="M108" s="230"/>
      <c r="N108" s="230"/>
      <c r="O108" s="231"/>
    </row>
    <row r="109" spans="10:15" ht="15.75" customHeight="1" x14ac:dyDescent="0.3">
      <c r="J109" s="230"/>
      <c r="K109" s="230"/>
      <c r="L109" s="231"/>
      <c r="M109" s="230"/>
      <c r="N109" s="230"/>
      <c r="O109" s="231"/>
    </row>
    <row r="110" spans="10:15" ht="15.75" customHeight="1" x14ac:dyDescent="0.3">
      <c r="J110" s="230"/>
      <c r="K110" s="230"/>
      <c r="L110" s="231"/>
      <c r="M110" s="230"/>
      <c r="N110" s="230"/>
      <c r="O110" s="231"/>
    </row>
    <row r="111" spans="10:15" ht="15.75" customHeight="1" x14ac:dyDescent="0.3">
      <c r="J111" s="230"/>
      <c r="K111" s="230"/>
      <c r="L111" s="231"/>
      <c r="M111" s="230"/>
      <c r="N111" s="230"/>
      <c r="O111" s="231"/>
    </row>
    <row r="112" spans="10:15" ht="15.75" customHeight="1" x14ac:dyDescent="0.3">
      <c r="J112" s="230"/>
      <c r="K112" s="230"/>
      <c r="L112" s="231"/>
      <c r="M112" s="230"/>
      <c r="N112" s="230"/>
      <c r="O112" s="231"/>
    </row>
    <row r="113" spans="10:15" ht="15.75" customHeight="1" x14ac:dyDescent="0.3">
      <c r="J113" s="230"/>
      <c r="K113" s="230"/>
      <c r="L113" s="231"/>
      <c r="M113" s="230"/>
      <c r="N113" s="230"/>
      <c r="O113" s="231"/>
    </row>
    <row r="114" spans="10:15" ht="15.75" customHeight="1" x14ac:dyDescent="0.3">
      <c r="J114" s="230"/>
      <c r="K114" s="230"/>
      <c r="L114" s="231"/>
      <c r="M114" s="230"/>
      <c r="N114" s="230"/>
      <c r="O114" s="231"/>
    </row>
    <row r="115" spans="10:15" ht="15.75" customHeight="1" x14ac:dyDescent="0.3">
      <c r="J115" s="230"/>
      <c r="K115" s="230"/>
      <c r="L115" s="231"/>
      <c r="M115" s="230"/>
      <c r="N115" s="230"/>
      <c r="O115" s="231"/>
    </row>
    <row r="116" spans="10:15" ht="15.75" customHeight="1" x14ac:dyDescent="0.3">
      <c r="J116" s="230"/>
      <c r="K116" s="230"/>
      <c r="L116" s="231"/>
      <c r="M116" s="230"/>
      <c r="N116" s="230"/>
      <c r="O116" s="231"/>
    </row>
    <row r="117" spans="10:15" ht="15.75" customHeight="1" x14ac:dyDescent="0.3">
      <c r="J117" s="230"/>
      <c r="K117" s="230"/>
      <c r="L117" s="231"/>
      <c r="M117" s="230"/>
      <c r="N117" s="230"/>
      <c r="O117" s="231"/>
    </row>
    <row r="118" spans="10:15" ht="15.75" customHeight="1" x14ac:dyDescent="0.3">
      <c r="J118" s="230"/>
      <c r="K118" s="230"/>
      <c r="L118" s="231"/>
      <c r="M118" s="230"/>
      <c r="N118" s="230"/>
      <c r="O118" s="231"/>
    </row>
    <row r="119" spans="10:15" ht="15.75" customHeight="1" x14ac:dyDescent="0.3">
      <c r="J119" s="230"/>
      <c r="K119" s="230"/>
      <c r="L119" s="231"/>
      <c r="M119" s="230"/>
      <c r="N119" s="230"/>
      <c r="O119" s="231"/>
    </row>
    <row r="120" spans="10:15" ht="15.75" customHeight="1" x14ac:dyDescent="0.3">
      <c r="J120" s="230"/>
      <c r="K120" s="230"/>
      <c r="L120" s="231"/>
      <c r="M120" s="230"/>
      <c r="N120" s="230"/>
      <c r="O120" s="231"/>
    </row>
    <row r="121" spans="10:15" ht="15.75" customHeight="1" x14ac:dyDescent="0.3">
      <c r="J121" s="230"/>
      <c r="K121" s="230"/>
      <c r="L121" s="231"/>
      <c r="M121" s="230"/>
      <c r="N121" s="230"/>
      <c r="O121" s="231"/>
    </row>
    <row r="122" spans="10:15" ht="15.75" customHeight="1" x14ac:dyDescent="0.3">
      <c r="J122" s="230"/>
      <c r="K122" s="230"/>
      <c r="L122" s="231"/>
      <c r="M122" s="230"/>
      <c r="N122" s="230"/>
      <c r="O122" s="231"/>
    </row>
    <row r="123" spans="10:15" ht="15.75" customHeight="1" x14ac:dyDescent="0.3">
      <c r="J123" s="230"/>
      <c r="K123" s="230"/>
      <c r="L123" s="231"/>
      <c r="M123" s="230"/>
      <c r="N123" s="230"/>
      <c r="O123" s="231"/>
    </row>
    <row r="124" spans="10:15" ht="15.75" customHeight="1" x14ac:dyDescent="0.3">
      <c r="J124" s="230"/>
      <c r="K124" s="230"/>
      <c r="L124" s="231"/>
      <c r="M124" s="230"/>
      <c r="N124" s="230"/>
      <c r="O124" s="231"/>
    </row>
    <row r="125" spans="10:15" ht="15.75" customHeight="1" x14ac:dyDescent="0.3">
      <c r="J125" s="230"/>
      <c r="K125" s="230"/>
      <c r="L125" s="231"/>
      <c r="M125" s="230"/>
      <c r="N125" s="230"/>
      <c r="O125" s="231"/>
    </row>
    <row r="126" spans="10:15" ht="15.75" customHeight="1" x14ac:dyDescent="0.3">
      <c r="J126" s="230"/>
      <c r="K126" s="230"/>
      <c r="L126" s="231"/>
      <c r="M126" s="230"/>
      <c r="N126" s="230"/>
      <c r="O126" s="231"/>
    </row>
    <row r="127" spans="10:15" ht="15.75" customHeight="1" x14ac:dyDescent="0.3">
      <c r="J127" s="230"/>
      <c r="K127" s="230"/>
      <c r="L127" s="231"/>
      <c r="M127" s="230"/>
      <c r="N127" s="230"/>
      <c r="O127" s="231"/>
    </row>
    <row r="128" spans="10:15" ht="15.75" customHeight="1" x14ac:dyDescent="0.3">
      <c r="J128" s="230"/>
      <c r="K128" s="230"/>
      <c r="L128" s="231"/>
      <c r="M128" s="230"/>
      <c r="N128" s="230"/>
      <c r="O128" s="231"/>
    </row>
    <row r="129" spans="10:15" ht="15.75" customHeight="1" x14ac:dyDescent="0.3">
      <c r="J129" s="230"/>
      <c r="K129" s="230"/>
      <c r="L129" s="231"/>
      <c r="M129" s="230"/>
      <c r="N129" s="230"/>
      <c r="O129" s="231"/>
    </row>
    <row r="130" spans="10:15" ht="15.75" customHeight="1" x14ac:dyDescent="0.3">
      <c r="J130" s="230"/>
      <c r="K130" s="230"/>
      <c r="L130" s="231"/>
      <c r="M130" s="230"/>
      <c r="N130" s="230"/>
      <c r="O130" s="231"/>
    </row>
    <row r="131" spans="10:15" ht="15.75" customHeight="1" x14ac:dyDescent="0.3">
      <c r="J131" s="230"/>
      <c r="K131" s="230"/>
      <c r="L131" s="231"/>
      <c r="M131" s="230"/>
      <c r="N131" s="230"/>
      <c r="O131" s="231"/>
    </row>
    <row r="132" spans="10:15" ht="15.75" customHeight="1" x14ac:dyDescent="0.3">
      <c r="J132" s="230"/>
      <c r="K132" s="230"/>
      <c r="L132" s="231"/>
      <c r="M132" s="230"/>
      <c r="N132" s="230"/>
      <c r="O132" s="231"/>
    </row>
    <row r="133" spans="10:15" ht="15.75" customHeight="1" x14ac:dyDescent="0.3">
      <c r="J133" s="230"/>
      <c r="K133" s="230"/>
      <c r="L133" s="231"/>
      <c r="M133" s="230"/>
      <c r="N133" s="230"/>
      <c r="O133" s="231"/>
    </row>
    <row r="134" spans="10:15" ht="15.75" customHeight="1" x14ac:dyDescent="0.3">
      <c r="J134" s="230"/>
      <c r="K134" s="230"/>
      <c r="L134" s="231"/>
      <c r="M134" s="230"/>
      <c r="N134" s="230"/>
      <c r="O134" s="231"/>
    </row>
    <row r="135" spans="10:15" ht="15.75" customHeight="1" x14ac:dyDescent="0.3">
      <c r="J135" s="230"/>
      <c r="K135" s="230"/>
      <c r="L135" s="231"/>
      <c r="M135" s="230"/>
      <c r="N135" s="230"/>
      <c r="O135" s="231"/>
    </row>
    <row r="136" spans="10:15" ht="15.75" customHeight="1" x14ac:dyDescent="0.3">
      <c r="J136" s="230"/>
      <c r="K136" s="230"/>
      <c r="L136" s="231"/>
      <c r="M136" s="230"/>
      <c r="N136" s="230"/>
      <c r="O136" s="231"/>
    </row>
    <row r="137" spans="10:15" ht="15.75" customHeight="1" x14ac:dyDescent="0.3">
      <c r="J137" s="230"/>
      <c r="K137" s="230"/>
      <c r="L137" s="231"/>
      <c r="M137" s="230"/>
      <c r="N137" s="230"/>
      <c r="O137" s="231"/>
    </row>
    <row r="138" spans="10:15" ht="15.75" customHeight="1" x14ac:dyDescent="0.3">
      <c r="J138" s="230"/>
      <c r="K138" s="230"/>
      <c r="L138" s="231"/>
      <c r="M138" s="230"/>
      <c r="N138" s="230"/>
      <c r="O138" s="231"/>
    </row>
    <row r="139" spans="10:15" ht="15.75" customHeight="1" x14ac:dyDescent="0.3">
      <c r="J139" s="230"/>
      <c r="K139" s="230"/>
      <c r="L139" s="231"/>
      <c r="M139" s="230"/>
      <c r="N139" s="230"/>
      <c r="O139" s="231"/>
    </row>
    <row r="140" spans="10:15" ht="15.75" customHeight="1" x14ac:dyDescent="0.3">
      <c r="J140" s="230"/>
      <c r="K140" s="230"/>
      <c r="L140" s="231"/>
      <c r="M140" s="230"/>
      <c r="N140" s="230"/>
      <c r="O140" s="231"/>
    </row>
    <row r="141" spans="10:15" ht="15.75" customHeight="1" x14ac:dyDescent="0.3">
      <c r="J141" s="230"/>
      <c r="K141" s="230"/>
      <c r="L141" s="231"/>
      <c r="M141" s="230"/>
      <c r="N141" s="230"/>
      <c r="O141" s="231"/>
    </row>
    <row r="142" spans="10:15" ht="15.75" customHeight="1" x14ac:dyDescent="0.3">
      <c r="J142" s="230"/>
      <c r="K142" s="230"/>
      <c r="L142" s="231"/>
      <c r="M142" s="230"/>
      <c r="N142" s="230"/>
      <c r="O142" s="231"/>
    </row>
    <row r="143" spans="10:15" ht="15.75" customHeight="1" x14ac:dyDescent="0.3">
      <c r="J143" s="230"/>
      <c r="K143" s="230"/>
      <c r="L143" s="231"/>
      <c r="M143" s="230"/>
      <c r="N143" s="230"/>
      <c r="O143" s="231"/>
    </row>
    <row r="144" spans="10:15" ht="15.75" customHeight="1" x14ac:dyDescent="0.3">
      <c r="J144" s="230"/>
      <c r="K144" s="230"/>
      <c r="L144" s="231"/>
      <c r="M144" s="230"/>
      <c r="N144" s="230"/>
      <c r="O144" s="231"/>
    </row>
    <row r="145" spans="10:15" ht="15.75" customHeight="1" x14ac:dyDescent="0.3">
      <c r="J145" s="230"/>
      <c r="K145" s="230"/>
      <c r="L145" s="231"/>
      <c r="M145" s="230"/>
      <c r="N145" s="230"/>
      <c r="O145" s="231"/>
    </row>
    <row r="146" spans="10:15" ht="15.75" customHeight="1" x14ac:dyDescent="0.3">
      <c r="J146" s="230"/>
      <c r="K146" s="230"/>
      <c r="L146" s="231"/>
      <c r="M146" s="230"/>
      <c r="N146" s="230"/>
      <c r="O146" s="231"/>
    </row>
    <row r="147" spans="10:15" ht="15.75" customHeight="1" x14ac:dyDescent="0.3">
      <c r="J147" s="230"/>
      <c r="K147" s="230"/>
      <c r="L147" s="231"/>
      <c r="M147" s="230"/>
      <c r="N147" s="230"/>
      <c r="O147" s="231"/>
    </row>
    <row r="148" spans="10:15" ht="15.75" customHeight="1" x14ac:dyDescent="0.3">
      <c r="J148" s="230"/>
      <c r="K148" s="230"/>
      <c r="L148" s="231"/>
      <c r="M148" s="230"/>
      <c r="N148" s="230"/>
      <c r="O148" s="231"/>
    </row>
    <row r="149" spans="10:15" ht="15.75" customHeight="1" x14ac:dyDescent="0.3">
      <c r="J149" s="230"/>
      <c r="K149" s="230"/>
      <c r="L149" s="231"/>
      <c r="M149" s="230"/>
      <c r="N149" s="230"/>
      <c r="O149" s="231"/>
    </row>
    <row r="150" spans="10:15" ht="15.75" customHeight="1" x14ac:dyDescent="0.3">
      <c r="J150" s="230"/>
      <c r="K150" s="230"/>
      <c r="L150" s="231"/>
      <c r="M150" s="230"/>
      <c r="N150" s="230"/>
      <c r="O150" s="231"/>
    </row>
    <row r="151" spans="10:15" ht="15.75" customHeight="1" x14ac:dyDescent="0.3">
      <c r="J151" s="230"/>
      <c r="K151" s="230"/>
      <c r="L151" s="231"/>
      <c r="M151" s="230"/>
      <c r="N151" s="230"/>
      <c r="O151" s="231"/>
    </row>
    <row r="152" spans="10:15" ht="15.75" customHeight="1" x14ac:dyDescent="0.3">
      <c r="J152" s="230"/>
      <c r="K152" s="230"/>
      <c r="L152" s="231"/>
      <c r="M152" s="230"/>
      <c r="N152" s="230"/>
      <c r="O152" s="231"/>
    </row>
    <row r="153" spans="10:15" ht="15.75" customHeight="1" x14ac:dyDescent="0.3">
      <c r="J153" s="230"/>
      <c r="K153" s="230"/>
      <c r="L153" s="231"/>
      <c r="M153" s="230"/>
      <c r="N153" s="230"/>
      <c r="O153" s="231"/>
    </row>
    <row r="154" spans="10:15" ht="15.75" customHeight="1" x14ac:dyDescent="0.3">
      <c r="J154" s="230"/>
      <c r="K154" s="230"/>
      <c r="L154" s="231"/>
      <c r="M154" s="230"/>
      <c r="N154" s="230"/>
      <c r="O154" s="231"/>
    </row>
    <row r="155" spans="10:15" ht="15.75" customHeight="1" x14ac:dyDescent="0.3">
      <c r="J155" s="230"/>
      <c r="K155" s="230"/>
      <c r="L155" s="231"/>
      <c r="M155" s="230"/>
      <c r="N155" s="230"/>
      <c r="O155" s="231"/>
    </row>
    <row r="156" spans="10:15" ht="15.75" customHeight="1" x14ac:dyDescent="0.3">
      <c r="J156" s="230"/>
      <c r="K156" s="230"/>
      <c r="L156" s="231"/>
      <c r="M156" s="230"/>
      <c r="N156" s="230"/>
      <c r="O156" s="231"/>
    </row>
    <row r="157" spans="10:15" ht="15.75" customHeight="1" x14ac:dyDescent="0.3">
      <c r="J157" s="230"/>
      <c r="K157" s="230"/>
      <c r="L157" s="231"/>
      <c r="M157" s="230"/>
      <c r="N157" s="230"/>
      <c r="O157" s="231"/>
    </row>
    <row r="158" spans="10:15" ht="15.75" customHeight="1" x14ac:dyDescent="0.3">
      <c r="J158" s="230"/>
      <c r="K158" s="230"/>
      <c r="L158" s="231"/>
      <c r="M158" s="230"/>
      <c r="N158" s="230"/>
      <c r="O158" s="231"/>
    </row>
    <row r="159" spans="10:15" ht="15.75" customHeight="1" x14ac:dyDescent="0.3">
      <c r="J159" s="230"/>
      <c r="K159" s="230"/>
      <c r="L159" s="231"/>
      <c r="M159" s="230"/>
      <c r="N159" s="230"/>
      <c r="O159" s="231"/>
    </row>
    <row r="160" spans="10:15" ht="15.75" customHeight="1" x14ac:dyDescent="0.3">
      <c r="J160" s="230"/>
      <c r="K160" s="230"/>
      <c r="L160" s="231"/>
      <c r="M160" s="230"/>
      <c r="N160" s="230"/>
      <c r="O160" s="231"/>
    </row>
    <row r="161" spans="10:15" ht="15.75" customHeight="1" x14ac:dyDescent="0.3">
      <c r="J161" s="230"/>
      <c r="K161" s="230"/>
      <c r="L161" s="231"/>
      <c r="M161" s="230"/>
      <c r="N161" s="230"/>
      <c r="O161" s="231"/>
    </row>
    <row r="162" spans="10:15" ht="15.75" customHeight="1" x14ac:dyDescent="0.3">
      <c r="J162" s="230"/>
      <c r="K162" s="230"/>
      <c r="L162" s="231"/>
      <c r="M162" s="230"/>
      <c r="N162" s="230"/>
      <c r="O162" s="231"/>
    </row>
    <row r="163" spans="10:15" ht="15.75" customHeight="1" x14ac:dyDescent="0.3">
      <c r="J163" s="230"/>
      <c r="K163" s="230"/>
      <c r="L163" s="231"/>
      <c r="M163" s="230"/>
      <c r="N163" s="230"/>
      <c r="O163" s="231"/>
    </row>
    <row r="164" spans="10:15" ht="15.75" customHeight="1" x14ac:dyDescent="0.3">
      <c r="J164" s="230"/>
      <c r="K164" s="230"/>
      <c r="L164" s="231"/>
      <c r="M164" s="230"/>
      <c r="N164" s="230"/>
      <c r="O164" s="231"/>
    </row>
    <row r="165" spans="10:15" ht="15.75" customHeight="1" x14ac:dyDescent="0.3">
      <c r="J165" s="230"/>
      <c r="K165" s="230"/>
      <c r="L165" s="231"/>
      <c r="M165" s="230"/>
      <c r="N165" s="230"/>
      <c r="O165" s="231"/>
    </row>
    <row r="166" spans="10:15" ht="15.75" customHeight="1" x14ac:dyDescent="0.3">
      <c r="J166" s="230"/>
      <c r="K166" s="230"/>
      <c r="L166" s="231"/>
      <c r="M166" s="230"/>
      <c r="N166" s="230"/>
      <c r="O166" s="231"/>
    </row>
    <row r="167" spans="10:15" ht="15.75" customHeight="1" x14ac:dyDescent="0.3">
      <c r="J167" s="230"/>
      <c r="K167" s="230"/>
      <c r="L167" s="231"/>
      <c r="M167" s="230"/>
      <c r="N167" s="230"/>
      <c r="O167" s="231"/>
    </row>
    <row r="168" spans="10:15" ht="15.75" customHeight="1" x14ac:dyDescent="0.3">
      <c r="J168" s="230"/>
      <c r="K168" s="230"/>
      <c r="L168" s="231"/>
      <c r="M168" s="230"/>
      <c r="N168" s="230"/>
      <c r="O168" s="231"/>
    </row>
    <row r="169" spans="10:15" ht="15.75" customHeight="1" x14ac:dyDescent="0.3">
      <c r="J169" s="230"/>
      <c r="K169" s="230"/>
      <c r="L169" s="231"/>
      <c r="M169" s="230"/>
      <c r="N169" s="230"/>
      <c r="O169" s="231"/>
    </row>
    <row r="170" spans="10:15" ht="15.75" customHeight="1" x14ac:dyDescent="0.3">
      <c r="J170" s="230"/>
      <c r="K170" s="230"/>
      <c r="L170" s="231"/>
      <c r="M170" s="230"/>
      <c r="N170" s="230"/>
      <c r="O170" s="231"/>
    </row>
    <row r="171" spans="10:15" ht="15.75" customHeight="1" x14ac:dyDescent="0.3">
      <c r="J171" s="230"/>
      <c r="K171" s="230"/>
      <c r="L171" s="231"/>
      <c r="M171" s="230"/>
      <c r="N171" s="230"/>
      <c r="O171" s="231"/>
    </row>
    <row r="172" spans="10:15" ht="15.75" customHeight="1" x14ac:dyDescent="0.3">
      <c r="J172" s="230"/>
      <c r="K172" s="230"/>
      <c r="L172" s="231"/>
      <c r="M172" s="230"/>
      <c r="N172" s="230"/>
      <c r="O172" s="231"/>
    </row>
    <row r="173" spans="10:15" ht="15.75" customHeight="1" x14ac:dyDescent="0.3">
      <c r="J173" s="230"/>
      <c r="K173" s="230"/>
      <c r="L173" s="231"/>
      <c r="M173" s="230"/>
      <c r="N173" s="230"/>
      <c r="O173" s="231"/>
    </row>
    <row r="174" spans="10:15" ht="15.75" customHeight="1" x14ac:dyDescent="0.3">
      <c r="J174" s="230"/>
      <c r="K174" s="230"/>
      <c r="L174" s="231"/>
      <c r="M174" s="230"/>
      <c r="N174" s="230"/>
      <c r="O174" s="231"/>
    </row>
    <row r="175" spans="10:15" ht="15.75" customHeight="1" x14ac:dyDescent="0.3">
      <c r="J175" s="230"/>
      <c r="K175" s="230"/>
      <c r="L175" s="231"/>
      <c r="M175" s="230"/>
      <c r="N175" s="230"/>
      <c r="O175" s="231"/>
    </row>
    <row r="176" spans="10:15" ht="15.75" customHeight="1" x14ac:dyDescent="0.3">
      <c r="J176" s="230"/>
      <c r="K176" s="230"/>
      <c r="L176" s="231"/>
      <c r="M176" s="230"/>
      <c r="N176" s="230"/>
      <c r="O176" s="231"/>
    </row>
    <row r="177" spans="10:15" ht="15.75" customHeight="1" x14ac:dyDescent="0.3">
      <c r="J177" s="230"/>
      <c r="K177" s="230"/>
      <c r="L177" s="231"/>
      <c r="M177" s="230"/>
      <c r="N177" s="230"/>
      <c r="O177" s="231"/>
    </row>
    <row r="178" spans="10:15" ht="15.75" customHeight="1" x14ac:dyDescent="0.3">
      <c r="J178" s="230"/>
      <c r="K178" s="230"/>
      <c r="L178" s="231"/>
      <c r="M178" s="230"/>
      <c r="N178" s="230"/>
      <c r="O178" s="231"/>
    </row>
    <row r="179" spans="10:15" ht="15.75" customHeight="1" x14ac:dyDescent="0.3">
      <c r="J179" s="230"/>
      <c r="K179" s="230"/>
      <c r="L179" s="231"/>
      <c r="M179" s="230"/>
      <c r="N179" s="230"/>
      <c r="O179" s="231"/>
    </row>
    <row r="180" spans="10:15" ht="15.75" customHeight="1" x14ac:dyDescent="0.3">
      <c r="J180" s="230"/>
      <c r="K180" s="230"/>
      <c r="L180" s="231"/>
      <c r="M180" s="230"/>
      <c r="N180" s="230"/>
      <c r="O180" s="231"/>
    </row>
    <row r="181" spans="10:15" ht="15.75" customHeight="1" x14ac:dyDescent="0.3">
      <c r="J181" s="230"/>
      <c r="K181" s="230"/>
      <c r="L181" s="231"/>
      <c r="M181" s="230"/>
      <c r="N181" s="230"/>
      <c r="O181" s="231"/>
    </row>
    <row r="182" spans="10:15" ht="15.75" customHeight="1" x14ac:dyDescent="0.3">
      <c r="J182" s="230"/>
      <c r="K182" s="230"/>
      <c r="L182" s="231"/>
      <c r="M182" s="230"/>
      <c r="N182" s="230"/>
      <c r="O182" s="231"/>
    </row>
    <row r="183" spans="10:15" ht="15.75" customHeight="1" x14ac:dyDescent="0.3">
      <c r="J183" s="230"/>
      <c r="K183" s="230"/>
      <c r="L183" s="231"/>
      <c r="M183" s="230"/>
      <c r="N183" s="230"/>
      <c r="O183" s="231"/>
    </row>
    <row r="184" spans="10:15" ht="15.75" customHeight="1" x14ac:dyDescent="0.3">
      <c r="J184" s="230"/>
      <c r="K184" s="230"/>
      <c r="L184" s="231"/>
      <c r="M184" s="230"/>
      <c r="N184" s="230"/>
      <c r="O184" s="231"/>
    </row>
    <row r="185" spans="10:15" ht="15.75" customHeight="1" x14ac:dyDescent="0.3">
      <c r="J185" s="230"/>
      <c r="K185" s="230"/>
      <c r="L185" s="231"/>
      <c r="M185" s="230"/>
      <c r="N185" s="230"/>
      <c r="O185" s="231"/>
    </row>
    <row r="186" spans="10:15" ht="15.75" customHeight="1" x14ac:dyDescent="0.3">
      <c r="J186" s="230"/>
      <c r="K186" s="230"/>
      <c r="L186" s="231"/>
      <c r="M186" s="230"/>
      <c r="N186" s="230"/>
      <c r="O186" s="231"/>
    </row>
    <row r="187" spans="10:15" ht="15.75" customHeight="1" x14ac:dyDescent="0.3">
      <c r="J187" s="230"/>
      <c r="K187" s="230"/>
      <c r="L187" s="231"/>
      <c r="M187" s="230"/>
      <c r="N187" s="230"/>
      <c r="O187" s="231"/>
    </row>
    <row r="188" spans="10:15" ht="15.75" customHeight="1" x14ac:dyDescent="0.3">
      <c r="J188" s="230"/>
      <c r="K188" s="230"/>
      <c r="L188" s="231"/>
      <c r="M188" s="230"/>
      <c r="N188" s="230"/>
      <c r="O188" s="231"/>
    </row>
    <row r="189" spans="10:15" ht="15.75" customHeight="1" x14ac:dyDescent="0.3">
      <c r="J189" s="230"/>
      <c r="K189" s="230"/>
      <c r="L189" s="231"/>
      <c r="M189" s="230"/>
      <c r="N189" s="230"/>
      <c r="O189" s="231"/>
    </row>
    <row r="190" spans="10:15" ht="15.75" customHeight="1" x14ac:dyDescent="0.3">
      <c r="J190" s="230"/>
      <c r="K190" s="230"/>
      <c r="L190" s="231"/>
      <c r="M190" s="230"/>
      <c r="N190" s="230"/>
      <c r="O190" s="231"/>
    </row>
    <row r="191" spans="10:15" ht="15.75" customHeight="1" x14ac:dyDescent="0.3">
      <c r="J191" s="230"/>
      <c r="K191" s="230"/>
      <c r="L191" s="231"/>
      <c r="M191" s="230"/>
      <c r="N191" s="230"/>
      <c r="O191" s="231"/>
    </row>
    <row r="192" spans="10:15" ht="15.75" customHeight="1" x14ac:dyDescent="0.3">
      <c r="J192" s="230"/>
      <c r="K192" s="230"/>
      <c r="L192" s="231"/>
      <c r="M192" s="230"/>
      <c r="N192" s="230"/>
      <c r="O192" s="231"/>
    </row>
    <row r="193" spans="10:15" ht="15.75" customHeight="1" x14ac:dyDescent="0.3">
      <c r="J193" s="230"/>
      <c r="K193" s="230"/>
      <c r="L193" s="231"/>
      <c r="M193" s="230"/>
      <c r="N193" s="230"/>
      <c r="O193" s="231"/>
    </row>
    <row r="194" spans="10:15" ht="15.75" customHeight="1" x14ac:dyDescent="0.3">
      <c r="J194" s="230"/>
      <c r="K194" s="230"/>
      <c r="L194" s="231"/>
      <c r="M194" s="230"/>
      <c r="N194" s="230"/>
      <c r="O194" s="231"/>
    </row>
    <row r="195" spans="10:15" ht="15.75" customHeight="1" x14ac:dyDescent="0.3">
      <c r="J195" s="230"/>
      <c r="K195" s="230"/>
      <c r="L195" s="231"/>
      <c r="M195" s="230"/>
      <c r="N195" s="230"/>
      <c r="O195" s="231"/>
    </row>
    <row r="196" spans="10:15" ht="15.75" customHeight="1" x14ac:dyDescent="0.3">
      <c r="J196" s="230"/>
      <c r="K196" s="230"/>
      <c r="L196" s="231"/>
      <c r="M196" s="230"/>
      <c r="N196" s="230"/>
      <c r="O196" s="231"/>
    </row>
    <row r="197" spans="10:15" ht="15.75" customHeight="1" x14ac:dyDescent="0.3">
      <c r="J197" s="230"/>
      <c r="K197" s="230"/>
      <c r="L197" s="231"/>
      <c r="M197" s="230"/>
      <c r="N197" s="230"/>
      <c r="O197" s="231"/>
    </row>
    <row r="198" spans="10:15" ht="15.75" customHeight="1" x14ac:dyDescent="0.3">
      <c r="J198" s="230"/>
      <c r="K198" s="230"/>
      <c r="L198" s="231"/>
      <c r="M198" s="230"/>
      <c r="N198" s="230"/>
      <c r="O198" s="231"/>
    </row>
    <row r="199" spans="10:15" ht="15.75" customHeight="1" x14ac:dyDescent="0.3">
      <c r="J199" s="230"/>
      <c r="K199" s="230"/>
      <c r="L199" s="231"/>
      <c r="M199" s="230"/>
      <c r="N199" s="230"/>
      <c r="O199" s="231"/>
    </row>
    <row r="200" spans="10:15" ht="15.75" customHeight="1" x14ac:dyDescent="0.3">
      <c r="J200" s="230"/>
      <c r="K200" s="230"/>
      <c r="L200" s="231"/>
      <c r="M200" s="230"/>
      <c r="N200" s="230"/>
      <c r="O200" s="231"/>
    </row>
    <row r="201" spans="10:15" ht="15.75" customHeight="1" x14ac:dyDescent="0.3">
      <c r="J201" s="230"/>
      <c r="K201" s="230"/>
      <c r="L201" s="231"/>
      <c r="M201" s="230"/>
      <c r="N201" s="230"/>
      <c r="O201" s="231"/>
    </row>
    <row r="202" spans="10:15" ht="15.75" customHeight="1" x14ac:dyDescent="0.3">
      <c r="J202" s="230"/>
      <c r="K202" s="230"/>
      <c r="L202" s="231"/>
      <c r="M202" s="230"/>
      <c r="N202" s="230"/>
      <c r="O202" s="231"/>
    </row>
    <row r="203" spans="10:15" ht="15.75" customHeight="1" x14ac:dyDescent="0.3">
      <c r="J203" s="230"/>
      <c r="K203" s="230"/>
      <c r="L203" s="231"/>
      <c r="M203" s="230"/>
      <c r="N203" s="230"/>
      <c r="O203" s="231"/>
    </row>
    <row r="204" spans="10:15" ht="15.75" customHeight="1" x14ac:dyDescent="0.3">
      <c r="J204" s="230"/>
      <c r="K204" s="230"/>
      <c r="L204" s="231"/>
      <c r="M204" s="230"/>
      <c r="N204" s="230"/>
      <c r="O204" s="231"/>
    </row>
    <row r="205" spans="10:15" ht="15.75" customHeight="1" x14ac:dyDescent="0.3">
      <c r="J205" s="230"/>
      <c r="K205" s="230"/>
      <c r="L205" s="231"/>
      <c r="M205" s="230"/>
      <c r="N205" s="230"/>
      <c r="O205" s="231"/>
    </row>
    <row r="206" spans="10:15" ht="15.75" customHeight="1" x14ac:dyDescent="0.3">
      <c r="J206" s="230"/>
      <c r="K206" s="230"/>
      <c r="L206" s="231"/>
      <c r="M206" s="230"/>
      <c r="N206" s="230"/>
      <c r="O206" s="231"/>
    </row>
    <row r="207" spans="10:15" ht="15.75" customHeight="1" x14ac:dyDescent="0.3">
      <c r="J207" s="230"/>
      <c r="K207" s="230"/>
      <c r="L207" s="231"/>
      <c r="M207" s="230"/>
      <c r="N207" s="230"/>
      <c r="O207" s="231"/>
    </row>
    <row r="208" spans="10:15" ht="15.75" customHeight="1" x14ac:dyDescent="0.3">
      <c r="J208" s="230"/>
      <c r="K208" s="230"/>
      <c r="L208" s="231"/>
      <c r="M208" s="230"/>
      <c r="N208" s="230"/>
      <c r="O208" s="231"/>
    </row>
    <row r="209" spans="10:15" ht="15.75" customHeight="1" x14ac:dyDescent="0.3">
      <c r="J209" s="230"/>
      <c r="K209" s="230"/>
      <c r="L209" s="231"/>
      <c r="M209" s="230"/>
      <c r="N209" s="230"/>
      <c r="O209" s="231"/>
    </row>
    <row r="210" spans="10:15" ht="15.75" customHeight="1" x14ac:dyDescent="0.3">
      <c r="J210" s="230"/>
      <c r="K210" s="230"/>
      <c r="L210" s="231"/>
      <c r="M210" s="230"/>
      <c r="N210" s="230"/>
      <c r="O210" s="231"/>
    </row>
    <row r="211" spans="10:15" ht="15.75" customHeight="1" x14ac:dyDescent="0.3">
      <c r="J211" s="230"/>
      <c r="K211" s="230"/>
      <c r="L211" s="231"/>
      <c r="M211" s="230"/>
      <c r="N211" s="230"/>
      <c r="O211" s="231"/>
    </row>
    <row r="212" spans="10:15" ht="15.75" customHeight="1" x14ac:dyDescent="0.3">
      <c r="J212" s="230"/>
      <c r="K212" s="230"/>
      <c r="L212" s="231"/>
      <c r="M212" s="230"/>
      <c r="N212" s="230"/>
      <c r="O212" s="231"/>
    </row>
    <row r="213" spans="10:15" ht="15.75" customHeight="1" x14ac:dyDescent="0.3">
      <c r="J213" s="230"/>
      <c r="K213" s="230"/>
      <c r="L213" s="231"/>
      <c r="M213" s="230"/>
      <c r="N213" s="230"/>
      <c r="O213" s="231"/>
    </row>
    <row r="214" spans="10:15" ht="15.75" customHeight="1" x14ac:dyDescent="0.3">
      <c r="J214" s="230"/>
      <c r="K214" s="230"/>
      <c r="L214" s="231"/>
      <c r="M214" s="230"/>
      <c r="N214" s="230"/>
      <c r="O214" s="231"/>
    </row>
    <row r="215" spans="10:15" ht="15.75" customHeight="1" x14ac:dyDescent="0.3">
      <c r="J215" s="230"/>
      <c r="K215" s="230"/>
      <c r="L215" s="231"/>
      <c r="M215" s="230"/>
      <c r="N215" s="230"/>
      <c r="O215" s="231"/>
    </row>
    <row r="216" spans="10:15" ht="15.75" customHeight="1" x14ac:dyDescent="0.3">
      <c r="J216" s="230"/>
      <c r="K216" s="230"/>
      <c r="L216" s="231"/>
      <c r="M216" s="230"/>
      <c r="N216" s="230"/>
      <c r="O216" s="231"/>
    </row>
    <row r="217" spans="10:15" ht="15.75" customHeight="1" x14ac:dyDescent="0.3">
      <c r="J217" s="230"/>
      <c r="K217" s="230"/>
      <c r="L217" s="231"/>
      <c r="M217" s="230"/>
      <c r="N217" s="230"/>
      <c r="O217" s="231"/>
    </row>
    <row r="218" spans="10:15" ht="15.75" customHeight="1" x14ac:dyDescent="0.3">
      <c r="J218" s="230"/>
      <c r="K218" s="230"/>
      <c r="L218" s="231"/>
      <c r="M218" s="230"/>
      <c r="N218" s="230"/>
      <c r="O218" s="231"/>
    </row>
    <row r="219" spans="10:15" ht="15.75" customHeight="1" x14ac:dyDescent="0.3">
      <c r="J219" s="230"/>
      <c r="K219" s="230"/>
      <c r="L219" s="231"/>
      <c r="M219" s="230"/>
      <c r="N219" s="230"/>
      <c r="O219" s="231"/>
    </row>
    <row r="220" spans="10:15" ht="15.75" customHeight="1" x14ac:dyDescent="0.3">
      <c r="J220" s="230"/>
      <c r="K220" s="230"/>
      <c r="L220" s="231"/>
      <c r="M220" s="230"/>
      <c r="N220" s="230"/>
      <c r="O220" s="231"/>
    </row>
    <row r="221" spans="10:15" ht="15.75" customHeight="1" x14ac:dyDescent="0.3">
      <c r="J221" s="230"/>
      <c r="K221" s="230"/>
      <c r="L221" s="231"/>
      <c r="M221" s="230"/>
      <c r="N221" s="230"/>
      <c r="O221" s="231"/>
    </row>
    <row r="222" spans="10:15" ht="15.75" customHeight="1" x14ac:dyDescent="0.3">
      <c r="J222" s="230"/>
      <c r="K222" s="230"/>
      <c r="L222" s="231"/>
      <c r="M222" s="230"/>
      <c r="N222" s="230"/>
      <c r="O222" s="231"/>
    </row>
    <row r="223" spans="10:15" ht="15.75" customHeight="1" x14ac:dyDescent="0.3">
      <c r="J223" s="230"/>
      <c r="K223" s="230"/>
      <c r="L223" s="231"/>
      <c r="M223" s="230"/>
      <c r="N223" s="230"/>
      <c r="O223" s="231"/>
    </row>
    <row r="224" spans="10:15" ht="15.75" customHeight="1" x14ac:dyDescent="0.3">
      <c r="J224" s="230"/>
      <c r="K224" s="230"/>
      <c r="L224" s="231"/>
      <c r="M224" s="230"/>
      <c r="N224" s="230"/>
      <c r="O224" s="231"/>
    </row>
    <row r="225" spans="10:15" ht="15.75" customHeight="1" x14ac:dyDescent="0.3">
      <c r="J225" s="230"/>
      <c r="K225" s="230"/>
      <c r="L225" s="231"/>
      <c r="M225" s="230"/>
      <c r="N225" s="230"/>
      <c r="O225" s="231"/>
    </row>
    <row r="226" spans="10:15" ht="15.75" customHeight="1" x14ac:dyDescent="0.3">
      <c r="J226" s="230"/>
      <c r="K226" s="230"/>
      <c r="L226" s="231"/>
      <c r="M226" s="230"/>
      <c r="N226" s="230"/>
      <c r="O226" s="231"/>
    </row>
    <row r="227" spans="10:15" ht="15.75" customHeight="1" x14ac:dyDescent="0.3">
      <c r="J227" s="230"/>
      <c r="K227" s="230"/>
      <c r="L227" s="231"/>
      <c r="M227" s="230"/>
      <c r="N227" s="230"/>
      <c r="O227" s="231"/>
    </row>
    <row r="228" spans="10:15" ht="15.75" customHeight="1" x14ac:dyDescent="0.3">
      <c r="J228" s="230"/>
      <c r="K228" s="230"/>
      <c r="L228" s="231"/>
      <c r="M228" s="230"/>
      <c r="N228" s="230"/>
      <c r="O228" s="231"/>
    </row>
    <row r="229" spans="10:15" ht="15.75" customHeight="1" x14ac:dyDescent="0.3">
      <c r="J229" s="230"/>
      <c r="K229" s="230"/>
      <c r="L229" s="231"/>
      <c r="M229" s="230"/>
      <c r="N229" s="230"/>
      <c r="O229" s="231"/>
    </row>
    <row r="230" spans="10:15" ht="15.75" customHeight="1" x14ac:dyDescent="0.3">
      <c r="J230" s="230"/>
      <c r="K230" s="230"/>
      <c r="L230" s="231"/>
      <c r="M230" s="230"/>
      <c r="N230" s="230"/>
      <c r="O230" s="231"/>
    </row>
    <row r="231" spans="10:15" ht="15.75" customHeight="1" x14ac:dyDescent="0.3">
      <c r="J231" s="230"/>
      <c r="K231" s="230"/>
      <c r="L231" s="231"/>
      <c r="M231" s="230"/>
      <c r="N231" s="230"/>
      <c r="O231" s="231"/>
    </row>
    <row r="232" spans="10:15" ht="15.75" customHeight="1" x14ac:dyDescent="0.3">
      <c r="J232" s="230"/>
      <c r="K232" s="230"/>
      <c r="L232" s="231"/>
      <c r="M232" s="230"/>
      <c r="N232" s="230"/>
      <c r="O232" s="231"/>
    </row>
    <row r="233" spans="10:15" ht="15.75" customHeight="1" x14ac:dyDescent="0.3">
      <c r="J233" s="230"/>
      <c r="K233" s="230"/>
      <c r="L233" s="231"/>
      <c r="M233" s="230"/>
      <c r="N233" s="230"/>
      <c r="O233" s="231"/>
    </row>
    <row r="234" spans="10:15" ht="15.75" customHeight="1" x14ac:dyDescent="0.3">
      <c r="J234" s="230"/>
      <c r="K234" s="230"/>
      <c r="L234" s="231"/>
      <c r="M234" s="230"/>
      <c r="N234" s="230"/>
      <c r="O234" s="231"/>
    </row>
    <row r="235" spans="10:15" ht="15.75" customHeight="1" x14ac:dyDescent="0.3">
      <c r="J235" s="230"/>
      <c r="K235" s="230"/>
      <c r="L235" s="231"/>
      <c r="M235" s="230"/>
      <c r="N235" s="230"/>
      <c r="O235" s="231"/>
    </row>
    <row r="236" spans="10:15" ht="15.75" customHeight="1" x14ac:dyDescent="0.3">
      <c r="J236" s="230"/>
      <c r="K236" s="230"/>
      <c r="L236" s="231"/>
      <c r="M236" s="230"/>
      <c r="N236" s="230"/>
      <c r="O236" s="231"/>
    </row>
    <row r="237" spans="10:15" ht="15.75" customHeight="1" x14ac:dyDescent="0.3">
      <c r="J237" s="230"/>
      <c r="K237" s="230"/>
      <c r="L237" s="231"/>
      <c r="M237" s="230"/>
      <c r="N237" s="230"/>
      <c r="O237" s="231"/>
    </row>
    <row r="238" spans="10:15" ht="15.75" customHeight="1" x14ac:dyDescent="0.3">
      <c r="J238" s="230"/>
      <c r="K238" s="230"/>
      <c r="L238" s="231"/>
      <c r="M238" s="230"/>
      <c r="N238" s="230"/>
      <c r="O238" s="231"/>
    </row>
    <row r="239" spans="10:15" ht="15.75" customHeight="1" x14ac:dyDescent="0.3">
      <c r="J239" s="230"/>
      <c r="K239" s="230"/>
      <c r="L239" s="231"/>
      <c r="M239" s="230"/>
      <c r="N239" s="230"/>
      <c r="O239" s="231"/>
    </row>
    <row r="240" spans="10:15" ht="15.75" customHeight="1" x14ac:dyDescent="0.3">
      <c r="J240" s="230"/>
      <c r="K240" s="230"/>
      <c r="L240" s="231"/>
      <c r="M240" s="230"/>
      <c r="N240" s="230"/>
      <c r="O240" s="231"/>
    </row>
    <row r="241" spans="10:15" ht="15.75" customHeight="1" x14ac:dyDescent="0.3">
      <c r="J241" s="230"/>
      <c r="K241" s="230"/>
      <c r="L241" s="231"/>
      <c r="M241" s="230"/>
      <c r="N241" s="230"/>
      <c r="O241" s="231"/>
    </row>
    <row r="242" spans="10:15" ht="15.75" customHeight="1" x14ac:dyDescent="0.3">
      <c r="J242" s="230"/>
      <c r="K242" s="230"/>
      <c r="L242" s="231"/>
      <c r="M242" s="230"/>
      <c r="N242" s="230"/>
      <c r="O242" s="231"/>
    </row>
    <row r="243" spans="10:15" ht="15.75" customHeight="1" x14ac:dyDescent="0.3">
      <c r="J243" s="230"/>
      <c r="K243" s="230"/>
      <c r="L243" s="231"/>
      <c r="M243" s="230"/>
      <c r="N243" s="230"/>
      <c r="O243" s="231"/>
    </row>
    <row r="244" spans="10:15" ht="15.75" customHeight="1" x14ac:dyDescent="0.3">
      <c r="J244" s="230"/>
      <c r="K244" s="230"/>
      <c r="L244" s="231"/>
      <c r="M244" s="230"/>
      <c r="N244" s="230"/>
      <c r="O244" s="231"/>
    </row>
    <row r="245" spans="10:15" ht="15.75" customHeight="1" x14ac:dyDescent="0.3">
      <c r="J245" s="230"/>
      <c r="K245" s="230"/>
      <c r="L245" s="231"/>
      <c r="M245" s="230"/>
      <c r="N245" s="230"/>
      <c r="O245" s="231"/>
    </row>
    <row r="246" spans="10:15" ht="15.75" customHeight="1" x14ac:dyDescent="0.3">
      <c r="J246" s="230"/>
      <c r="K246" s="230"/>
      <c r="L246" s="231"/>
      <c r="M246" s="230"/>
      <c r="N246" s="230"/>
      <c r="O246" s="231"/>
    </row>
    <row r="247" spans="10:15" ht="15.75" customHeight="1" x14ac:dyDescent="0.3">
      <c r="J247" s="230"/>
      <c r="K247" s="230"/>
      <c r="L247" s="231"/>
      <c r="M247" s="230"/>
      <c r="N247" s="230"/>
      <c r="O247" s="231"/>
    </row>
    <row r="248" spans="10:15" ht="15.75" customHeight="1" x14ac:dyDescent="0.3">
      <c r="J248" s="230"/>
      <c r="K248" s="230"/>
      <c r="L248" s="231"/>
      <c r="M248" s="230"/>
      <c r="N248" s="230"/>
      <c r="O248" s="231"/>
    </row>
    <row r="249" spans="10:15" ht="15.75" customHeight="1" x14ac:dyDescent="0.3">
      <c r="J249" s="230"/>
      <c r="K249" s="230"/>
      <c r="L249" s="231"/>
      <c r="M249" s="230"/>
      <c r="N249" s="230"/>
      <c r="O249" s="231"/>
    </row>
    <row r="250" spans="10:15" ht="15.75" customHeight="1" x14ac:dyDescent="0.3">
      <c r="J250" s="230"/>
      <c r="K250" s="230"/>
      <c r="L250" s="231"/>
      <c r="M250" s="230"/>
      <c r="N250" s="230"/>
      <c r="O250" s="231"/>
    </row>
    <row r="251" spans="10:15" ht="15.75" customHeight="1" x14ac:dyDescent="0.3">
      <c r="J251" s="230"/>
      <c r="K251" s="230"/>
      <c r="L251" s="231"/>
      <c r="M251" s="230"/>
      <c r="N251" s="230"/>
      <c r="O251" s="231"/>
    </row>
    <row r="252" spans="10:15" ht="15.75" customHeight="1" x14ac:dyDescent="0.3">
      <c r="J252" s="230"/>
      <c r="K252" s="230"/>
      <c r="L252" s="231"/>
      <c r="M252" s="230"/>
      <c r="N252" s="230"/>
      <c r="O252" s="231"/>
    </row>
    <row r="253" spans="10:15" ht="15.75" customHeight="1" x14ac:dyDescent="0.3">
      <c r="J253" s="230"/>
      <c r="K253" s="230"/>
      <c r="L253" s="231"/>
      <c r="M253" s="230"/>
      <c r="N253" s="230"/>
      <c r="O253" s="231"/>
    </row>
    <row r="254" spans="10:15" ht="15.75" customHeight="1" x14ac:dyDescent="0.3">
      <c r="J254" s="230"/>
      <c r="K254" s="230"/>
      <c r="L254" s="231"/>
      <c r="M254" s="230"/>
      <c r="N254" s="230"/>
      <c r="O254" s="231"/>
    </row>
    <row r="255" spans="10:15" ht="15.75" customHeight="1" x14ac:dyDescent="0.3">
      <c r="J255" s="230"/>
      <c r="K255" s="230"/>
      <c r="L255" s="231"/>
      <c r="M255" s="230"/>
      <c r="N255" s="230"/>
      <c r="O255" s="231"/>
    </row>
    <row r="256" spans="10:15" ht="15.75" customHeight="1" x14ac:dyDescent="0.3">
      <c r="J256" s="230"/>
      <c r="K256" s="230"/>
      <c r="L256" s="231"/>
      <c r="M256" s="230"/>
      <c r="N256" s="230"/>
      <c r="O256" s="231"/>
    </row>
    <row r="257" spans="10:15" ht="15.75" customHeight="1" x14ac:dyDescent="0.3">
      <c r="J257" s="230"/>
      <c r="K257" s="230"/>
      <c r="L257" s="231"/>
      <c r="M257" s="230"/>
      <c r="N257" s="230"/>
      <c r="O257" s="231"/>
    </row>
    <row r="258" spans="10:15" ht="15.75" customHeight="1" x14ac:dyDescent="0.3">
      <c r="J258" s="230"/>
      <c r="K258" s="230"/>
      <c r="L258" s="231"/>
      <c r="M258" s="230"/>
      <c r="N258" s="230"/>
      <c r="O258" s="231"/>
    </row>
    <row r="259" spans="10:15" ht="15.75" customHeight="1" x14ac:dyDescent="0.3">
      <c r="J259" s="230"/>
      <c r="K259" s="230"/>
      <c r="L259" s="231"/>
      <c r="M259" s="230"/>
      <c r="N259" s="230"/>
      <c r="O259" s="231"/>
    </row>
    <row r="260" spans="10:15" ht="15.75" customHeight="1" x14ac:dyDescent="0.3">
      <c r="J260" s="230"/>
      <c r="K260" s="230"/>
      <c r="L260" s="231"/>
      <c r="M260" s="230"/>
      <c r="N260" s="230"/>
      <c r="O260" s="231"/>
    </row>
    <row r="261" spans="10:15" ht="15.75" customHeight="1" x14ac:dyDescent="0.3">
      <c r="J261" s="230"/>
      <c r="K261" s="230"/>
      <c r="L261" s="231"/>
      <c r="M261" s="230"/>
      <c r="N261" s="230"/>
      <c r="O261" s="231"/>
    </row>
    <row r="262" spans="10:15" ht="15.75" customHeight="1" x14ac:dyDescent="0.3">
      <c r="J262" s="230"/>
      <c r="K262" s="230"/>
      <c r="L262" s="231"/>
      <c r="M262" s="230"/>
      <c r="N262" s="230"/>
      <c r="O262" s="231"/>
    </row>
    <row r="263" spans="10:15" ht="15.75" customHeight="1" x14ac:dyDescent="0.3">
      <c r="J263" s="230"/>
      <c r="K263" s="230"/>
      <c r="L263" s="231"/>
      <c r="M263" s="230"/>
      <c r="N263" s="230"/>
      <c r="O263" s="231"/>
    </row>
    <row r="264" spans="10:15" ht="15.75" customHeight="1" x14ac:dyDescent="0.3">
      <c r="J264" s="230"/>
      <c r="K264" s="230"/>
      <c r="L264" s="231"/>
      <c r="M264" s="230"/>
      <c r="N264" s="230"/>
      <c r="O264" s="231"/>
    </row>
    <row r="265" spans="10:15" ht="15.75" customHeight="1" x14ac:dyDescent="0.3">
      <c r="J265" s="230"/>
      <c r="K265" s="230"/>
      <c r="L265" s="231"/>
      <c r="M265" s="230"/>
      <c r="N265" s="230"/>
      <c r="O265" s="231"/>
    </row>
    <row r="266" spans="10:15" ht="15.75" customHeight="1" x14ac:dyDescent="0.3">
      <c r="J266" s="230"/>
      <c r="K266" s="230"/>
      <c r="L266" s="231"/>
      <c r="M266" s="230"/>
      <c r="N266" s="230"/>
      <c r="O266" s="231"/>
    </row>
    <row r="267" spans="10:15" ht="15.75" customHeight="1" x14ac:dyDescent="0.3">
      <c r="J267" s="230"/>
      <c r="K267" s="230"/>
      <c r="L267" s="231"/>
      <c r="M267" s="230"/>
      <c r="N267" s="230"/>
      <c r="O267" s="231"/>
    </row>
    <row r="268" spans="10:15" ht="15.75" customHeight="1" x14ac:dyDescent="0.3">
      <c r="J268" s="230"/>
      <c r="K268" s="230"/>
      <c r="L268" s="231"/>
      <c r="M268" s="230"/>
      <c r="N268" s="230"/>
      <c r="O268" s="231"/>
    </row>
    <row r="269" spans="10:15" ht="15.75" customHeight="1" x14ac:dyDescent="0.3">
      <c r="J269" s="230"/>
      <c r="K269" s="230"/>
      <c r="L269" s="231"/>
      <c r="M269" s="230"/>
      <c r="N269" s="230"/>
      <c r="O269" s="231"/>
    </row>
    <row r="270" spans="10:15" ht="15.75" customHeight="1" x14ac:dyDescent="0.3">
      <c r="J270" s="230"/>
      <c r="K270" s="230"/>
      <c r="L270" s="231"/>
      <c r="M270" s="230"/>
      <c r="N270" s="230"/>
      <c r="O270" s="231"/>
    </row>
    <row r="271" spans="10:15" ht="15.75" customHeight="1" x14ac:dyDescent="0.3">
      <c r="J271" s="230"/>
      <c r="K271" s="230"/>
      <c r="L271" s="231"/>
      <c r="M271" s="230"/>
      <c r="N271" s="230"/>
      <c r="O271" s="231"/>
    </row>
    <row r="272" spans="10:15" ht="15.75" customHeight="1" x14ac:dyDescent="0.3">
      <c r="J272" s="230"/>
      <c r="K272" s="230"/>
      <c r="L272" s="231"/>
      <c r="M272" s="230"/>
      <c r="N272" s="230"/>
      <c r="O272" s="231"/>
    </row>
    <row r="273" spans="10:15" ht="15.75" customHeight="1" x14ac:dyDescent="0.3">
      <c r="J273" s="230"/>
      <c r="K273" s="230"/>
      <c r="L273" s="231"/>
      <c r="M273" s="230"/>
      <c r="N273" s="230"/>
      <c r="O273" s="231"/>
    </row>
    <row r="274" spans="10:15" ht="15.75" customHeight="1" x14ac:dyDescent="0.3">
      <c r="J274" s="230"/>
      <c r="K274" s="230"/>
      <c r="L274" s="231"/>
      <c r="M274" s="230"/>
      <c r="N274" s="230"/>
      <c r="O274" s="231"/>
    </row>
    <row r="275" spans="10:15" ht="15.75" customHeight="1" x14ac:dyDescent="0.3">
      <c r="J275" s="230"/>
      <c r="K275" s="230"/>
      <c r="L275" s="231"/>
      <c r="M275" s="230"/>
      <c r="N275" s="230"/>
      <c r="O275" s="231"/>
    </row>
    <row r="276" spans="10:15" ht="15.75" customHeight="1" x14ac:dyDescent="0.3">
      <c r="J276" s="230"/>
      <c r="K276" s="230"/>
      <c r="L276" s="231"/>
      <c r="M276" s="230"/>
      <c r="N276" s="230"/>
      <c r="O276" s="231"/>
    </row>
    <row r="277" spans="10:15" ht="15.75" customHeight="1" x14ac:dyDescent="0.3">
      <c r="J277" s="230"/>
      <c r="K277" s="230"/>
      <c r="L277" s="231"/>
      <c r="M277" s="230"/>
      <c r="N277" s="230"/>
      <c r="O277" s="231"/>
    </row>
    <row r="278" spans="10:15" ht="15.75" customHeight="1" x14ac:dyDescent="0.3">
      <c r="J278" s="230"/>
      <c r="K278" s="230"/>
      <c r="L278" s="231"/>
      <c r="M278" s="230"/>
      <c r="N278" s="230"/>
      <c r="O278" s="231"/>
    </row>
    <row r="279" spans="10:15" ht="15.75" customHeight="1" x14ac:dyDescent="0.3">
      <c r="J279" s="230"/>
      <c r="K279" s="230"/>
      <c r="L279" s="231"/>
      <c r="M279" s="230"/>
      <c r="N279" s="230"/>
      <c r="O279" s="231"/>
    </row>
    <row r="280" spans="10:15" ht="15.75" customHeight="1" x14ac:dyDescent="0.3">
      <c r="J280" s="230"/>
      <c r="K280" s="230"/>
      <c r="L280" s="231"/>
      <c r="M280" s="230"/>
      <c r="N280" s="230"/>
      <c r="O280" s="231"/>
    </row>
    <row r="281" spans="10:15" ht="15.75" customHeight="1" x14ac:dyDescent="0.3">
      <c r="J281" s="230"/>
      <c r="K281" s="230"/>
      <c r="L281" s="231"/>
      <c r="M281" s="230"/>
      <c r="N281" s="230"/>
      <c r="O281" s="231"/>
    </row>
    <row r="282" spans="10:15" ht="15.75" customHeight="1" x14ac:dyDescent="0.3">
      <c r="J282" s="230"/>
      <c r="K282" s="230"/>
      <c r="L282" s="231"/>
      <c r="M282" s="230"/>
      <c r="N282" s="230"/>
      <c r="O282" s="231"/>
    </row>
    <row r="283" spans="10:15" ht="15.75" customHeight="1" x14ac:dyDescent="0.3">
      <c r="J283" s="230"/>
      <c r="K283" s="230"/>
      <c r="L283" s="231"/>
      <c r="M283" s="230"/>
      <c r="N283" s="230"/>
      <c r="O283" s="231"/>
    </row>
    <row r="284" spans="10:15" ht="15.75" customHeight="1" x14ac:dyDescent="0.3">
      <c r="J284" s="230"/>
      <c r="K284" s="230"/>
      <c r="L284" s="231"/>
      <c r="M284" s="230"/>
      <c r="N284" s="230"/>
      <c r="O284" s="231"/>
    </row>
    <row r="285" spans="10:15" ht="15.75" customHeight="1" x14ac:dyDescent="0.3">
      <c r="J285" s="230"/>
      <c r="K285" s="230"/>
      <c r="L285" s="231"/>
      <c r="M285" s="230"/>
      <c r="N285" s="230"/>
      <c r="O285" s="231"/>
    </row>
    <row r="286" spans="10:15" ht="15.75" customHeight="1" x14ac:dyDescent="0.3">
      <c r="J286" s="230"/>
      <c r="K286" s="230"/>
      <c r="L286" s="231"/>
      <c r="M286" s="230"/>
      <c r="N286" s="230"/>
      <c r="O286" s="231"/>
    </row>
    <row r="287" spans="10:15" ht="15.75" customHeight="1" x14ac:dyDescent="0.3">
      <c r="J287" s="230"/>
      <c r="K287" s="230"/>
      <c r="L287" s="231"/>
      <c r="M287" s="230"/>
      <c r="N287" s="230"/>
      <c r="O287" s="231"/>
    </row>
    <row r="288" spans="10:15" ht="15.75" customHeight="1" x14ac:dyDescent="0.3">
      <c r="J288" s="230"/>
      <c r="K288" s="230"/>
      <c r="L288" s="231"/>
      <c r="M288" s="230"/>
      <c r="N288" s="230"/>
      <c r="O288" s="231"/>
    </row>
    <row r="289" spans="10:15" ht="15.75" customHeight="1" x14ac:dyDescent="0.3">
      <c r="J289" s="230"/>
      <c r="K289" s="230"/>
      <c r="L289" s="231"/>
      <c r="M289" s="230"/>
      <c r="N289" s="230"/>
      <c r="O289" s="231"/>
    </row>
    <row r="290" spans="10:15" ht="15.75" customHeight="1" x14ac:dyDescent="0.3">
      <c r="J290" s="230"/>
      <c r="K290" s="230"/>
      <c r="L290" s="231"/>
      <c r="M290" s="230"/>
      <c r="N290" s="230"/>
      <c r="O290" s="231"/>
    </row>
    <row r="291" spans="10:15" ht="15.75" customHeight="1" x14ac:dyDescent="0.3">
      <c r="J291" s="230"/>
      <c r="K291" s="230"/>
      <c r="L291" s="231"/>
      <c r="M291" s="230"/>
      <c r="N291" s="230"/>
      <c r="O291" s="231"/>
    </row>
    <row r="292" spans="10:15" ht="15.75" customHeight="1" x14ac:dyDescent="0.3">
      <c r="J292" s="230"/>
      <c r="K292" s="230"/>
      <c r="L292" s="231"/>
      <c r="M292" s="230"/>
      <c r="N292" s="230"/>
      <c r="O292" s="231"/>
    </row>
    <row r="293" spans="10:15" ht="15.75" customHeight="1" x14ac:dyDescent="0.3">
      <c r="J293" s="230"/>
      <c r="K293" s="230"/>
      <c r="L293" s="231"/>
      <c r="M293" s="230"/>
      <c r="N293" s="230"/>
      <c r="O293" s="231"/>
    </row>
    <row r="294" spans="10:15" ht="15.75" customHeight="1" x14ac:dyDescent="0.3">
      <c r="J294" s="230"/>
      <c r="K294" s="230"/>
      <c r="L294" s="231"/>
      <c r="M294" s="230"/>
      <c r="N294" s="230"/>
      <c r="O294" s="231"/>
    </row>
    <row r="295" spans="10:15" ht="15.75" customHeight="1" x14ac:dyDescent="0.3">
      <c r="J295" s="230"/>
      <c r="K295" s="230"/>
      <c r="L295" s="231"/>
      <c r="M295" s="230"/>
      <c r="N295" s="230"/>
      <c r="O295" s="231"/>
    </row>
    <row r="296" spans="10:15" ht="15.75" customHeight="1" x14ac:dyDescent="0.3">
      <c r="J296" s="230"/>
      <c r="K296" s="230"/>
      <c r="L296" s="231"/>
      <c r="M296" s="230"/>
      <c r="N296" s="230"/>
      <c r="O296" s="231"/>
    </row>
    <row r="297" spans="10:15" ht="15.75" customHeight="1" x14ac:dyDescent="0.3">
      <c r="J297" s="230"/>
      <c r="K297" s="230"/>
      <c r="L297" s="231"/>
      <c r="M297" s="230"/>
      <c r="N297" s="230"/>
      <c r="O297" s="231"/>
    </row>
    <row r="298" spans="10:15" ht="15.75" customHeight="1" x14ac:dyDescent="0.3">
      <c r="J298" s="230"/>
      <c r="K298" s="230"/>
      <c r="L298" s="231"/>
      <c r="M298" s="230"/>
      <c r="N298" s="230"/>
      <c r="O298" s="231"/>
    </row>
    <row r="299" spans="10:15" ht="15.75" customHeight="1" x14ac:dyDescent="0.3">
      <c r="J299" s="230"/>
      <c r="K299" s="230"/>
      <c r="L299" s="231"/>
      <c r="M299" s="230"/>
      <c r="N299" s="230"/>
      <c r="O299" s="231"/>
    </row>
    <row r="300" spans="10:15" ht="15.75" customHeight="1" x14ac:dyDescent="0.3">
      <c r="J300" s="230"/>
      <c r="K300" s="230"/>
      <c r="L300" s="231"/>
      <c r="M300" s="230"/>
      <c r="N300" s="230"/>
      <c r="O300" s="231"/>
    </row>
    <row r="301" spans="10:15" ht="15.75" customHeight="1" x14ac:dyDescent="0.3">
      <c r="J301" s="230"/>
      <c r="K301" s="230"/>
      <c r="L301" s="231"/>
      <c r="M301" s="230"/>
      <c r="N301" s="230"/>
      <c r="O301" s="231"/>
    </row>
    <row r="302" spans="10:15" ht="15.75" customHeight="1" x14ac:dyDescent="0.3">
      <c r="J302" s="230"/>
      <c r="K302" s="230"/>
      <c r="L302" s="231"/>
      <c r="M302" s="230"/>
      <c r="N302" s="230"/>
      <c r="O302" s="231"/>
    </row>
    <row r="303" spans="10:15" ht="15.75" customHeight="1" x14ac:dyDescent="0.3">
      <c r="J303" s="230"/>
      <c r="K303" s="230"/>
      <c r="L303" s="231"/>
      <c r="M303" s="230"/>
      <c r="N303" s="230"/>
      <c r="O303" s="231"/>
    </row>
    <row r="304" spans="10:15" ht="15.75" customHeight="1" x14ac:dyDescent="0.3">
      <c r="J304" s="230"/>
      <c r="K304" s="230"/>
      <c r="L304" s="231"/>
      <c r="M304" s="230"/>
      <c r="N304" s="230"/>
      <c r="O304" s="231"/>
    </row>
    <row r="305" spans="10:15" ht="15.75" customHeight="1" x14ac:dyDescent="0.3">
      <c r="J305" s="230"/>
      <c r="K305" s="230"/>
      <c r="L305" s="231"/>
      <c r="M305" s="230"/>
      <c r="N305" s="230"/>
      <c r="O305" s="231"/>
    </row>
    <row r="306" spans="10:15" ht="15.75" customHeight="1" x14ac:dyDescent="0.3">
      <c r="J306" s="230"/>
      <c r="K306" s="230"/>
      <c r="L306" s="231"/>
      <c r="M306" s="230"/>
      <c r="N306" s="230"/>
      <c r="O306" s="231"/>
    </row>
    <row r="307" spans="10:15" ht="15.75" customHeight="1" x14ac:dyDescent="0.3">
      <c r="J307" s="230"/>
      <c r="K307" s="230"/>
      <c r="L307" s="231"/>
      <c r="M307" s="230"/>
      <c r="N307" s="230"/>
      <c r="O307" s="231"/>
    </row>
    <row r="308" spans="10:15" ht="15.75" customHeight="1" x14ac:dyDescent="0.3">
      <c r="J308" s="230"/>
      <c r="K308" s="230"/>
      <c r="L308" s="231"/>
      <c r="M308" s="230"/>
      <c r="N308" s="230"/>
      <c r="O308" s="231"/>
    </row>
    <row r="309" spans="10:15" ht="15.75" customHeight="1" x14ac:dyDescent="0.3">
      <c r="J309" s="230"/>
      <c r="K309" s="230"/>
      <c r="L309" s="231"/>
      <c r="M309" s="230"/>
      <c r="N309" s="230"/>
      <c r="O309" s="231"/>
    </row>
    <row r="310" spans="10:15" ht="15.75" customHeight="1" x14ac:dyDescent="0.3">
      <c r="J310" s="230"/>
      <c r="K310" s="230"/>
      <c r="L310" s="231"/>
      <c r="M310" s="230"/>
      <c r="N310" s="230"/>
      <c r="O310" s="231"/>
    </row>
    <row r="311" spans="10:15" ht="15.75" customHeight="1" x14ac:dyDescent="0.3">
      <c r="J311" s="230"/>
      <c r="K311" s="230"/>
      <c r="L311" s="231"/>
      <c r="M311" s="230"/>
      <c r="N311" s="230"/>
      <c r="O311" s="231"/>
    </row>
    <row r="312" spans="10:15" ht="15.75" customHeight="1" x14ac:dyDescent="0.3">
      <c r="J312" s="230"/>
      <c r="K312" s="230"/>
      <c r="L312" s="231"/>
      <c r="M312" s="230"/>
      <c r="N312" s="230"/>
      <c r="O312" s="231"/>
    </row>
    <row r="313" spans="10:15" ht="15.75" customHeight="1" x14ac:dyDescent="0.3">
      <c r="J313" s="230"/>
      <c r="K313" s="230"/>
      <c r="L313" s="231"/>
      <c r="M313" s="230"/>
      <c r="N313" s="230"/>
      <c r="O313" s="231"/>
    </row>
    <row r="314" spans="10:15" ht="15.75" customHeight="1" x14ac:dyDescent="0.3">
      <c r="J314" s="230"/>
      <c r="K314" s="230"/>
      <c r="L314" s="231"/>
      <c r="M314" s="230"/>
      <c r="N314" s="230"/>
      <c r="O314" s="231"/>
    </row>
    <row r="315" spans="10:15" ht="15.75" customHeight="1" x14ac:dyDescent="0.3">
      <c r="J315" s="230"/>
      <c r="K315" s="230"/>
      <c r="L315" s="231"/>
      <c r="M315" s="230"/>
      <c r="N315" s="230"/>
      <c r="O315" s="231"/>
    </row>
    <row r="316" spans="10:15" ht="15.75" customHeight="1" x14ac:dyDescent="0.3">
      <c r="J316" s="230"/>
      <c r="K316" s="230"/>
      <c r="L316" s="231"/>
      <c r="M316" s="230"/>
      <c r="N316" s="230"/>
      <c r="O316" s="231"/>
    </row>
    <row r="317" spans="10:15" ht="15.75" customHeight="1" x14ac:dyDescent="0.3">
      <c r="J317" s="230"/>
      <c r="K317" s="230"/>
      <c r="L317" s="231"/>
      <c r="M317" s="230"/>
      <c r="N317" s="230"/>
      <c r="O317" s="231"/>
    </row>
    <row r="318" spans="10:15" ht="15.75" customHeight="1" x14ac:dyDescent="0.3">
      <c r="J318" s="230"/>
      <c r="K318" s="230"/>
      <c r="L318" s="231"/>
      <c r="M318" s="230"/>
      <c r="N318" s="230"/>
      <c r="O318" s="231"/>
    </row>
    <row r="319" spans="10:15" ht="15.75" customHeight="1" x14ac:dyDescent="0.3">
      <c r="J319" s="230"/>
      <c r="K319" s="230"/>
      <c r="L319" s="231"/>
      <c r="M319" s="230"/>
      <c r="N319" s="230"/>
      <c r="O319" s="231"/>
    </row>
    <row r="320" spans="10:15" ht="15.75" customHeight="1" x14ac:dyDescent="0.3">
      <c r="J320" s="230"/>
      <c r="K320" s="230"/>
      <c r="L320" s="231"/>
      <c r="M320" s="230"/>
      <c r="N320" s="230"/>
      <c r="O320" s="231"/>
    </row>
    <row r="321" spans="10:15" ht="15.75" customHeight="1" x14ac:dyDescent="0.3">
      <c r="J321" s="230"/>
      <c r="K321" s="230"/>
      <c r="L321" s="231"/>
      <c r="M321" s="230"/>
      <c r="N321" s="230"/>
      <c r="O321" s="231"/>
    </row>
    <row r="322" spans="10:15" ht="15.75" customHeight="1" x14ac:dyDescent="0.3">
      <c r="J322" s="230"/>
      <c r="K322" s="230"/>
      <c r="L322" s="231"/>
      <c r="M322" s="230"/>
      <c r="N322" s="230"/>
      <c r="O322" s="231"/>
    </row>
    <row r="323" spans="10:15" ht="15.75" customHeight="1" x14ac:dyDescent="0.3">
      <c r="J323" s="230"/>
      <c r="K323" s="230"/>
      <c r="L323" s="231"/>
      <c r="M323" s="230"/>
      <c r="N323" s="230"/>
      <c r="O323" s="231"/>
    </row>
    <row r="324" spans="10:15" ht="15.75" customHeight="1" x14ac:dyDescent="0.3">
      <c r="J324" s="230"/>
      <c r="K324" s="230"/>
      <c r="L324" s="231"/>
      <c r="M324" s="230"/>
      <c r="N324" s="230"/>
      <c r="O324" s="231"/>
    </row>
    <row r="325" spans="10:15" ht="15.75" customHeight="1" x14ac:dyDescent="0.3">
      <c r="J325" s="230"/>
      <c r="K325" s="230"/>
      <c r="L325" s="231"/>
      <c r="M325" s="230"/>
      <c r="N325" s="230"/>
      <c r="O325" s="231"/>
    </row>
    <row r="326" spans="10:15" ht="15.75" customHeight="1" x14ac:dyDescent="0.3">
      <c r="J326" s="230"/>
      <c r="K326" s="230"/>
      <c r="L326" s="231"/>
      <c r="M326" s="230"/>
      <c r="N326" s="230"/>
      <c r="O326" s="231"/>
    </row>
    <row r="327" spans="10:15" ht="15.75" customHeight="1" x14ac:dyDescent="0.3">
      <c r="J327" s="230"/>
      <c r="K327" s="230"/>
      <c r="L327" s="231"/>
      <c r="M327" s="230"/>
      <c r="N327" s="230"/>
      <c r="O327" s="231"/>
    </row>
    <row r="328" spans="10:15" ht="15.75" customHeight="1" x14ac:dyDescent="0.3">
      <c r="J328" s="230"/>
      <c r="K328" s="230"/>
      <c r="L328" s="231"/>
      <c r="M328" s="230"/>
      <c r="N328" s="230"/>
      <c r="O328" s="231"/>
    </row>
    <row r="329" spans="10:15" ht="15.75" customHeight="1" x14ac:dyDescent="0.3">
      <c r="J329" s="230"/>
      <c r="K329" s="230"/>
      <c r="L329" s="231"/>
      <c r="M329" s="230"/>
      <c r="N329" s="230"/>
      <c r="O329" s="231"/>
    </row>
    <row r="330" spans="10:15" ht="15.75" customHeight="1" x14ac:dyDescent="0.3">
      <c r="J330" s="230"/>
      <c r="K330" s="230"/>
      <c r="L330" s="231"/>
      <c r="M330" s="230"/>
      <c r="N330" s="230"/>
      <c r="O330" s="231"/>
    </row>
    <row r="331" spans="10:15" ht="15.75" customHeight="1" x14ac:dyDescent="0.3">
      <c r="J331" s="230"/>
      <c r="K331" s="230"/>
      <c r="L331" s="231"/>
      <c r="M331" s="230"/>
      <c r="N331" s="230"/>
      <c r="O331" s="231"/>
    </row>
    <row r="332" spans="10:15" ht="15.75" customHeight="1" x14ac:dyDescent="0.3">
      <c r="J332" s="230"/>
      <c r="K332" s="230"/>
      <c r="L332" s="231"/>
      <c r="M332" s="230"/>
      <c r="N332" s="230"/>
      <c r="O332" s="231"/>
    </row>
    <row r="333" spans="10:15" ht="15.75" customHeight="1" x14ac:dyDescent="0.3">
      <c r="J333" s="230"/>
      <c r="K333" s="230"/>
      <c r="L333" s="231"/>
      <c r="M333" s="230"/>
      <c r="N333" s="230"/>
      <c r="O333" s="231"/>
    </row>
    <row r="334" spans="10:15" ht="15.75" customHeight="1" x14ac:dyDescent="0.3">
      <c r="J334" s="230"/>
      <c r="K334" s="230"/>
      <c r="L334" s="231"/>
      <c r="M334" s="230"/>
      <c r="N334" s="230"/>
      <c r="O334" s="231"/>
    </row>
    <row r="335" spans="10:15" ht="15.75" customHeight="1" x14ac:dyDescent="0.3">
      <c r="J335" s="230"/>
      <c r="K335" s="230"/>
      <c r="L335" s="231"/>
      <c r="M335" s="230"/>
      <c r="N335" s="230"/>
      <c r="O335" s="231"/>
    </row>
    <row r="336" spans="10:15" ht="15.75" customHeight="1" x14ac:dyDescent="0.3">
      <c r="J336" s="230"/>
      <c r="K336" s="230"/>
      <c r="L336" s="231"/>
      <c r="M336" s="230"/>
      <c r="N336" s="230"/>
      <c r="O336" s="231"/>
    </row>
    <row r="337" spans="10:15" ht="15.75" customHeight="1" x14ac:dyDescent="0.3">
      <c r="J337" s="230"/>
      <c r="K337" s="230"/>
      <c r="L337" s="231"/>
      <c r="M337" s="230"/>
      <c r="N337" s="230"/>
      <c r="O337" s="231"/>
    </row>
    <row r="338" spans="10:15" ht="15.75" customHeight="1" x14ac:dyDescent="0.3">
      <c r="J338" s="230"/>
      <c r="K338" s="230"/>
      <c r="L338" s="231"/>
      <c r="M338" s="230"/>
      <c r="N338" s="230"/>
      <c r="O338" s="231"/>
    </row>
    <row r="339" spans="10:15" ht="15.75" customHeight="1" x14ac:dyDescent="0.3">
      <c r="J339" s="230"/>
      <c r="K339" s="230"/>
      <c r="L339" s="231"/>
      <c r="M339" s="230"/>
      <c r="N339" s="230"/>
      <c r="O339" s="231"/>
    </row>
    <row r="340" spans="10:15" ht="15.75" customHeight="1" x14ac:dyDescent="0.3">
      <c r="J340" s="230"/>
      <c r="K340" s="230"/>
      <c r="L340" s="231"/>
      <c r="M340" s="230"/>
      <c r="N340" s="230"/>
      <c r="O340" s="231"/>
    </row>
    <row r="341" spans="10:15" ht="15.75" customHeight="1" x14ac:dyDescent="0.3">
      <c r="J341" s="230"/>
      <c r="K341" s="230"/>
      <c r="L341" s="231"/>
      <c r="M341" s="230"/>
      <c r="N341" s="230"/>
      <c r="O341" s="231"/>
    </row>
    <row r="342" spans="10:15" ht="15.75" customHeight="1" x14ac:dyDescent="0.3">
      <c r="J342" s="230"/>
      <c r="K342" s="230"/>
      <c r="L342" s="231"/>
      <c r="M342" s="230"/>
      <c r="N342" s="230"/>
      <c r="O342" s="231"/>
    </row>
    <row r="343" spans="10:15" ht="15.75" customHeight="1" x14ac:dyDescent="0.3">
      <c r="J343" s="230"/>
      <c r="K343" s="230"/>
      <c r="L343" s="231"/>
      <c r="M343" s="230"/>
      <c r="N343" s="230"/>
      <c r="O343" s="231"/>
    </row>
    <row r="344" spans="10:15" ht="15.75" customHeight="1" x14ac:dyDescent="0.3">
      <c r="J344" s="230"/>
      <c r="K344" s="230"/>
      <c r="L344" s="231"/>
      <c r="M344" s="230"/>
      <c r="N344" s="230"/>
      <c r="O344" s="231"/>
    </row>
    <row r="345" spans="10:15" ht="15.75" customHeight="1" x14ac:dyDescent="0.3">
      <c r="J345" s="230"/>
      <c r="K345" s="230"/>
      <c r="L345" s="231"/>
      <c r="M345" s="230"/>
      <c r="N345" s="230"/>
      <c r="O345" s="231"/>
    </row>
    <row r="346" spans="10:15" ht="15.75" customHeight="1" x14ac:dyDescent="0.3">
      <c r="J346" s="230"/>
      <c r="K346" s="230"/>
      <c r="L346" s="231"/>
      <c r="M346" s="230"/>
      <c r="N346" s="230"/>
      <c r="O346" s="231"/>
    </row>
    <row r="347" spans="10:15" ht="15.75" customHeight="1" x14ac:dyDescent="0.3">
      <c r="J347" s="230"/>
      <c r="K347" s="230"/>
      <c r="L347" s="231"/>
      <c r="M347" s="230"/>
      <c r="N347" s="230"/>
      <c r="O347" s="231"/>
    </row>
    <row r="348" spans="10:15" ht="15.75" customHeight="1" x14ac:dyDescent="0.3">
      <c r="J348" s="230"/>
      <c r="K348" s="230"/>
      <c r="L348" s="231"/>
      <c r="M348" s="230"/>
      <c r="N348" s="230"/>
      <c r="O348" s="231"/>
    </row>
    <row r="349" spans="10:15" ht="15.75" customHeight="1" x14ac:dyDescent="0.3">
      <c r="J349" s="230"/>
      <c r="K349" s="230"/>
      <c r="L349" s="231"/>
      <c r="M349" s="230"/>
      <c r="N349" s="230"/>
      <c r="O349" s="231"/>
    </row>
    <row r="350" spans="10:15" ht="15.75" customHeight="1" x14ac:dyDescent="0.3">
      <c r="J350" s="230"/>
      <c r="K350" s="230"/>
      <c r="L350" s="231"/>
      <c r="M350" s="230"/>
      <c r="N350" s="230"/>
      <c r="O350" s="231"/>
    </row>
    <row r="351" spans="10:15" ht="15.75" customHeight="1" x14ac:dyDescent="0.3">
      <c r="J351" s="230"/>
      <c r="K351" s="230"/>
      <c r="L351" s="231"/>
      <c r="M351" s="230"/>
      <c r="N351" s="230"/>
      <c r="O351" s="231"/>
    </row>
    <row r="352" spans="10:15" ht="15.75" customHeight="1" x14ac:dyDescent="0.3">
      <c r="J352" s="230"/>
      <c r="K352" s="230"/>
      <c r="L352" s="231"/>
      <c r="M352" s="230"/>
      <c r="N352" s="230"/>
      <c r="O352" s="231"/>
    </row>
    <row r="353" spans="10:15" ht="15.75" customHeight="1" x14ac:dyDescent="0.3">
      <c r="J353" s="230"/>
      <c r="K353" s="230"/>
      <c r="L353" s="231"/>
      <c r="M353" s="230"/>
      <c r="N353" s="230"/>
      <c r="O353" s="231"/>
    </row>
    <row r="354" spans="10:15" ht="15.75" customHeight="1" x14ac:dyDescent="0.3">
      <c r="J354" s="230"/>
      <c r="K354" s="230"/>
      <c r="L354" s="231"/>
      <c r="M354" s="230"/>
      <c r="N354" s="230"/>
      <c r="O354" s="231"/>
    </row>
    <row r="355" spans="10:15" ht="15.75" customHeight="1" x14ac:dyDescent="0.3">
      <c r="J355" s="230"/>
      <c r="K355" s="230"/>
      <c r="L355" s="231"/>
      <c r="M355" s="230"/>
      <c r="N355" s="230"/>
      <c r="O355" s="231"/>
    </row>
    <row r="356" spans="10:15" ht="15.75" customHeight="1" x14ac:dyDescent="0.3">
      <c r="J356" s="230"/>
      <c r="K356" s="230"/>
      <c r="L356" s="231"/>
      <c r="M356" s="230"/>
      <c r="N356" s="230"/>
      <c r="O356" s="231"/>
    </row>
    <row r="357" spans="10:15" ht="15.75" customHeight="1" x14ac:dyDescent="0.3">
      <c r="J357" s="230"/>
      <c r="K357" s="230"/>
      <c r="L357" s="231"/>
      <c r="M357" s="230"/>
      <c r="N357" s="230"/>
      <c r="O357" s="231"/>
    </row>
    <row r="358" spans="10:15" ht="15.75" customHeight="1" x14ac:dyDescent="0.3">
      <c r="J358" s="230"/>
      <c r="K358" s="230"/>
      <c r="L358" s="231"/>
      <c r="M358" s="230"/>
      <c r="N358" s="230"/>
      <c r="O358" s="231"/>
    </row>
    <row r="359" spans="10:15" ht="15.75" customHeight="1" x14ac:dyDescent="0.3">
      <c r="J359" s="230"/>
      <c r="K359" s="230"/>
      <c r="L359" s="231"/>
      <c r="M359" s="230"/>
      <c r="N359" s="230"/>
      <c r="O359" s="231"/>
    </row>
    <row r="360" spans="10:15" ht="15.75" customHeight="1" x14ac:dyDescent="0.3">
      <c r="J360" s="230"/>
      <c r="K360" s="230"/>
      <c r="L360" s="231"/>
      <c r="M360" s="230"/>
      <c r="N360" s="230"/>
      <c r="O360" s="231"/>
    </row>
    <row r="361" spans="10:15" ht="15.75" customHeight="1" x14ac:dyDescent="0.3">
      <c r="J361" s="230"/>
      <c r="K361" s="230"/>
      <c r="L361" s="231"/>
      <c r="M361" s="230"/>
      <c r="N361" s="230"/>
      <c r="O361" s="231"/>
    </row>
    <row r="362" spans="10:15" ht="15.75" customHeight="1" x14ac:dyDescent="0.3">
      <c r="J362" s="230"/>
      <c r="K362" s="230"/>
      <c r="L362" s="231"/>
      <c r="M362" s="230"/>
      <c r="N362" s="230"/>
      <c r="O362" s="231"/>
    </row>
    <row r="363" spans="10:15" ht="15.75" customHeight="1" x14ac:dyDescent="0.3">
      <c r="J363" s="230"/>
      <c r="K363" s="230"/>
      <c r="L363" s="231"/>
      <c r="M363" s="230"/>
      <c r="N363" s="230"/>
      <c r="O363" s="231"/>
    </row>
    <row r="364" spans="10:15" ht="15.75" customHeight="1" x14ac:dyDescent="0.3">
      <c r="J364" s="230"/>
      <c r="K364" s="230"/>
      <c r="L364" s="231"/>
      <c r="M364" s="230"/>
      <c r="N364" s="230"/>
      <c r="O364" s="231"/>
    </row>
    <row r="365" spans="10:15" ht="15.75" customHeight="1" x14ac:dyDescent="0.3">
      <c r="J365" s="230"/>
      <c r="K365" s="230"/>
      <c r="L365" s="231"/>
      <c r="M365" s="230"/>
      <c r="N365" s="230"/>
      <c r="O365" s="231"/>
    </row>
    <row r="366" spans="10:15" ht="15.75" customHeight="1" x14ac:dyDescent="0.3">
      <c r="J366" s="230"/>
      <c r="K366" s="230"/>
      <c r="L366" s="231"/>
      <c r="M366" s="230"/>
      <c r="N366" s="230"/>
      <c r="O366" s="231"/>
    </row>
    <row r="367" spans="10:15" ht="15.75" customHeight="1" x14ac:dyDescent="0.3">
      <c r="J367" s="230"/>
      <c r="K367" s="230"/>
      <c r="L367" s="231"/>
      <c r="M367" s="230"/>
      <c r="N367" s="230"/>
      <c r="O367" s="231"/>
    </row>
    <row r="368" spans="10:15" ht="15.75" customHeight="1" x14ac:dyDescent="0.3">
      <c r="J368" s="230"/>
      <c r="K368" s="230"/>
      <c r="L368" s="231"/>
      <c r="M368" s="230"/>
      <c r="N368" s="230"/>
      <c r="O368" s="231"/>
    </row>
    <row r="369" spans="10:15" ht="15.75" customHeight="1" x14ac:dyDescent="0.3">
      <c r="J369" s="230"/>
      <c r="K369" s="230"/>
      <c r="L369" s="231"/>
      <c r="M369" s="230"/>
      <c r="N369" s="230"/>
      <c r="O369" s="231"/>
    </row>
    <row r="370" spans="10:15" ht="15.75" customHeight="1" x14ac:dyDescent="0.3">
      <c r="J370" s="230"/>
      <c r="K370" s="230"/>
      <c r="L370" s="231"/>
      <c r="M370" s="230"/>
      <c r="N370" s="230"/>
      <c r="O370" s="231"/>
    </row>
    <row r="371" spans="10:15" ht="15.75" customHeight="1" x14ac:dyDescent="0.3">
      <c r="J371" s="230"/>
      <c r="K371" s="230"/>
      <c r="L371" s="231"/>
      <c r="M371" s="230"/>
      <c r="N371" s="230"/>
      <c r="O371" s="231"/>
    </row>
    <row r="372" spans="10:15" ht="15.75" customHeight="1" x14ac:dyDescent="0.3">
      <c r="J372" s="230"/>
      <c r="K372" s="230"/>
      <c r="L372" s="231"/>
      <c r="M372" s="230"/>
      <c r="N372" s="230"/>
      <c r="O372" s="231"/>
    </row>
    <row r="373" spans="10:15" ht="15.75" customHeight="1" x14ac:dyDescent="0.3">
      <c r="J373" s="230"/>
      <c r="K373" s="230"/>
      <c r="L373" s="231"/>
      <c r="M373" s="230"/>
      <c r="N373" s="230"/>
      <c r="O373" s="231"/>
    </row>
    <row r="374" spans="10:15" ht="15.75" customHeight="1" x14ac:dyDescent="0.3">
      <c r="J374" s="230"/>
      <c r="K374" s="230"/>
      <c r="L374" s="231"/>
      <c r="M374" s="230"/>
      <c r="N374" s="230"/>
      <c r="O374" s="231"/>
    </row>
    <row r="375" spans="10:15" ht="15.75" customHeight="1" x14ac:dyDescent="0.3">
      <c r="J375" s="230"/>
      <c r="K375" s="230"/>
      <c r="L375" s="231"/>
      <c r="M375" s="230"/>
      <c r="N375" s="230"/>
      <c r="O375" s="231"/>
    </row>
    <row r="376" spans="10:15" ht="15.75" customHeight="1" x14ac:dyDescent="0.3">
      <c r="J376" s="230"/>
      <c r="K376" s="230"/>
      <c r="L376" s="231"/>
      <c r="M376" s="230"/>
      <c r="N376" s="230"/>
      <c r="O376" s="231"/>
    </row>
    <row r="377" spans="10:15" ht="15.75" customHeight="1" x14ac:dyDescent="0.3">
      <c r="J377" s="230"/>
      <c r="K377" s="230"/>
      <c r="L377" s="231"/>
      <c r="M377" s="230"/>
      <c r="N377" s="230"/>
      <c r="O377" s="231"/>
    </row>
    <row r="378" spans="10:15" ht="15.75" customHeight="1" x14ac:dyDescent="0.3">
      <c r="J378" s="230"/>
      <c r="K378" s="230"/>
      <c r="L378" s="231"/>
      <c r="M378" s="230"/>
      <c r="N378" s="230"/>
      <c r="O378" s="231"/>
    </row>
    <row r="379" spans="10:15" ht="15.75" customHeight="1" x14ac:dyDescent="0.3">
      <c r="J379" s="230"/>
      <c r="K379" s="230"/>
      <c r="L379" s="231"/>
      <c r="M379" s="230"/>
      <c r="N379" s="230"/>
      <c r="O379" s="231"/>
    </row>
    <row r="380" spans="10:15" ht="15.75" customHeight="1" x14ac:dyDescent="0.3">
      <c r="J380" s="230"/>
      <c r="K380" s="230"/>
      <c r="L380" s="231"/>
      <c r="M380" s="230"/>
      <c r="N380" s="230"/>
      <c r="O380" s="231"/>
    </row>
    <row r="381" spans="10:15" ht="15.75" customHeight="1" x14ac:dyDescent="0.3">
      <c r="J381" s="230"/>
      <c r="K381" s="230"/>
      <c r="L381" s="231"/>
      <c r="M381" s="230"/>
      <c r="N381" s="230"/>
      <c r="O381" s="231"/>
    </row>
    <row r="382" spans="10:15" ht="15.75" customHeight="1" x14ac:dyDescent="0.3">
      <c r="J382" s="230"/>
      <c r="K382" s="230"/>
      <c r="L382" s="231"/>
      <c r="M382" s="230"/>
      <c r="N382" s="230"/>
      <c r="O382" s="231"/>
    </row>
    <row r="383" spans="10:15" ht="15.75" customHeight="1" x14ac:dyDescent="0.3">
      <c r="J383" s="230"/>
      <c r="K383" s="230"/>
      <c r="L383" s="231"/>
      <c r="M383" s="230"/>
      <c r="N383" s="230"/>
      <c r="O383" s="231"/>
    </row>
    <row r="384" spans="10:15" ht="15.75" customHeight="1" x14ac:dyDescent="0.3">
      <c r="J384" s="230"/>
      <c r="K384" s="230"/>
      <c r="L384" s="231"/>
      <c r="M384" s="230"/>
      <c r="N384" s="230"/>
      <c r="O384" s="231"/>
    </row>
    <row r="385" spans="10:15" ht="15.75" customHeight="1" x14ac:dyDescent="0.3">
      <c r="J385" s="230"/>
      <c r="K385" s="230"/>
      <c r="L385" s="231"/>
      <c r="M385" s="230"/>
      <c r="N385" s="230"/>
      <c r="O385" s="231"/>
    </row>
    <row r="386" spans="10:15" ht="15.75" customHeight="1" x14ac:dyDescent="0.3">
      <c r="J386" s="230"/>
      <c r="K386" s="230"/>
      <c r="L386" s="231"/>
      <c r="M386" s="230"/>
      <c r="N386" s="230"/>
      <c r="O386" s="231"/>
    </row>
    <row r="387" spans="10:15" ht="15.75" customHeight="1" x14ac:dyDescent="0.3">
      <c r="J387" s="230"/>
      <c r="K387" s="230"/>
      <c r="L387" s="231"/>
      <c r="M387" s="230"/>
      <c r="N387" s="230"/>
      <c r="O387" s="231"/>
    </row>
    <row r="388" spans="10:15" ht="15.75" customHeight="1" x14ac:dyDescent="0.3">
      <c r="J388" s="230"/>
      <c r="K388" s="230"/>
      <c r="L388" s="231"/>
      <c r="M388" s="230"/>
      <c r="N388" s="230"/>
      <c r="O388" s="231"/>
    </row>
    <row r="389" spans="10:15" ht="15.75" customHeight="1" x14ac:dyDescent="0.3">
      <c r="J389" s="230"/>
      <c r="K389" s="230"/>
      <c r="L389" s="231"/>
      <c r="M389" s="230"/>
      <c r="N389" s="230"/>
      <c r="O389" s="231"/>
    </row>
    <row r="390" spans="10:15" ht="15.75" customHeight="1" x14ac:dyDescent="0.3">
      <c r="J390" s="230"/>
      <c r="K390" s="230"/>
      <c r="L390" s="231"/>
      <c r="M390" s="230"/>
      <c r="N390" s="230"/>
      <c r="O390" s="231"/>
    </row>
    <row r="391" spans="10:15" ht="15.75" customHeight="1" x14ac:dyDescent="0.3">
      <c r="J391" s="230"/>
      <c r="K391" s="230"/>
      <c r="L391" s="231"/>
      <c r="M391" s="230"/>
      <c r="N391" s="230"/>
      <c r="O391" s="231"/>
    </row>
    <row r="392" spans="10:15" ht="15.75" customHeight="1" x14ac:dyDescent="0.3">
      <c r="J392" s="230"/>
      <c r="K392" s="230"/>
      <c r="L392" s="231"/>
      <c r="M392" s="230"/>
      <c r="N392" s="230"/>
      <c r="O392" s="231"/>
    </row>
    <row r="393" spans="10:15" ht="15.75" customHeight="1" x14ac:dyDescent="0.3">
      <c r="J393" s="230"/>
      <c r="K393" s="230"/>
      <c r="L393" s="231"/>
      <c r="M393" s="230"/>
      <c r="N393" s="230"/>
      <c r="O393" s="231"/>
    </row>
    <row r="394" spans="10:15" ht="15.75" customHeight="1" x14ac:dyDescent="0.3">
      <c r="J394" s="230"/>
      <c r="K394" s="230"/>
      <c r="L394" s="231"/>
      <c r="M394" s="230"/>
      <c r="N394" s="230"/>
      <c r="O394" s="231"/>
    </row>
    <row r="395" spans="10:15" ht="15.75" customHeight="1" x14ac:dyDescent="0.3">
      <c r="J395" s="230"/>
      <c r="K395" s="230"/>
      <c r="L395" s="231"/>
      <c r="M395" s="230"/>
      <c r="N395" s="230"/>
      <c r="O395" s="231"/>
    </row>
    <row r="396" spans="10:15" ht="15.75" customHeight="1" x14ac:dyDescent="0.3">
      <c r="J396" s="230"/>
      <c r="K396" s="230"/>
      <c r="L396" s="231"/>
      <c r="M396" s="230"/>
      <c r="N396" s="230"/>
      <c r="O396" s="231"/>
    </row>
    <row r="397" spans="10:15" ht="15.75" customHeight="1" x14ac:dyDescent="0.3">
      <c r="J397" s="230"/>
      <c r="K397" s="230"/>
      <c r="L397" s="231"/>
      <c r="M397" s="230"/>
      <c r="N397" s="230"/>
      <c r="O397" s="231"/>
    </row>
    <row r="398" spans="10:15" ht="15.75" customHeight="1" x14ac:dyDescent="0.3">
      <c r="J398" s="230"/>
      <c r="K398" s="230"/>
      <c r="L398" s="231"/>
      <c r="M398" s="230"/>
      <c r="N398" s="230"/>
      <c r="O398" s="231"/>
    </row>
    <row r="399" spans="10:15" ht="15.75" customHeight="1" x14ac:dyDescent="0.3">
      <c r="J399" s="230"/>
      <c r="K399" s="230"/>
      <c r="L399" s="231"/>
      <c r="M399" s="230"/>
      <c r="N399" s="230"/>
      <c r="O399" s="231"/>
    </row>
    <row r="400" spans="10:15" ht="15.75" customHeight="1" x14ac:dyDescent="0.3">
      <c r="J400" s="230"/>
      <c r="K400" s="230"/>
      <c r="L400" s="231"/>
      <c r="M400" s="230"/>
      <c r="N400" s="230"/>
      <c r="O400" s="231"/>
    </row>
    <row r="401" spans="10:15" ht="15.75" customHeight="1" x14ac:dyDescent="0.3">
      <c r="J401" s="230"/>
      <c r="K401" s="230"/>
      <c r="L401" s="231"/>
      <c r="M401" s="230"/>
      <c r="N401" s="230"/>
      <c r="O401" s="231"/>
    </row>
    <row r="402" spans="10:15" ht="15.75" customHeight="1" x14ac:dyDescent="0.3">
      <c r="J402" s="230"/>
      <c r="K402" s="230"/>
      <c r="L402" s="231"/>
      <c r="M402" s="230"/>
      <c r="N402" s="230"/>
      <c r="O402" s="231"/>
    </row>
    <row r="403" spans="10:15" ht="15.75" customHeight="1" x14ac:dyDescent="0.3">
      <c r="J403" s="230"/>
      <c r="K403" s="230"/>
      <c r="L403" s="231"/>
      <c r="M403" s="230"/>
      <c r="N403" s="230"/>
      <c r="O403" s="231"/>
    </row>
    <row r="404" spans="10:15" ht="15.75" customHeight="1" x14ac:dyDescent="0.3">
      <c r="J404" s="230"/>
      <c r="K404" s="230"/>
      <c r="L404" s="231"/>
      <c r="M404" s="230"/>
      <c r="N404" s="230"/>
      <c r="O404" s="231"/>
    </row>
    <row r="405" spans="10:15" ht="15.75" customHeight="1" x14ac:dyDescent="0.3">
      <c r="J405" s="230"/>
      <c r="K405" s="230"/>
      <c r="L405" s="231"/>
      <c r="M405" s="230"/>
      <c r="N405" s="230"/>
      <c r="O405" s="231"/>
    </row>
    <row r="406" spans="10:15" ht="15.75" customHeight="1" x14ac:dyDescent="0.3">
      <c r="J406" s="230"/>
      <c r="K406" s="230"/>
      <c r="L406" s="231"/>
      <c r="M406" s="230"/>
      <c r="N406" s="230"/>
      <c r="O406" s="231"/>
    </row>
    <row r="407" spans="10:15" ht="15.75" customHeight="1" x14ac:dyDescent="0.3">
      <c r="J407" s="230"/>
      <c r="K407" s="230"/>
      <c r="L407" s="231"/>
      <c r="M407" s="230"/>
      <c r="N407" s="230"/>
      <c r="O407" s="231"/>
    </row>
    <row r="408" spans="10:15" ht="15.75" customHeight="1" x14ac:dyDescent="0.3">
      <c r="J408" s="230"/>
      <c r="K408" s="230"/>
      <c r="L408" s="231"/>
      <c r="M408" s="230"/>
      <c r="N408" s="230"/>
      <c r="O408" s="231"/>
    </row>
    <row r="409" spans="10:15" ht="15.75" customHeight="1" x14ac:dyDescent="0.3">
      <c r="J409" s="230"/>
      <c r="K409" s="230"/>
      <c r="L409" s="231"/>
      <c r="M409" s="230"/>
      <c r="N409" s="230"/>
      <c r="O409" s="231"/>
    </row>
    <row r="410" spans="10:15" ht="15.75" customHeight="1" x14ac:dyDescent="0.3">
      <c r="J410" s="230"/>
      <c r="K410" s="230"/>
      <c r="L410" s="231"/>
      <c r="M410" s="230"/>
      <c r="N410" s="230"/>
      <c r="O410" s="231"/>
    </row>
    <row r="411" spans="10:15" ht="15.75" customHeight="1" x14ac:dyDescent="0.3">
      <c r="J411" s="230"/>
      <c r="K411" s="230"/>
      <c r="L411" s="231"/>
      <c r="M411" s="230"/>
      <c r="N411" s="230"/>
      <c r="O411" s="231"/>
    </row>
    <row r="412" spans="10:15" ht="15.75" customHeight="1" x14ac:dyDescent="0.3">
      <c r="J412" s="230"/>
      <c r="K412" s="230"/>
      <c r="L412" s="231"/>
      <c r="M412" s="230"/>
      <c r="N412" s="230"/>
      <c r="O412" s="231"/>
    </row>
    <row r="413" spans="10:15" ht="15.75" customHeight="1" x14ac:dyDescent="0.3">
      <c r="J413" s="230"/>
      <c r="K413" s="230"/>
      <c r="L413" s="231"/>
      <c r="M413" s="230"/>
      <c r="N413" s="230"/>
      <c r="O413" s="231"/>
    </row>
    <row r="414" spans="10:15" ht="15.75" customHeight="1" x14ac:dyDescent="0.3">
      <c r="J414" s="230"/>
      <c r="K414" s="230"/>
      <c r="L414" s="231"/>
      <c r="M414" s="230"/>
      <c r="N414" s="230"/>
      <c r="O414" s="231"/>
    </row>
    <row r="415" spans="10:15" ht="15.75" customHeight="1" x14ac:dyDescent="0.3">
      <c r="J415" s="230"/>
      <c r="K415" s="230"/>
      <c r="L415" s="231"/>
      <c r="M415" s="230"/>
      <c r="N415" s="230"/>
      <c r="O415" s="231"/>
    </row>
    <row r="416" spans="10:15" ht="15.75" customHeight="1" x14ac:dyDescent="0.3">
      <c r="J416" s="230"/>
      <c r="K416" s="230"/>
      <c r="L416" s="231"/>
      <c r="M416" s="230"/>
      <c r="N416" s="230"/>
      <c r="O416" s="231"/>
    </row>
    <row r="417" spans="10:15" ht="15.75" customHeight="1" x14ac:dyDescent="0.3">
      <c r="J417" s="230"/>
      <c r="K417" s="230"/>
      <c r="L417" s="231"/>
      <c r="M417" s="230"/>
      <c r="N417" s="230"/>
      <c r="O417" s="231"/>
    </row>
    <row r="418" spans="10:15" ht="15.75" customHeight="1" x14ac:dyDescent="0.3">
      <c r="J418" s="230"/>
      <c r="K418" s="230"/>
      <c r="L418" s="231"/>
      <c r="M418" s="230"/>
      <c r="N418" s="230"/>
      <c r="O418" s="231"/>
    </row>
    <row r="419" spans="10:15" ht="15.75" customHeight="1" x14ac:dyDescent="0.3">
      <c r="J419" s="230"/>
      <c r="K419" s="230"/>
      <c r="L419" s="231"/>
      <c r="M419" s="230"/>
      <c r="N419" s="230"/>
      <c r="O419" s="231"/>
    </row>
    <row r="420" spans="10:15" ht="15.75" customHeight="1" x14ac:dyDescent="0.3">
      <c r="J420" s="230"/>
      <c r="K420" s="230"/>
      <c r="L420" s="231"/>
      <c r="M420" s="230"/>
      <c r="N420" s="230"/>
      <c r="O420" s="231"/>
    </row>
    <row r="421" spans="10:15" ht="15.75" customHeight="1" x14ac:dyDescent="0.3">
      <c r="J421" s="230"/>
      <c r="K421" s="230"/>
      <c r="L421" s="231"/>
      <c r="M421" s="230"/>
      <c r="N421" s="230"/>
      <c r="O421" s="231"/>
    </row>
    <row r="422" spans="10:15" ht="15.75" customHeight="1" x14ac:dyDescent="0.3">
      <c r="J422" s="230"/>
      <c r="K422" s="230"/>
      <c r="L422" s="231"/>
      <c r="M422" s="230"/>
      <c r="N422" s="230"/>
      <c r="O422" s="231"/>
    </row>
    <row r="423" spans="10:15" ht="15.75" customHeight="1" x14ac:dyDescent="0.3">
      <c r="J423" s="230"/>
      <c r="K423" s="230"/>
      <c r="L423" s="231"/>
      <c r="M423" s="230"/>
      <c r="N423" s="230"/>
      <c r="O423" s="231"/>
    </row>
    <row r="424" spans="10:15" ht="15.75" customHeight="1" x14ac:dyDescent="0.3">
      <c r="J424" s="230"/>
      <c r="K424" s="230"/>
      <c r="L424" s="231"/>
      <c r="M424" s="230"/>
      <c r="N424" s="230"/>
      <c r="O424" s="231"/>
    </row>
    <row r="425" spans="10:15" ht="15.75" customHeight="1" x14ac:dyDescent="0.3">
      <c r="J425" s="230"/>
      <c r="K425" s="230"/>
      <c r="L425" s="231"/>
      <c r="M425" s="230"/>
      <c r="N425" s="230"/>
      <c r="O425" s="231"/>
    </row>
    <row r="426" spans="10:15" ht="15.75" customHeight="1" x14ac:dyDescent="0.3">
      <c r="J426" s="230"/>
      <c r="K426" s="230"/>
      <c r="L426" s="231"/>
      <c r="M426" s="230"/>
      <c r="N426" s="230"/>
      <c r="O426" s="231"/>
    </row>
    <row r="427" spans="10:15" ht="15.75" customHeight="1" x14ac:dyDescent="0.3">
      <c r="J427" s="230"/>
      <c r="K427" s="230"/>
      <c r="L427" s="231"/>
      <c r="M427" s="230"/>
      <c r="N427" s="230"/>
      <c r="O427" s="231"/>
    </row>
    <row r="428" spans="10:15" ht="15.75" customHeight="1" x14ac:dyDescent="0.3">
      <c r="J428" s="230"/>
      <c r="K428" s="230"/>
      <c r="L428" s="231"/>
      <c r="M428" s="230"/>
      <c r="N428" s="230"/>
      <c r="O428" s="231"/>
    </row>
    <row r="429" spans="10:15" ht="15.75" customHeight="1" x14ac:dyDescent="0.3">
      <c r="J429" s="230"/>
      <c r="K429" s="230"/>
      <c r="L429" s="231"/>
      <c r="M429" s="230"/>
      <c r="N429" s="230"/>
      <c r="O429" s="231"/>
    </row>
    <row r="430" spans="10:15" ht="15.75" customHeight="1" x14ac:dyDescent="0.3">
      <c r="J430" s="230"/>
      <c r="K430" s="230"/>
      <c r="L430" s="231"/>
      <c r="M430" s="230"/>
      <c r="N430" s="230"/>
      <c r="O430" s="231"/>
    </row>
    <row r="431" spans="10:15" ht="15.75" customHeight="1" x14ac:dyDescent="0.3">
      <c r="J431" s="230"/>
      <c r="K431" s="230"/>
      <c r="L431" s="231"/>
      <c r="M431" s="230"/>
      <c r="N431" s="230"/>
      <c r="O431" s="231"/>
    </row>
    <row r="432" spans="10:15" ht="15.75" customHeight="1" x14ac:dyDescent="0.3">
      <c r="J432" s="230"/>
      <c r="K432" s="230"/>
      <c r="L432" s="231"/>
      <c r="M432" s="230"/>
      <c r="N432" s="230"/>
      <c r="O432" s="231"/>
    </row>
    <row r="433" spans="10:15" ht="15.75" customHeight="1" x14ac:dyDescent="0.3">
      <c r="J433" s="230"/>
      <c r="K433" s="230"/>
      <c r="L433" s="231"/>
      <c r="M433" s="230"/>
      <c r="N433" s="230"/>
      <c r="O433" s="231"/>
    </row>
    <row r="434" spans="10:15" ht="15.75" customHeight="1" x14ac:dyDescent="0.3">
      <c r="J434" s="230"/>
      <c r="K434" s="230"/>
      <c r="L434" s="231"/>
      <c r="M434" s="230"/>
      <c r="N434" s="230"/>
      <c r="O434" s="231"/>
    </row>
    <row r="435" spans="10:15" ht="15.75" customHeight="1" x14ac:dyDescent="0.3">
      <c r="J435" s="230"/>
      <c r="K435" s="230"/>
      <c r="L435" s="231"/>
      <c r="M435" s="230"/>
      <c r="N435" s="230"/>
      <c r="O435" s="231"/>
    </row>
    <row r="436" spans="10:15" ht="15.75" customHeight="1" x14ac:dyDescent="0.3">
      <c r="J436" s="230"/>
      <c r="K436" s="230"/>
      <c r="L436" s="231"/>
      <c r="M436" s="230"/>
      <c r="N436" s="230"/>
      <c r="O436" s="231"/>
    </row>
    <row r="437" spans="10:15" ht="15.75" customHeight="1" x14ac:dyDescent="0.3">
      <c r="J437" s="230"/>
      <c r="K437" s="230"/>
      <c r="L437" s="231"/>
      <c r="M437" s="230"/>
      <c r="N437" s="230"/>
      <c r="O437" s="231"/>
    </row>
    <row r="438" spans="10:15" ht="15.75" customHeight="1" x14ac:dyDescent="0.3">
      <c r="J438" s="230"/>
      <c r="K438" s="230"/>
      <c r="L438" s="231"/>
      <c r="M438" s="230"/>
      <c r="N438" s="230"/>
      <c r="O438" s="231"/>
    </row>
    <row r="439" spans="10:15" ht="15.75" customHeight="1" x14ac:dyDescent="0.3">
      <c r="J439" s="230"/>
      <c r="K439" s="230"/>
      <c r="L439" s="231"/>
      <c r="M439" s="230"/>
      <c r="N439" s="230"/>
      <c r="O439" s="231"/>
    </row>
    <row r="440" spans="10:15" ht="15.75" customHeight="1" x14ac:dyDescent="0.3">
      <c r="J440" s="230"/>
      <c r="K440" s="230"/>
      <c r="L440" s="231"/>
      <c r="M440" s="230"/>
      <c r="N440" s="230"/>
      <c r="O440" s="231"/>
    </row>
    <row r="441" spans="10:15" ht="15.75" customHeight="1" x14ac:dyDescent="0.3">
      <c r="J441" s="230"/>
      <c r="K441" s="230"/>
      <c r="L441" s="231"/>
      <c r="M441" s="230"/>
      <c r="N441" s="230"/>
      <c r="O441" s="231"/>
    </row>
    <row r="442" spans="10:15" ht="15.75" customHeight="1" x14ac:dyDescent="0.3">
      <c r="J442" s="230"/>
      <c r="K442" s="230"/>
      <c r="L442" s="231"/>
      <c r="M442" s="230"/>
      <c r="N442" s="230"/>
      <c r="O442" s="231"/>
    </row>
    <row r="443" spans="10:15" ht="15.75" customHeight="1" x14ac:dyDescent="0.3">
      <c r="J443" s="230"/>
      <c r="K443" s="230"/>
      <c r="L443" s="231"/>
      <c r="M443" s="230"/>
      <c r="N443" s="230"/>
      <c r="O443" s="231"/>
    </row>
    <row r="444" spans="10:15" ht="15.75" customHeight="1" x14ac:dyDescent="0.3">
      <c r="J444" s="230"/>
      <c r="K444" s="230"/>
      <c r="L444" s="231"/>
      <c r="M444" s="230"/>
      <c r="N444" s="230"/>
      <c r="O444" s="231"/>
    </row>
    <row r="445" spans="10:15" ht="15.75" customHeight="1" x14ac:dyDescent="0.3">
      <c r="J445" s="230"/>
      <c r="K445" s="230"/>
      <c r="L445" s="231"/>
      <c r="M445" s="230"/>
      <c r="N445" s="230"/>
      <c r="O445" s="231"/>
    </row>
    <row r="446" spans="10:15" ht="15.75" customHeight="1" x14ac:dyDescent="0.3">
      <c r="J446" s="230"/>
      <c r="K446" s="230"/>
      <c r="L446" s="231"/>
      <c r="M446" s="230"/>
      <c r="N446" s="230"/>
      <c r="O446" s="231"/>
    </row>
    <row r="447" spans="10:15" ht="15.75" customHeight="1" x14ac:dyDescent="0.3">
      <c r="J447" s="230"/>
      <c r="K447" s="230"/>
      <c r="L447" s="231"/>
      <c r="M447" s="230"/>
      <c r="N447" s="230"/>
      <c r="O447" s="231"/>
    </row>
    <row r="448" spans="10:15" ht="15.75" customHeight="1" x14ac:dyDescent="0.3">
      <c r="J448" s="230"/>
      <c r="K448" s="230"/>
      <c r="L448" s="231"/>
      <c r="M448" s="230"/>
      <c r="N448" s="230"/>
      <c r="O448" s="231"/>
    </row>
    <row r="449" spans="10:15" ht="15.75" customHeight="1" x14ac:dyDescent="0.3">
      <c r="J449" s="230"/>
      <c r="K449" s="230"/>
      <c r="L449" s="231"/>
      <c r="M449" s="230"/>
      <c r="N449" s="230"/>
      <c r="O449" s="231"/>
    </row>
    <row r="450" spans="10:15" ht="15.75" customHeight="1" x14ac:dyDescent="0.3">
      <c r="J450" s="230"/>
      <c r="K450" s="230"/>
      <c r="L450" s="231"/>
      <c r="M450" s="230"/>
      <c r="N450" s="230"/>
      <c r="O450" s="231"/>
    </row>
    <row r="451" spans="10:15" ht="15.75" customHeight="1" x14ac:dyDescent="0.3">
      <c r="J451" s="230"/>
      <c r="K451" s="230"/>
      <c r="L451" s="231"/>
      <c r="M451" s="230"/>
      <c r="N451" s="230"/>
      <c r="O451" s="231"/>
    </row>
    <row r="452" spans="10:15" ht="15.75" customHeight="1" x14ac:dyDescent="0.3">
      <c r="J452" s="230"/>
      <c r="K452" s="230"/>
      <c r="L452" s="231"/>
      <c r="M452" s="230"/>
      <c r="N452" s="230"/>
      <c r="O452" s="231"/>
    </row>
    <row r="453" spans="10:15" ht="15.75" customHeight="1" x14ac:dyDescent="0.3">
      <c r="J453" s="230"/>
      <c r="K453" s="230"/>
      <c r="L453" s="231"/>
      <c r="M453" s="230"/>
      <c r="N453" s="230"/>
      <c r="O453" s="231"/>
    </row>
    <row r="454" spans="10:15" ht="15.75" customHeight="1" x14ac:dyDescent="0.3">
      <c r="J454" s="230"/>
      <c r="K454" s="230"/>
      <c r="L454" s="231"/>
      <c r="M454" s="230"/>
      <c r="N454" s="230"/>
      <c r="O454" s="231"/>
    </row>
    <row r="455" spans="10:15" ht="15.75" customHeight="1" x14ac:dyDescent="0.3">
      <c r="J455" s="230"/>
      <c r="K455" s="230"/>
      <c r="L455" s="231"/>
      <c r="M455" s="230"/>
      <c r="N455" s="230"/>
      <c r="O455" s="231"/>
    </row>
    <row r="456" spans="10:15" ht="15.75" customHeight="1" x14ac:dyDescent="0.3">
      <c r="J456" s="230"/>
      <c r="K456" s="230"/>
      <c r="L456" s="231"/>
      <c r="M456" s="230"/>
      <c r="N456" s="230"/>
      <c r="O456" s="231"/>
    </row>
    <row r="457" spans="10:15" ht="15.75" customHeight="1" x14ac:dyDescent="0.3">
      <c r="J457" s="230"/>
      <c r="K457" s="230"/>
      <c r="L457" s="231"/>
      <c r="M457" s="230"/>
      <c r="N457" s="230"/>
      <c r="O457" s="231"/>
    </row>
    <row r="458" spans="10:15" ht="15.75" customHeight="1" x14ac:dyDescent="0.3">
      <c r="J458" s="230"/>
      <c r="K458" s="230"/>
      <c r="L458" s="231"/>
      <c r="M458" s="230"/>
      <c r="N458" s="230"/>
      <c r="O458" s="231"/>
    </row>
    <row r="459" spans="10:15" ht="15.75" customHeight="1" x14ac:dyDescent="0.3">
      <c r="J459" s="230"/>
      <c r="K459" s="230"/>
      <c r="L459" s="231"/>
      <c r="M459" s="230"/>
      <c r="N459" s="230"/>
      <c r="O459" s="231"/>
    </row>
    <row r="460" spans="10:15" ht="15.75" customHeight="1" x14ac:dyDescent="0.3">
      <c r="J460" s="230"/>
      <c r="K460" s="230"/>
      <c r="L460" s="231"/>
      <c r="M460" s="230"/>
      <c r="N460" s="230"/>
      <c r="O460" s="231"/>
    </row>
    <row r="461" spans="10:15" ht="15.75" customHeight="1" x14ac:dyDescent="0.3">
      <c r="J461" s="230"/>
      <c r="K461" s="230"/>
      <c r="L461" s="231"/>
      <c r="M461" s="230"/>
      <c r="N461" s="230"/>
      <c r="O461" s="231"/>
    </row>
    <row r="462" spans="10:15" ht="15.75" customHeight="1" x14ac:dyDescent="0.3">
      <c r="J462" s="230"/>
      <c r="K462" s="230"/>
      <c r="L462" s="231"/>
      <c r="M462" s="230"/>
      <c r="N462" s="230"/>
      <c r="O462" s="231"/>
    </row>
    <row r="463" spans="10:15" ht="15.75" customHeight="1" x14ac:dyDescent="0.3">
      <c r="J463" s="230"/>
      <c r="K463" s="230"/>
      <c r="L463" s="231"/>
      <c r="M463" s="230"/>
      <c r="N463" s="230"/>
      <c r="O463" s="231"/>
    </row>
    <row r="464" spans="10:15" ht="15.75" customHeight="1" x14ac:dyDescent="0.3">
      <c r="J464" s="230"/>
      <c r="K464" s="230"/>
      <c r="L464" s="231"/>
      <c r="M464" s="230"/>
      <c r="N464" s="230"/>
      <c r="O464" s="231"/>
    </row>
    <row r="465" spans="10:15" ht="15.75" customHeight="1" x14ac:dyDescent="0.3">
      <c r="J465" s="230"/>
      <c r="K465" s="230"/>
      <c r="L465" s="231"/>
      <c r="M465" s="230"/>
      <c r="N465" s="230"/>
      <c r="O465" s="231"/>
    </row>
    <row r="466" spans="10:15" ht="15.75" customHeight="1" x14ac:dyDescent="0.3">
      <c r="J466" s="230"/>
      <c r="K466" s="230"/>
      <c r="L466" s="231"/>
      <c r="M466" s="230"/>
      <c r="N466" s="230"/>
      <c r="O466" s="231"/>
    </row>
    <row r="467" spans="10:15" ht="15.75" customHeight="1" x14ac:dyDescent="0.3">
      <c r="J467" s="230"/>
      <c r="K467" s="230"/>
      <c r="L467" s="231"/>
      <c r="M467" s="230"/>
      <c r="N467" s="230"/>
      <c r="O467" s="231"/>
    </row>
    <row r="468" spans="10:15" ht="15.75" customHeight="1" x14ac:dyDescent="0.3">
      <c r="J468" s="230"/>
      <c r="K468" s="230"/>
      <c r="L468" s="231"/>
      <c r="M468" s="230"/>
      <c r="N468" s="230"/>
      <c r="O468" s="231"/>
    </row>
    <row r="469" spans="10:15" ht="15.75" customHeight="1" x14ac:dyDescent="0.3">
      <c r="J469" s="230"/>
      <c r="K469" s="230"/>
      <c r="L469" s="231"/>
      <c r="M469" s="230"/>
      <c r="N469" s="230"/>
      <c r="O469" s="231"/>
    </row>
    <row r="470" spans="10:15" ht="15.75" customHeight="1" x14ac:dyDescent="0.3">
      <c r="J470" s="230"/>
      <c r="K470" s="230"/>
      <c r="L470" s="231"/>
      <c r="M470" s="230"/>
      <c r="N470" s="230"/>
      <c r="O470" s="231"/>
    </row>
    <row r="471" spans="10:15" ht="15.75" customHeight="1" x14ac:dyDescent="0.3">
      <c r="J471" s="230"/>
      <c r="K471" s="230"/>
      <c r="L471" s="231"/>
      <c r="M471" s="230"/>
      <c r="N471" s="230"/>
      <c r="O471" s="231"/>
    </row>
    <row r="472" spans="10:15" ht="15.75" customHeight="1" x14ac:dyDescent="0.3">
      <c r="J472" s="230"/>
      <c r="K472" s="230"/>
      <c r="L472" s="231"/>
      <c r="M472" s="230"/>
      <c r="N472" s="230"/>
      <c r="O472" s="231"/>
    </row>
    <row r="473" spans="10:15" ht="15.75" customHeight="1" x14ac:dyDescent="0.3">
      <c r="J473" s="230"/>
      <c r="K473" s="230"/>
      <c r="L473" s="231"/>
      <c r="M473" s="230"/>
      <c r="N473" s="230"/>
      <c r="O473" s="231"/>
    </row>
    <row r="474" spans="10:15" ht="15.75" customHeight="1" x14ac:dyDescent="0.3">
      <c r="J474" s="230"/>
      <c r="K474" s="230"/>
      <c r="L474" s="231"/>
      <c r="M474" s="230"/>
      <c r="N474" s="230"/>
      <c r="O474" s="231"/>
    </row>
    <row r="475" spans="10:15" ht="15.75" customHeight="1" x14ac:dyDescent="0.3">
      <c r="J475" s="230"/>
      <c r="K475" s="230"/>
      <c r="L475" s="231"/>
      <c r="M475" s="230"/>
      <c r="N475" s="230"/>
      <c r="O475" s="231"/>
    </row>
    <row r="476" spans="10:15" ht="15.75" customHeight="1" x14ac:dyDescent="0.3">
      <c r="J476" s="230"/>
      <c r="K476" s="230"/>
      <c r="L476" s="231"/>
      <c r="M476" s="230"/>
      <c r="N476" s="230"/>
      <c r="O476" s="231"/>
    </row>
    <row r="477" spans="10:15" ht="15.75" customHeight="1" x14ac:dyDescent="0.3">
      <c r="J477" s="230"/>
      <c r="K477" s="230"/>
      <c r="L477" s="231"/>
      <c r="M477" s="230"/>
      <c r="N477" s="230"/>
      <c r="O477" s="231"/>
    </row>
    <row r="478" spans="10:15" ht="15.75" customHeight="1" x14ac:dyDescent="0.3">
      <c r="J478" s="230"/>
      <c r="K478" s="230"/>
      <c r="L478" s="231"/>
      <c r="M478" s="230"/>
      <c r="N478" s="230"/>
      <c r="O478" s="231"/>
    </row>
    <row r="479" spans="10:15" ht="15.75" customHeight="1" x14ac:dyDescent="0.3">
      <c r="J479" s="230"/>
      <c r="K479" s="230"/>
      <c r="L479" s="231"/>
      <c r="M479" s="230"/>
      <c r="N479" s="230"/>
      <c r="O479" s="231"/>
    </row>
    <row r="480" spans="10:15" ht="15.75" customHeight="1" x14ac:dyDescent="0.3">
      <c r="J480" s="230"/>
      <c r="K480" s="230"/>
      <c r="L480" s="231"/>
      <c r="M480" s="230"/>
      <c r="N480" s="230"/>
      <c r="O480" s="231"/>
    </row>
    <row r="481" spans="10:15" ht="15.75" customHeight="1" x14ac:dyDescent="0.3">
      <c r="J481" s="230"/>
      <c r="K481" s="230"/>
      <c r="L481" s="231"/>
      <c r="M481" s="230"/>
      <c r="N481" s="230"/>
      <c r="O481" s="231"/>
    </row>
    <row r="482" spans="10:15" ht="15.75" customHeight="1" x14ac:dyDescent="0.3">
      <c r="J482" s="230"/>
      <c r="K482" s="230"/>
      <c r="L482" s="231"/>
      <c r="M482" s="230"/>
      <c r="N482" s="230"/>
      <c r="O482" s="231"/>
    </row>
    <row r="483" spans="10:15" ht="15.75" customHeight="1" x14ac:dyDescent="0.3">
      <c r="J483" s="230"/>
      <c r="K483" s="230"/>
      <c r="L483" s="231"/>
      <c r="M483" s="230"/>
      <c r="N483" s="230"/>
      <c r="O483" s="231"/>
    </row>
    <row r="484" spans="10:15" ht="15.75" customHeight="1" x14ac:dyDescent="0.3">
      <c r="J484" s="230"/>
      <c r="K484" s="230"/>
      <c r="L484" s="231"/>
      <c r="M484" s="230"/>
      <c r="N484" s="230"/>
      <c r="O484" s="231"/>
    </row>
    <row r="485" spans="10:15" ht="15.75" customHeight="1" x14ac:dyDescent="0.3">
      <c r="J485" s="230"/>
      <c r="K485" s="230"/>
      <c r="L485" s="231"/>
      <c r="M485" s="230"/>
      <c r="N485" s="230"/>
      <c r="O485" s="231"/>
    </row>
    <row r="486" spans="10:15" ht="15.75" customHeight="1" x14ac:dyDescent="0.3">
      <c r="J486" s="230"/>
      <c r="K486" s="230"/>
      <c r="L486" s="231"/>
      <c r="M486" s="230"/>
      <c r="N486" s="230"/>
      <c r="O486" s="231"/>
    </row>
    <row r="487" spans="10:15" ht="15.75" customHeight="1" x14ac:dyDescent="0.3">
      <c r="J487" s="230"/>
      <c r="K487" s="230"/>
      <c r="L487" s="231"/>
      <c r="M487" s="230"/>
      <c r="N487" s="230"/>
      <c r="O487" s="231"/>
    </row>
    <row r="488" spans="10:15" ht="15.75" customHeight="1" x14ac:dyDescent="0.3">
      <c r="J488" s="230"/>
      <c r="K488" s="230"/>
      <c r="L488" s="231"/>
      <c r="M488" s="230"/>
      <c r="N488" s="230"/>
      <c r="O488" s="231"/>
    </row>
    <row r="489" spans="10:15" ht="15.75" customHeight="1" x14ac:dyDescent="0.3">
      <c r="J489" s="230"/>
      <c r="K489" s="230"/>
      <c r="L489" s="231"/>
      <c r="M489" s="230"/>
      <c r="N489" s="230"/>
      <c r="O489" s="231"/>
    </row>
    <row r="490" spans="10:15" ht="15.75" customHeight="1" x14ac:dyDescent="0.3">
      <c r="J490" s="230"/>
      <c r="K490" s="230"/>
      <c r="L490" s="231"/>
      <c r="M490" s="230"/>
      <c r="N490" s="230"/>
      <c r="O490" s="231"/>
    </row>
    <row r="491" spans="10:15" ht="15.75" customHeight="1" x14ac:dyDescent="0.3">
      <c r="J491" s="230"/>
      <c r="K491" s="230"/>
      <c r="L491" s="231"/>
      <c r="M491" s="230"/>
      <c r="N491" s="230"/>
      <c r="O491" s="231"/>
    </row>
    <row r="492" spans="10:15" ht="15.75" customHeight="1" x14ac:dyDescent="0.3">
      <c r="J492" s="230"/>
      <c r="K492" s="230"/>
      <c r="L492" s="231"/>
      <c r="M492" s="230"/>
      <c r="N492" s="230"/>
      <c r="O492" s="231"/>
    </row>
    <row r="493" spans="10:15" ht="15.75" customHeight="1" x14ac:dyDescent="0.3">
      <c r="J493" s="230"/>
      <c r="K493" s="230"/>
      <c r="L493" s="231"/>
      <c r="M493" s="230"/>
      <c r="N493" s="230"/>
      <c r="O493" s="231"/>
    </row>
    <row r="494" spans="10:15" ht="15.75" customHeight="1" x14ac:dyDescent="0.3">
      <c r="J494" s="230"/>
      <c r="K494" s="230"/>
      <c r="L494" s="231"/>
      <c r="M494" s="230"/>
      <c r="N494" s="230"/>
      <c r="O494" s="231"/>
    </row>
    <row r="495" spans="10:15" ht="15.75" customHeight="1" x14ac:dyDescent="0.3">
      <c r="J495" s="230"/>
      <c r="K495" s="230"/>
      <c r="L495" s="231"/>
      <c r="M495" s="230"/>
      <c r="N495" s="230"/>
      <c r="O495" s="231"/>
    </row>
    <row r="496" spans="10:15" ht="15.75" customHeight="1" x14ac:dyDescent="0.3">
      <c r="J496" s="230"/>
      <c r="K496" s="230"/>
      <c r="L496" s="231"/>
      <c r="M496" s="230"/>
      <c r="N496" s="230"/>
      <c r="O496" s="231"/>
    </row>
    <row r="497" spans="10:15" ht="15.75" customHeight="1" x14ac:dyDescent="0.3">
      <c r="J497" s="230"/>
      <c r="K497" s="230"/>
      <c r="L497" s="231"/>
      <c r="M497" s="230"/>
      <c r="N497" s="230"/>
      <c r="O497" s="231"/>
    </row>
    <row r="498" spans="10:15" ht="15.75" customHeight="1" x14ac:dyDescent="0.3">
      <c r="J498" s="230"/>
      <c r="K498" s="230"/>
      <c r="L498" s="231"/>
      <c r="M498" s="230"/>
      <c r="N498" s="230"/>
      <c r="O498" s="231"/>
    </row>
    <row r="499" spans="10:15" ht="15.75" customHeight="1" x14ac:dyDescent="0.3">
      <c r="J499" s="230"/>
      <c r="K499" s="230"/>
      <c r="L499" s="231"/>
      <c r="M499" s="230"/>
      <c r="N499" s="230"/>
      <c r="O499" s="231"/>
    </row>
    <row r="500" spans="10:15" ht="15.75" customHeight="1" x14ac:dyDescent="0.3">
      <c r="J500" s="230"/>
      <c r="K500" s="230"/>
      <c r="L500" s="231"/>
      <c r="M500" s="230"/>
      <c r="N500" s="230"/>
      <c r="O500" s="231"/>
    </row>
    <row r="501" spans="10:15" ht="15.75" customHeight="1" x14ac:dyDescent="0.3">
      <c r="J501" s="230"/>
      <c r="K501" s="230"/>
      <c r="L501" s="231"/>
      <c r="M501" s="230"/>
      <c r="N501" s="230"/>
      <c r="O501" s="231"/>
    </row>
    <row r="502" spans="10:15" ht="15.75" customHeight="1" x14ac:dyDescent="0.3">
      <c r="J502" s="230"/>
      <c r="K502" s="230"/>
      <c r="L502" s="231"/>
      <c r="M502" s="230"/>
      <c r="N502" s="230"/>
      <c r="O502" s="231"/>
    </row>
    <row r="503" spans="10:15" ht="15.75" customHeight="1" x14ac:dyDescent="0.3">
      <c r="J503" s="230"/>
      <c r="K503" s="230"/>
      <c r="L503" s="231"/>
      <c r="M503" s="230"/>
      <c r="N503" s="230"/>
      <c r="O503" s="231"/>
    </row>
    <row r="504" spans="10:15" ht="15.75" customHeight="1" x14ac:dyDescent="0.3">
      <c r="J504" s="230"/>
      <c r="K504" s="230"/>
      <c r="L504" s="231"/>
      <c r="M504" s="230"/>
      <c r="N504" s="230"/>
      <c r="O504" s="231"/>
    </row>
    <row r="505" spans="10:15" ht="15.75" customHeight="1" x14ac:dyDescent="0.3">
      <c r="J505" s="230"/>
      <c r="K505" s="230"/>
      <c r="L505" s="231"/>
      <c r="M505" s="230"/>
      <c r="N505" s="230"/>
      <c r="O505" s="231"/>
    </row>
    <row r="506" spans="10:15" ht="15.75" customHeight="1" x14ac:dyDescent="0.3">
      <c r="J506" s="230"/>
      <c r="K506" s="230"/>
      <c r="L506" s="231"/>
      <c r="M506" s="230"/>
      <c r="N506" s="230"/>
      <c r="O506" s="231"/>
    </row>
    <row r="507" spans="10:15" ht="15.75" customHeight="1" x14ac:dyDescent="0.3">
      <c r="J507" s="230"/>
      <c r="K507" s="230"/>
      <c r="L507" s="231"/>
      <c r="M507" s="230"/>
      <c r="N507" s="230"/>
      <c r="O507" s="231"/>
    </row>
    <row r="508" spans="10:15" ht="15.75" customHeight="1" x14ac:dyDescent="0.3">
      <c r="J508" s="230"/>
      <c r="K508" s="230"/>
      <c r="L508" s="231"/>
      <c r="M508" s="230"/>
      <c r="N508" s="230"/>
      <c r="O508" s="231"/>
    </row>
    <row r="509" spans="10:15" ht="15.75" customHeight="1" x14ac:dyDescent="0.3">
      <c r="J509" s="230"/>
      <c r="K509" s="230"/>
      <c r="L509" s="231"/>
      <c r="M509" s="230"/>
      <c r="N509" s="230"/>
      <c r="O509" s="231"/>
    </row>
    <row r="510" spans="10:15" ht="15.75" customHeight="1" x14ac:dyDescent="0.3">
      <c r="J510" s="230"/>
      <c r="K510" s="230"/>
      <c r="L510" s="231"/>
      <c r="M510" s="230"/>
      <c r="N510" s="230"/>
      <c r="O510" s="231"/>
    </row>
    <row r="511" spans="10:15" ht="15.75" customHeight="1" x14ac:dyDescent="0.3">
      <c r="J511" s="230"/>
      <c r="K511" s="230"/>
      <c r="L511" s="231"/>
      <c r="M511" s="230"/>
      <c r="N511" s="230"/>
      <c r="O511" s="231"/>
    </row>
    <row r="512" spans="10:15" ht="15.75" customHeight="1" x14ac:dyDescent="0.3">
      <c r="J512" s="230"/>
      <c r="K512" s="230"/>
      <c r="L512" s="231"/>
      <c r="M512" s="230"/>
      <c r="N512" s="230"/>
      <c r="O512" s="231"/>
    </row>
    <row r="513" spans="10:15" ht="15.75" customHeight="1" x14ac:dyDescent="0.3">
      <c r="J513" s="230"/>
      <c r="K513" s="230"/>
      <c r="L513" s="231"/>
      <c r="M513" s="230"/>
      <c r="N513" s="230"/>
      <c r="O513" s="231"/>
    </row>
    <row r="514" spans="10:15" ht="15.75" customHeight="1" x14ac:dyDescent="0.3">
      <c r="J514" s="230"/>
      <c r="K514" s="230"/>
      <c r="L514" s="231"/>
      <c r="M514" s="230"/>
      <c r="N514" s="230"/>
      <c r="O514" s="231"/>
    </row>
    <row r="515" spans="10:15" ht="15.75" customHeight="1" x14ac:dyDescent="0.3">
      <c r="J515" s="230"/>
      <c r="K515" s="230"/>
      <c r="L515" s="231"/>
      <c r="M515" s="230"/>
      <c r="N515" s="230"/>
      <c r="O515" s="231"/>
    </row>
    <row r="516" spans="10:15" ht="15.75" customHeight="1" x14ac:dyDescent="0.3">
      <c r="J516" s="230"/>
      <c r="K516" s="230"/>
      <c r="L516" s="231"/>
      <c r="M516" s="230"/>
      <c r="N516" s="230"/>
      <c r="O516" s="231"/>
    </row>
    <row r="517" spans="10:15" ht="15.75" customHeight="1" x14ac:dyDescent="0.3">
      <c r="J517" s="230"/>
      <c r="K517" s="230"/>
      <c r="L517" s="231"/>
      <c r="M517" s="230"/>
      <c r="N517" s="230"/>
      <c r="O517" s="231"/>
    </row>
    <row r="518" spans="10:15" ht="15.75" customHeight="1" x14ac:dyDescent="0.3">
      <c r="J518" s="230"/>
      <c r="K518" s="230"/>
      <c r="L518" s="231"/>
      <c r="M518" s="230"/>
      <c r="N518" s="230"/>
      <c r="O518" s="231"/>
    </row>
    <row r="519" spans="10:15" ht="15.75" customHeight="1" x14ac:dyDescent="0.3">
      <c r="J519" s="230"/>
      <c r="K519" s="230"/>
      <c r="L519" s="231"/>
      <c r="M519" s="230"/>
      <c r="N519" s="230"/>
      <c r="O519" s="231"/>
    </row>
    <row r="520" spans="10:15" ht="15.75" customHeight="1" x14ac:dyDescent="0.3">
      <c r="J520" s="230"/>
      <c r="K520" s="230"/>
      <c r="L520" s="231"/>
      <c r="M520" s="230"/>
      <c r="N520" s="230"/>
      <c r="O520" s="231"/>
    </row>
    <row r="521" spans="10:15" ht="15.75" customHeight="1" x14ac:dyDescent="0.3">
      <c r="J521" s="230"/>
      <c r="K521" s="230"/>
      <c r="L521" s="231"/>
      <c r="M521" s="230"/>
      <c r="N521" s="230"/>
      <c r="O521" s="231"/>
    </row>
    <row r="522" spans="10:15" ht="15.75" customHeight="1" x14ac:dyDescent="0.3">
      <c r="J522" s="230"/>
      <c r="K522" s="230"/>
      <c r="L522" s="231"/>
      <c r="M522" s="230"/>
      <c r="N522" s="230"/>
      <c r="O522" s="231"/>
    </row>
    <row r="523" spans="10:15" ht="15.75" customHeight="1" x14ac:dyDescent="0.3">
      <c r="J523" s="230"/>
      <c r="K523" s="230"/>
      <c r="L523" s="231"/>
      <c r="M523" s="230"/>
      <c r="N523" s="230"/>
      <c r="O523" s="231"/>
    </row>
    <row r="524" spans="10:15" ht="15.75" customHeight="1" x14ac:dyDescent="0.3">
      <c r="J524" s="230"/>
      <c r="K524" s="230"/>
      <c r="L524" s="231"/>
      <c r="M524" s="230"/>
      <c r="N524" s="230"/>
      <c r="O524" s="231"/>
    </row>
    <row r="525" spans="10:15" ht="15.75" customHeight="1" x14ac:dyDescent="0.3">
      <c r="J525" s="230"/>
      <c r="K525" s="230"/>
      <c r="L525" s="231"/>
      <c r="M525" s="230"/>
      <c r="N525" s="230"/>
      <c r="O525" s="231"/>
    </row>
    <row r="526" spans="10:15" ht="15.75" customHeight="1" x14ac:dyDescent="0.3">
      <c r="J526" s="230"/>
      <c r="K526" s="230"/>
      <c r="L526" s="231"/>
      <c r="M526" s="230"/>
      <c r="N526" s="230"/>
      <c r="O526" s="231"/>
    </row>
    <row r="527" spans="10:15" ht="15.75" customHeight="1" x14ac:dyDescent="0.3">
      <c r="J527" s="230"/>
      <c r="K527" s="230"/>
      <c r="L527" s="231"/>
      <c r="M527" s="230"/>
      <c r="N527" s="230"/>
      <c r="O527" s="231"/>
    </row>
    <row r="528" spans="10:15" ht="15.75" customHeight="1" x14ac:dyDescent="0.3">
      <c r="J528" s="230"/>
      <c r="K528" s="230"/>
      <c r="L528" s="231"/>
      <c r="M528" s="230"/>
      <c r="N528" s="230"/>
      <c r="O528" s="231"/>
    </row>
    <row r="529" spans="10:15" ht="15.75" customHeight="1" x14ac:dyDescent="0.3">
      <c r="J529" s="230"/>
      <c r="K529" s="230"/>
      <c r="L529" s="231"/>
      <c r="M529" s="230"/>
      <c r="N529" s="230"/>
      <c r="O529" s="231"/>
    </row>
    <row r="530" spans="10:15" ht="15.75" customHeight="1" x14ac:dyDescent="0.3">
      <c r="J530" s="230"/>
      <c r="K530" s="230"/>
      <c r="L530" s="231"/>
      <c r="M530" s="230"/>
      <c r="N530" s="230"/>
      <c r="O530" s="231"/>
    </row>
    <row r="531" spans="10:15" ht="15.75" customHeight="1" x14ac:dyDescent="0.3">
      <c r="J531" s="230"/>
      <c r="K531" s="230"/>
      <c r="L531" s="231"/>
      <c r="M531" s="230"/>
      <c r="N531" s="230"/>
      <c r="O531" s="231"/>
    </row>
    <row r="532" spans="10:15" ht="15.75" customHeight="1" x14ac:dyDescent="0.3">
      <c r="J532" s="230"/>
      <c r="K532" s="230"/>
      <c r="L532" s="231"/>
      <c r="M532" s="230"/>
      <c r="N532" s="230"/>
      <c r="O532" s="231"/>
    </row>
    <row r="533" spans="10:15" ht="15.75" customHeight="1" x14ac:dyDescent="0.3">
      <c r="J533" s="230"/>
      <c r="K533" s="230"/>
      <c r="L533" s="231"/>
      <c r="M533" s="230"/>
      <c r="N533" s="230"/>
      <c r="O533" s="231"/>
    </row>
    <row r="534" spans="10:15" ht="15.75" customHeight="1" x14ac:dyDescent="0.3">
      <c r="J534" s="230"/>
      <c r="K534" s="230"/>
      <c r="L534" s="231"/>
      <c r="M534" s="230"/>
      <c r="N534" s="230"/>
      <c r="O534" s="231"/>
    </row>
    <row r="535" spans="10:15" ht="15.75" customHeight="1" x14ac:dyDescent="0.3">
      <c r="J535" s="230"/>
      <c r="K535" s="230"/>
      <c r="L535" s="231"/>
      <c r="M535" s="230"/>
      <c r="N535" s="230"/>
      <c r="O535" s="231"/>
    </row>
    <row r="536" spans="10:15" ht="15.75" customHeight="1" x14ac:dyDescent="0.3">
      <c r="J536" s="230"/>
      <c r="K536" s="230"/>
      <c r="L536" s="231"/>
      <c r="M536" s="230"/>
      <c r="N536" s="230"/>
      <c r="O536" s="231"/>
    </row>
    <row r="537" spans="10:15" ht="15.75" customHeight="1" x14ac:dyDescent="0.3">
      <c r="J537" s="230"/>
      <c r="K537" s="230"/>
      <c r="L537" s="231"/>
      <c r="M537" s="230"/>
      <c r="N537" s="230"/>
      <c r="O537" s="231"/>
    </row>
    <row r="538" spans="10:15" ht="15.75" customHeight="1" x14ac:dyDescent="0.3">
      <c r="J538" s="230"/>
      <c r="K538" s="230"/>
      <c r="L538" s="231"/>
      <c r="M538" s="230"/>
      <c r="N538" s="230"/>
      <c r="O538" s="231"/>
    </row>
    <row r="539" spans="10:15" ht="15.75" customHeight="1" x14ac:dyDescent="0.3">
      <c r="J539" s="230"/>
      <c r="K539" s="230"/>
      <c r="L539" s="231"/>
      <c r="M539" s="230"/>
      <c r="N539" s="230"/>
      <c r="O539" s="231"/>
    </row>
    <row r="540" spans="10:15" ht="15.75" customHeight="1" x14ac:dyDescent="0.3">
      <c r="J540" s="230"/>
      <c r="K540" s="230"/>
      <c r="L540" s="231"/>
      <c r="M540" s="230"/>
      <c r="N540" s="230"/>
      <c r="O540" s="231"/>
    </row>
    <row r="541" spans="10:15" ht="15.75" customHeight="1" x14ac:dyDescent="0.3">
      <c r="J541" s="230"/>
      <c r="K541" s="230"/>
      <c r="L541" s="231"/>
      <c r="M541" s="230"/>
      <c r="N541" s="230"/>
      <c r="O541" s="231"/>
    </row>
    <row r="542" spans="10:15" ht="15.75" customHeight="1" x14ac:dyDescent="0.3">
      <c r="J542" s="230"/>
      <c r="K542" s="230"/>
      <c r="L542" s="231"/>
      <c r="M542" s="230"/>
      <c r="N542" s="230"/>
      <c r="O542" s="231"/>
    </row>
    <row r="543" spans="10:15" ht="15.75" customHeight="1" x14ac:dyDescent="0.3">
      <c r="J543" s="230"/>
      <c r="K543" s="230"/>
      <c r="L543" s="231"/>
      <c r="M543" s="230"/>
      <c r="N543" s="230"/>
      <c r="O543" s="231"/>
    </row>
    <row r="544" spans="10:15" ht="15.75" customHeight="1" x14ac:dyDescent="0.3">
      <c r="J544" s="230"/>
      <c r="K544" s="230"/>
      <c r="L544" s="231"/>
      <c r="M544" s="230"/>
      <c r="N544" s="230"/>
      <c r="O544" s="231"/>
    </row>
    <row r="545" spans="10:15" ht="15.75" customHeight="1" x14ac:dyDescent="0.3">
      <c r="J545" s="230"/>
      <c r="K545" s="230"/>
      <c r="L545" s="231"/>
      <c r="M545" s="230"/>
      <c r="N545" s="230"/>
      <c r="O545" s="231"/>
    </row>
    <row r="546" spans="10:15" ht="15.75" customHeight="1" x14ac:dyDescent="0.3">
      <c r="J546" s="230"/>
      <c r="K546" s="230"/>
      <c r="L546" s="231"/>
      <c r="M546" s="230"/>
      <c r="N546" s="230"/>
      <c r="O546" s="231"/>
    </row>
    <row r="547" spans="10:15" ht="15.75" customHeight="1" x14ac:dyDescent="0.3">
      <c r="J547" s="230"/>
      <c r="K547" s="230"/>
      <c r="L547" s="231"/>
      <c r="M547" s="230"/>
      <c r="N547" s="230"/>
      <c r="O547" s="231"/>
    </row>
    <row r="548" spans="10:15" ht="15.75" customHeight="1" x14ac:dyDescent="0.3">
      <c r="J548" s="230"/>
      <c r="K548" s="230"/>
      <c r="L548" s="231"/>
      <c r="M548" s="230"/>
      <c r="N548" s="230"/>
      <c r="O548" s="231"/>
    </row>
    <row r="549" spans="10:15" ht="15.75" customHeight="1" x14ac:dyDescent="0.3">
      <c r="J549" s="230"/>
      <c r="K549" s="230"/>
      <c r="L549" s="231"/>
      <c r="M549" s="230"/>
      <c r="N549" s="230"/>
      <c r="O549" s="231"/>
    </row>
    <row r="550" spans="10:15" ht="15.75" customHeight="1" x14ac:dyDescent="0.3">
      <c r="J550" s="230"/>
      <c r="K550" s="230"/>
      <c r="L550" s="231"/>
      <c r="M550" s="230"/>
      <c r="N550" s="230"/>
      <c r="O550" s="231"/>
    </row>
    <row r="551" spans="10:15" ht="15.75" customHeight="1" x14ac:dyDescent="0.3">
      <c r="J551" s="230"/>
      <c r="K551" s="230"/>
      <c r="L551" s="231"/>
      <c r="M551" s="230"/>
      <c r="N551" s="230"/>
      <c r="O551" s="231"/>
    </row>
    <row r="552" spans="10:15" ht="15.75" customHeight="1" x14ac:dyDescent="0.3">
      <c r="J552" s="230"/>
      <c r="K552" s="230"/>
      <c r="L552" s="231"/>
      <c r="M552" s="230"/>
      <c r="N552" s="230"/>
      <c r="O552" s="231"/>
    </row>
    <row r="553" spans="10:15" ht="15.75" customHeight="1" x14ac:dyDescent="0.3">
      <c r="J553" s="230"/>
      <c r="K553" s="230"/>
      <c r="L553" s="231"/>
      <c r="M553" s="230"/>
      <c r="N553" s="230"/>
      <c r="O553" s="231"/>
    </row>
    <row r="554" spans="10:15" ht="15.75" customHeight="1" x14ac:dyDescent="0.3">
      <c r="J554" s="230"/>
      <c r="K554" s="230"/>
      <c r="L554" s="231"/>
      <c r="M554" s="230"/>
      <c r="N554" s="230"/>
      <c r="O554" s="231"/>
    </row>
    <row r="555" spans="10:15" ht="15.75" customHeight="1" x14ac:dyDescent="0.3">
      <c r="J555" s="230"/>
      <c r="K555" s="230"/>
      <c r="L555" s="231"/>
      <c r="M555" s="230"/>
      <c r="N555" s="230"/>
      <c r="O555" s="231"/>
    </row>
    <row r="556" spans="10:15" ht="15.75" customHeight="1" x14ac:dyDescent="0.3">
      <c r="J556" s="230"/>
      <c r="K556" s="230"/>
      <c r="L556" s="231"/>
      <c r="M556" s="230"/>
      <c r="N556" s="230"/>
      <c r="O556" s="231"/>
    </row>
    <row r="557" spans="10:15" ht="15.75" customHeight="1" x14ac:dyDescent="0.3">
      <c r="J557" s="230"/>
      <c r="K557" s="230"/>
      <c r="L557" s="231"/>
      <c r="M557" s="230"/>
      <c r="N557" s="230"/>
      <c r="O557" s="231"/>
    </row>
    <row r="558" spans="10:15" ht="15.75" customHeight="1" x14ac:dyDescent="0.3">
      <c r="J558" s="230"/>
      <c r="K558" s="230"/>
      <c r="L558" s="231"/>
      <c r="M558" s="230"/>
      <c r="N558" s="230"/>
      <c r="O558" s="231"/>
    </row>
    <row r="559" spans="10:15" ht="15.75" customHeight="1" x14ac:dyDescent="0.3">
      <c r="J559" s="230"/>
      <c r="K559" s="230"/>
      <c r="L559" s="231"/>
      <c r="M559" s="230"/>
      <c r="N559" s="230"/>
      <c r="O559" s="231"/>
    </row>
    <row r="560" spans="10:15" ht="15.75" customHeight="1" x14ac:dyDescent="0.3">
      <c r="J560" s="230"/>
      <c r="K560" s="230"/>
      <c r="L560" s="231"/>
      <c r="M560" s="230"/>
      <c r="N560" s="230"/>
      <c r="O560" s="231"/>
    </row>
    <row r="561" spans="10:15" ht="15.75" customHeight="1" x14ac:dyDescent="0.3">
      <c r="J561" s="230"/>
      <c r="K561" s="230"/>
      <c r="L561" s="231"/>
      <c r="M561" s="230"/>
      <c r="N561" s="230"/>
      <c r="O561" s="231"/>
    </row>
    <row r="562" spans="10:15" ht="15.75" customHeight="1" x14ac:dyDescent="0.3">
      <c r="J562" s="230"/>
      <c r="K562" s="230"/>
      <c r="L562" s="231"/>
      <c r="M562" s="230"/>
      <c r="N562" s="230"/>
      <c r="O562" s="231"/>
    </row>
    <row r="563" spans="10:15" ht="15.75" customHeight="1" x14ac:dyDescent="0.3">
      <c r="J563" s="230"/>
      <c r="K563" s="230"/>
      <c r="L563" s="231"/>
      <c r="M563" s="230"/>
      <c r="N563" s="230"/>
      <c r="O563" s="231"/>
    </row>
    <row r="564" spans="10:15" ht="15.75" customHeight="1" x14ac:dyDescent="0.3">
      <c r="J564" s="230"/>
      <c r="K564" s="230"/>
      <c r="L564" s="231"/>
      <c r="M564" s="230"/>
      <c r="N564" s="230"/>
      <c r="O564" s="231"/>
    </row>
    <row r="565" spans="10:15" ht="15.75" customHeight="1" x14ac:dyDescent="0.3">
      <c r="J565" s="230"/>
      <c r="K565" s="230"/>
      <c r="L565" s="231"/>
      <c r="M565" s="230"/>
      <c r="N565" s="230"/>
      <c r="O565" s="231"/>
    </row>
    <row r="566" spans="10:15" ht="15.75" customHeight="1" x14ac:dyDescent="0.3">
      <c r="J566" s="230"/>
      <c r="K566" s="230"/>
      <c r="L566" s="231"/>
      <c r="M566" s="230"/>
      <c r="N566" s="230"/>
      <c r="O566" s="231"/>
    </row>
    <row r="567" spans="10:15" ht="15.75" customHeight="1" x14ac:dyDescent="0.3">
      <c r="J567" s="230"/>
      <c r="K567" s="230"/>
      <c r="L567" s="231"/>
      <c r="M567" s="230"/>
      <c r="N567" s="230"/>
      <c r="O567" s="231"/>
    </row>
    <row r="568" spans="10:15" ht="15.75" customHeight="1" x14ac:dyDescent="0.3">
      <c r="J568" s="230"/>
      <c r="K568" s="230"/>
      <c r="L568" s="231"/>
      <c r="M568" s="230"/>
      <c r="N568" s="230"/>
      <c r="O568" s="231"/>
    </row>
    <row r="569" spans="10:15" ht="15.75" customHeight="1" x14ac:dyDescent="0.3">
      <c r="J569" s="230"/>
      <c r="K569" s="230"/>
      <c r="L569" s="231"/>
      <c r="M569" s="230"/>
      <c r="N569" s="230"/>
      <c r="O569" s="231"/>
    </row>
    <row r="570" spans="10:15" ht="15.75" customHeight="1" x14ac:dyDescent="0.3">
      <c r="J570" s="230"/>
      <c r="K570" s="230"/>
      <c r="L570" s="231"/>
      <c r="M570" s="230"/>
      <c r="N570" s="230"/>
      <c r="O570" s="231"/>
    </row>
    <row r="571" spans="10:15" ht="15.75" customHeight="1" x14ac:dyDescent="0.3">
      <c r="J571" s="230"/>
      <c r="K571" s="230"/>
      <c r="L571" s="231"/>
      <c r="M571" s="230"/>
      <c r="N571" s="230"/>
      <c r="O571" s="231"/>
    </row>
    <row r="572" spans="10:15" ht="15.75" customHeight="1" x14ac:dyDescent="0.3">
      <c r="J572" s="230"/>
      <c r="K572" s="230"/>
      <c r="L572" s="231"/>
      <c r="M572" s="230"/>
      <c r="N572" s="230"/>
      <c r="O572" s="231"/>
    </row>
    <row r="573" spans="10:15" ht="15.75" customHeight="1" x14ac:dyDescent="0.3">
      <c r="J573" s="230"/>
      <c r="K573" s="230"/>
      <c r="L573" s="231"/>
      <c r="M573" s="230"/>
      <c r="N573" s="230"/>
      <c r="O573" s="231"/>
    </row>
    <row r="574" spans="10:15" ht="15.75" customHeight="1" x14ac:dyDescent="0.3">
      <c r="J574" s="230"/>
      <c r="K574" s="230"/>
      <c r="L574" s="231"/>
      <c r="M574" s="230"/>
      <c r="N574" s="230"/>
      <c r="O574" s="231"/>
    </row>
    <row r="575" spans="10:15" ht="15.75" customHeight="1" x14ac:dyDescent="0.3">
      <c r="J575" s="230"/>
      <c r="K575" s="230"/>
      <c r="L575" s="231"/>
      <c r="M575" s="230"/>
      <c r="N575" s="230"/>
      <c r="O575" s="231"/>
    </row>
    <row r="576" spans="10:15" ht="15.75" customHeight="1" x14ac:dyDescent="0.3">
      <c r="J576" s="230"/>
      <c r="K576" s="230"/>
      <c r="L576" s="231"/>
      <c r="M576" s="230"/>
      <c r="N576" s="230"/>
      <c r="O576" s="231"/>
    </row>
    <row r="577" spans="10:15" ht="15.75" customHeight="1" x14ac:dyDescent="0.3">
      <c r="J577" s="230"/>
      <c r="K577" s="230"/>
      <c r="L577" s="231"/>
      <c r="M577" s="230"/>
      <c r="N577" s="230"/>
      <c r="O577" s="231"/>
    </row>
    <row r="578" spans="10:15" ht="15.75" customHeight="1" x14ac:dyDescent="0.3">
      <c r="J578" s="230"/>
      <c r="K578" s="230"/>
      <c r="L578" s="231"/>
      <c r="M578" s="230"/>
      <c r="N578" s="230"/>
      <c r="O578" s="231"/>
    </row>
    <row r="579" spans="10:15" ht="15.75" customHeight="1" x14ac:dyDescent="0.3">
      <c r="J579" s="230"/>
      <c r="K579" s="230"/>
      <c r="L579" s="231"/>
      <c r="M579" s="230"/>
      <c r="N579" s="230"/>
      <c r="O579" s="231"/>
    </row>
    <row r="580" spans="10:15" ht="15.75" customHeight="1" x14ac:dyDescent="0.3">
      <c r="J580" s="230"/>
      <c r="K580" s="230"/>
      <c r="L580" s="231"/>
      <c r="M580" s="230"/>
      <c r="N580" s="230"/>
      <c r="O580" s="231"/>
    </row>
    <row r="581" spans="10:15" ht="15.75" customHeight="1" x14ac:dyDescent="0.3">
      <c r="J581" s="230"/>
      <c r="K581" s="230"/>
      <c r="L581" s="231"/>
      <c r="M581" s="230"/>
      <c r="N581" s="230"/>
      <c r="O581" s="231"/>
    </row>
    <row r="582" spans="10:15" ht="15.75" customHeight="1" x14ac:dyDescent="0.3">
      <c r="J582" s="230"/>
      <c r="K582" s="230"/>
      <c r="L582" s="231"/>
      <c r="M582" s="230"/>
      <c r="N582" s="230"/>
      <c r="O582" s="231"/>
    </row>
    <row r="583" spans="10:15" ht="15.75" customHeight="1" x14ac:dyDescent="0.3">
      <c r="J583" s="230"/>
      <c r="K583" s="230"/>
      <c r="L583" s="231"/>
      <c r="M583" s="230"/>
      <c r="N583" s="230"/>
      <c r="O583" s="231"/>
    </row>
    <row r="584" spans="10:15" ht="15.75" customHeight="1" x14ac:dyDescent="0.3">
      <c r="J584" s="230"/>
      <c r="K584" s="230"/>
      <c r="L584" s="231"/>
      <c r="M584" s="230"/>
      <c r="N584" s="230"/>
      <c r="O584" s="231"/>
    </row>
    <row r="585" spans="10:15" ht="15.75" customHeight="1" x14ac:dyDescent="0.3">
      <c r="J585" s="230"/>
      <c r="K585" s="230"/>
      <c r="L585" s="231"/>
      <c r="M585" s="230"/>
      <c r="N585" s="230"/>
      <c r="O585" s="231"/>
    </row>
    <row r="586" spans="10:15" ht="15.75" customHeight="1" x14ac:dyDescent="0.3">
      <c r="J586" s="230"/>
      <c r="K586" s="230"/>
      <c r="L586" s="231"/>
      <c r="M586" s="230"/>
      <c r="N586" s="230"/>
      <c r="O586" s="231"/>
    </row>
    <row r="587" spans="10:15" ht="15.75" customHeight="1" x14ac:dyDescent="0.3">
      <c r="J587" s="230"/>
      <c r="K587" s="230"/>
      <c r="L587" s="231"/>
      <c r="M587" s="230"/>
      <c r="N587" s="230"/>
      <c r="O587" s="231"/>
    </row>
    <row r="588" spans="10:15" ht="15.75" customHeight="1" x14ac:dyDescent="0.3">
      <c r="J588" s="230"/>
      <c r="K588" s="230"/>
      <c r="L588" s="231"/>
      <c r="M588" s="230"/>
      <c r="N588" s="230"/>
      <c r="O588" s="231"/>
    </row>
    <row r="589" spans="10:15" ht="15.75" customHeight="1" x14ac:dyDescent="0.3">
      <c r="J589" s="230"/>
      <c r="K589" s="230"/>
      <c r="L589" s="231"/>
      <c r="M589" s="230"/>
      <c r="N589" s="230"/>
      <c r="O589" s="231"/>
    </row>
    <row r="590" spans="10:15" ht="15.75" customHeight="1" x14ac:dyDescent="0.3">
      <c r="J590" s="230"/>
      <c r="K590" s="230"/>
      <c r="L590" s="231"/>
      <c r="M590" s="230"/>
      <c r="N590" s="230"/>
      <c r="O590" s="231"/>
    </row>
    <row r="591" spans="10:15" ht="15.75" customHeight="1" x14ac:dyDescent="0.3">
      <c r="J591" s="230"/>
      <c r="K591" s="230"/>
      <c r="L591" s="231"/>
      <c r="M591" s="230"/>
      <c r="N591" s="230"/>
      <c r="O591" s="231"/>
    </row>
    <row r="592" spans="10:15" ht="15.75" customHeight="1" x14ac:dyDescent="0.3">
      <c r="J592" s="230"/>
      <c r="K592" s="230"/>
      <c r="L592" s="231"/>
      <c r="M592" s="230"/>
      <c r="N592" s="230"/>
      <c r="O592" s="231"/>
    </row>
    <row r="593" spans="10:15" ht="15.75" customHeight="1" x14ac:dyDescent="0.3">
      <c r="J593" s="230"/>
      <c r="K593" s="230"/>
      <c r="L593" s="231"/>
      <c r="M593" s="230"/>
      <c r="N593" s="230"/>
      <c r="O593" s="231"/>
    </row>
    <row r="594" spans="10:15" ht="15.75" customHeight="1" x14ac:dyDescent="0.3">
      <c r="J594" s="230"/>
      <c r="K594" s="230"/>
      <c r="L594" s="231"/>
      <c r="M594" s="230"/>
      <c r="N594" s="230"/>
      <c r="O594" s="231"/>
    </row>
    <row r="595" spans="10:15" ht="15.75" customHeight="1" x14ac:dyDescent="0.3">
      <c r="J595" s="230"/>
      <c r="K595" s="230"/>
      <c r="L595" s="231"/>
      <c r="M595" s="230"/>
      <c r="N595" s="230"/>
      <c r="O595" s="231"/>
    </row>
    <row r="596" spans="10:15" ht="15.75" customHeight="1" x14ac:dyDescent="0.3">
      <c r="J596" s="230"/>
      <c r="K596" s="230"/>
      <c r="L596" s="231"/>
      <c r="M596" s="230"/>
      <c r="N596" s="230"/>
      <c r="O596" s="231"/>
    </row>
    <row r="597" spans="10:15" ht="15.75" customHeight="1" x14ac:dyDescent="0.3">
      <c r="J597" s="230"/>
      <c r="K597" s="230"/>
      <c r="L597" s="231"/>
      <c r="M597" s="230"/>
      <c r="N597" s="230"/>
      <c r="O597" s="231"/>
    </row>
    <row r="598" spans="10:15" ht="15.75" customHeight="1" x14ac:dyDescent="0.3">
      <c r="J598" s="230"/>
      <c r="K598" s="230"/>
      <c r="L598" s="231"/>
      <c r="M598" s="230"/>
      <c r="N598" s="230"/>
      <c r="O598" s="231"/>
    </row>
    <row r="599" spans="10:15" ht="15.75" customHeight="1" x14ac:dyDescent="0.3">
      <c r="J599" s="230"/>
      <c r="K599" s="230"/>
      <c r="L599" s="231"/>
      <c r="M599" s="230"/>
      <c r="N599" s="230"/>
      <c r="O599" s="231"/>
    </row>
    <row r="600" spans="10:15" ht="15.75" customHeight="1" x14ac:dyDescent="0.3">
      <c r="J600" s="230"/>
      <c r="K600" s="230"/>
      <c r="L600" s="231"/>
      <c r="M600" s="230"/>
      <c r="N600" s="230"/>
      <c r="O600" s="231"/>
    </row>
    <row r="601" spans="10:15" ht="15.75" customHeight="1" x14ac:dyDescent="0.3">
      <c r="J601" s="230"/>
      <c r="K601" s="230"/>
      <c r="L601" s="231"/>
      <c r="M601" s="230"/>
      <c r="N601" s="230"/>
      <c r="O601" s="231"/>
    </row>
    <row r="602" spans="10:15" ht="15.75" customHeight="1" x14ac:dyDescent="0.3">
      <c r="J602" s="230"/>
      <c r="K602" s="230"/>
      <c r="L602" s="231"/>
      <c r="M602" s="230"/>
      <c r="N602" s="230"/>
      <c r="O602" s="231"/>
    </row>
    <row r="603" spans="10:15" ht="15.75" customHeight="1" x14ac:dyDescent="0.3">
      <c r="J603" s="230"/>
      <c r="K603" s="230"/>
      <c r="L603" s="231"/>
      <c r="M603" s="230"/>
      <c r="N603" s="230"/>
      <c r="O603" s="231"/>
    </row>
    <row r="604" spans="10:15" ht="15.75" customHeight="1" x14ac:dyDescent="0.3">
      <c r="J604" s="230"/>
      <c r="K604" s="230"/>
      <c r="L604" s="231"/>
      <c r="M604" s="230"/>
      <c r="N604" s="230"/>
      <c r="O604" s="231"/>
    </row>
    <row r="605" spans="10:15" ht="15.75" customHeight="1" x14ac:dyDescent="0.3">
      <c r="J605" s="230"/>
      <c r="K605" s="230"/>
      <c r="L605" s="231"/>
      <c r="M605" s="230"/>
      <c r="N605" s="230"/>
      <c r="O605" s="231"/>
    </row>
    <row r="606" spans="10:15" ht="15.75" customHeight="1" x14ac:dyDescent="0.3">
      <c r="J606" s="230"/>
      <c r="K606" s="230"/>
      <c r="L606" s="231"/>
      <c r="M606" s="230"/>
      <c r="N606" s="230"/>
      <c r="O606" s="231"/>
    </row>
    <row r="607" spans="10:15" ht="15.75" customHeight="1" x14ac:dyDescent="0.3">
      <c r="J607" s="230"/>
      <c r="K607" s="230"/>
      <c r="L607" s="231"/>
      <c r="M607" s="230"/>
      <c r="N607" s="230"/>
      <c r="O607" s="231"/>
    </row>
    <row r="608" spans="10:15" ht="15.75" customHeight="1" x14ac:dyDescent="0.3">
      <c r="J608" s="230"/>
      <c r="K608" s="230"/>
      <c r="L608" s="231"/>
      <c r="M608" s="230"/>
      <c r="N608" s="230"/>
      <c r="O608" s="231"/>
    </row>
    <row r="609" spans="10:15" ht="15.75" customHeight="1" x14ac:dyDescent="0.3">
      <c r="J609" s="230"/>
      <c r="K609" s="230"/>
      <c r="L609" s="231"/>
      <c r="M609" s="230"/>
      <c r="N609" s="230"/>
      <c r="O609" s="231"/>
    </row>
    <row r="610" spans="10:15" ht="15.75" customHeight="1" x14ac:dyDescent="0.3">
      <c r="J610" s="230"/>
      <c r="K610" s="230"/>
      <c r="L610" s="231"/>
      <c r="M610" s="230"/>
      <c r="N610" s="230"/>
      <c r="O610" s="231"/>
    </row>
    <row r="611" spans="10:15" ht="15.75" customHeight="1" x14ac:dyDescent="0.3">
      <c r="J611" s="230"/>
      <c r="K611" s="230"/>
      <c r="L611" s="231"/>
      <c r="M611" s="230"/>
      <c r="N611" s="230"/>
      <c r="O611" s="231"/>
    </row>
    <row r="612" spans="10:15" ht="15.75" customHeight="1" x14ac:dyDescent="0.3">
      <c r="J612" s="230"/>
      <c r="K612" s="230"/>
      <c r="L612" s="231"/>
      <c r="M612" s="230"/>
      <c r="N612" s="230"/>
      <c r="O612" s="231"/>
    </row>
    <row r="613" spans="10:15" ht="15.75" customHeight="1" x14ac:dyDescent="0.3">
      <c r="J613" s="230"/>
      <c r="K613" s="230"/>
      <c r="L613" s="231"/>
      <c r="M613" s="230"/>
      <c r="N613" s="230"/>
      <c r="O613" s="231"/>
    </row>
    <row r="614" spans="10:15" ht="15.75" customHeight="1" x14ac:dyDescent="0.3">
      <c r="J614" s="230"/>
      <c r="K614" s="230"/>
      <c r="L614" s="231"/>
      <c r="M614" s="230"/>
      <c r="N614" s="230"/>
      <c r="O614" s="231"/>
    </row>
    <row r="615" spans="10:15" ht="15.75" customHeight="1" x14ac:dyDescent="0.3">
      <c r="J615" s="230"/>
      <c r="K615" s="230"/>
      <c r="L615" s="231"/>
      <c r="M615" s="230"/>
      <c r="N615" s="230"/>
      <c r="O615" s="231"/>
    </row>
    <row r="616" spans="10:15" ht="15.75" customHeight="1" x14ac:dyDescent="0.3">
      <c r="J616" s="230"/>
      <c r="K616" s="230"/>
      <c r="L616" s="231"/>
      <c r="M616" s="230"/>
      <c r="N616" s="230"/>
      <c r="O616" s="231"/>
    </row>
    <row r="617" spans="10:15" ht="15.75" customHeight="1" x14ac:dyDescent="0.3">
      <c r="J617" s="230"/>
      <c r="K617" s="230"/>
      <c r="L617" s="231"/>
      <c r="M617" s="230"/>
      <c r="N617" s="230"/>
      <c r="O617" s="231"/>
    </row>
    <row r="618" spans="10:15" ht="15.75" customHeight="1" x14ac:dyDescent="0.3">
      <c r="J618" s="230"/>
      <c r="K618" s="230"/>
      <c r="L618" s="231"/>
      <c r="M618" s="230"/>
      <c r="N618" s="230"/>
      <c r="O618" s="231"/>
    </row>
    <row r="619" spans="10:15" ht="15.75" customHeight="1" x14ac:dyDescent="0.3">
      <c r="J619" s="230"/>
      <c r="K619" s="230"/>
      <c r="L619" s="231"/>
      <c r="M619" s="230"/>
      <c r="N619" s="230"/>
      <c r="O619" s="231"/>
    </row>
    <row r="620" spans="10:15" ht="15.75" customHeight="1" x14ac:dyDescent="0.3">
      <c r="J620" s="230"/>
      <c r="K620" s="230"/>
      <c r="L620" s="231"/>
      <c r="M620" s="230"/>
      <c r="N620" s="230"/>
      <c r="O620" s="231"/>
    </row>
    <row r="621" spans="10:15" ht="15.75" customHeight="1" x14ac:dyDescent="0.3">
      <c r="J621" s="230"/>
      <c r="K621" s="230"/>
      <c r="L621" s="231"/>
      <c r="M621" s="230"/>
      <c r="N621" s="230"/>
      <c r="O621" s="231"/>
    </row>
    <row r="622" spans="10:15" ht="15.75" customHeight="1" x14ac:dyDescent="0.3">
      <c r="J622" s="230"/>
      <c r="K622" s="230"/>
      <c r="L622" s="231"/>
      <c r="M622" s="230"/>
      <c r="N622" s="230"/>
      <c r="O622" s="231"/>
    </row>
    <row r="623" spans="10:15" ht="15.75" customHeight="1" x14ac:dyDescent="0.3">
      <c r="J623" s="230"/>
      <c r="K623" s="230"/>
      <c r="L623" s="231"/>
      <c r="M623" s="230"/>
      <c r="N623" s="230"/>
      <c r="O623" s="231"/>
    </row>
    <row r="624" spans="10:15" ht="15.75" customHeight="1" x14ac:dyDescent="0.3">
      <c r="J624" s="230"/>
      <c r="K624" s="230"/>
      <c r="L624" s="231"/>
      <c r="M624" s="230"/>
      <c r="N624" s="230"/>
      <c r="O624" s="231"/>
    </row>
    <row r="625" spans="10:15" ht="15.75" customHeight="1" x14ac:dyDescent="0.3">
      <c r="J625" s="230"/>
      <c r="K625" s="230"/>
      <c r="L625" s="231"/>
      <c r="M625" s="230"/>
      <c r="N625" s="230"/>
      <c r="O625" s="231"/>
    </row>
    <row r="626" spans="10:15" ht="15.75" customHeight="1" x14ac:dyDescent="0.3">
      <c r="J626" s="230"/>
      <c r="K626" s="230"/>
      <c r="L626" s="231"/>
      <c r="M626" s="230"/>
      <c r="N626" s="230"/>
      <c r="O626" s="231"/>
    </row>
    <row r="627" spans="10:15" ht="15.75" customHeight="1" x14ac:dyDescent="0.3">
      <c r="J627" s="230"/>
      <c r="K627" s="230"/>
      <c r="L627" s="231"/>
      <c r="M627" s="230"/>
      <c r="N627" s="230"/>
      <c r="O627" s="231"/>
    </row>
    <row r="628" spans="10:15" ht="15.75" customHeight="1" x14ac:dyDescent="0.3">
      <c r="J628" s="230"/>
      <c r="K628" s="230"/>
      <c r="L628" s="231"/>
      <c r="M628" s="230"/>
      <c r="N628" s="230"/>
      <c r="O628" s="231"/>
    </row>
    <row r="629" spans="10:15" ht="15.75" customHeight="1" x14ac:dyDescent="0.3">
      <c r="J629" s="230"/>
      <c r="K629" s="230"/>
      <c r="L629" s="231"/>
      <c r="M629" s="230"/>
      <c r="N629" s="230"/>
      <c r="O629" s="231"/>
    </row>
    <row r="630" spans="10:15" ht="15.75" customHeight="1" x14ac:dyDescent="0.3">
      <c r="J630" s="230"/>
      <c r="K630" s="230"/>
      <c r="L630" s="231"/>
      <c r="M630" s="230"/>
      <c r="N630" s="230"/>
      <c r="O630" s="231"/>
    </row>
    <row r="631" spans="10:15" ht="15.75" customHeight="1" x14ac:dyDescent="0.3">
      <c r="J631" s="230"/>
      <c r="K631" s="230"/>
      <c r="L631" s="231"/>
      <c r="M631" s="230"/>
      <c r="N631" s="230"/>
      <c r="O631" s="231"/>
    </row>
    <row r="632" spans="10:15" ht="15.75" customHeight="1" x14ac:dyDescent="0.3">
      <c r="J632" s="230"/>
      <c r="K632" s="230"/>
      <c r="L632" s="231"/>
      <c r="M632" s="230"/>
      <c r="N632" s="230"/>
      <c r="O632" s="231"/>
    </row>
    <row r="633" spans="10:15" ht="15.75" customHeight="1" x14ac:dyDescent="0.3">
      <c r="J633" s="230"/>
      <c r="K633" s="230"/>
      <c r="L633" s="231"/>
      <c r="M633" s="230"/>
      <c r="N633" s="230"/>
      <c r="O633" s="231"/>
    </row>
    <row r="634" spans="10:15" ht="15.75" customHeight="1" x14ac:dyDescent="0.3">
      <c r="J634" s="230"/>
      <c r="K634" s="230"/>
      <c r="L634" s="231"/>
      <c r="M634" s="230"/>
      <c r="N634" s="230"/>
      <c r="O634" s="231"/>
    </row>
    <row r="635" spans="10:15" ht="15.75" customHeight="1" x14ac:dyDescent="0.3">
      <c r="J635" s="230"/>
      <c r="K635" s="230"/>
      <c r="L635" s="231"/>
      <c r="M635" s="230"/>
      <c r="N635" s="230"/>
      <c r="O635" s="231"/>
    </row>
    <row r="636" spans="10:15" ht="15.75" customHeight="1" x14ac:dyDescent="0.3">
      <c r="J636" s="230"/>
      <c r="K636" s="230"/>
      <c r="L636" s="231"/>
      <c r="M636" s="230"/>
      <c r="N636" s="230"/>
      <c r="O636" s="231"/>
    </row>
    <row r="637" spans="10:15" ht="15.75" customHeight="1" x14ac:dyDescent="0.3">
      <c r="J637" s="230"/>
      <c r="K637" s="230"/>
      <c r="L637" s="231"/>
      <c r="M637" s="230"/>
      <c r="N637" s="230"/>
      <c r="O637" s="231"/>
    </row>
    <row r="638" spans="10:15" ht="15.75" customHeight="1" x14ac:dyDescent="0.3">
      <c r="J638" s="230"/>
      <c r="K638" s="230"/>
      <c r="L638" s="231"/>
      <c r="M638" s="230"/>
      <c r="N638" s="230"/>
      <c r="O638" s="231"/>
    </row>
    <row r="639" spans="10:15" ht="15.75" customHeight="1" x14ac:dyDescent="0.3">
      <c r="J639" s="230"/>
      <c r="K639" s="230"/>
      <c r="L639" s="231"/>
      <c r="M639" s="230"/>
      <c r="N639" s="230"/>
      <c r="O639" s="231"/>
    </row>
    <row r="640" spans="10:15" ht="15.75" customHeight="1" x14ac:dyDescent="0.3">
      <c r="J640" s="230"/>
      <c r="K640" s="230"/>
      <c r="L640" s="231"/>
      <c r="M640" s="230"/>
      <c r="N640" s="230"/>
      <c r="O640" s="231"/>
    </row>
    <row r="641" spans="10:15" ht="15.75" customHeight="1" x14ac:dyDescent="0.3">
      <c r="J641" s="230"/>
      <c r="K641" s="230"/>
      <c r="L641" s="231"/>
      <c r="M641" s="230"/>
      <c r="N641" s="230"/>
      <c r="O641" s="231"/>
    </row>
    <row r="642" spans="10:15" ht="15.75" customHeight="1" x14ac:dyDescent="0.3">
      <c r="J642" s="230"/>
      <c r="K642" s="230"/>
      <c r="L642" s="231"/>
      <c r="M642" s="230"/>
      <c r="N642" s="230"/>
      <c r="O642" s="231"/>
    </row>
    <row r="643" spans="10:15" ht="15.75" customHeight="1" x14ac:dyDescent="0.3">
      <c r="J643" s="230"/>
      <c r="K643" s="230"/>
      <c r="L643" s="231"/>
      <c r="M643" s="230"/>
      <c r="N643" s="230"/>
      <c r="O643" s="231"/>
    </row>
    <row r="644" spans="10:15" ht="15.75" customHeight="1" x14ac:dyDescent="0.3">
      <c r="J644" s="230"/>
      <c r="K644" s="230"/>
      <c r="L644" s="231"/>
      <c r="M644" s="230"/>
      <c r="N644" s="230"/>
      <c r="O644" s="231"/>
    </row>
    <row r="645" spans="10:15" ht="15.75" customHeight="1" x14ac:dyDescent="0.3">
      <c r="J645" s="230"/>
      <c r="K645" s="230"/>
      <c r="L645" s="231"/>
      <c r="M645" s="230"/>
      <c r="N645" s="230"/>
      <c r="O645" s="231"/>
    </row>
    <row r="646" spans="10:15" ht="15.75" customHeight="1" x14ac:dyDescent="0.3">
      <c r="J646" s="230"/>
      <c r="K646" s="230"/>
      <c r="L646" s="231"/>
      <c r="M646" s="230"/>
      <c r="N646" s="230"/>
      <c r="O646" s="231"/>
    </row>
    <row r="647" spans="10:15" ht="15.75" customHeight="1" x14ac:dyDescent="0.3">
      <c r="J647" s="230"/>
      <c r="K647" s="230"/>
      <c r="L647" s="231"/>
      <c r="M647" s="230"/>
      <c r="N647" s="230"/>
      <c r="O647" s="231"/>
    </row>
    <row r="648" spans="10:15" ht="15.75" customHeight="1" x14ac:dyDescent="0.3">
      <c r="J648" s="230"/>
      <c r="K648" s="230"/>
      <c r="L648" s="231"/>
      <c r="M648" s="230"/>
      <c r="N648" s="230"/>
      <c r="O648" s="231"/>
    </row>
    <row r="649" spans="10:15" ht="15.75" customHeight="1" x14ac:dyDescent="0.3">
      <c r="J649" s="230"/>
      <c r="K649" s="230"/>
      <c r="L649" s="231"/>
      <c r="M649" s="230"/>
      <c r="N649" s="230"/>
      <c r="O649" s="231"/>
    </row>
    <row r="650" spans="10:15" ht="15.75" customHeight="1" x14ac:dyDescent="0.3">
      <c r="J650" s="230"/>
      <c r="K650" s="230"/>
      <c r="L650" s="231"/>
      <c r="M650" s="230"/>
      <c r="N650" s="230"/>
      <c r="O650" s="231"/>
    </row>
    <row r="651" spans="10:15" ht="15.75" customHeight="1" x14ac:dyDescent="0.3">
      <c r="J651" s="230"/>
      <c r="K651" s="230"/>
      <c r="L651" s="231"/>
      <c r="M651" s="230"/>
      <c r="N651" s="230"/>
      <c r="O651" s="231"/>
    </row>
    <row r="652" spans="10:15" ht="15.75" customHeight="1" x14ac:dyDescent="0.3">
      <c r="J652" s="230"/>
      <c r="K652" s="230"/>
      <c r="L652" s="231"/>
      <c r="M652" s="230"/>
      <c r="N652" s="230"/>
      <c r="O652" s="231"/>
    </row>
    <row r="653" spans="10:15" ht="15.75" customHeight="1" x14ac:dyDescent="0.3">
      <c r="J653" s="230"/>
      <c r="K653" s="230"/>
      <c r="L653" s="231"/>
      <c r="M653" s="230"/>
      <c r="N653" s="230"/>
      <c r="O653" s="231"/>
    </row>
    <row r="654" spans="10:15" ht="15.75" customHeight="1" x14ac:dyDescent="0.3">
      <c r="J654" s="230"/>
      <c r="K654" s="230"/>
      <c r="L654" s="231"/>
      <c r="M654" s="230"/>
      <c r="N654" s="230"/>
      <c r="O654" s="231"/>
    </row>
    <row r="655" spans="10:15" ht="15.75" customHeight="1" x14ac:dyDescent="0.3">
      <c r="J655" s="230"/>
      <c r="K655" s="230"/>
      <c r="L655" s="231"/>
      <c r="M655" s="230"/>
      <c r="N655" s="230"/>
      <c r="O655" s="231"/>
    </row>
    <row r="656" spans="10:15" ht="15.75" customHeight="1" x14ac:dyDescent="0.3">
      <c r="J656" s="230"/>
      <c r="K656" s="230"/>
      <c r="L656" s="231"/>
      <c r="M656" s="230"/>
      <c r="N656" s="230"/>
      <c r="O656" s="231"/>
    </row>
    <row r="657" spans="10:15" ht="15.75" customHeight="1" x14ac:dyDescent="0.3">
      <c r="J657" s="230"/>
      <c r="K657" s="230"/>
      <c r="L657" s="231"/>
      <c r="M657" s="230"/>
      <c r="N657" s="230"/>
      <c r="O657" s="231"/>
    </row>
    <row r="658" spans="10:15" ht="15.75" customHeight="1" x14ac:dyDescent="0.3">
      <c r="J658" s="230"/>
      <c r="K658" s="230"/>
      <c r="L658" s="231"/>
      <c r="M658" s="230"/>
      <c r="N658" s="230"/>
      <c r="O658" s="231"/>
    </row>
    <row r="659" spans="10:15" ht="15.75" customHeight="1" x14ac:dyDescent="0.3">
      <c r="J659" s="230"/>
      <c r="K659" s="230"/>
      <c r="L659" s="231"/>
      <c r="M659" s="230"/>
      <c r="N659" s="230"/>
      <c r="O659" s="231"/>
    </row>
    <row r="660" spans="10:15" ht="15.75" customHeight="1" x14ac:dyDescent="0.3">
      <c r="J660" s="230"/>
      <c r="K660" s="230"/>
      <c r="L660" s="231"/>
      <c r="M660" s="230"/>
      <c r="N660" s="230"/>
      <c r="O660" s="231"/>
    </row>
    <row r="661" spans="10:15" ht="15.75" customHeight="1" x14ac:dyDescent="0.3">
      <c r="J661" s="230"/>
      <c r="K661" s="230"/>
      <c r="L661" s="231"/>
      <c r="M661" s="230"/>
      <c r="N661" s="230"/>
      <c r="O661" s="231"/>
    </row>
    <row r="662" spans="10:15" ht="15.75" customHeight="1" x14ac:dyDescent="0.3">
      <c r="J662" s="230"/>
      <c r="K662" s="230"/>
      <c r="L662" s="231"/>
      <c r="M662" s="230"/>
      <c r="N662" s="230"/>
      <c r="O662" s="231"/>
    </row>
    <row r="663" spans="10:15" ht="15.75" customHeight="1" x14ac:dyDescent="0.3">
      <c r="J663" s="230"/>
      <c r="K663" s="230"/>
      <c r="L663" s="231"/>
      <c r="M663" s="230"/>
      <c r="N663" s="230"/>
      <c r="O663" s="231"/>
    </row>
    <row r="664" spans="10:15" ht="15.75" customHeight="1" x14ac:dyDescent="0.3">
      <c r="J664" s="230"/>
      <c r="K664" s="230"/>
      <c r="L664" s="231"/>
      <c r="M664" s="230"/>
      <c r="N664" s="230"/>
      <c r="O664" s="231"/>
    </row>
    <row r="665" spans="10:15" ht="15.75" customHeight="1" x14ac:dyDescent="0.3">
      <c r="J665" s="230"/>
      <c r="K665" s="230"/>
      <c r="L665" s="231"/>
      <c r="M665" s="230"/>
      <c r="N665" s="230"/>
      <c r="O665" s="231"/>
    </row>
    <row r="666" spans="10:15" ht="15.75" customHeight="1" x14ac:dyDescent="0.3">
      <c r="J666" s="230"/>
      <c r="K666" s="230"/>
      <c r="L666" s="231"/>
      <c r="M666" s="230"/>
      <c r="N666" s="230"/>
      <c r="O666" s="231"/>
    </row>
    <row r="667" spans="10:15" ht="15.75" customHeight="1" x14ac:dyDescent="0.3">
      <c r="J667" s="230"/>
      <c r="K667" s="230"/>
      <c r="L667" s="231"/>
      <c r="M667" s="230"/>
      <c r="N667" s="230"/>
      <c r="O667" s="231"/>
    </row>
    <row r="668" spans="10:15" ht="15.75" customHeight="1" x14ac:dyDescent="0.3">
      <c r="J668" s="230"/>
      <c r="K668" s="230"/>
      <c r="L668" s="231"/>
      <c r="M668" s="230"/>
      <c r="N668" s="230"/>
      <c r="O668" s="231"/>
    </row>
    <row r="669" spans="10:15" ht="15.75" customHeight="1" x14ac:dyDescent="0.3">
      <c r="J669" s="230"/>
      <c r="K669" s="230"/>
      <c r="L669" s="231"/>
      <c r="M669" s="230"/>
      <c r="N669" s="230"/>
      <c r="O669" s="231"/>
    </row>
    <row r="670" spans="10:15" ht="15.75" customHeight="1" x14ac:dyDescent="0.3">
      <c r="J670" s="230"/>
      <c r="K670" s="230"/>
      <c r="L670" s="231"/>
      <c r="M670" s="230"/>
      <c r="N670" s="230"/>
      <c r="O670" s="231"/>
    </row>
    <row r="671" spans="10:15" ht="15.75" customHeight="1" x14ac:dyDescent="0.3">
      <c r="J671" s="230"/>
      <c r="K671" s="230"/>
      <c r="L671" s="231"/>
      <c r="M671" s="230"/>
      <c r="N671" s="230"/>
      <c r="O671" s="231"/>
    </row>
    <row r="672" spans="10:15" ht="15.75" customHeight="1" x14ac:dyDescent="0.3">
      <c r="J672" s="230"/>
      <c r="K672" s="230"/>
      <c r="L672" s="231"/>
      <c r="M672" s="230"/>
      <c r="N672" s="230"/>
      <c r="O672" s="231"/>
    </row>
    <row r="673" spans="10:15" ht="15.75" customHeight="1" x14ac:dyDescent="0.3">
      <c r="J673" s="230"/>
      <c r="K673" s="230"/>
      <c r="L673" s="231"/>
      <c r="M673" s="230"/>
      <c r="N673" s="230"/>
      <c r="O673" s="231"/>
    </row>
    <row r="674" spans="10:15" ht="15.75" customHeight="1" x14ac:dyDescent="0.3">
      <c r="J674" s="230"/>
      <c r="K674" s="230"/>
      <c r="L674" s="231"/>
      <c r="M674" s="230"/>
      <c r="N674" s="230"/>
      <c r="O674" s="231"/>
    </row>
    <row r="675" spans="10:15" ht="15.75" customHeight="1" x14ac:dyDescent="0.3">
      <c r="J675" s="230"/>
      <c r="K675" s="230"/>
      <c r="L675" s="231"/>
      <c r="M675" s="230"/>
      <c r="N675" s="230"/>
      <c r="O675" s="231"/>
    </row>
    <row r="676" spans="10:15" ht="15.75" customHeight="1" x14ac:dyDescent="0.3">
      <c r="J676" s="230"/>
      <c r="K676" s="230"/>
      <c r="L676" s="231"/>
      <c r="M676" s="230"/>
      <c r="N676" s="230"/>
      <c r="O676" s="231"/>
    </row>
    <row r="677" spans="10:15" ht="15.75" customHeight="1" x14ac:dyDescent="0.3">
      <c r="J677" s="230"/>
      <c r="K677" s="230"/>
      <c r="L677" s="231"/>
      <c r="M677" s="230"/>
      <c r="N677" s="230"/>
      <c r="O677" s="231"/>
    </row>
    <row r="678" spans="10:15" ht="15.75" customHeight="1" x14ac:dyDescent="0.3">
      <c r="J678" s="230"/>
      <c r="K678" s="230"/>
      <c r="L678" s="231"/>
      <c r="M678" s="230"/>
      <c r="N678" s="230"/>
      <c r="O678" s="231"/>
    </row>
    <row r="679" spans="10:15" ht="15.75" customHeight="1" x14ac:dyDescent="0.3">
      <c r="J679" s="230"/>
      <c r="K679" s="230"/>
      <c r="L679" s="231"/>
      <c r="M679" s="230"/>
      <c r="N679" s="230"/>
      <c r="O679" s="231"/>
    </row>
    <row r="680" spans="10:15" ht="15.75" customHeight="1" x14ac:dyDescent="0.3">
      <c r="J680" s="230"/>
      <c r="K680" s="230"/>
      <c r="L680" s="231"/>
      <c r="M680" s="230"/>
      <c r="N680" s="230"/>
      <c r="O680" s="231"/>
    </row>
    <row r="681" spans="10:15" ht="15.75" customHeight="1" x14ac:dyDescent="0.3">
      <c r="J681" s="230"/>
      <c r="K681" s="230"/>
      <c r="L681" s="231"/>
      <c r="M681" s="230"/>
      <c r="N681" s="230"/>
      <c r="O681" s="231"/>
    </row>
    <row r="682" spans="10:15" ht="15.75" customHeight="1" x14ac:dyDescent="0.3">
      <c r="J682" s="230"/>
      <c r="K682" s="230"/>
      <c r="L682" s="231"/>
      <c r="M682" s="230"/>
      <c r="N682" s="230"/>
      <c r="O682" s="231"/>
    </row>
    <row r="683" spans="10:15" ht="15.75" customHeight="1" x14ac:dyDescent="0.3">
      <c r="J683" s="230"/>
      <c r="K683" s="230"/>
      <c r="L683" s="231"/>
      <c r="M683" s="230"/>
      <c r="N683" s="230"/>
      <c r="O683" s="231"/>
    </row>
    <row r="684" spans="10:15" ht="15.75" customHeight="1" x14ac:dyDescent="0.3">
      <c r="J684" s="230"/>
      <c r="K684" s="230"/>
      <c r="L684" s="231"/>
      <c r="M684" s="230"/>
      <c r="N684" s="230"/>
      <c r="O684" s="231"/>
    </row>
    <row r="685" spans="10:15" ht="15.75" customHeight="1" x14ac:dyDescent="0.3">
      <c r="J685" s="230"/>
      <c r="K685" s="230"/>
      <c r="L685" s="231"/>
      <c r="M685" s="230"/>
      <c r="N685" s="230"/>
      <c r="O685" s="231"/>
    </row>
    <row r="686" spans="10:15" ht="15.75" customHeight="1" x14ac:dyDescent="0.3">
      <c r="J686" s="230"/>
      <c r="K686" s="230"/>
      <c r="L686" s="231"/>
      <c r="M686" s="230"/>
      <c r="N686" s="230"/>
      <c r="O686" s="231"/>
    </row>
    <row r="687" spans="10:15" ht="15.75" customHeight="1" x14ac:dyDescent="0.3">
      <c r="J687" s="230"/>
      <c r="K687" s="230"/>
      <c r="L687" s="231"/>
      <c r="M687" s="230"/>
      <c r="N687" s="230"/>
      <c r="O687" s="231"/>
    </row>
    <row r="688" spans="10:15" ht="15.75" customHeight="1" x14ac:dyDescent="0.3">
      <c r="J688" s="230"/>
      <c r="K688" s="230"/>
      <c r="L688" s="231"/>
      <c r="M688" s="230"/>
      <c r="N688" s="230"/>
      <c r="O688" s="231"/>
    </row>
    <row r="689" spans="10:15" ht="15.75" customHeight="1" x14ac:dyDescent="0.3">
      <c r="J689" s="230"/>
      <c r="K689" s="230"/>
      <c r="L689" s="231"/>
      <c r="M689" s="230"/>
      <c r="N689" s="230"/>
      <c r="O689" s="231"/>
    </row>
    <row r="690" spans="10:15" ht="15.75" customHeight="1" x14ac:dyDescent="0.3">
      <c r="J690" s="230"/>
      <c r="K690" s="230"/>
      <c r="L690" s="231"/>
      <c r="M690" s="230"/>
      <c r="N690" s="230"/>
      <c r="O690" s="231"/>
    </row>
    <row r="691" spans="10:15" ht="15.75" customHeight="1" x14ac:dyDescent="0.3">
      <c r="J691" s="230"/>
      <c r="K691" s="230"/>
      <c r="L691" s="231"/>
      <c r="M691" s="230"/>
      <c r="N691" s="230"/>
      <c r="O691" s="231"/>
    </row>
    <row r="692" spans="10:15" ht="15.75" customHeight="1" x14ac:dyDescent="0.3">
      <c r="J692" s="230"/>
      <c r="K692" s="230"/>
      <c r="L692" s="231"/>
      <c r="M692" s="230"/>
      <c r="N692" s="230"/>
      <c r="O692" s="231"/>
    </row>
    <row r="693" spans="10:15" ht="15.75" customHeight="1" x14ac:dyDescent="0.3">
      <c r="J693" s="230"/>
      <c r="K693" s="230"/>
      <c r="L693" s="231"/>
      <c r="M693" s="230"/>
      <c r="N693" s="230"/>
      <c r="O693" s="231"/>
    </row>
    <row r="694" spans="10:15" ht="15.75" customHeight="1" x14ac:dyDescent="0.3">
      <c r="J694" s="230"/>
      <c r="K694" s="230"/>
      <c r="L694" s="231"/>
      <c r="M694" s="230"/>
      <c r="N694" s="230"/>
      <c r="O694" s="231"/>
    </row>
    <row r="695" spans="10:15" ht="15.75" customHeight="1" x14ac:dyDescent="0.3">
      <c r="J695" s="230"/>
      <c r="K695" s="230"/>
      <c r="L695" s="231"/>
      <c r="M695" s="230"/>
      <c r="N695" s="230"/>
      <c r="O695" s="231"/>
    </row>
    <row r="696" spans="10:15" ht="15.75" customHeight="1" x14ac:dyDescent="0.3">
      <c r="J696" s="230"/>
      <c r="K696" s="230"/>
      <c r="L696" s="231"/>
      <c r="M696" s="230"/>
      <c r="N696" s="230"/>
      <c r="O696" s="231"/>
    </row>
    <row r="697" spans="10:15" ht="15.75" customHeight="1" x14ac:dyDescent="0.3">
      <c r="J697" s="230"/>
      <c r="K697" s="230"/>
      <c r="L697" s="231"/>
      <c r="M697" s="230"/>
      <c r="N697" s="230"/>
      <c r="O697" s="231"/>
    </row>
    <row r="698" spans="10:15" ht="15.75" customHeight="1" x14ac:dyDescent="0.3">
      <c r="J698" s="230"/>
      <c r="K698" s="230"/>
      <c r="L698" s="231"/>
      <c r="M698" s="230"/>
      <c r="N698" s="230"/>
      <c r="O698" s="231"/>
    </row>
    <row r="699" spans="10:15" ht="15.75" customHeight="1" x14ac:dyDescent="0.3">
      <c r="J699" s="230"/>
      <c r="K699" s="230"/>
      <c r="L699" s="231"/>
      <c r="M699" s="230"/>
      <c r="N699" s="230"/>
      <c r="O699" s="231"/>
    </row>
    <row r="700" spans="10:15" ht="15.75" customHeight="1" x14ac:dyDescent="0.3">
      <c r="J700" s="230"/>
      <c r="K700" s="230"/>
      <c r="L700" s="231"/>
      <c r="M700" s="230"/>
      <c r="N700" s="230"/>
      <c r="O700" s="231"/>
    </row>
    <row r="701" spans="10:15" ht="15.75" customHeight="1" x14ac:dyDescent="0.3">
      <c r="J701" s="230"/>
      <c r="K701" s="230"/>
      <c r="L701" s="231"/>
      <c r="M701" s="230"/>
      <c r="N701" s="230"/>
      <c r="O701" s="231"/>
    </row>
    <row r="702" spans="10:15" ht="15.75" customHeight="1" x14ac:dyDescent="0.3">
      <c r="J702" s="230"/>
      <c r="K702" s="230"/>
      <c r="L702" s="231"/>
      <c r="M702" s="230"/>
      <c r="N702" s="230"/>
      <c r="O702" s="231"/>
    </row>
    <row r="703" spans="10:15" ht="15.75" customHeight="1" x14ac:dyDescent="0.3">
      <c r="J703" s="230"/>
      <c r="K703" s="230"/>
      <c r="L703" s="231"/>
      <c r="M703" s="230"/>
      <c r="N703" s="230"/>
      <c r="O703" s="231"/>
    </row>
    <row r="704" spans="10:15" ht="15.75" customHeight="1" x14ac:dyDescent="0.3">
      <c r="J704" s="230"/>
      <c r="K704" s="230"/>
      <c r="L704" s="231"/>
      <c r="M704" s="230"/>
      <c r="N704" s="230"/>
      <c r="O704" s="231"/>
    </row>
    <row r="705" spans="10:15" ht="15.75" customHeight="1" x14ac:dyDescent="0.3">
      <c r="J705" s="230"/>
      <c r="K705" s="230"/>
      <c r="L705" s="231"/>
      <c r="M705" s="230"/>
      <c r="N705" s="230"/>
      <c r="O705" s="231"/>
    </row>
    <row r="706" spans="10:15" ht="15.75" customHeight="1" x14ac:dyDescent="0.3">
      <c r="J706" s="230"/>
      <c r="K706" s="230"/>
      <c r="L706" s="231"/>
      <c r="M706" s="230"/>
      <c r="N706" s="230"/>
      <c r="O706" s="231"/>
    </row>
    <row r="707" spans="10:15" ht="15.75" customHeight="1" x14ac:dyDescent="0.3">
      <c r="J707" s="230"/>
      <c r="K707" s="230"/>
      <c r="L707" s="231"/>
      <c r="M707" s="230"/>
      <c r="N707" s="230"/>
      <c r="O707" s="231"/>
    </row>
    <row r="708" spans="10:15" ht="15.75" customHeight="1" x14ac:dyDescent="0.3">
      <c r="J708" s="230"/>
      <c r="K708" s="230"/>
      <c r="L708" s="231"/>
      <c r="M708" s="230"/>
      <c r="N708" s="230"/>
      <c r="O708" s="231"/>
    </row>
    <row r="709" spans="10:15" ht="15.75" customHeight="1" x14ac:dyDescent="0.3">
      <c r="J709" s="230"/>
      <c r="K709" s="230"/>
      <c r="L709" s="231"/>
      <c r="M709" s="230"/>
      <c r="N709" s="230"/>
      <c r="O709" s="231"/>
    </row>
    <row r="710" spans="10:15" ht="15.75" customHeight="1" x14ac:dyDescent="0.3">
      <c r="J710" s="230"/>
      <c r="K710" s="230"/>
      <c r="L710" s="231"/>
      <c r="M710" s="230"/>
      <c r="N710" s="230"/>
      <c r="O710" s="231"/>
    </row>
    <row r="711" spans="10:15" ht="15.75" customHeight="1" x14ac:dyDescent="0.3">
      <c r="J711" s="230"/>
      <c r="K711" s="230"/>
      <c r="L711" s="231"/>
      <c r="M711" s="230"/>
      <c r="N711" s="230"/>
      <c r="O711" s="231"/>
    </row>
    <row r="712" spans="10:15" ht="15.75" customHeight="1" x14ac:dyDescent="0.3">
      <c r="J712" s="230"/>
      <c r="K712" s="230"/>
      <c r="L712" s="231"/>
      <c r="M712" s="230"/>
      <c r="N712" s="230"/>
      <c r="O712" s="231"/>
    </row>
    <row r="713" spans="10:15" ht="15.75" customHeight="1" x14ac:dyDescent="0.3">
      <c r="J713" s="230"/>
      <c r="K713" s="230"/>
      <c r="L713" s="231"/>
      <c r="M713" s="230"/>
      <c r="N713" s="230"/>
      <c r="O713" s="231"/>
    </row>
    <row r="714" spans="10:15" ht="15.75" customHeight="1" x14ac:dyDescent="0.3">
      <c r="J714" s="230"/>
      <c r="K714" s="230"/>
      <c r="L714" s="231"/>
      <c r="M714" s="230"/>
      <c r="N714" s="230"/>
      <c r="O714" s="231"/>
    </row>
    <row r="715" spans="10:15" ht="15.75" customHeight="1" x14ac:dyDescent="0.3">
      <c r="J715" s="230"/>
      <c r="K715" s="230"/>
      <c r="L715" s="231"/>
      <c r="M715" s="230"/>
      <c r="N715" s="230"/>
      <c r="O715" s="231"/>
    </row>
    <row r="716" spans="10:15" ht="15.75" customHeight="1" x14ac:dyDescent="0.3">
      <c r="J716" s="230"/>
      <c r="K716" s="230"/>
      <c r="L716" s="231"/>
      <c r="M716" s="230"/>
      <c r="N716" s="230"/>
      <c r="O716" s="231"/>
    </row>
    <row r="717" spans="10:15" ht="15.75" customHeight="1" x14ac:dyDescent="0.3">
      <c r="J717" s="230"/>
      <c r="K717" s="230"/>
      <c r="L717" s="231"/>
      <c r="M717" s="230"/>
      <c r="N717" s="230"/>
      <c r="O717" s="231"/>
    </row>
    <row r="718" spans="10:15" ht="15.75" customHeight="1" x14ac:dyDescent="0.3">
      <c r="J718" s="230"/>
      <c r="K718" s="230"/>
      <c r="L718" s="231"/>
      <c r="M718" s="230"/>
      <c r="N718" s="230"/>
      <c r="O718" s="231"/>
    </row>
    <row r="719" spans="10:15" ht="15.75" customHeight="1" x14ac:dyDescent="0.3">
      <c r="J719" s="230"/>
      <c r="K719" s="230"/>
      <c r="L719" s="231"/>
      <c r="M719" s="230"/>
      <c r="N719" s="230"/>
      <c r="O719" s="231"/>
    </row>
    <row r="720" spans="10:15" ht="15.75" customHeight="1" x14ac:dyDescent="0.3">
      <c r="J720" s="230"/>
      <c r="K720" s="230"/>
      <c r="L720" s="231"/>
      <c r="M720" s="230"/>
      <c r="N720" s="230"/>
      <c r="O720" s="231"/>
    </row>
    <row r="721" spans="10:15" ht="15.75" customHeight="1" x14ac:dyDescent="0.3">
      <c r="J721" s="230"/>
      <c r="K721" s="230"/>
      <c r="L721" s="231"/>
      <c r="M721" s="230"/>
      <c r="N721" s="230"/>
      <c r="O721" s="231"/>
    </row>
    <row r="722" spans="10:15" ht="15.75" customHeight="1" x14ac:dyDescent="0.3">
      <c r="J722" s="230"/>
      <c r="K722" s="230"/>
      <c r="L722" s="231"/>
      <c r="M722" s="230"/>
      <c r="N722" s="230"/>
      <c r="O722" s="231"/>
    </row>
    <row r="723" spans="10:15" ht="15.75" customHeight="1" x14ac:dyDescent="0.3">
      <c r="J723" s="230"/>
      <c r="K723" s="230"/>
      <c r="L723" s="231"/>
      <c r="M723" s="230"/>
      <c r="N723" s="230"/>
      <c r="O723" s="231"/>
    </row>
    <row r="724" spans="10:15" ht="15.75" customHeight="1" x14ac:dyDescent="0.3">
      <c r="J724" s="230"/>
      <c r="K724" s="230"/>
      <c r="L724" s="231"/>
      <c r="M724" s="230"/>
      <c r="N724" s="230"/>
      <c r="O724" s="231"/>
    </row>
    <row r="725" spans="10:15" ht="15.75" customHeight="1" x14ac:dyDescent="0.3">
      <c r="J725" s="230"/>
      <c r="K725" s="230"/>
      <c r="L725" s="231"/>
      <c r="M725" s="230"/>
      <c r="N725" s="230"/>
      <c r="O725" s="231"/>
    </row>
    <row r="726" spans="10:15" ht="15.75" customHeight="1" x14ac:dyDescent="0.3">
      <c r="J726" s="230"/>
      <c r="K726" s="230"/>
      <c r="L726" s="231"/>
      <c r="M726" s="230"/>
      <c r="N726" s="230"/>
      <c r="O726" s="231"/>
    </row>
    <row r="727" spans="10:15" ht="15.75" customHeight="1" x14ac:dyDescent="0.3">
      <c r="J727" s="230"/>
      <c r="K727" s="230"/>
      <c r="L727" s="231"/>
      <c r="M727" s="230"/>
      <c r="N727" s="230"/>
      <c r="O727" s="231"/>
    </row>
    <row r="728" spans="10:15" ht="15.75" customHeight="1" x14ac:dyDescent="0.3">
      <c r="J728" s="230"/>
      <c r="K728" s="230"/>
      <c r="L728" s="231"/>
      <c r="M728" s="230"/>
      <c r="N728" s="230"/>
      <c r="O728" s="231"/>
    </row>
    <row r="729" spans="10:15" ht="15.75" customHeight="1" x14ac:dyDescent="0.3">
      <c r="J729" s="230"/>
      <c r="K729" s="230"/>
      <c r="L729" s="231"/>
      <c r="M729" s="230"/>
      <c r="N729" s="230"/>
      <c r="O729" s="231"/>
    </row>
    <row r="730" spans="10:15" ht="15.75" customHeight="1" x14ac:dyDescent="0.3">
      <c r="J730" s="230"/>
      <c r="K730" s="230"/>
      <c r="L730" s="231"/>
      <c r="M730" s="230"/>
      <c r="N730" s="230"/>
      <c r="O730" s="231"/>
    </row>
    <row r="731" spans="10:15" ht="15.75" customHeight="1" x14ac:dyDescent="0.3">
      <c r="J731" s="230"/>
      <c r="K731" s="230"/>
      <c r="L731" s="231"/>
      <c r="M731" s="230"/>
      <c r="N731" s="230"/>
      <c r="O731" s="231"/>
    </row>
    <row r="732" spans="10:15" ht="15.75" customHeight="1" x14ac:dyDescent="0.3">
      <c r="J732" s="230"/>
      <c r="K732" s="230"/>
      <c r="L732" s="231"/>
      <c r="M732" s="230"/>
      <c r="N732" s="230"/>
      <c r="O732" s="231"/>
    </row>
    <row r="733" spans="10:15" ht="15.75" customHeight="1" x14ac:dyDescent="0.3">
      <c r="J733" s="230"/>
      <c r="K733" s="230"/>
      <c r="L733" s="231"/>
      <c r="M733" s="230"/>
      <c r="N733" s="230"/>
      <c r="O733" s="231"/>
    </row>
    <row r="734" spans="10:15" ht="15.75" customHeight="1" x14ac:dyDescent="0.3">
      <c r="J734" s="230"/>
      <c r="K734" s="230"/>
      <c r="L734" s="231"/>
      <c r="M734" s="230"/>
      <c r="N734" s="230"/>
      <c r="O734" s="231"/>
    </row>
    <row r="735" spans="10:15" ht="15.75" customHeight="1" x14ac:dyDescent="0.3">
      <c r="J735" s="230"/>
      <c r="K735" s="230"/>
      <c r="L735" s="231"/>
      <c r="M735" s="230"/>
      <c r="N735" s="230"/>
      <c r="O735" s="231"/>
    </row>
    <row r="736" spans="10:15" ht="15.75" customHeight="1" x14ac:dyDescent="0.3">
      <c r="J736" s="230"/>
      <c r="K736" s="230"/>
      <c r="L736" s="231"/>
      <c r="M736" s="230"/>
      <c r="N736" s="230"/>
      <c r="O736" s="231"/>
    </row>
    <row r="737" spans="10:15" ht="15.75" customHeight="1" x14ac:dyDescent="0.3">
      <c r="J737" s="230"/>
      <c r="K737" s="230"/>
      <c r="L737" s="231"/>
      <c r="M737" s="230"/>
      <c r="N737" s="230"/>
      <c r="O737" s="231"/>
    </row>
    <row r="738" spans="10:15" ht="15.75" customHeight="1" x14ac:dyDescent="0.3">
      <c r="J738" s="230"/>
      <c r="K738" s="230"/>
      <c r="L738" s="231"/>
      <c r="M738" s="230"/>
      <c r="N738" s="230"/>
      <c r="O738" s="231"/>
    </row>
    <row r="739" spans="10:15" ht="15.75" customHeight="1" x14ac:dyDescent="0.3">
      <c r="J739" s="230"/>
      <c r="K739" s="230"/>
      <c r="L739" s="231"/>
      <c r="M739" s="230"/>
      <c r="N739" s="230"/>
      <c r="O739" s="231"/>
    </row>
    <row r="740" spans="10:15" ht="15.75" customHeight="1" x14ac:dyDescent="0.3">
      <c r="J740" s="230"/>
      <c r="K740" s="230"/>
      <c r="L740" s="231"/>
      <c r="M740" s="230"/>
      <c r="N740" s="230"/>
      <c r="O740" s="231"/>
    </row>
    <row r="741" spans="10:15" ht="15.75" customHeight="1" x14ac:dyDescent="0.3">
      <c r="J741" s="230"/>
      <c r="K741" s="230"/>
      <c r="L741" s="231"/>
      <c r="M741" s="230"/>
      <c r="N741" s="230"/>
      <c r="O741" s="231"/>
    </row>
    <row r="742" spans="10:15" ht="15.75" customHeight="1" x14ac:dyDescent="0.3">
      <c r="J742" s="230"/>
      <c r="K742" s="230"/>
      <c r="L742" s="231"/>
      <c r="M742" s="230"/>
      <c r="N742" s="230"/>
      <c r="O742" s="231"/>
    </row>
    <row r="743" spans="10:15" ht="15.75" customHeight="1" x14ac:dyDescent="0.3">
      <c r="J743" s="230"/>
      <c r="K743" s="230"/>
      <c r="L743" s="231"/>
      <c r="M743" s="230"/>
      <c r="N743" s="230"/>
      <c r="O743" s="231"/>
    </row>
    <row r="744" spans="10:15" ht="15.75" customHeight="1" x14ac:dyDescent="0.3">
      <c r="J744" s="230"/>
      <c r="K744" s="230"/>
      <c r="L744" s="231"/>
      <c r="M744" s="230"/>
      <c r="N744" s="230"/>
      <c r="O744" s="231"/>
    </row>
    <row r="745" spans="10:15" ht="15.75" customHeight="1" x14ac:dyDescent="0.3">
      <c r="J745" s="230"/>
      <c r="K745" s="230"/>
      <c r="L745" s="231"/>
      <c r="M745" s="230"/>
      <c r="N745" s="230"/>
      <c r="O745" s="231"/>
    </row>
    <row r="746" spans="10:15" ht="15.75" customHeight="1" x14ac:dyDescent="0.3">
      <c r="J746" s="230"/>
      <c r="K746" s="230"/>
      <c r="L746" s="231"/>
      <c r="M746" s="230"/>
      <c r="N746" s="230"/>
      <c r="O746" s="231"/>
    </row>
    <row r="747" spans="10:15" ht="15.75" customHeight="1" x14ac:dyDescent="0.3">
      <c r="J747" s="230"/>
      <c r="K747" s="230"/>
      <c r="L747" s="231"/>
      <c r="M747" s="230"/>
      <c r="N747" s="230"/>
      <c r="O747" s="231"/>
    </row>
    <row r="748" spans="10:15" ht="15.75" customHeight="1" x14ac:dyDescent="0.3">
      <c r="J748" s="230"/>
      <c r="K748" s="230"/>
      <c r="L748" s="231"/>
      <c r="M748" s="230"/>
      <c r="N748" s="230"/>
      <c r="O748" s="231"/>
    </row>
    <row r="749" spans="10:15" ht="15.75" customHeight="1" x14ac:dyDescent="0.3">
      <c r="J749" s="230"/>
      <c r="K749" s="230"/>
      <c r="L749" s="231"/>
      <c r="M749" s="230"/>
      <c r="N749" s="230"/>
      <c r="O749" s="231"/>
    </row>
    <row r="750" spans="10:15" ht="15.75" customHeight="1" x14ac:dyDescent="0.3">
      <c r="J750" s="230"/>
      <c r="K750" s="230"/>
      <c r="L750" s="231"/>
      <c r="M750" s="230"/>
      <c r="N750" s="230"/>
      <c r="O750" s="231"/>
    </row>
    <row r="751" spans="10:15" ht="15.75" customHeight="1" x14ac:dyDescent="0.3">
      <c r="J751" s="230"/>
      <c r="K751" s="230"/>
      <c r="L751" s="231"/>
      <c r="M751" s="230"/>
      <c r="N751" s="230"/>
      <c r="O751" s="231"/>
    </row>
    <row r="752" spans="10:15" ht="15.75" customHeight="1" x14ac:dyDescent="0.3">
      <c r="J752" s="230"/>
      <c r="K752" s="230"/>
      <c r="L752" s="231"/>
      <c r="M752" s="230"/>
      <c r="N752" s="230"/>
      <c r="O752" s="231"/>
    </row>
    <row r="753" spans="10:15" ht="15.75" customHeight="1" x14ac:dyDescent="0.3">
      <c r="J753" s="230"/>
      <c r="K753" s="230"/>
      <c r="L753" s="231"/>
      <c r="M753" s="230"/>
      <c r="N753" s="230"/>
      <c r="O753" s="231"/>
    </row>
    <row r="754" spans="10:15" ht="15.75" customHeight="1" x14ac:dyDescent="0.3">
      <c r="J754" s="230"/>
      <c r="K754" s="230"/>
      <c r="L754" s="231"/>
      <c r="M754" s="230"/>
      <c r="N754" s="230"/>
      <c r="O754" s="231"/>
    </row>
    <row r="755" spans="10:15" ht="15.75" customHeight="1" x14ac:dyDescent="0.3">
      <c r="J755" s="230"/>
      <c r="K755" s="230"/>
      <c r="L755" s="231"/>
      <c r="M755" s="230"/>
      <c r="N755" s="230"/>
      <c r="O755" s="231"/>
    </row>
    <row r="756" spans="10:15" ht="15.75" customHeight="1" x14ac:dyDescent="0.3">
      <c r="J756" s="230"/>
      <c r="K756" s="230"/>
      <c r="L756" s="231"/>
      <c r="M756" s="230"/>
      <c r="N756" s="230"/>
      <c r="O756" s="231"/>
    </row>
    <row r="757" spans="10:15" ht="15.75" customHeight="1" x14ac:dyDescent="0.3">
      <c r="J757" s="230"/>
      <c r="K757" s="230"/>
      <c r="L757" s="231"/>
      <c r="M757" s="230"/>
      <c r="N757" s="230"/>
      <c r="O757" s="231"/>
    </row>
    <row r="758" spans="10:15" ht="15.75" customHeight="1" x14ac:dyDescent="0.3">
      <c r="J758" s="230"/>
      <c r="K758" s="230"/>
      <c r="L758" s="231"/>
      <c r="M758" s="230"/>
      <c r="N758" s="230"/>
      <c r="O758" s="231"/>
    </row>
    <row r="759" spans="10:15" ht="15.75" customHeight="1" x14ac:dyDescent="0.3">
      <c r="J759" s="230"/>
      <c r="K759" s="230"/>
      <c r="L759" s="231"/>
      <c r="M759" s="230"/>
      <c r="N759" s="230"/>
      <c r="O759" s="231"/>
    </row>
    <row r="760" spans="10:15" ht="15.75" customHeight="1" x14ac:dyDescent="0.3">
      <c r="J760" s="230"/>
      <c r="K760" s="230"/>
      <c r="L760" s="231"/>
      <c r="M760" s="230"/>
      <c r="N760" s="230"/>
      <c r="O760" s="231"/>
    </row>
    <row r="761" spans="10:15" ht="15.75" customHeight="1" x14ac:dyDescent="0.3">
      <c r="J761" s="230"/>
      <c r="K761" s="230"/>
      <c r="L761" s="231"/>
      <c r="M761" s="230"/>
      <c r="N761" s="230"/>
      <c r="O761" s="231"/>
    </row>
    <row r="762" spans="10:15" ht="15.75" customHeight="1" x14ac:dyDescent="0.3">
      <c r="J762" s="230"/>
      <c r="K762" s="230"/>
      <c r="L762" s="231"/>
      <c r="M762" s="230"/>
      <c r="N762" s="230"/>
      <c r="O762" s="231"/>
    </row>
    <row r="763" spans="10:15" ht="15.75" customHeight="1" x14ac:dyDescent="0.3">
      <c r="J763" s="230"/>
      <c r="K763" s="230"/>
      <c r="L763" s="231"/>
      <c r="M763" s="230"/>
      <c r="N763" s="230"/>
      <c r="O763" s="231"/>
    </row>
    <row r="764" spans="10:15" ht="15.75" customHeight="1" x14ac:dyDescent="0.3">
      <c r="J764" s="230"/>
      <c r="K764" s="230"/>
      <c r="L764" s="231"/>
      <c r="M764" s="230"/>
      <c r="N764" s="230"/>
      <c r="O764" s="231"/>
    </row>
    <row r="765" spans="10:15" ht="15.75" customHeight="1" x14ac:dyDescent="0.3">
      <c r="J765" s="230"/>
      <c r="K765" s="230"/>
      <c r="L765" s="231"/>
      <c r="M765" s="230"/>
      <c r="N765" s="230"/>
      <c r="O765" s="231"/>
    </row>
    <row r="766" spans="10:15" ht="15.75" customHeight="1" x14ac:dyDescent="0.3">
      <c r="J766" s="230"/>
      <c r="K766" s="230"/>
      <c r="L766" s="231"/>
      <c r="M766" s="230"/>
      <c r="N766" s="230"/>
      <c r="O766" s="231"/>
    </row>
    <row r="767" spans="10:15" ht="15.75" customHeight="1" x14ac:dyDescent="0.3">
      <c r="J767" s="230"/>
      <c r="K767" s="230"/>
      <c r="L767" s="231"/>
      <c r="M767" s="230"/>
      <c r="N767" s="230"/>
      <c r="O767" s="231"/>
    </row>
    <row r="768" spans="10:15" ht="15.75" customHeight="1" x14ac:dyDescent="0.3">
      <c r="J768" s="230"/>
      <c r="K768" s="230"/>
      <c r="L768" s="231"/>
      <c r="M768" s="230"/>
      <c r="N768" s="230"/>
      <c r="O768" s="231"/>
    </row>
    <row r="769" spans="10:15" ht="15.75" customHeight="1" x14ac:dyDescent="0.3">
      <c r="J769" s="230"/>
      <c r="K769" s="230"/>
      <c r="L769" s="231"/>
      <c r="M769" s="230"/>
      <c r="N769" s="230"/>
      <c r="O769" s="231"/>
    </row>
    <row r="770" spans="10:15" ht="15.75" customHeight="1" x14ac:dyDescent="0.3">
      <c r="J770" s="230"/>
      <c r="K770" s="230"/>
      <c r="L770" s="231"/>
      <c r="M770" s="230"/>
      <c r="N770" s="230"/>
      <c r="O770" s="231"/>
    </row>
    <row r="771" spans="10:15" ht="15.75" customHeight="1" x14ac:dyDescent="0.3">
      <c r="J771" s="230"/>
      <c r="K771" s="230"/>
      <c r="L771" s="231"/>
      <c r="M771" s="230"/>
      <c r="N771" s="230"/>
      <c r="O771" s="231"/>
    </row>
    <row r="772" spans="10:15" ht="15.75" customHeight="1" x14ac:dyDescent="0.3">
      <c r="J772" s="230"/>
      <c r="K772" s="230"/>
      <c r="L772" s="231"/>
      <c r="M772" s="230"/>
      <c r="N772" s="230"/>
      <c r="O772" s="231"/>
    </row>
    <row r="773" spans="10:15" ht="15.75" customHeight="1" x14ac:dyDescent="0.3">
      <c r="J773" s="230"/>
      <c r="K773" s="230"/>
      <c r="L773" s="231"/>
      <c r="M773" s="230"/>
      <c r="N773" s="230"/>
      <c r="O773" s="231"/>
    </row>
    <row r="774" spans="10:15" ht="15.75" customHeight="1" x14ac:dyDescent="0.3">
      <c r="J774" s="230"/>
      <c r="K774" s="230"/>
      <c r="L774" s="231"/>
      <c r="M774" s="230"/>
      <c r="N774" s="230"/>
      <c r="O774" s="231"/>
    </row>
    <row r="775" spans="10:15" ht="15.75" customHeight="1" x14ac:dyDescent="0.3">
      <c r="J775" s="230"/>
      <c r="K775" s="230"/>
      <c r="L775" s="231"/>
      <c r="M775" s="230"/>
      <c r="N775" s="230"/>
      <c r="O775" s="231"/>
    </row>
    <row r="776" spans="10:15" ht="15.75" customHeight="1" x14ac:dyDescent="0.3">
      <c r="J776" s="230"/>
      <c r="K776" s="230"/>
      <c r="L776" s="231"/>
      <c r="M776" s="230"/>
      <c r="N776" s="230"/>
      <c r="O776" s="231"/>
    </row>
    <row r="777" spans="10:15" ht="15.75" customHeight="1" x14ac:dyDescent="0.3">
      <c r="J777" s="230"/>
      <c r="K777" s="230"/>
      <c r="L777" s="231"/>
      <c r="M777" s="230"/>
      <c r="N777" s="230"/>
      <c r="O777" s="231"/>
    </row>
    <row r="778" spans="10:15" ht="15.75" customHeight="1" x14ac:dyDescent="0.3">
      <c r="J778" s="230"/>
      <c r="K778" s="230"/>
      <c r="L778" s="231"/>
      <c r="M778" s="230"/>
      <c r="N778" s="230"/>
      <c r="O778" s="231"/>
    </row>
    <row r="779" spans="10:15" ht="15.75" customHeight="1" x14ac:dyDescent="0.3">
      <c r="J779" s="230"/>
      <c r="K779" s="230"/>
      <c r="L779" s="231"/>
      <c r="M779" s="230"/>
      <c r="N779" s="230"/>
      <c r="O779" s="231"/>
    </row>
    <row r="780" spans="10:15" ht="15.75" customHeight="1" x14ac:dyDescent="0.3">
      <c r="J780" s="230"/>
      <c r="K780" s="230"/>
      <c r="L780" s="231"/>
      <c r="M780" s="230"/>
      <c r="N780" s="230"/>
      <c r="O780" s="231"/>
    </row>
    <row r="781" spans="10:15" ht="15.75" customHeight="1" x14ac:dyDescent="0.3">
      <c r="J781" s="230"/>
      <c r="K781" s="230"/>
      <c r="L781" s="231"/>
      <c r="M781" s="230"/>
      <c r="N781" s="230"/>
      <c r="O781" s="231"/>
    </row>
    <row r="782" spans="10:15" ht="15.75" customHeight="1" x14ac:dyDescent="0.3">
      <c r="J782" s="230"/>
      <c r="K782" s="230"/>
      <c r="L782" s="231"/>
      <c r="M782" s="230"/>
      <c r="N782" s="230"/>
      <c r="O782" s="231"/>
    </row>
    <row r="783" spans="10:15" ht="15.75" customHeight="1" x14ac:dyDescent="0.3">
      <c r="J783" s="230"/>
      <c r="K783" s="230"/>
      <c r="L783" s="231"/>
      <c r="M783" s="230"/>
      <c r="N783" s="230"/>
      <c r="O783" s="231"/>
    </row>
    <row r="784" spans="10:15" ht="15.75" customHeight="1" x14ac:dyDescent="0.3">
      <c r="J784" s="230"/>
      <c r="K784" s="230"/>
      <c r="L784" s="231"/>
      <c r="M784" s="230"/>
      <c r="N784" s="230"/>
      <c r="O784" s="231"/>
    </row>
    <row r="785" spans="10:15" ht="15.75" customHeight="1" x14ac:dyDescent="0.3">
      <c r="J785" s="230"/>
      <c r="K785" s="230"/>
      <c r="L785" s="231"/>
      <c r="M785" s="230"/>
      <c r="N785" s="230"/>
      <c r="O785" s="231"/>
    </row>
    <row r="786" spans="10:15" ht="15.75" customHeight="1" x14ac:dyDescent="0.3">
      <c r="J786" s="230"/>
      <c r="K786" s="230"/>
      <c r="L786" s="231"/>
      <c r="M786" s="230"/>
      <c r="N786" s="230"/>
      <c r="O786" s="231"/>
    </row>
    <row r="787" spans="10:15" ht="15.75" customHeight="1" x14ac:dyDescent="0.3">
      <c r="J787" s="230"/>
      <c r="K787" s="230"/>
      <c r="L787" s="231"/>
      <c r="M787" s="230"/>
      <c r="N787" s="230"/>
      <c r="O787" s="231"/>
    </row>
    <row r="788" spans="10:15" ht="15.75" customHeight="1" x14ac:dyDescent="0.3">
      <c r="J788" s="230"/>
      <c r="K788" s="230"/>
      <c r="L788" s="231"/>
      <c r="M788" s="230"/>
      <c r="N788" s="230"/>
      <c r="O788" s="231"/>
    </row>
    <row r="789" spans="10:15" ht="15.75" customHeight="1" x14ac:dyDescent="0.3">
      <c r="J789" s="230"/>
      <c r="K789" s="230"/>
      <c r="L789" s="231"/>
      <c r="M789" s="230"/>
      <c r="N789" s="230"/>
      <c r="O789" s="231"/>
    </row>
    <row r="790" spans="10:15" ht="15.75" customHeight="1" x14ac:dyDescent="0.3">
      <c r="J790" s="230"/>
      <c r="K790" s="230"/>
      <c r="L790" s="231"/>
      <c r="M790" s="230"/>
      <c r="N790" s="230"/>
      <c r="O790" s="231"/>
    </row>
    <row r="791" spans="10:15" ht="15.75" customHeight="1" x14ac:dyDescent="0.3">
      <c r="J791" s="230"/>
      <c r="K791" s="230"/>
      <c r="L791" s="231"/>
      <c r="M791" s="230"/>
      <c r="N791" s="230"/>
      <c r="O791" s="231"/>
    </row>
    <row r="792" spans="10:15" ht="15.75" customHeight="1" x14ac:dyDescent="0.3">
      <c r="J792" s="230"/>
      <c r="K792" s="230"/>
      <c r="L792" s="231"/>
      <c r="M792" s="230"/>
      <c r="N792" s="230"/>
      <c r="O792" s="231"/>
    </row>
    <row r="793" spans="10:15" ht="15.75" customHeight="1" x14ac:dyDescent="0.3">
      <c r="J793" s="230"/>
      <c r="K793" s="230"/>
      <c r="L793" s="231"/>
      <c r="M793" s="230"/>
      <c r="N793" s="230"/>
      <c r="O793" s="231"/>
    </row>
    <row r="794" spans="10:15" ht="15.75" customHeight="1" x14ac:dyDescent="0.3">
      <c r="J794" s="230"/>
      <c r="K794" s="230"/>
      <c r="L794" s="231"/>
      <c r="M794" s="230"/>
      <c r="N794" s="230"/>
      <c r="O794" s="231"/>
    </row>
    <row r="795" spans="10:15" ht="15.75" customHeight="1" x14ac:dyDescent="0.3">
      <c r="J795" s="230"/>
      <c r="K795" s="230"/>
      <c r="L795" s="231"/>
      <c r="M795" s="230"/>
      <c r="N795" s="230"/>
      <c r="O795" s="231"/>
    </row>
    <row r="796" spans="10:15" ht="15.75" customHeight="1" x14ac:dyDescent="0.3">
      <c r="J796" s="230"/>
      <c r="K796" s="230"/>
      <c r="L796" s="231"/>
      <c r="M796" s="230"/>
      <c r="N796" s="230"/>
      <c r="O796" s="231"/>
    </row>
    <row r="797" spans="10:15" ht="15.75" customHeight="1" x14ac:dyDescent="0.3">
      <c r="J797" s="230"/>
      <c r="K797" s="230"/>
      <c r="L797" s="231"/>
      <c r="M797" s="230"/>
      <c r="N797" s="230"/>
      <c r="O797" s="231"/>
    </row>
    <row r="798" spans="10:15" ht="15.75" customHeight="1" x14ac:dyDescent="0.3">
      <c r="J798" s="230"/>
      <c r="K798" s="230"/>
      <c r="L798" s="231"/>
      <c r="M798" s="230"/>
      <c r="N798" s="230"/>
      <c r="O798" s="231"/>
    </row>
    <row r="799" spans="10:15" ht="15.75" customHeight="1" x14ac:dyDescent="0.3">
      <c r="J799" s="230"/>
      <c r="K799" s="230"/>
      <c r="L799" s="231"/>
      <c r="M799" s="230"/>
      <c r="N799" s="230"/>
      <c r="O799" s="231"/>
    </row>
    <row r="800" spans="10:15" ht="15.75" customHeight="1" x14ac:dyDescent="0.3">
      <c r="J800" s="230"/>
      <c r="K800" s="230"/>
      <c r="L800" s="231"/>
      <c r="M800" s="230"/>
      <c r="N800" s="230"/>
      <c r="O800" s="231"/>
    </row>
    <row r="801" spans="10:15" ht="15.75" customHeight="1" x14ac:dyDescent="0.3">
      <c r="J801" s="230"/>
      <c r="K801" s="230"/>
      <c r="L801" s="231"/>
      <c r="M801" s="230"/>
      <c r="N801" s="230"/>
      <c r="O801" s="231"/>
    </row>
    <row r="802" spans="10:15" ht="15.75" customHeight="1" x14ac:dyDescent="0.3">
      <c r="J802" s="230"/>
      <c r="K802" s="230"/>
      <c r="L802" s="231"/>
      <c r="M802" s="230"/>
      <c r="N802" s="230"/>
      <c r="O802" s="231"/>
    </row>
    <row r="803" spans="10:15" ht="15.75" customHeight="1" x14ac:dyDescent="0.3">
      <c r="J803" s="230"/>
      <c r="K803" s="230"/>
      <c r="L803" s="231"/>
      <c r="M803" s="230"/>
      <c r="N803" s="230"/>
      <c r="O803" s="231"/>
    </row>
    <row r="804" spans="10:15" ht="15.75" customHeight="1" x14ac:dyDescent="0.3">
      <c r="J804" s="230"/>
      <c r="K804" s="230"/>
      <c r="L804" s="231"/>
      <c r="M804" s="230"/>
      <c r="N804" s="230"/>
      <c r="O804" s="231"/>
    </row>
    <row r="805" spans="10:15" ht="15.75" customHeight="1" x14ac:dyDescent="0.3">
      <c r="J805" s="230"/>
      <c r="K805" s="230"/>
      <c r="L805" s="231"/>
      <c r="M805" s="230"/>
      <c r="N805" s="230"/>
      <c r="O805" s="231"/>
    </row>
    <row r="806" spans="10:15" ht="15.75" customHeight="1" x14ac:dyDescent="0.3">
      <c r="J806" s="230"/>
      <c r="K806" s="230"/>
      <c r="L806" s="231"/>
      <c r="M806" s="230"/>
      <c r="N806" s="230"/>
      <c r="O806" s="231"/>
    </row>
    <row r="807" spans="10:15" ht="15.75" customHeight="1" x14ac:dyDescent="0.3">
      <c r="J807" s="230"/>
      <c r="K807" s="230"/>
      <c r="L807" s="231"/>
      <c r="M807" s="230"/>
      <c r="N807" s="230"/>
      <c r="O807" s="231"/>
    </row>
    <row r="808" spans="10:15" ht="15.75" customHeight="1" x14ac:dyDescent="0.3">
      <c r="J808" s="230"/>
      <c r="K808" s="230"/>
      <c r="L808" s="231"/>
      <c r="M808" s="230"/>
      <c r="N808" s="230"/>
      <c r="O808" s="231"/>
    </row>
    <row r="809" spans="10:15" ht="15.75" customHeight="1" x14ac:dyDescent="0.3">
      <c r="J809" s="230"/>
      <c r="K809" s="230"/>
      <c r="L809" s="231"/>
      <c r="M809" s="230"/>
      <c r="N809" s="230"/>
      <c r="O809" s="231"/>
    </row>
    <row r="810" spans="10:15" ht="15.75" customHeight="1" x14ac:dyDescent="0.3">
      <c r="J810" s="230"/>
      <c r="K810" s="230"/>
      <c r="L810" s="231"/>
      <c r="M810" s="230"/>
      <c r="N810" s="230"/>
      <c r="O810" s="231"/>
    </row>
    <row r="811" spans="10:15" ht="15.75" customHeight="1" x14ac:dyDescent="0.3">
      <c r="J811" s="230"/>
      <c r="K811" s="230"/>
      <c r="L811" s="231"/>
      <c r="M811" s="230"/>
      <c r="N811" s="230"/>
      <c r="O811" s="231"/>
    </row>
    <row r="812" spans="10:15" ht="15.75" customHeight="1" x14ac:dyDescent="0.3">
      <c r="J812" s="230"/>
      <c r="K812" s="230"/>
      <c r="L812" s="231"/>
      <c r="M812" s="230"/>
      <c r="N812" s="230"/>
      <c r="O812" s="231"/>
    </row>
    <row r="813" spans="10:15" ht="15.75" customHeight="1" x14ac:dyDescent="0.3">
      <c r="J813" s="230"/>
      <c r="K813" s="230"/>
      <c r="L813" s="231"/>
      <c r="M813" s="230"/>
      <c r="N813" s="230"/>
      <c r="O813" s="231"/>
    </row>
    <row r="814" spans="10:15" ht="15.75" customHeight="1" x14ac:dyDescent="0.3">
      <c r="J814" s="230"/>
      <c r="K814" s="230"/>
      <c r="L814" s="231"/>
      <c r="M814" s="230"/>
      <c r="N814" s="230"/>
      <c r="O814" s="231"/>
    </row>
    <row r="815" spans="10:15" ht="15.75" customHeight="1" x14ac:dyDescent="0.3">
      <c r="J815" s="230"/>
      <c r="K815" s="230"/>
      <c r="L815" s="231"/>
      <c r="M815" s="230"/>
      <c r="N815" s="230"/>
      <c r="O815" s="231"/>
    </row>
    <row r="816" spans="10:15" ht="15.75" customHeight="1" x14ac:dyDescent="0.3">
      <c r="J816" s="230"/>
      <c r="K816" s="230"/>
      <c r="L816" s="231"/>
      <c r="M816" s="230"/>
      <c r="N816" s="230"/>
      <c r="O816" s="231"/>
    </row>
    <row r="817" spans="10:15" ht="15.75" customHeight="1" x14ac:dyDescent="0.3">
      <c r="J817" s="230"/>
      <c r="K817" s="230"/>
      <c r="L817" s="231"/>
      <c r="M817" s="230"/>
      <c r="N817" s="230"/>
      <c r="O817" s="231"/>
    </row>
    <row r="818" spans="10:15" ht="15.75" customHeight="1" x14ac:dyDescent="0.3">
      <c r="J818" s="230"/>
      <c r="K818" s="230"/>
      <c r="L818" s="231"/>
      <c r="M818" s="230"/>
      <c r="N818" s="230"/>
      <c r="O818" s="231"/>
    </row>
    <row r="819" spans="10:15" ht="15.75" customHeight="1" x14ac:dyDescent="0.3">
      <c r="J819" s="230"/>
      <c r="K819" s="230"/>
      <c r="L819" s="231"/>
      <c r="M819" s="230"/>
      <c r="N819" s="230"/>
      <c r="O819" s="231"/>
    </row>
    <row r="820" spans="10:15" ht="15.75" customHeight="1" x14ac:dyDescent="0.3">
      <c r="J820" s="230"/>
      <c r="K820" s="230"/>
      <c r="L820" s="231"/>
      <c r="M820" s="230"/>
      <c r="N820" s="230"/>
      <c r="O820" s="231"/>
    </row>
    <row r="821" spans="10:15" ht="15.75" customHeight="1" x14ac:dyDescent="0.3">
      <c r="J821" s="230"/>
      <c r="K821" s="230"/>
      <c r="L821" s="231"/>
      <c r="M821" s="230"/>
      <c r="N821" s="230"/>
      <c r="O821" s="231"/>
    </row>
    <row r="822" spans="10:15" ht="15.75" customHeight="1" x14ac:dyDescent="0.3">
      <c r="J822" s="230"/>
      <c r="K822" s="230"/>
      <c r="L822" s="231"/>
      <c r="M822" s="230"/>
      <c r="N822" s="230"/>
      <c r="O822" s="231"/>
    </row>
    <row r="823" spans="10:15" ht="15.75" customHeight="1" x14ac:dyDescent="0.3">
      <c r="J823" s="230"/>
      <c r="K823" s="230"/>
      <c r="L823" s="231"/>
      <c r="M823" s="230"/>
      <c r="N823" s="230"/>
      <c r="O823" s="231"/>
    </row>
    <row r="824" spans="10:15" ht="15.75" customHeight="1" x14ac:dyDescent="0.3">
      <c r="J824" s="230"/>
      <c r="K824" s="230"/>
      <c r="L824" s="231"/>
      <c r="M824" s="230"/>
      <c r="N824" s="230"/>
      <c r="O824" s="231"/>
    </row>
    <row r="825" spans="10:15" ht="15.75" customHeight="1" x14ac:dyDescent="0.3">
      <c r="J825" s="230"/>
      <c r="K825" s="230"/>
      <c r="L825" s="231"/>
      <c r="M825" s="230"/>
      <c r="N825" s="230"/>
      <c r="O825" s="231"/>
    </row>
    <row r="826" spans="10:15" ht="15.75" customHeight="1" x14ac:dyDescent="0.3">
      <c r="J826" s="230"/>
      <c r="K826" s="230"/>
      <c r="L826" s="231"/>
      <c r="M826" s="230"/>
      <c r="N826" s="230"/>
      <c r="O826" s="231"/>
    </row>
    <row r="827" spans="10:15" ht="15.75" customHeight="1" x14ac:dyDescent="0.3">
      <c r="J827" s="230"/>
      <c r="K827" s="230"/>
      <c r="L827" s="231"/>
      <c r="M827" s="230"/>
      <c r="N827" s="230"/>
      <c r="O827" s="231"/>
    </row>
    <row r="828" spans="10:15" ht="15.75" customHeight="1" x14ac:dyDescent="0.3">
      <c r="J828" s="230"/>
      <c r="K828" s="230"/>
      <c r="L828" s="231"/>
      <c r="M828" s="230"/>
      <c r="N828" s="230"/>
      <c r="O828" s="231"/>
    </row>
    <row r="829" spans="10:15" ht="15.75" customHeight="1" x14ac:dyDescent="0.3">
      <c r="J829" s="230"/>
      <c r="K829" s="230"/>
      <c r="L829" s="231"/>
      <c r="M829" s="230"/>
      <c r="N829" s="230"/>
      <c r="O829" s="231"/>
    </row>
    <row r="830" spans="10:15" ht="15.75" customHeight="1" x14ac:dyDescent="0.3">
      <c r="J830" s="230"/>
      <c r="K830" s="230"/>
      <c r="L830" s="231"/>
      <c r="M830" s="230"/>
      <c r="N830" s="230"/>
      <c r="O830" s="231"/>
    </row>
    <row r="831" spans="10:15" ht="15.75" customHeight="1" x14ac:dyDescent="0.3">
      <c r="J831" s="230"/>
      <c r="K831" s="230"/>
      <c r="L831" s="231"/>
      <c r="M831" s="230"/>
      <c r="N831" s="230"/>
      <c r="O831" s="231"/>
    </row>
    <row r="832" spans="10:15" ht="15.75" customHeight="1" x14ac:dyDescent="0.3">
      <c r="J832" s="230"/>
      <c r="K832" s="230"/>
      <c r="L832" s="231"/>
      <c r="M832" s="230"/>
      <c r="N832" s="230"/>
      <c r="O832" s="231"/>
    </row>
    <row r="833" spans="10:15" ht="15.75" customHeight="1" x14ac:dyDescent="0.3">
      <c r="J833" s="230"/>
      <c r="K833" s="230"/>
      <c r="L833" s="231"/>
      <c r="M833" s="230"/>
      <c r="N833" s="230"/>
      <c r="O833" s="231"/>
    </row>
    <row r="834" spans="10:15" ht="15.75" customHeight="1" x14ac:dyDescent="0.3">
      <c r="J834" s="230"/>
      <c r="K834" s="230"/>
      <c r="L834" s="231"/>
      <c r="M834" s="230"/>
      <c r="N834" s="230"/>
      <c r="O834" s="231"/>
    </row>
    <row r="835" spans="10:15" ht="15.75" customHeight="1" x14ac:dyDescent="0.3">
      <c r="J835" s="230"/>
      <c r="K835" s="230"/>
      <c r="L835" s="231"/>
      <c r="M835" s="230"/>
      <c r="N835" s="230"/>
      <c r="O835" s="231"/>
    </row>
    <row r="836" spans="10:15" ht="15.75" customHeight="1" x14ac:dyDescent="0.3">
      <c r="J836" s="230"/>
      <c r="K836" s="230"/>
      <c r="L836" s="231"/>
      <c r="M836" s="230"/>
      <c r="N836" s="230"/>
      <c r="O836" s="231"/>
    </row>
    <row r="837" spans="10:15" ht="15.75" customHeight="1" x14ac:dyDescent="0.3">
      <c r="J837" s="230"/>
      <c r="K837" s="230"/>
      <c r="L837" s="231"/>
      <c r="M837" s="230"/>
      <c r="N837" s="230"/>
      <c r="O837" s="231"/>
    </row>
    <row r="838" spans="10:15" ht="15.75" customHeight="1" x14ac:dyDescent="0.3">
      <c r="J838" s="230"/>
      <c r="K838" s="230"/>
      <c r="L838" s="231"/>
      <c r="M838" s="230"/>
      <c r="N838" s="230"/>
      <c r="O838" s="231"/>
    </row>
    <row r="839" spans="10:15" ht="15.75" customHeight="1" x14ac:dyDescent="0.3">
      <c r="J839" s="230"/>
      <c r="K839" s="230"/>
      <c r="L839" s="231"/>
      <c r="M839" s="230"/>
      <c r="N839" s="230"/>
      <c r="O839" s="231"/>
    </row>
    <row r="840" spans="10:15" ht="15.75" customHeight="1" x14ac:dyDescent="0.3">
      <c r="J840" s="230"/>
      <c r="K840" s="230"/>
      <c r="L840" s="231"/>
      <c r="M840" s="230"/>
      <c r="N840" s="230"/>
      <c r="O840" s="231"/>
    </row>
    <row r="841" spans="10:15" ht="15.75" customHeight="1" x14ac:dyDescent="0.3">
      <c r="J841" s="230"/>
      <c r="K841" s="230"/>
      <c r="L841" s="231"/>
      <c r="M841" s="230"/>
      <c r="N841" s="230"/>
      <c r="O841" s="231"/>
    </row>
    <row r="842" spans="10:15" ht="15.75" customHeight="1" x14ac:dyDescent="0.3">
      <c r="J842" s="230"/>
      <c r="K842" s="230"/>
      <c r="L842" s="231"/>
      <c r="M842" s="230"/>
      <c r="N842" s="230"/>
      <c r="O842" s="231"/>
    </row>
    <row r="843" spans="10:15" ht="15.75" customHeight="1" x14ac:dyDescent="0.3">
      <c r="J843" s="230"/>
      <c r="K843" s="230"/>
      <c r="L843" s="231"/>
      <c r="M843" s="230"/>
      <c r="N843" s="230"/>
      <c r="O843" s="231"/>
    </row>
    <row r="844" spans="10:15" ht="15.75" customHeight="1" x14ac:dyDescent="0.3">
      <c r="J844" s="230"/>
      <c r="K844" s="230"/>
      <c r="L844" s="231"/>
      <c r="M844" s="230"/>
      <c r="N844" s="230"/>
      <c r="O844" s="231"/>
    </row>
    <row r="845" spans="10:15" ht="15.75" customHeight="1" x14ac:dyDescent="0.3">
      <c r="J845" s="230"/>
      <c r="K845" s="230"/>
      <c r="L845" s="231"/>
      <c r="M845" s="230"/>
      <c r="N845" s="230"/>
      <c r="O845" s="231"/>
    </row>
    <row r="846" spans="10:15" ht="15.75" customHeight="1" x14ac:dyDescent="0.3">
      <c r="J846" s="230"/>
      <c r="K846" s="230"/>
      <c r="L846" s="231"/>
      <c r="M846" s="230"/>
      <c r="N846" s="230"/>
      <c r="O846" s="231"/>
    </row>
    <row r="847" spans="10:15" ht="15.75" customHeight="1" x14ac:dyDescent="0.3">
      <c r="J847" s="230"/>
      <c r="K847" s="230"/>
      <c r="L847" s="231"/>
      <c r="M847" s="230"/>
      <c r="N847" s="230"/>
      <c r="O847" s="231"/>
    </row>
    <row r="848" spans="10:15" ht="15.75" customHeight="1" x14ac:dyDescent="0.3">
      <c r="J848" s="230"/>
      <c r="K848" s="230"/>
      <c r="L848" s="231"/>
      <c r="M848" s="230"/>
      <c r="N848" s="230"/>
      <c r="O848" s="231"/>
    </row>
    <row r="849" spans="10:15" ht="15.75" customHeight="1" x14ac:dyDescent="0.3">
      <c r="J849" s="230"/>
      <c r="K849" s="230"/>
      <c r="L849" s="231"/>
      <c r="M849" s="230"/>
      <c r="N849" s="230"/>
      <c r="O849" s="231"/>
    </row>
    <row r="850" spans="10:15" ht="15.75" customHeight="1" x14ac:dyDescent="0.3">
      <c r="J850" s="230"/>
      <c r="K850" s="230"/>
      <c r="L850" s="231"/>
      <c r="M850" s="230"/>
      <c r="N850" s="230"/>
      <c r="O850" s="231"/>
    </row>
    <row r="851" spans="10:15" ht="15.75" customHeight="1" x14ac:dyDescent="0.3">
      <c r="J851" s="230"/>
      <c r="K851" s="230"/>
      <c r="L851" s="231"/>
      <c r="M851" s="230"/>
      <c r="N851" s="230"/>
      <c r="O851" s="231"/>
    </row>
    <row r="852" spans="10:15" ht="15.75" customHeight="1" x14ac:dyDescent="0.3">
      <c r="J852" s="230"/>
      <c r="K852" s="230"/>
      <c r="L852" s="231"/>
      <c r="M852" s="230"/>
      <c r="N852" s="230"/>
      <c r="O852" s="231"/>
    </row>
    <row r="853" spans="10:15" ht="15.75" customHeight="1" x14ac:dyDescent="0.3">
      <c r="J853" s="230"/>
      <c r="K853" s="230"/>
      <c r="L853" s="231"/>
      <c r="M853" s="230"/>
      <c r="N853" s="230"/>
      <c r="O853" s="231"/>
    </row>
    <row r="854" spans="10:15" ht="15.75" customHeight="1" x14ac:dyDescent="0.3">
      <c r="J854" s="230"/>
      <c r="K854" s="230"/>
      <c r="L854" s="231"/>
      <c r="M854" s="230"/>
      <c r="N854" s="230"/>
      <c r="O854" s="231"/>
    </row>
    <row r="855" spans="10:15" ht="15.75" customHeight="1" x14ac:dyDescent="0.3">
      <c r="J855" s="230"/>
      <c r="K855" s="230"/>
      <c r="L855" s="231"/>
      <c r="M855" s="230"/>
      <c r="N855" s="230"/>
      <c r="O855" s="231"/>
    </row>
    <row r="856" spans="10:15" ht="15.75" customHeight="1" x14ac:dyDescent="0.3">
      <c r="J856" s="230"/>
      <c r="K856" s="230"/>
      <c r="L856" s="231"/>
      <c r="M856" s="230"/>
      <c r="N856" s="230"/>
      <c r="O856" s="231"/>
    </row>
    <row r="857" spans="10:15" ht="15.75" customHeight="1" x14ac:dyDescent="0.3">
      <c r="J857" s="230"/>
      <c r="K857" s="230"/>
      <c r="L857" s="231"/>
      <c r="M857" s="230"/>
      <c r="N857" s="230"/>
      <c r="O857" s="231"/>
    </row>
    <row r="858" spans="10:15" ht="15.75" customHeight="1" x14ac:dyDescent="0.3">
      <c r="J858" s="230"/>
      <c r="K858" s="230"/>
      <c r="L858" s="231"/>
      <c r="M858" s="230"/>
      <c r="N858" s="230"/>
      <c r="O858" s="231"/>
    </row>
    <row r="859" spans="10:15" ht="15.75" customHeight="1" x14ac:dyDescent="0.3">
      <c r="J859" s="230"/>
      <c r="K859" s="230"/>
      <c r="L859" s="231"/>
      <c r="M859" s="230"/>
      <c r="N859" s="230"/>
      <c r="O859" s="231"/>
    </row>
    <row r="860" spans="10:15" ht="15.75" customHeight="1" x14ac:dyDescent="0.3">
      <c r="J860" s="230"/>
      <c r="K860" s="230"/>
      <c r="L860" s="231"/>
      <c r="M860" s="230"/>
      <c r="N860" s="230"/>
      <c r="O860" s="231"/>
    </row>
    <row r="861" spans="10:15" ht="15.75" customHeight="1" x14ac:dyDescent="0.3">
      <c r="J861" s="230"/>
      <c r="K861" s="230"/>
      <c r="L861" s="231"/>
      <c r="M861" s="230"/>
      <c r="N861" s="230"/>
      <c r="O861" s="231"/>
    </row>
    <row r="862" spans="10:15" ht="15.75" customHeight="1" x14ac:dyDescent="0.3">
      <c r="J862" s="230"/>
      <c r="K862" s="230"/>
      <c r="L862" s="231"/>
      <c r="M862" s="230"/>
      <c r="N862" s="230"/>
      <c r="O862" s="231"/>
    </row>
    <row r="863" spans="10:15" ht="15.75" customHeight="1" x14ac:dyDescent="0.3">
      <c r="J863" s="230"/>
      <c r="K863" s="230"/>
      <c r="L863" s="231"/>
      <c r="M863" s="230"/>
      <c r="N863" s="230"/>
      <c r="O863" s="231"/>
    </row>
    <row r="864" spans="10:15" ht="15.75" customHeight="1" x14ac:dyDescent="0.3">
      <c r="J864" s="230"/>
      <c r="K864" s="230"/>
      <c r="L864" s="231"/>
      <c r="M864" s="230"/>
      <c r="N864" s="230"/>
      <c r="O864" s="231"/>
    </row>
    <row r="865" spans="10:15" ht="15.75" customHeight="1" x14ac:dyDescent="0.3">
      <c r="J865" s="230"/>
      <c r="K865" s="230"/>
      <c r="L865" s="231"/>
      <c r="M865" s="230"/>
      <c r="N865" s="230"/>
      <c r="O865" s="231"/>
    </row>
    <row r="866" spans="10:15" ht="15.75" customHeight="1" x14ac:dyDescent="0.3">
      <c r="J866" s="230"/>
      <c r="K866" s="230"/>
      <c r="L866" s="231"/>
      <c r="M866" s="230"/>
      <c r="N866" s="230"/>
      <c r="O866" s="231"/>
    </row>
    <row r="867" spans="10:15" ht="15.75" customHeight="1" x14ac:dyDescent="0.3">
      <c r="J867" s="230"/>
      <c r="K867" s="230"/>
      <c r="L867" s="231"/>
      <c r="M867" s="230"/>
      <c r="N867" s="230"/>
      <c r="O867" s="231"/>
    </row>
    <row r="868" spans="10:15" ht="15.75" customHeight="1" x14ac:dyDescent="0.3">
      <c r="J868" s="230"/>
      <c r="K868" s="230"/>
      <c r="L868" s="231"/>
      <c r="M868" s="230"/>
      <c r="N868" s="230"/>
      <c r="O868" s="231"/>
    </row>
    <row r="869" spans="10:15" ht="15.75" customHeight="1" x14ac:dyDescent="0.3">
      <c r="J869" s="230"/>
      <c r="K869" s="230"/>
      <c r="L869" s="231"/>
      <c r="M869" s="230"/>
      <c r="N869" s="230"/>
      <c r="O869" s="231"/>
    </row>
    <row r="870" spans="10:15" ht="15.75" customHeight="1" x14ac:dyDescent="0.3">
      <c r="J870" s="230"/>
      <c r="K870" s="230"/>
      <c r="L870" s="231"/>
      <c r="M870" s="230"/>
      <c r="N870" s="230"/>
      <c r="O870" s="231"/>
    </row>
    <row r="871" spans="10:15" ht="15.75" customHeight="1" x14ac:dyDescent="0.3">
      <c r="J871" s="230"/>
      <c r="K871" s="230"/>
      <c r="L871" s="231"/>
      <c r="M871" s="230"/>
      <c r="N871" s="230"/>
      <c r="O871" s="231"/>
    </row>
    <row r="872" spans="10:15" ht="15.75" customHeight="1" x14ac:dyDescent="0.3">
      <c r="J872" s="230"/>
      <c r="K872" s="230"/>
      <c r="L872" s="231"/>
      <c r="M872" s="230"/>
      <c r="N872" s="230"/>
      <c r="O872" s="231"/>
    </row>
    <row r="873" spans="10:15" ht="15.75" customHeight="1" x14ac:dyDescent="0.3">
      <c r="J873" s="230"/>
      <c r="K873" s="230"/>
      <c r="L873" s="231"/>
      <c r="M873" s="230"/>
      <c r="N873" s="230"/>
      <c r="O873" s="231"/>
    </row>
    <row r="874" spans="10:15" ht="15.75" customHeight="1" x14ac:dyDescent="0.3">
      <c r="J874" s="230"/>
      <c r="K874" s="230"/>
      <c r="L874" s="231"/>
      <c r="M874" s="230"/>
      <c r="N874" s="230"/>
      <c r="O874" s="231"/>
    </row>
    <row r="875" spans="10:15" ht="15.75" customHeight="1" x14ac:dyDescent="0.3">
      <c r="J875" s="230"/>
      <c r="K875" s="230"/>
      <c r="L875" s="231"/>
      <c r="M875" s="230"/>
      <c r="N875" s="230"/>
      <c r="O875" s="231"/>
    </row>
    <row r="876" spans="10:15" ht="15.75" customHeight="1" x14ac:dyDescent="0.3">
      <c r="J876" s="230"/>
      <c r="K876" s="230"/>
      <c r="L876" s="231"/>
      <c r="M876" s="230"/>
      <c r="N876" s="230"/>
      <c r="O876" s="231"/>
    </row>
    <row r="877" spans="10:15" ht="15.75" customHeight="1" x14ac:dyDescent="0.3">
      <c r="J877" s="230"/>
      <c r="K877" s="230"/>
      <c r="L877" s="231"/>
      <c r="M877" s="230"/>
      <c r="N877" s="230"/>
      <c r="O877" s="231"/>
    </row>
    <row r="878" spans="10:15" ht="15.75" customHeight="1" x14ac:dyDescent="0.3">
      <c r="J878" s="230"/>
      <c r="K878" s="230"/>
      <c r="L878" s="231"/>
      <c r="M878" s="230"/>
      <c r="N878" s="230"/>
      <c r="O878" s="231"/>
    </row>
    <row r="879" spans="10:15" ht="15.75" customHeight="1" x14ac:dyDescent="0.3">
      <c r="J879" s="230"/>
      <c r="K879" s="230"/>
      <c r="L879" s="231"/>
      <c r="M879" s="230"/>
      <c r="N879" s="230"/>
      <c r="O879" s="231"/>
    </row>
    <row r="880" spans="10:15" ht="15.75" customHeight="1" x14ac:dyDescent="0.3">
      <c r="J880" s="230"/>
      <c r="K880" s="230"/>
      <c r="L880" s="231"/>
      <c r="M880" s="230"/>
      <c r="N880" s="230"/>
      <c r="O880" s="231"/>
    </row>
    <row r="881" spans="10:15" ht="15.75" customHeight="1" x14ac:dyDescent="0.3">
      <c r="J881" s="230"/>
      <c r="K881" s="230"/>
      <c r="L881" s="231"/>
      <c r="M881" s="230"/>
      <c r="N881" s="230"/>
      <c r="O881" s="231"/>
    </row>
    <row r="882" spans="10:15" ht="15.75" customHeight="1" x14ac:dyDescent="0.3">
      <c r="J882" s="230"/>
      <c r="K882" s="230"/>
      <c r="L882" s="231"/>
      <c r="M882" s="230"/>
      <c r="N882" s="230"/>
      <c r="O882" s="231"/>
    </row>
    <row r="883" spans="10:15" ht="15.75" customHeight="1" x14ac:dyDescent="0.3">
      <c r="J883" s="230"/>
      <c r="K883" s="230"/>
      <c r="L883" s="231"/>
      <c r="M883" s="230"/>
      <c r="N883" s="230"/>
      <c r="O883" s="231"/>
    </row>
    <row r="884" spans="10:15" ht="15.75" customHeight="1" x14ac:dyDescent="0.3">
      <c r="J884" s="230"/>
      <c r="K884" s="230"/>
      <c r="L884" s="231"/>
      <c r="M884" s="230"/>
      <c r="N884" s="230"/>
      <c r="O884" s="231"/>
    </row>
    <row r="885" spans="10:15" ht="15.75" customHeight="1" x14ac:dyDescent="0.3">
      <c r="J885" s="230"/>
      <c r="K885" s="230"/>
      <c r="L885" s="231"/>
      <c r="M885" s="230"/>
      <c r="N885" s="230"/>
      <c r="O885" s="231"/>
    </row>
    <row r="886" spans="10:15" ht="15.75" customHeight="1" x14ac:dyDescent="0.3">
      <c r="J886" s="230"/>
      <c r="K886" s="230"/>
      <c r="L886" s="231"/>
      <c r="M886" s="230"/>
      <c r="N886" s="230"/>
      <c r="O886" s="231"/>
    </row>
    <row r="887" spans="10:15" ht="15.75" customHeight="1" x14ac:dyDescent="0.3">
      <c r="J887" s="230"/>
      <c r="K887" s="230"/>
      <c r="L887" s="231"/>
      <c r="M887" s="230"/>
      <c r="N887" s="230"/>
      <c r="O887" s="231"/>
    </row>
    <row r="888" spans="10:15" ht="15.75" customHeight="1" x14ac:dyDescent="0.3">
      <c r="J888" s="230"/>
      <c r="K888" s="230"/>
      <c r="L888" s="231"/>
      <c r="M888" s="230"/>
      <c r="N888" s="230"/>
      <c r="O888" s="231"/>
    </row>
    <row r="889" spans="10:15" ht="15.75" customHeight="1" x14ac:dyDescent="0.3">
      <c r="J889" s="230"/>
      <c r="K889" s="230"/>
      <c r="L889" s="231"/>
      <c r="M889" s="230"/>
      <c r="N889" s="230"/>
      <c r="O889" s="231"/>
    </row>
    <row r="890" spans="10:15" ht="15.75" customHeight="1" x14ac:dyDescent="0.3">
      <c r="J890" s="230"/>
      <c r="K890" s="230"/>
      <c r="L890" s="231"/>
      <c r="M890" s="230"/>
      <c r="N890" s="230"/>
      <c r="O890" s="231"/>
    </row>
    <row r="891" spans="10:15" ht="15.75" customHeight="1" x14ac:dyDescent="0.3">
      <c r="J891" s="230"/>
      <c r="K891" s="230"/>
      <c r="L891" s="231"/>
      <c r="M891" s="230"/>
      <c r="N891" s="230"/>
      <c r="O891" s="231"/>
    </row>
    <row r="892" spans="10:15" ht="15.75" customHeight="1" x14ac:dyDescent="0.3">
      <c r="J892" s="230"/>
      <c r="K892" s="230"/>
      <c r="L892" s="231"/>
      <c r="M892" s="230"/>
      <c r="N892" s="230"/>
      <c r="O892" s="231"/>
    </row>
    <row r="893" spans="10:15" ht="15.75" customHeight="1" x14ac:dyDescent="0.3">
      <c r="J893" s="230"/>
      <c r="K893" s="230"/>
      <c r="L893" s="231"/>
      <c r="M893" s="230"/>
      <c r="N893" s="230"/>
      <c r="O893" s="231"/>
    </row>
    <row r="894" spans="10:15" ht="15.75" customHeight="1" x14ac:dyDescent="0.3">
      <c r="J894" s="230"/>
      <c r="K894" s="230"/>
      <c r="L894" s="231"/>
      <c r="M894" s="230"/>
      <c r="N894" s="230"/>
      <c r="O894" s="231"/>
    </row>
    <row r="895" spans="10:15" ht="15.75" customHeight="1" x14ac:dyDescent="0.3">
      <c r="J895" s="230"/>
      <c r="K895" s="230"/>
      <c r="L895" s="231"/>
      <c r="M895" s="230"/>
      <c r="N895" s="230"/>
      <c r="O895" s="231"/>
    </row>
    <row r="896" spans="10:15" ht="15.75" customHeight="1" x14ac:dyDescent="0.3">
      <c r="J896" s="230"/>
      <c r="K896" s="230"/>
      <c r="L896" s="231"/>
      <c r="M896" s="230"/>
      <c r="N896" s="230"/>
      <c r="O896" s="231"/>
    </row>
    <row r="897" spans="10:15" ht="15.75" customHeight="1" x14ac:dyDescent="0.3">
      <c r="J897" s="230"/>
      <c r="K897" s="230"/>
      <c r="L897" s="231"/>
      <c r="M897" s="230"/>
      <c r="N897" s="230"/>
      <c r="O897" s="231"/>
    </row>
    <row r="898" spans="10:15" ht="15.75" customHeight="1" x14ac:dyDescent="0.3">
      <c r="J898" s="230"/>
      <c r="K898" s="230"/>
      <c r="L898" s="231"/>
      <c r="M898" s="230"/>
      <c r="N898" s="230"/>
      <c r="O898" s="231"/>
    </row>
    <row r="899" spans="10:15" ht="15.75" customHeight="1" x14ac:dyDescent="0.3">
      <c r="J899" s="230"/>
      <c r="K899" s="230"/>
      <c r="L899" s="231"/>
      <c r="M899" s="230"/>
      <c r="N899" s="230"/>
      <c r="O899" s="231"/>
    </row>
    <row r="900" spans="10:15" ht="15.75" customHeight="1" x14ac:dyDescent="0.3">
      <c r="J900" s="230"/>
      <c r="K900" s="230"/>
      <c r="L900" s="231"/>
      <c r="M900" s="230"/>
      <c r="N900" s="230"/>
      <c r="O900" s="231"/>
    </row>
    <row r="901" spans="10:15" ht="15.75" customHeight="1" x14ac:dyDescent="0.3">
      <c r="J901" s="230"/>
      <c r="K901" s="230"/>
      <c r="L901" s="231"/>
      <c r="M901" s="230"/>
      <c r="N901" s="230"/>
      <c r="O901" s="231"/>
    </row>
    <row r="902" spans="10:15" ht="15.75" customHeight="1" x14ac:dyDescent="0.3">
      <c r="J902" s="230"/>
      <c r="K902" s="230"/>
      <c r="L902" s="231"/>
      <c r="M902" s="230"/>
      <c r="N902" s="230"/>
      <c r="O902" s="231"/>
    </row>
    <row r="903" spans="10:15" ht="15.75" customHeight="1" x14ac:dyDescent="0.3">
      <c r="J903" s="230"/>
      <c r="K903" s="230"/>
      <c r="L903" s="231"/>
      <c r="M903" s="230"/>
      <c r="N903" s="230"/>
      <c r="O903" s="231"/>
    </row>
    <row r="904" spans="10:15" ht="15.75" customHeight="1" x14ac:dyDescent="0.3">
      <c r="J904" s="230"/>
      <c r="K904" s="230"/>
      <c r="L904" s="231"/>
      <c r="M904" s="230"/>
      <c r="N904" s="230"/>
      <c r="O904" s="231"/>
    </row>
    <row r="905" spans="10:15" ht="15.75" customHeight="1" x14ac:dyDescent="0.3">
      <c r="J905" s="230"/>
      <c r="K905" s="230"/>
      <c r="L905" s="231"/>
      <c r="M905" s="230"/>
      <c r="N905" s="230"/>
      <c r="O905" s="231"/>
    </row>
    <row r="906" spans="10:15" ht="15.75" customHeight="1" x14ac:dyDescent="0.3">
      <c r="J906" s="230"/>
      <c r="K906" s="230"/>
      <c r="L906" s="231"/>
      <c r="M906" s="230"/>
      <c r="N906" s="230"/>
      <c r="O906" s="231"/>
    </row>
    <row r="907" spans="10:15" ht="15.75" customHeight="1" x14ac:dyDescent="0.3">
      <c r="J907" s="230"/>
      <c r="K907" s="230"/>
      <c r="L907" s="231"/>
      <c r="M907" s="230"/>
      <c r="N907" s="230"/>
      <c r="O907" s="231"/>
    </row>
    <row r="908" spans="10:15" ht="15.75" customHeight="1" x14ac:dyDescent="0.3">
      <c r="J908" s="230"/>
      <c r="K908" s="230"/>
      <c r="L908" s="231"/>
      <c r="M908" s="230"/>
      <c r="N908" s="230"/>
      <c r="O908" s="231"/>
    </row>
    <row r="909" spans="10:15" ht="15.75" customHeight="1" x14ac:dyDescent="0.3">
      <c r="J909" s="230"/>
      <c r="K909" s="230"/>
      <c r="L909" s="231"/>
      <c r="M909" s="230"/>
      <c r="N909" s="230"/>
      <c r="O909" s="231"/>
    </row>
    <row r="910" spans="10:15" ht="15.75" customHeight="1" x14ac:dyDescent="0.3">
      <c r="J910" s="230"/>
      <c r="K910" s="230"/>
      <c r="L910" s="231"/>
      <c r="M910" s="230"/>
      <c r="N910" s="230"/>
      <c r="O910" s="231"/>
    </row>
    <row r="911" spans="10:15" ht="15.75" customHeight="1" x14ac:dyDescent="0.3">
      <c r="J911" s="230"/>
      <c r="K911" s="230"/>
      <c r="L911" s="231"/>
      <c r="M911" s="230"/>
      <c r="N911" s="230"/>
      <c r="O911" s="231"/>
    </row>
    <row r="912" spans="10:15" ht="15.75" customHeight="1" x14ac:dyDescent="0.3">
      <c r="J912" s="230"/>
      <c r="K912" s="230"/>
      <c r="L912" s="231"/>
      <c r="M912" s="230"/>
      <c r="N912" s="230"/>
      <c r="O912" s="231"/>
    </row>
    <row r="913" spans="10:15" ht="15.75" customHeight="1" x14ac:dyDescent="0.3">
      <c r="J913" s="230"/>
      <c r="K913" s="230"/>
      <c r="L913" s="231"/>
      <c r="M913" s="230"/>
      <c r="N913" s="230"/>
      <c r="O913" s="231"/>
    </row>
    <row r="914" spans="10:15" ht="15.75" customHeight="1" x14ac:dyDescent="0.3">
      <c r="J914" s="230"/>
      <c r="K914" s="230"/>
      <c r="L914" s="231"/>
      <c r="M914" s="230"/>
      <c r="N914" s="230"/>
      <c r="O914" s="231"/>
    </row>
    <row r="915" spans="10:15" ht="15.75" customHeight="1" x14ac:dyDescent="0.3">
      <c r="J915" s="230"/>
      <c r="K915" s="230"/>
      <c r="L915" s="231"/>
      <c r="M915" s="230"/>
      <c r="N915" s="230"/>
      <c r="O915" s="231"/>
    </row>
    <row r="916" spans="10:15" ht="15.75" customHeight="1" x14ac:dyDescent="0.3">
      <c r="J916" s="230"/>
      <c r="K916" s="230"/>
      <c r="L916" s="231"/>
      <c r="M916" s="230"/>
      <c r="N916" s="230"/>
      <c r="O916" s="231"/>
    </row>
    <row r="917" spans="10:15" ht="15.75" customHeight="1" x14ac:dyDescent="0.3">
      <c r="J917" s="230"/>
      <c r="K917" s="230"/>
      <c r="L917" s="231"/>
      <c r="M917" s="230"/>
      <c r="N917" s="230"/>
      <c r="O917" s="231"/>
    </row>
    <row r="918" spans="10:15" ht="15.75" customHeight="1" x14ac:dyDescent="0.3">
      <c r="J918" s="230"/>
      <c r="K918" s="230"/>
      <c r="L918" s="231"/>
      <c r="M918" s="230"/>
      <c r="N918" s="230"/>
      <c r="O918" s="231"/>
    </row>
    <row r="919" spans="10:15" ht="15.75" customHeight="1" x14ac:dyDescent="0.3">
      <c r="J919" s="230"/>
      <c r="K919" s="230"/>
      <c r="L919" s="231"/>
      <c r="M919" s="230"/>
      <c r="N919" s="230"/>
      <c r="O919" s="231"/>
    </row>
    <row r="920" spans="10:15" ht="15.75" customHeight="1" x14ac:dyDescent="0.3">
      <c r="J920" s="230"/>
      <c r="K920" s="230"/>
      <c r="L920" s="231"/>
      <c r="M920" s="230"/>
      <c r="N920" s="230"/>
      <c r="O920" s="231"/>
    </row>
    <row r="921" spans="10:15" ht="15.75" customHeight="1" x14ac:dyDescent="0.3">
      <c r="J921" s="230"/>
      <c r="K921" s="230"/>
      <c r="L921" s="231"/>
      <c r="M921" s="230"/>
      <c r="N921" s="230"/>
      <c r="O921" s="231"/>
    </row>
    <row r="922" spans="10:15" ht="15.75" customHeight="1" x14ac:dyDescent="0.3">
      <c r="J922" s="230"/>
      <c r="K922" s="230"/>
      <c r="L922" s="231"/>
      <c r="M922" s="230"/>
      <c r="N922" s="230"/>
      <c r="O922" s="231"/>
    </row>
    <row r="923" spans="10:15" ht="15.75" customHeight="1" x14ac:dyDescent="0.3">
      <c r="J923" s="230"/>
      <c r="K923" s="230"/>
      <c r="L923" s="231"/>
      <c r="M923" s="230"/>
      <c r="N923" s="230"/>
      <c r="O923" s="231"/>
    </row>
    <row r="924" spans="10:15" ht="15.75" customHeight="1" x14ac:dyDescent="0.3">
      <c r="J924" s="230"/>
      <c r="K924" s="230"/>
      <c r="L924" s="231"/>
      <c r="M924" s="230"/>
      <c r="N924" s="230"/>
      <c r="O924" s="231"/>
    </row>
    <row r="925" spans="10:15" ht="15.75" customHeight="1" x14ac:dyDescent="0.3">
      <c r="J925" s="230"/>
      <c r="K925" s="230"/>
      <c r="L925" s="231"/>
      <c r="M925" s="230"/>
      <c r="N925" s="230"/>
      <c r="O925" s="231"/>
    </row>
    <row r="926" spans="10:15" ht="15.75" customHeight="1" x14ac:dyDescent="0.3">
      <c r="J926" s="230"/>
      <c r="K926" s="230"/>
      <c r="L926" s="231"/>
      <c r="M926" s="230"/>
      <c r="N926" s="230"/>
      <c r="O926" s="231"/>
    </row>
    <row r="927" spans="10:15" ht="15.75" customHeight="1" x14ac:dyDescent="0.3">
      <c r="J927" s="230"/>
      <c r="K927" s="230"/>
      <c r="L927" s="231"/>
      <c r="M927" s="230"/>
      <c r="N927" s="230"/>
      <c r="O927" s="231"/>
    </row>
    <row r="928" spans="10:15" ht="15.75" customHeight="1" x14ac:dyDescent="0.3">
      <c r="J928" s="230"/>
      <c r="K928" s="230"/>
      <c r="L928" s="231"/>
      <c r="M928" s="230"/>
      <c r="N928" s="230"/>
      <c r="O928" s="231"/>
    </row>
    <row r="929" spans="10:15" ht="15.75" customHeight="1" x14ac:dyDescent="0.3">
      <c r="J929" s="230"/>
      <c r="K929" s="230"/>
      <c r="L929" s="231"/>
      <c r="M929" s="230"/>
      <c r="N929" s="230"/>
      <c r="O929" s="231"/>
    </row>
    <row r="930" spans="10:15" ht="15.75" customHeight="1" x14ac:dyDescent="0.3">
      <c r="J930" s="230"/>
      <c r="K930" s="230"/>
      <c r="L930" s="231"/>
      <c r="M930" s="230"/>
      <c r="N930" s="230"/>
      <c r="O930" s="231"/>
    </row>
    <row r="931" spans="10:15" ht="15.75" customHeight="1" x14ac:dyDescent="0.3">
      <c r="J931" s="230"/>
      <c r="K931" s="230"/>
      <c r="L931" s="231"/>
      <c r="M931" s="230"/>
      <c r="N931" s="230"/>
      <c r="O931" s="231"/>
    </row>
    <row r="932" spans="10:15" ht="15.75" customHeight="1" x14ac:dyDescent="0.3">
      <c r="J932" s="230"/>
      <c r="K932" s="230"/>
      <c r="L932" s="231"/>
      <c r="M932" s="230"/>
      <c r="N932" s="230"/>
      <c r="O932" s="231"/>
    </row>
    <row r="933" spans="10:15" ht="15.75" customHeight="1" x14ac:dyDescent="0.3">
      <c r="J933" s="230"/>
      <c r="K933" s="230"/>
      <c r="L933" s="231"/>
      <c r="M933" s="230"/>
      <c r="N933" s="230"/>
      <c r="O933" s="231"/>
    </row>
    <row r="934" spans="10:15" ht="15.75" customHeight="1" x14ac:dyDescent="0.3">
      <c r="J934" s="230"/>
      <c r="K934" s="230"/>
      <c r="L934" s="231"/>
      <c r="M934" s="230"/>
      <c r="N934" s="230"/>
      <c r="O934" s="231"/>
    </row>
    <row r="935" spans="10:15" ht="15.75" customHeight="1" x14ac:dyDescent="0.3">
      <c r="J935" s="230"/>
      <c r="K935" s="230"/>
      <c r="L935" s="231"/>
      <c r="M935" s="230"/>
      <c r="N935" s="230"/>
      <c r="O935" s="231"/>
    </row>
    <row r="936" spans="10:15" ht="15.75" customHeight="1" x14ac:dyDescent="0.3">
      <c r="J936" s="230"/>
      <c r="K936" s="230"/>
      <c r="L936" s="231"/>
      <c r="M936" s="230"/>
      <c r="N936" s="230"/>
      <c r="O936" s="231"/>
    </row>
    <row r="937" spans="10:15" ht="15.75" customHeight="1" x14ac:dyDescent="0.3">
      <c r="J937" s="230"/>
      <c r="K937" s="230"/>
      <c r="L937" s="231"/>
      <c r="M937" s="230"/>
      <c r="N937" s="230"/>
      <c r="O937" s="231"/>
    </row>
    <row r="938" spans="10:15" ht="15.75" customHeight="1" x14ac:dyDescent="0.3">
      <c r="J938" s="230"/>
      <c r="K938" s="230"/>
      <c r="L938" s="231"/>
      <c r="M938" s="230"/>
      <c r="N938" s="230"/>
      <c r="O938" s="231"/>
    </row>
    <row r="939" spans="10:15" ht="15.75" customHeight="1" x14ac:dyDescent="0.3">
      <c r="J939" s="230"/>
      <c r="K939" s="230"/>
      <c r="L939" s="231"/>
      <c r="M939" s="230"/>
      <c r="N939" s="230"/>
      <c r="O939" s="231"/>
    </row>
    <row r="940" spans="10:15" ht="15.75" customHeight="1" x14ac:dyDescent="0.3">
      <c r="J940" s="230"/>
      <c r="K940" s="230"/>
      <c r="L940" s="231"/>
      <c r="M940" s="230"/>
      <c r="N940" s="230"/>
      <c r="O940" s="231"/>
    </row>
    <row r="941" spans="10:15" ht="15.75" customHeight="1" x14ac:dyDescent="0.3">
      <c r="J941" s="230"/>
      <c r="K941" s="230"/>
      <c r="L941" s="231"/>
      <c r="M941" s="230"/>
      <c r="N941" s="230"/>
      <c r="O941" s="231"/>
    </row>
    <row r="942" spans="10:15" ht="15.75" customHeight="1" x14ac:dyDescent="0.3">
      <c r="J942" s="230"/>
      <c r="K942" s="230"/>
      <c r="L942" s="231"/>
      <c r="M942" s="230"/>
      <c r="N942" s="230"/>
      <c r="O942" s="231"/>
    </row>
    <row r="943" spans="10:15" ht="15.75" customHeight="1" x14ac:dyDescent="0.3">
      <c r="J943" s="230"/>
      <c r="K943" s="230"/>
      <c r="L943" s="231"/>
      <c r="M943" s="230"/>
      <c r="N943" s="230"/>
      <c r="O943" s="231"/>
    </row>
    <row r="944" spans="10:15" ht="15.75" customHeight="1" x14ac:dyDescent="0.3">
      <c r="J944" s="230"/>
      <c r="K944" s="230"/>
      <c r="L944" s="231"/>
      <c r="M944" s="230"/>
      <c r="N944" s="230"/>
      <c r="O944" s="231"/>
    </row>
    <row r="945" spans="10:15" ht="15.75" customHeight="1" x14ac:dyDescent="0.3">
      <c r="J945" s="230"/>
      <c r="K945" s="230"/>
      <c r="L945" s="231"/>
      <c r="M945" s="230"/>
      <c r="N945" s="230"/>
      <c r="O945" s="231"/>
    </row>
    <row r="946" spans="10:15" ht="15.75" customHeight="1" x14ac:dyDescent="0.3">
      <c r="J946" s="230"/>
      <c r="K946" s="230"/>
      <c r="L946" s="231"/>
      <c r="M946" s="230"/>
      <c r="N946" s="230"/>
      <c r="O946" s="231"/>
    </row>
    <row r="947" spans="10:15" ht="15.75" customHeight="1" x14ac:dyDescent="0.3">
      <c r="J947" s="230"/>
      <c r="K947" s="230"/>
      <c r="L947" s="231"/>
      <c r="M947" s="230"/>
      <c r="N947" s="230"/>
      <c r="O947" s="231"/>
    </row>
    <row r="948" spans="10:15" ht="15.75" customHeight="1" x14ac:dyDescent="0.3">
      <c r="J948" s="230"/>
      <c r="K948" s="230"/>
      <c r="L948" s="231"/>
      <c r="M948" s="230"/>
      <c r="N948" s="230"/>
      <c r="O948" s="231"/>
    </row>
    <row r="949" spans="10:15" ht="15.75" customHeight="1" x14ac:dyDescent="0.3">
      <c r="J949" s="230"/>
      <c r="K949" s="230"/>
      <c r="L949" s="231"/>
      <c r="M949" s="230"/>
      <c r="N949" s="230"/>
      <c r="O949" s="231"/>
    </row>
    <row r="950" spans="10:15" ht="15.75" customHeight="1" x14ac:dyDescent="0.3">
      <c r="J950" s="230"/>
      <c r="K950" s="230"/>
      <c r="L950" s="231"/>
      <c r="M950" s="230"/>
      <c r="N950" s="230"/>
      <c r="O950" s="231"/>
    </row>
    <row r="951" spans="10:15" ht="15.75" customHeight="1" x14ac:dyDescent="0.3">
      <c r="J951" s="230"/>
      <c r="K951" s="230"/>
      <c r="L951" s="231"/>
      <c r="M951" s="230"/>
      <c r="N951" s="230"/>
      <c r="O951" s="231"/>
    </row>
    <row r="952" spans="10:15" ht="15.75" customHeight="1" x14ac:dyDescent="0.3">
      <c r="J952" s="230"/>
      <c r="K952" s="230"/>
      <c r="L952" s="231"/>
      <c r="M952" s="230"/>
      <c r="N952" s="230"/>
      <c r="O952" s="231"/>
    </row>
    <row r="953" spans="10:15" ht="15.75" customHeight="1" x14ac:dyDescent="0.3">
      <c r="J953" s="230"/>
      <c r="K953" s="230"/>
      <c r="L953" s="231"/>
      <c r="M953" s="230"/>
      <c r="N953" s="230"/>
      <c r="O953" s="231"/>
    </row>
    <row r="954" spans="10:15" ht="15.75" customHeight="1" x14ac:dyDescent="0.3">
      <c r="J954" s="230"/>
      <c r="K954" s="230"/>
      <c r="L954" s="231"/>
      <c r="M954" s="230"/>
      <c r="N954" s="230"/>
      <c r="O954" s="231"/>
    </row>
    <row r="955" spans="10:15" ht="15.75" customHeight="1" x14ac:dyDescent="0.3">
      <c r="J955" s="230"/>
      <c r="K955" s="230"/>
      <c r="L955" s="231"/>
      <c r="M955" s="230"/>
      <c r="N955" s="230"/>
      <c r="O955" s="231"/>
    </row>
    <row r="956" spans="10:15" ht="15.75" customHeight="1" x14ac:dyDescent="0.3">
      <c r="J956" s="230"/>
      <c r="K956" s="230"/>
      <c r="L956" s="231"/>
      <c r="M956" s="230"/>
      <c r="N956" s="230"/>
      <c r="O956" s="231"/>
    </row>
    <row r="957" spans="10:15" ht="15.75" customHeight="1" x14ac:dyDescent="0.3">
      <c r="J957" s="230"/>
      <c r="K957" s="230"/>
      <c r="L957" s="231"/>
      <c r="M957" s="230"/>
      <c r="N957" s="230"/>
      <c r="O957" s="231"/>
    </row>
    <row r="958" spans="10:15" ht="15.75" customHeight="1" x14ac:dyDescent="0.3">
      <c r="J958" s="230"/>
      <c r="K958" s="230"/>
      <c r="L958" s="231"/>
      <c r="M958" s="230"/>
      <c r="N958" s="230"/>
      <c r="O958" s="231"/>
    </row>
    <row r="959" spans="10:15" ht="15.75" customHeight="1" x14ac:dyDescent="0.3">
      <c r="J959" s="230"/>
      <c r="K959" s="230"/>
      <c r="L959" s="231"/>
      <c r="M959" s="230"/>
      <c r="N959" s="230"/>
      <c r="O959" s="231"/>
    </row>
    <row r="960" spans="10:15" ht="15.75" customHeight="1" x14ac:dyDescent="0.3">
      <c r="J960" s="230"/>
      <c r="K960" s="230"/>
      <c r="L960" s="231"/>
      <c r="M960" s="230"/>
      <c r="N960" s="230"/>
      <c r="O960" s="231"/>
    </row>
    <row r="961" spans="10:15" ht="15.75" customHeight="1" x14ac:dyDescent="0.3">
      <c r="J961" s="230"/>
      <c r="K961" s="230"/>
      <c r="L961" s="231"/>
      <c r="M961" s="230"/>
      <c r="N961" s="230"/>
      <c r="O961" s="231"/>
    </row>
    <row r="962" spans="10:15" ht="15.75" customHeight="1" x14ac:dyDescent="0.3">
      <c r="J962" s="230"/>
      <c r="K962" s="230"/>
      <c r="L962" s="231"/>
      <c r="M962" s="230"/>
      <c r="N962" s="230"/>
      <c r="O962" s="231"/>
    </row>
    <row r="963" spans="10:15" ht="15.75" customHeight="1" x14ac:dyDescent="0.3">
      <c r="J963" s="230"/>
      <c r="K963" s="230"/>
      <c r="L963" s="231"/>
      <c r="M963" s="230"/>
      <c r="N963" s="230"/>
      <c r="O963" s="231"/>
    </row>
    <row r="964" spans="10:15" ht="15.75" customHeight="1" x14ac:dyDescent="0.3">
      <c r="J964" s="230"/>
      <c r="K964" s="230"/>
      <c r="L964" s="231"/>
      <c r="M964" s="230"/>
      <c r="N964" s="230"/>
      <c r="O964" s="231"/>
    </row>
    <row r="965" spans="10:15" ht="15.75" customHeight="1" x14ac:dyDescent="0.3">
      <c r="J965" s="230"/>
      <c r="K965" s="230"/>
      <c r="L965" s="231"/>
      <c r="M965" s="230"/>
      <c r="N965" s="230"/>
      <c r="O965" s="231"/>
    </row>
    <row r="966" spans="10:15" ht="15.75" customHeight="1" x14ac:dyDescent="0.3">
      <c r="J966" s="230"/>
      <c r="K966" s="230"/>
      <c r="L966" s="231"/>
      <c r="M966" s="230"/>
      <c r="N966" s="230"/>
      <c r="O966" s="231"/>
    </row>
    <row r="967" spans="10:15" ht="15.75" customHeight="1" x14ac:dyDescent="0.3">
      <c r="J967" s="230"/>
      <c r="K967" s="230"/>
      <c r="L967" s="231"/>
      <c r="M967" s="230"/>
      <c r="N967" s="230"/>
      <c r="O967" s="231"/>
    </row>
    <row r="968" spans="10:15" ht="15.75" customHeight="1" x14ac:dyDescent="0.3">
      <c r="J968" s="230"/>
      <c r="K968" s="230"/>
      <c r="L968" s="231"/>
      <c r="M968" s="230"/>
      <c r="N968" s="230"/>
      <c r="O968" s="231"/>
    </row>
    <row r="969" spans="10:15" ht="15.75" customHeight="1" x14ac:dyDescent="0.3">
      <c r="J969" s="230"/>
      <c r="K969" s="230"/>
      <c r="L969" s="231"/>
      <c r="M969" s="230"/>
      <c r="N969" s="230"/>
      <c r="O969" s="231"/>
    </row>
    <row r="970" spans="10:15" ht="15.75" customHeight="1" x14ac:dyDescent="0.3">
      <c r="J970" s="230"/>
      <c r="K970" s="230"/>
      <c r="L970" s="231"/>
      <c r="M970" s="230"/>
      <c r="N970" s="230"/>
      <c r="O970" s="231"/>
    </row>
    <row r="971" spans="10:15" ht="15.75" customHeight="1" x14ac:dyDescent="0.3">
      <c r="J971" s="230"/>
      <c r="K971" s="230"/>
      <c r="L971" s="231"/>
      <c r="M971" s="230"/>
      <c r="N971" s="230"/>
      <c r="O971" s="231"/>
    </row>
    <row r="972" spans="10:15" ht="15.75" customHeight="1" x14ac:dyDescent="0.3">
      <c r="J972" s="230"/>
      <c r="K972" s="230"/>
      <c r="L972" s="231"/>
      <c r="M972" s="230"/>
      <c r="N972" s="230"/>
      <c r="O972" s="231"/>
    </row>
    <row r="973" spans="10:15" ht="15.75" customHeight="1" x14ac:dyDescent="0.3">
      <c r="J973" s="230"/>
      <c r="K973" s="230"/>
      <c r="L973" s="231"/>
      <c r="M973" s="230"/>
      <c r="N973" s="230"/>
      <c r="O973" s="231"/>
    </row>
    <row r="974" spans="10:15" ht="15.75" customHeight="1" x14ac:dyDescent="0.3">
      <c r="J974" s="230"/>
      <c r="K974" s="230"/>
      <c r="L974" s="231"/>
      <c r="M974" s="230"/>
      <c r="N974" s="230"/>
      <c r="O974" s="231"/>
    </row>
    <row r="975" spans="10:15" ht="15.75" customHeight="1" x14ac:dyDescent="0.3">
      <c r="J975" s="230"/>
      <c r="K975" s="230"/>
      <c r="L975" s="231"/>
      <c r="M975" s="230"/>
      <c r="N975" s="230"/>
      <c r="O975" s="231"/>
    </row>
    <row r="976" spans="10:15" ht="15.75" customHeight="1" x14ac:dyDescent="0.3">
      <c r="J976" s="230"/>
      <c r="K976" s="230"/>
      <c r="L976" s="231"/>
      <c r="M976" s="230"/>
      <c r="N976" s="230"/>
      <c r="O976" s="231"/>
    </row>
    <row r="977" spans="10:15" ht="15.75" customHeight="1" x14ac:dyDescent="0.3">
      <c r="J977" s="230"/>
      <c r="K977" s="230"/>
      <c r="L977" s="231"/>
      <c r="M977" s="230"/>
      <c r="N977" s="230"/>
      <c r="O977" s="231"/>
    </row>
    <row r="978" spans="10:15" ht="15.75" customHeight="1" x14ac:dyDescent="0.3">
      <c r="J978" s="230"/>
      <c r="K978" s="230"/>
      <c r="L978" s="231"/>
      <c r="M978" s="230"/>
      <c r="N978" s="230"/>
      <c r="O978" s="231"/>
    </row>
    <row r="979" spans="10:15" ht="15.75" customHeight="1" x14ac:dyDescent="0.3">
      <c r="J979" s="230"/>
      <c r="K979" s="230"/>
      <c r="L979" s="231"/>
      <c r="M979" s="230"/>
      <c r="N979" s="230"/>
      <c r="O979" s="231"/>
    </row>
    <row r="980" spans="10:15" ht="15.75" customHeight="1" x14ac:dyDescent="0.3">
      <c r="J980" s="230"/>
      <c r="K980" s="230"/>
      <c r="L980" s="231"/>
      <c r="M980" s="230"/>
      <c r="N980" s="230"/>
      <c r="O980" s="231"/>
    </row>
    <row r="981" spans="10:15" ht="15.75" customHeight="1" x14ac:dyDescent="0.3">
      <c r="J981" s="230"/>
      <c r="K981" s="230"/>
      <c r="L981" s="231"/>
      <c r="M981" s="230"/>
      <c r="N981" s="230"/>
      <c r="O981" s="231"/>
    </row>
    <row r="982" spans="10:15" ht="15.75" customHeight="1" x14ac:dyDescent="0.3">
      <c r="J982" s="230"/>
      <c r="K982" s="230"/>
      <c r="L982" s="231"/>
      <c r="M982" s="230"/>
      <c r="N982" s="230"/>
      <c r="O982" s="231"/>
    </row>
    <row r="983" spans="10:15" ht="15.75" customHeight="1" x14ac:dyDescent="0.3">
      <c r="J983" s="230"/>
      <c r="K983" s="230"/>
      <c r="L983" s="231"/>
      <c r="M983" s="230"/>
      <c r="N983" s="230"/>
      <c r="O983" s="231"/>
    </row>
    <row r="984" spans="10:15" ht="15.75" customHeight="1" x14ac:dyDescent="0.3">
      <c r="J984" s="230"/>
      <c r="K984" s="230"/>
      <c r="L984" s="231"/>
      <c r="M984" s="230"/>
      <c r="N984" s="230"/>
      <c r="O984" s="231"/>
    </row>
    <row r="985" spans="10:15" ht="15.75" customHeight="1" x14ac:dyDescent="0.3">
      <c r="J985" s="230"/>
      <c r="K985" s="230"/>
      <c r="L985" s="231"/>
      <c r="M985" s="230"/>
      <c r="N985" s="230"/>
      <c r="O985" s="231"/>
    </row>
    <row r="986" spans="10:15" ht="15.75" customHeight="1" x14ac:dyDescent="0.3">
      <c r="J986" s="230"/>
      <c r="K986" s="230"/>
      <c r="L986" s="231"/>
      <c r="M986" s="230"/>
      <c r="N986" s="230"/>
      <c r="O986" s="231"/>
    </row>
    <row r="987" spans="10:15" ht="15.75" customHeight="1" x14ac:dyDescent="0.3">
      <c r="J987" s="230"/>
      <c r="K987" s="230"/>
      <c r="L987" s="231"/>
      <c r="M987" s="230"/>
      <c r="N987" s="230"/>
      <c r="O987" s="231"/>
    </row>
    <row r="988" spans="10:15" ht="15.75" customHeight="1" x14ac:dyDescent="0.3">
      <c r="J988" s="230"/>
      <c r="K988" s="230"/>
      <c r="L988" s="231"/>
      <c r="M988" s="230"/>
      <c r="N988" s="230"/>
      <c r="O988" s="231"/>
    </row>
    <row r="989" spans="10:15" ht="15.75" customHeight="1" x14ac:dyDescent="0.3">
      <c r="J989" s="230"/>
      <c r="K989" s="230"/>
      <c r="L989" s="231"/>
      <c r="M989" s="230"/>
      <c r="N989" s="230"/>
      <c r="O989" s="231"/>
    </row>
    <row r="990" spans="10:15" ht="15.75" customHeight="1" x14ac:dyDescent="0.3">
      <c r="J990" s="230"/>
      <c r="K990" s="230"/>
      <c r="L990" s="231"/>
      <c r="M990" s="230"/>
      <c r="N990" s="230"/>
      <c r="O990" s="231"/>
    </row>
    <row r="991" spans="10:15" ht="15.75" customHeight="1" x14ac:dyDescent="0.3">
      <c r="J991" s="230"/>
      <c r="K991" s="230"/>
      <c r="L991" s="231"/>
      <c r="M991" s="230"/>
      <c r="N991" s="230"/>
      <c r="O991" s="231"/>
    </row>
    <row r="992" spans="10:15" ht="15.75" customHeight="1" x14ac:dyDescent="0.3">
      <c r="J992" s="230"/>
      <c r="K992" s="230"/>
      <c r="L992" s="231"/>
      <c r="M992" s="230"/>
      <c r="N992" s="230"/>
      <c r="O992" s="231"/>
    </row>
    <row r="993" spans="10:15" ht="15.75" customHeight="1" x14ac:dyDescent="0.3">
      <c r="J993" s="230"/>
      <c r="K993" s="230"/>
      <c r="L993" s="231"/>
      <c r="M993" s="230"/>
      <c r="N993" s="230"/>
      <c r="O993" s="231"/>
    </row>
    <row r="994" spans="10:15" ht="15.75" customHeight="1" x14ac:dyDescent="0.3">
      <c r="J994" s="230"/>
      <c r="K994" s="230"/>
      <c r="L994" s="231"/>
      <c r="M994" s="230"/>
      <c r="N994" s="230"/>
      <c r="O994" s="231"/>
    </row>
    <row r="995" spans="10:15" ht="15.75" customHeight="1" x14ac:dyDescent="0.3">
      <c r="J995" s="230"/>
      <c r="K995" s="230"/>
      <c r="L995" s="231"/>
      <c r="M995" s="230"/>
      <c r="N995" s="230"/>
      <c r="O995" s="231"/>
    </row>
    <row r="996" spans="10:15" ht="15.75" customHeight="1" x14ac:dyDescent="0.3">
      <c r="J996" s="230"/>
      <c r="K996" s="230"/>
      <c r="L996" s="231"/>
      <c r="M996" s="230"/>
      <c r="N996" s="230"/>
      <c r="O996" s="231"/>
    </row>
    <row r="997" spans="10:15" ht="15.75" customHeight="1" x14ac:dyDescent="0.3">
      <c r="J997" s="230"/>
      <c r="K997" s="230"/>
      <c r="L997" s="231"/>
      <c r="M997" s="230"/>
      <c r="N997" s="230"/>
      <c r="O997" s="231"/>
    </row>
    <row r="998" spans="10:15" ht="15.75" customHeight="1" x14ac:dyDescent="0.3">
      <c r="J998" s="230"/>
      <c r="K998" s="230"/>
      <c r="L998" s="231"/>
      <c r="M998" s="230"/>
      <c r="N998" s="230"/>
      <c r="O998" s="231"/>
    </row>
    <row r="999" spans="10:15" ht="15.75" customHeight="1" x14ac:dyDescent="0.3">
      <c r="J999" s="230"/>
      <c r="K999" s="230"/>
      <c r="L999" s="231"/>
      <c r="M999" s="230"/>
      <c r="N999" s="230"/>
      <c r="O999" s="231"/>
    </row>
    <row r="1000" spans="10:15" ht="15.75" customHeight="1" x14ac:dyDescent="0.3">
      <c r="J1000" s="230"/>
      <c r="K1000" s="230"/>
      <c r="L1000" s="231"/>
      <c r="M1000" s="230"/>
      <c r="N1000" s="230"/>
      <c r="O1000" s="231"/>
    </row>
    <row r="1001" spans="10:15" ht="15.75" customHeight="1" x14ac:dyDescent="0.3">
      <c r="J1001" s="230"/>
      <c r="K1001" s="230"/>
      <c r="L1001" s="231"/>
      <c r="M1001" s="230"/>
      <c r="N1001" s="230"/>
      <c r="O1001" s="231"/>
    </row>
    <row r="1002" spans="10:15" ht="15.75" customHeight="1" x14ac:dyDescent="0.3">
      <c r="J1002" s="230"/>
      <c r="K1002" s="230"/>
      <c r="L1002" s="231"/>
      <c r="M1002" s="230"/>
      <c r="N1002" s="230"/>
      <c r="O1002" s="231"/>
    </row>
    <row r="1003" spans="10:15" ht="15.75" customHeight="1" x14ac:dyDescent="0.3">
      <c r="J1003" s="230"/>
      <c r="K1003" s="230"/>
      <c r="L1003" s="231"/>
      <c r="M1003" s="230"/>
      <c r="N1003" s="230"/>
      <c r="O1003" s="231"/>
    </row>
    <row r="1004" spans="10:15" ht="15.75" customHeight="1" x14ac:dyDescent="0.3">
      <c r="J1004" s="230"/>
      <c r="K1004" s="230"/>
      <c r="L1004" s="231"/>
      <c r="M1004" s="230"/>
      <c r="N1004" s="230"/>
      <c r="O1004" s="231"/>
    </row>
    <row r="1005" spans="10:15" ht="15.75" customHeight="1" x14ac:dyDescent="0.3">
      <c r="J1005" s="230"/>
      <c r="K1005" s="230"/>
      <c r="L1005" s="231"/>
      <c r="M1005" s="230"/>
      <c r="N1005" s="230"/>
      <c r="O1005" s="231"/>
    </row>
    <row r="1006" spans="10:15" ht="15.75" customHeight="1" x14ac:dyDescent="0.3">
      <c r="J1006" s="230"/>
      <c r="K1006" s="230"/>
      <c r="L1006" s="231"/>
      <c r="M1006" s="230"/>
      <c r="N1006" s="230"/>
      <c r="O1006" s="231"/>
    </row>
    <row r="1007" spans="10:15" ht="15.75" customHeight="1" x14ac:dyDescent="0.3">
      <c r="J1007" s="230"/>
      <c r="K1007" s="230"/>
      <c r="L1007" s="231"/>
      <c r="M1007" s="230"/>
      <c r="N1007" s="230"/>
      <c r="O1007" s="231"/>
    </row>
    <row r="1008" spans="10:15" ht="15.75" customHeight="1" x14ac:dyDescent="0.3">
      <c r="J1008" s="230"/>
      <c r="K1008" s="230"/>
      <c r="L1008" s="231"/>
      <c r="M1008" s="230"/>
      <c r="N1008" s="230"/>
      <c r="O1008" s="231"/>
    </row>
    <row r="1009" spans="10:15" ht="15.75" customHeight="1" x14ac:dyDescent="0.3">
      <c r="J1009" s="230"/>
      <c r="K1009" s="230"/>
      <c r="L1009" s="231"/>
      <c r="M1009" s="230"/>
      <c r="N1009" s="230"/>
      <c r="O1009" s="231"/>
    </row>
    <row r="1010" spans="10:15" ht="15.75" customHeight="1" x14ac:dyDescent="0.3">
      <c r="J1010" s="230"/>
      <c r="K1010" s="230"/>
      <c r="L1010" s="231"/>
      <c r="M1010" s="230"/>
      <c r="N1010" s="230"/>
      <c r="O1010" s="231"/>
    </row>
    <row r="1011" spans="10:15" ht="15.75" customHeight="1" x14ac:dyDescent="0.3">
      <c r="J1011" s="230"/>
      <c r="K1011" s="230"/>
      <c r="L1011" s="231"/>
      <c r="M1011" s="230"/>
      <c r="N1011" s="230"/>
      <c r="O1011" s="231"/>
    </row>
    <row r="1012" spans="10:15" ht="15.75" customHeight="1" x14ac:dyDescent="0.3">
      <c r="J1012" s="230"/>
      <c r="K1012" s="230"/>
      <c r="L1012" s="231"/>
      <c r="M1012" s="230"/>
      <c r="N1012" s="230"/>
      <c r="O1012" s="231"/>
    </row>
    <row r="1013" spans="10:15" ht="15.75" customHeight="1" x14ac:dyDescent="0.3">
      <c r="J1013" s="230"/>
      <c r="K1013" s="230"/>
      <c r="L1013" s="231"/>
      <c r="M1013" s="230"/>
      <c r="N1013" s="230"/>
      <c r="O1013" s="231"/>
    </row>
    <row r="1014" spans="10:15" ht="15.75" customHeight="1" x14ac:dyDescent="0.3">
      <c r="J1014" s="230"/>
      <c r="K1014" s="230"/>
      <c r="L1014" s="231"/>
      <c r="M1014" s="230"/>
      <c r="N1014" s="230"/>
      <c r="O1014" s="231"/>
    </row>
    <row r="1015" spans="10:15" ht="15.75" customHeight="1" x14ac:dyDescent="0.3">
      <c r="J1015" s="230"/>
      <c r="K1015" s="230"/>
      <c r="L1015" s="231"/>
      <c r="M1015" s="230"/>
      <c r="N1015" s="230"/>
      <c r="O1015" s="231"/>
    </row>
    <row r="1016" spans="10:15" ht="15.75" customHeight="1" x14ac:dyDescent="0.3">
      <c r="J1016" s="230"/>
      <c r="K1016" s="230"/>
      <c r="L1016" s="231"/>
      <c r="M1016" s="230"/>
      <c r="N1016" s="230"/>
      <c r="O1016" s="231"/>
    </row>
    <row r="1017" spans="10:15" ht="15.75" customHeight="1" x14ac:dyDescent="0.3">
      <c r="J1017" s="230"/>
      <c r="K1017" s="230"/>
      <c r="L1017" s="231"/>
      <c r="M1017" s="230"/>
      <c r="N1017" s="230"/>
      <c r="O1017" s="231"/>
    </row>
    <row r="1018" spans="10:15" ht="15.75" customHeight="1" x14ac:dyDescent="0.3">
      <c r="J1018" s="230"/>
      <c r="K1018" s="230"/>
      <c r="L1018" s="231"/>
      <c r="M1018" s="230"/>
      <c r="N1018" s="230"/>
      <c r="O1018" s="231"/>
    </row>
    <row r="1019" spans="10:15" ht="15.75" customHeight="1" x14ac:dyDescent="0.3">
      <c r="J1019" s="230"/>
      <c r="K1019" s="230"/>
      <c r="L1019" s="231"/>
      <c r="M1019" s="230"/>
      <c r="N1019" s="230"/>
      <c r="O1019" s="231"/>
    </row>
    <row r="1020" spans="10:15" ht="15.75" customHeight="1" x14ac:dyDescent="0.3">
      <c r="J1020" s="230"/>
      <c r="K1020" s="230"/>
      <c r="L1020" s="231"/>
      <c r="M1020" s="230"/>
      <c r="N1020" s="230"/>
      <c r="O1020" s="231"/>
    </row>
    <row r="1021" spans="10:15" ht="15.75" customHeight="1" x14ac:dyDescent="0.3">
      <c r="J1021" s="230"/>
      <c r="K1021" s="230"/>
      <c r="L1021" s="231"/>
      <c r="M1021" s="230"/>
      <c r="N1021" s="230"/>
      <c r="O1021" s="231"/>
    </row>
    <row r="1022" spans="10:15" ht="15.75" customHeight="1" x14ac:dyDescent="0.3">
      <c r="J1022" s="230"/>
      <c r="K1022" s="230"/>
      <c r="L1022" s="231"/>
      <c r="M1022" s="230"/>
      <c r="N1022" s="230"/>
      <c r="O1022" s="231"/>
    </row>
    <row r="1023" spans="10:15" ht="15.75" customHeight="1" x14ac:dyDescent="0.3">
      <c r="J1023" s="230"/>
      <c r="K1023" s="230"/>
      <c r="L1023" s="231"/>
      <c r="M1023" s="230"/>
      <c r="N1023" s="230"/>
      <c r="O1023" s="231"/>
    </row>
    <row r="1024" spans="10:15" ht="15.75" customHeight="1" x14ac:dyDescent="0.3">
      <c r="J1024" s="230"/>
      <c r="K1024" s="230"/>
      <c r="L1024" s="231"/>
      <c r="M1024" s="230"/>
      <c r="N1024" s="230"/>
      <c r="O1024" s="231"/>
    </row>
    <row r="1025" spans="10:15" ht="15.75" customHeight="1" x14ac:dyDescent="0.3">
      <c r="J1025" s="230"/>
      <c r="K1025" s="230"/>
      <c r="L1025" s="231"/>
      <c r="M1025" s="230"/>
      <c r="N1025" s="230"/>
      <c r="O1025" s="231"/>
    </row>
    <row r="1026" spans="10:15" ht="15.75" customHeight="1" x14ac:dyDescent="0.3">
      <c r="J1026" s="230"/>
      <c r="K1026" s="230"/>
      <c r="L1026" s="231"/>
      <c r="M1026" s="230"/>
      <c r="N1026" s="230"/>
      <c r="O1026" s="231"/>
    </row>
    <row r="1027" spans="10:15" ht="15.75" customHeight="1" x14ac:dyDescent="0.3">
      <c r="J1027" s="230"/>
      <c r="K1027" s="230"/>
      <c r="L1027" s="231"/>
      <c r="M1027" s="230"/>
      <c r="N1027" s="230"/>
      <c r="O1027" s="231"/>
    </row>
    <row r="1028" spans="10:15" ht="15.75" customHeight="1" x14ac:dyDescent="0.3">
      <c r="J1028" s="230"/>
      <c r="K1028" s="230"/>
      <c r="L1028" s="231"/>
      <c r="M1028" s="230"/>
      <c r="N1028" s="230"/>
      <c r="O1028" s="231"/>
    </row>
    <row r="1029" spans="10:15" ht="15.75" customHeight="1" x14ac:dyDescent="0.3">
      <c r="J1029" s="230"/>
      <c r="K1029" s="230"/>
      <c r="L1029" s="231"/>
      <c r="M1029" s="230"/>
      <c r="N1029" s="230"/>
      <c r="O1029" s="231"/>
    </row>
    <row r="1030" spans="10:15" ht="15.75" customHeight="1" x14ac:dyDescent="0.3">
      <c r="J1030" s="230"/>
      <c r="K1030" s="230"/>
      <c r="L1030" s="231"/>
      <c r="M1030" s="230"/>
      <c r="N1030" s="230"/>
      <c r="O1030" s="231"/>
    </row>
    <row r="1031" spans="10:15" ht="15.75" customHeight="1" x14ac:dyDescent="0.3">
      <c r="J1031" s="230"/>
      <c r="K1031" s="230"/>
      <c r="L1031" s="231"/>
      <c r="M1031" s="230"/>
      <c r="N1031" s="230"/>
      <c r="O1031" s="231"/>
    </row>
    <row r="1032" spans="10:15" ht="15.75" customHeight="1" x14ac:dyDescent="0.3">
      <c r="J1032" s="230"/>
      <c r="K1032" s="230"/>
      <c r="L1032" s="231"/>
      <c r="M1032" s="230"/>
      <c r="N1032" s="230"/>
      <c r="O1032" s="231"/>
    </row>
    <row r="1033" spans="10:15" ht="15.75" customHeight="1" x14ac:dyDescent="0.3">
      <c r="J1033" s="230"/>
      <c r="K1033" s="230"/>
      <c r="L1033" s="231"/>
      <c r="M1033" s="230"/>
      <c r="N1033" s="230"/>
      <c r="O1033" s="231"/>
    </row>
    <row r="1034" spans="10:15" ht="15.75" customHeight="1" x14ac:dyDescent="0.3">
      <c r="J1034" s="230"/>
      <c r="K1034" s="230"/>
      <c r="L1034" s="231"/>
      <c r="M1034" s="230"/>
      <c r="N1034" s="230"/>
      <c r="O1034" s="231"/>
    </row>
    <row r="1035" spans="10:15" ht="15.75" customHeight="1" x14ac:dyDescent="0.3">
      <c r="J1035" s="230"/>
      <c r="K1035" s="230"/>
      <c r="L1035" s="231"/>
      <c r="M1035" s="230"/>
      <c r="N1035" s="230"/>
      <c r="O1035" s="231"/>
    </row>
  </sheetData>
  <mergeCells count="1">
    <mergeCell ref="D15:F15"/>
  </mergeCells>
  <printOptions horizontalCentered="1"/>
  <pageMargins left="0.51181102362204722" right="0.31496062992125984" top="0.35433070866141736" bottom="0.3543307086614173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LANDCO</vt:lpstr>
      <vt:lpstr>AURORA SUMMARY</vt:lpstr>
      <vt:lpstr>AURORA INCOME</vt:lpstr>
      <vt:lpstr>AURORA EXPENSES</vt:lpstr>
      <vt:lpstr>Warren Stead</vt:lpstr>
      <vt:lpstr>RSDFuel</vt:lpstr>
      <vt:lpstr>Brendon</vt:lpstr>
      <vt:lpstr>RSDFuel!Print_Area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Cohen</dc:creator>
  <cp:lastModifiedBy>Andrisa Schnell</cp:lastModifiedBy>
  <cp:lastPrinted>2026-04-21T05:12:38Z</cp:lastPrinted>
  <dcterms:created xsi:type="dcterms:W3CDTF">2025-09-16T09:10:03Z</dcterms:created>
  <dcterms:modified xsi:type="dcterms:W3CDTF">2026-05-01T12:38:13Z</dcterms:modified>
</cp:coreProperties>
</file>