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2 FEB ACCOUNTS\"/>
    </mc:Choice>
  </mc:AlternateContent>
  <xr:revisionPtr revIDLastSave="0" documentId="13_ncr:1_{0653FF7C-B695-4C95-824A-B180FC18A66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INCOME!$A$8:$D$10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4" i="26" l="1"/>
  <c r="J17" i="22" l="1"/>
  <c r="J16" i="22"/>
  <c r="G21" i="22" l="1"/>
  <c r="G23" i="22"/>
  <c r="E3" i="26" l="1"/>
  <c r="H4" i="27" l="1"/>
  <c r="G6" i="27"/>
  <c r="G5" i="27"/>
  <c r="G4" i="27"/>
  <c r="O19" i="27"/>
  <c r="Q33" i="26"/>
  <c r="AA16" i="26"/>
  <c r="AC16" i="26" s="1"/>
  <c r="H42" i="26"/>
  <c r="H43" i="26"/>
  <c r="AA43" i="26" s="1"/>
  <c r="AC43" i="26" s="1"/>
  <c r="AA44" i="26" l="1"/>
  <c r="E42" i="26"/>
  <c r="E2" i="26" s="1"/>
  <c r="Y37" i="26"/>
  <c r="X37" i="26"/>
  <c r="W37" i="26"/>
  <c r="V37" i="26"/>
  <c r="F37" i="26"/>
  <c r="F42" i="26" s="1"/>
  <c r="Y42" i="26" l="1"/>
  <c r="D7" i="27"/>
  <c r="X42" i="26"/>
  <c r="D6" i="27"/>
  <c r="V42" i="26"/>
  <c r="D4" i="27" s="1"/>
  <c r="W42" i="26"/>
  <c r="D5" i="27" s="1"/>
  <c r="F66" i="26"/>
  <c r="Y65" i="26"/>
  <c r="G7" i="27" s="1"/>
  <c r="I59" i="26"/>
  <c r="S52" i="26"/>
  <c r="Q51" i="26"/>
  <c r="Q50" i="26"/>
  <c r="S47" i="26"/>
  <c r="S48" i="26"/>
  <c r="Y46" i="26"/>
  <c r="I45" i="26"/>
  <c r="L41" i="26"/>
  <c r="L40" i="26"/>
  <c r="S39" i="26"/>
  <c r="I38" i="26"/>
  <c r="L34" i="26"/>
  <c r="Y31" i="26"/>
  <c r="K29" i="26"/>
  <c r="J27" i="26"/>
  <c r="J25" i="26"/>
  <c r="H23" i="26"/>
  <c r="R22" i="26"/>
  <c r="K20" i="26"/>
  <c r="H18" i="26"/>
  <c r="M11" i="26"/>
  <c r="M10" i="26"/>
  <c r="I26" i="26"/>
  <c r="I24" i="26"/>
  <c r="I21" i="26"/>
  <c r="I19" i="26"/>
  <c r="I17" i="26"/>
  <c r="AA17" i="26" s="1"/>
  <c r="AC17" i="26" s="1"/>
  <c r="I14" i="26"/>
  <c r="I12" i="26"/>
  <c r="I9" i="26"/>
  <c r="H13" i="26"/>
  <c r="H8" i="26"/>
  <c r="E64" i="26"/>
  <c r="F64" i="26" s="1"/>
  <c r="I7" i="27" l="1"/>
  <c r="AA42" i="26"/>
  <c r="AC42" i="26" s="1"/>
  <c r="C12" i="22"/>
  <c r="G13" i="22"/>
  <c r="D4" i="22"/>
  <c r="D53" i="28"/>
  <c r="E53" i="28" s="1"/>
  <c r="K24" i="22"/>
  <c r="K23" i="22"/>
  <c r="K22" i="22"/>
  <c r="K27" i="22" s="1"/>
  <c r="K31" i="22" s="1"/>
  <c r="J22" i="22"/>
  <c r="J31" i="22" s="1"/>
  <c r="C23" i="22" l="1"/>
  <c r="C22" i="22" l="1"/>
  <c r="D50" i="28" l="1"/>
  <c r="J50" i="28" s="1"/>
  <c r="F50" i="28" l="1"/>
  <c r="AC44" i="26" l="1"/>
  <c r="AA45" i="26"/>
  <c r="AC45" i="26" s="1"/>
  <c r="AA46" i="26"/>
  <c r="AC46" i="26" s="1"/>
  <c r="AA47" i="26"/>
  <c r="AC47" i="26" s="1"/>
  <c r="C21" i="22" l="1"/>
  <c r="J51" i="28"/>
  <c r="D51" i="28" l="1"/>
  <c r="H6" i="27"/>
  <c r="E51" i="28" l="1"/>
  <c r="AA41" i="26"/>
  <c r="AC41" i="26" s="1"/>
  <c r="E91" i="26"/>
  <c r="AA88" i="26" l="1"/>
  <c r="AC88" i="26" s="1"/>
  <c r="I18" i="22" l="1"/>
  <c r="J18" i="22"/>
  <c r="D48" i="28" l="1"/>
  <c r="H48" i="28" s="1"/>
  <c r="I5" i="27" l="1"/>
  <c r="N91" i="26"/>
  <c r="E102" i="26" s="1"/>
  <c r="AA90" i="26"/>
  <c r="P91" i="26"/>
  <c r="Q91" i="26"/>
  <c r="E105" i="26" s="1"/>
  <c r="O13" i="27" l="1"/>
  <c r="E104" i="26"/>
  <c r="T91" i="26"/>
  <c r="E108" i="26" s="1"/>
  <c r="R91" i="26"/>
  <c r="W91" i="26" l="1"/>
  <c r="E111" i="26" l="1"/>
  <c r="K5" i="27"/>
  <c r="V91" i="26"/>
  <c r="N25" i="27"/>
  <c r="O25" i="27" s="1"/>
  <c r="K4" i="27" l="1"/>
  <c r="E110" i="26"/>
  <c r="N24" i="27"/>
  <c r="AA69" i="26"/>
  <c r="AC69" i="26" s="1"/>
  <c r="AA70" i="26"/>
  <c r="AC70" i="26" s="1"/>
  <c r="AA71" i="26"/>
  <c r="AC71" i="26" s="1"/>
  <c r="AA72" i="26"/>
  <c r="AC72" i="26" s="1"/>
  <c r="AA74" i="26"/>
  <c r="AC74" i="26" s="1"/>
  <c r="AA75" i="26"/>
  <c r="AC75" i="26" s="1"/>
  <c r="AA76" i="26"/>
  <c r="AC76" i="26" s="1"/>
  <c r="AA77" i="26"/>
  <c r="AC77" i="26" s="1"/>
  <c r="AA78" i="26"/>
  <c r="AC78" i="26" s="1"/>
  <c r="AA79" i="26"/>
  <c r="AC79" i="26" s="1"/>
  <c r="AA80" i="26"/>
  <c r="AC80" i="26" s="1"/>
  <c r="AA81" i="26"/>
  <c r="AC81" i="26" s="1"/>
  <c r="AA82" i="26"/>
  <c r="AC82" i="26" s="1"/>
  <c r="AA83" i="26"/>
  <c r="AC83" i="26" s="1"/>
  <c r="AA84" i="26"/>
  <c r="AC84" i="26" s="1"/>
  <c r="AA85" i="26"/>
  <c r="AC85" i="26" s="1"/>
  <c r="AA86" i="26"/>
  <c r="AC86" i="26" s="1"/>
  <c r="AA87" i="26"/>
  <c r="AC87" i="26" s="1"/>
  <c r="O24" i="27" l="1"/>
  <c r="L91" i="26"/>
  <c r="E100" i="26" s="1"/>
  <c r="X91" i="26" l="1"/>
  <c r="E112" i="26" s="1"/>
  <c r="G91" i="26"/>
  <c r="E96" i="26" s="1"/>
  <c r="Z91" i="26"/>
  <c r="F91" i="26"/>
  <c r="E95" i="26" s="1"/>
  <c r="N19" i="27" s="1"/>
  <c r="O91" i="26"/>
  <c r="O12" i="27" l="1"/>
  <c r="E103" i="26"/>
  <c r="J6" i="27"/>
  <c r="S91" i="26"/>
  <c r="E107" i="26" s="1"/>
  <c r="N26" i="27"/>
  <c r="AA73" i="26"/>
  <c r="AC73" i="26" s="1"/>
  <c r="Y91" i="26"/>
  <c r="J91" i="26"/>
  <c r="E98" i="26" s="1"/>
  <c r="M91" i="26"/>
  <c r="E101" i="26" s="1"/>
  <c r="U91" i="26"/>
  <c r="E109" i="26" s="1"/>
  <c r="I91" i="26"/>
  <c r="E97" i="26" s="1"/>
  <c r="H91" i="26"/>
  <c r="AA92" i="26" s="1"/>
  <c r="K91" i="26"/>
  <c r="E99" i="26" s="1"/>
  <c r="D45" i="28"/>
  <c r="K7" i="27" l="1"/>
  <c r="E113" i="26"/>
  <c r="O26" i="27"/>
  <c r="G47" i="28"/>
  <c r="D46" i="28"/>
  <c r="E46" i="28" s="1"/>
  <c r="F45" i="28"/>
  <c r="K14" i="22"/>
  <c r="K15" i="22"/>
  <c r="E115" i="26" l="1"/>
  <c r="N30" i="27" l="1"/>
  <c r="C4" i="24"/>
  <c r="K6" i="27"/>
  <c r="D42" i="28" l="1"/>
  <c r="F42" i="28" s="1"/>
  <c r="D43" i="28"/>
  <c r="E43" i="28" s="1"/>
  <c r="J43" i="28" l="1"/>
  <c r="N27" i="27" l="1"/>
  <c r="AA14" i="26"/>
  <c r="AC14" i="26" s="1"/>
  <c r="AA28" i="26"/>
  <c r="AC28" i="26" s="1"/>
  <c r="AA36" i="26"/>
  <c r="AC36" i="26" s="1"/>
  <c r="AA49" i="26"/>
  <c r="AC49" i="26" s="1"/>
  <c r="AA50" i="26"/>
  <c r="AC50" i="26" s="1"/>
  <c r="AA51" i="26"/>
  <c r="AC51" i="26" s="1"/>
  <c r="AA52" i="26"/>
  <c r="AC52" i="26" s="1"/>
  <c r="AA53" i="26"/>
  <c r="AC53" i="26" s="1"/>
  <c r="AA59" i="26"/>
  <c r="AC59" i="26" s="1"/>
  <c r="AA60" i="26"/>
  <c r="AC60" i="26" s="1"/>
  <c r="AA61" i="26"/>
  <c r="AC61" i="26" s="1"/>
  <c r="AA62" i="26"/>
  <c r="AC62" i="26" s="1"/>
  <c r="AA63" i="26"/>
  <c r="AC63" i="26" s="1"/>
  <c r="AA64" i="26"/>
  <c r="AC64" i="26" s="1"/>
  <c r="AA65" i="26"/>
  <c r="AC65" i="26" s="1"/>
  <c r="AA66" i="26"/>
  <c r="AC66" i="26" s="1"/>
  <c r="AA67" i="26"/>
  <c r="AC67" i="26" s="1"/>
  <c r="AA68" i="26"/>
  <c r="AC68" i="26" s="1"/>
  <c r="AA48" i="26"/>
  <c r="AC48" i="26" s="1"/>
  <c r="AA40" i="26"/>
  <c r="AC40" i="26" s="1"/>
  <c r="AA35" i="26"/>
  <c r="AC35" i="26" s="1"/>
  <c r="AA33" i="26"/>
  <c r="AC33" i="26" s="1"/>
  <c r="AA32" i="26"/>
  <c r="AC32" i="26" s="1"/>
  <c r="AA31" i="26"/>
  <c r="AC31" i="26" s="1"/>
  <c r="AA27" i="26"/>
  <c r="AC27" i="26" s="1"/>
  <c r="AA26" i="26"/>
  <c r="AC26" i="26" s="1"/>
  <c r="AA24" i="26"/>
  <c r="AC24" i="26" s="1"/>
  <c r="AA23" i="26"/>
  <c r="AC23" i="26" s="1"/>
  <c r="AA21" i="26"/>
  <c r="AC21" i="26" s="1"/>
  <c r="AA19" i="26"/>
  <c r="AC19" i="26" s="1"/>
  <c r="AA15" i="26"/>
  <c r="AC15" i="26" s="1"/>
  <c r="AA39" i="26"/>
  <c r="AC39" i="26" s="1"/>
  <c r="AA37" i="26"/>
  <c r="AC37" i="26" s="1"/>
  <c r="AA34" i="26"/>
  <c r="AC34" i="26" s="1"/>
  <c r="AA30" i="26"/>
  <c r="AC30" i="26" s="1"/>
  <c r="AA25" i="26"/>
  <c r="AC25" i="26" s="1"/>
  <c r="AA22" i="26"/>
  <c r="AC22" i="26" s="1"/>
  <c r="AA20" i="26"/>
  <c r="AC20" i="26" s="1"/>
  <c r="AA18" i="26"/>
  <c r="AC18" i="26" s="1"/>
  <c r="AA11" i="26"/>
  <c r="AC11" i="26" s="1"/>
  <c r="AA10" i="26"/>
  <c r="AC10" i="26" s="1"/>
  <c r="O27" i="27" l="1"/>
  <c r="N28" i="27"/>
  <c r="AA38" i="26"/>
  <c r="AC38" i="26" s="1"/>
  <c r="AA13" i="26"/>
  <c r="AC13" i="26" s="1"/>
  <c r="AA8" i="26"/>
  <c r="AA29" i="26"/>
  <c r="AC29" i="26" s="1"/>
  <c r="AA12" i="26"/>
  <c r="AC12" i="26" s="1"/>
  <c r="AA9" i="26"/>
  <c r="AC9" i="26" s="1"/>
  <c r="G41" i="28" l="1"/>
  <c r="K41" i="28"/>
  <c r="O5" i="27"/>
  <c r="O6" i="27"/>
  <c r="O7" i="27"/>
  <c r="O8" i="27"/>
  <c r="O9" i="27"/>
  <c r="O10" i="27"/>
  <c r="O11" i="27"/>
  <c r="O14" i="27"/>
  <c r="O15" i="27"/>
  <c r="O16" i="27"/>
  <c r="O17" i="27"/>
  <c r="O18" i="27"/>
  <c r="O4" i="27"/>
  <c r="C4" i="27" l="1"/>
  <c r="L4" i="27" s="1"/>
  <c r="J41" i="28"/>
  <c r="E4" i="22" l="1"/>
  <c r="C5" i="27"/>
  <c r="L5" i="27" s="1"/>
  <c r="E5" i="22" s="1"/>
  <c r="C6" i="27" l="1"/>
  <c r="L6" i="27" s="1"/>
  <c r="E6" i="22" s="1"/>
  <c r="C7" i="27" l="1"/>
  <c r="L7" i="27" s="1"/>
  <c r="E7" i="22" s="1"/>
  <c r="L8" i="27" l="1"/>
  <c r="H39" i="28" l="1"/>
  <c r="J39" i="28" s="1"/>
  <c r="D39" i="28"/>
  <c r="G38" i="28"/>
  <c r="D37" i="28"/>
  <c r="J35" i="28"/>
  <c r="H35" i="28"/>
  <c r="J34" i="28"/>
  <c r="G34" i="28"/>
  <c r="I34" i="28" s="1"/>
  <c r="J32" i="28"/>
  <c r="D32" i="28" s="1"/>
  <c r="F32" i="28" s="1"/>
  <c r="D31" i="28"/>
  <c r="E31" i="28" s="1"/>
  <c r="D29" i="28"/>
  <c r="H29" i="28" s="1"/>
  <c r="D28" i="28"/>
  <c r="E28" i="28" s="1"/>
  <c r="J26" i="28"/>
  <c r="F26" i="28"/>
  <c r="D25" i="28"/>
  <c r="J25" i="28" s="1"/>
  <c r="J24" i="28"/>
  <c r="G24" i="28"/>
  <c r="D22" i="28"/>
  <c r="E22" i="28" s="1"/>
  <c r="D20" i="28"/>
  <c r="G20" i="28" s="1"/>
  <c r="J20" i="28" s="1"/>
  <c r="J19" i="28"/>
  <c r="D19" i="28"/>
  <c r="F19" i="28" s="1"/>
  <c r="D18" i="28"/>
  <c r="D16" i="28"/>
  <c r="G16" i="28" s="1"/>
  <c r="I16" i="28" s="1"/>
  <c r="J15" i="28"/>
  <c r="F15" i="28"/>
  <c r="D14" i="28"/>
  <c r="J13" i="28"/>
  <c r="G13" i="28"/>
  <c r="I13" i="28" s="1"/>
  <c r="J11" i="28"/>
  <c r="I11" i="28"/>
  <c r="G11" i="28"/>
  <c r="J9" i="28"/>
  <c r="G9" i="28"/>
  <c r="I9" i="28" s="1"/>
  <c r="J8" i="28"/>
  <c r="F8" i="28"/>
  <c r="I8" i="28" s="1"/>
  <c r="J7" i="28"/>
  <c r="G7" i="28"/>
  <c r="K11" i="28" l="1"/>
  <c r="J16" i="28"/>
  <c r="K13" i="28"/>
  <c r="I15" i="28"/>
  <c r="K37" i="28"/>
  <c r="J37" i="28"/>
  <c r="H14" i="28"/>
  <c r="K34" i="28"/>
  <c r="J14" i="28"/>
  <c r="K28" i="28"/>
  <c r="K18" i="28"/>
  <c r="E3" i="28"/>
  <c r="F3" i="28" s="1"/>
  <c r="I7" i="28"/>
  <c r="K22" i="28"/>
  <c r="K31" i="28"/>
  <c r="K24" i="28"/>
  <c r="F37" i="28"/>
  <c r="E2" i="28" s="1"/>
  <c r="F2" i="28" s="1"/>
  <c r="H25" i="28"/>
  <c r="E4" i="28" s="1"/>
  <c r="F4" i="28" s="1"/>
  <c r="E18" i="28"/>
  <c r="E1" i="28" l="1"/>
  <c r="I14" i="28"/>
  <c r="K7" i="28"/>
  <c r="F1" i="28"/>
  <c r="G5" i="28" s="1"/>
  <c r="E5" i="28"/>
  <c r="F5" i="28" s="1"/>
  <c r="F8" i="22" l="1"/>
  <c r="D25" i="22" l="1"/>
  <c r="D21" i="22" l="1"/>
  <c r="AA91" i="26" l="1"/>
  <c r="AA93" i="26" s="1"/>
  <c r="AA94" i="26" s="1"/>
  <c r="AC8" i="26"/>
  <c r="AC89" i="26" l="1"/>
  <c r="E4" i="26"/>
  <c r="E117" i="26" s="1"/>
  <c r="G4" i="26" l="1"/>
  <c r="H4" i="26" s="1"/>
  <c r="L9" i="27"/>
  <c r="L12" i="27" s="1"/>
  <c r="F5" i="22" l="1"/>
  <c r="F7" i="22"/>
  <c r="F6" i="22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s="1"/>
  <c r="K13" i="22" s="1"/>
  <c r="C18" i="22" l="1"/>
  <c r="E18" i="22" l="1"/>
  <c r="D18" i="22"/>
  <c r="J19" i="22" l="1"/>
  <c r="C16" i="24" l="1"/>
  <c r="C18" i="24" s="1"/>
  <c r="D11" i="24"/>
  <c r="D16" i="24" s="1"/>
  <c r="D18" i="24" s="1"/>
  <c r="W3" i="26" l="1"/>
  <c r="D22" i="22" l="1"/>
  <c r="H5" i="22"/>
  <c r="D23" i="22" l="1"/>
  <c r="H6" i="22"/>
  <c r="L10" i="27" l="1"/>
  <c r="N31" i="27"/>
  <c r="E9" i="22" l="1"/>
  <c r="B16" i="22" s="1"/>
  <c r="F4" i="22" l="1"/>
  <c r="H4" i="22" s="1"/>
  <c r="F9" i="22" l="1"/>
  <c r="B17" i="22" l="1"/>
  <c r="B18" i="22" l="1"/>
  <c r="C19" i="22" s="1"/>
  <c r="K12" i="22" l="1"/>
  <c r="G18" i="22"/>
  <c r="H16" i="22" l="1"/>
  <c r="K16" i="22" l="1"/>
  <c r="C24" i="22" l="1"/>
  <c r="H7" i="22" l="1"/>
  <c r="D24" i="22"/>
  <c r="D26" i="22" s="1"/>
  <c r="C26" i="22"/>
  <c r="G22" i="22" l="1"/>
  <c r="H17" i="22"/>
  <c r="K17" i="22" l="1"/>
  <c r="K19" i="22" s="1"/>
  <c r="H18" i="22"/>
  <c r="H19" i="22" s="1"/>
  <c r="H22" i="22"/>
  <c r="G26" i="22"/>
  <c r="G2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D43" authorId="0" shapeId="0" xr:uid="{BCDC6F4E-A8BA-4D81-AF4A-B66F34DBF7E6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Pay to Landco and Andrisa towards Landco Petty cash</t>
        </r>
      </text>
    </comment>
  </commentList>
</comments>
</file>

<file path=xl/sharedStrings.xml><?xml version="1.0" encoding="utf-8"?>
<sst xmlns="http://schemas.openxmlformats.org/spreadsheetml/2006/main" count="358" uniqueCount="170">
  <si>
    <t>LANDCO INCOME</t>
  </si>
  <si>
    <t>DATE</t>
  </si>
  <si>
    <t>NAME</t>
  </si>
  <si>
    <t>ACCOMODATION</t>
  </si>
  <si>
    <t>ALEX</t>
  </si>
  <si>
    <t>BANK</t>
  </si>
  <si>
    <t>WARREN STEAD</t>
  </si>
  <si>
    <t>H1</t>
  </si>
  <si>
    <t>H2</t>
  </si>
  <si>
    <t>H3</t>
  </si>
  <si>
    <t>H4</t>
  </si>
  <si>
    <t>Total</t>
  </si>
  <si>
    <t>NEGU</t>
  </si>
  <si>
    <t>PAYMENTS</t>
  </si>
  <si>
    <t>BALANCE</t>
  </si>
  <si>
    <t>CASH</t>
  </si>
  <si>
    <t>HOUSE</t>
  </si>
  <si>
    <t>WARREN PAY TRACY SALARY AND RECRUITMENT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</si>
  <si>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</si>
  <si>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</si>
  <si>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</si>
  <si>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</si>
  <si>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</si>
  <si>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</si>
  <si>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</si>
  <si>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</si>
  <si>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TAFY RECEIVED FROM ROBIN</t>
  </si>
  <si>
    <t>BRENDON 7 DAYS @80</t>
  </si>
  <si>
    <t>KEIVIN PAY TO BANK</t>
  </si>
  <si>
    <t>TAFY RECEIVED FROM AANGIE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</si>
  <si>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</si>
  <si>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</si>
  <si>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</si>
  <si>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</si>
  <si>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</si>
  <si>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</si>
  <si>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</si>
  <si>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TAFY RECEIVED FROM ALEX</t>
  </si>
  <si>
    <t>ARON ACCOMMODATION IN H4</t>
  </si>
  <si>
    <t>CREDIT IVA H3 - KEITH &amp; SUE X 8 NIGHTS @ 75</t>
  </si>
  <si>
    <t>CREDIT IVA H1 - LESLEY X 6 NIGHTS</t>
  </si>
  <si>
    <t>CASA AURORA</t>
  </si>
  <si>
    <t>NEGO</t>
  </si>
  <si>
    <t>LANDCO EXPENSES</t>
  </si>
  <si>
    <t>ALAIN WARREN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</si>
  <si>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</si>
  <si>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</si>
  <si>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</si>
  <si>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</si>
  <si>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</si>
  <si>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</si>
  <si>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</si>
  <si>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</si>
  <si>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</si>
  <si>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</si>
  <si>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</si>
  <si>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</si>
  <si>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</si>
  <si>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</si>
  <si>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</si>
  <si>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</si>
  <si>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</si>
  <si>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</si>
  <si>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</si>
  <si>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</si>
  <si>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</si>
  <si>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</si>
  <si>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</si>
  <si>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</si>
  <si>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</si>
  <si>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</si>
  <si>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</si>
  <si>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</si>
  <si>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ADMIN CHARGES (BDO &amp; ANDRISA ENS )</t>
  </si>
  <si>
    <t>LANDCO BANK EXPENSES PER HOUSE</t>
  </si>
  <si>
    <t>SHARED</t>
  </si>
  <si>
    <t>WARREN</t>
  </si>
  <si>
    <t xml:space="preserve">WARREN STEAD </t>
  </si>
  <si>
    <t>SUSPENSE</t>
  </si>
  <si>
    <t>CASUAL WORKERS AND ALLOWANCE</t>
  </si>
  <si>
    <t xml:space="preserve">SALARIES </t>
  </si>
  <si>
    <t>HOUSEHOLD EQUIPMENT</t>
  </si>
  <si>
    <t>TAFY</t>
  </si>
  <si>
    <t>BRENDON</t>
  </si>
  <si>
    <t>BANK/PRE-PAID &amp; $</t>
  </si>
  <si>
    <t>ALEX TRANSFER TO MONIQUE</t>
  </si>
  <si>
    <t>REVERSE ALEX TRANSFER TO ALEX ENVELOPE</t>
  </si>
  <si>
    <t>EQUIPMENT</t>
  </si>
  <si>
    <t>IRPS</t>
  </si>
  <si>
    <t>INSS</t>
  </si>
  <si>
    <t>OFFICE &amp; BANK CHARGES</t>
  </si>
  <si>
    <t xml:space="preserve">EQUIPMENT PRESSURE PUMP X 2 </t>
  </si>
  <si>
    <t>TOTAL PERSONAL</t>
  </si>
  <si>
    <t>PETROL  &amp; BATTERY</t>
  </si>
  <si>
    <t>TAFY RE ROBIN</t>
  </si>
  <si>
    <t>WARREN INVESTMENT DOLLAR ACCOUNT</t>
  </si>
  <si>
    <t>EXPENSES BY GUESTS</t>
  </si>
  <si>
    <t>PETTY CAH</t>
  </si>
  <si>
    <t>DOCUMENTS TO MAPUTO</t>
  </si>
  <si>
    <t>FOOD FOR WORKERS</t>
  </si>
  <si>
    <t>COMMUNITY</t>
  </si>
  <si>
    <t>COMMUNITY DONATION</t>
  </si>
  <si>
    <t xml:space="preserve">TAFY </t>
  </si>
  <si>
    <t>WARREN STEAD DEP BANK</t>
  </si>
  <si>
    <t xml:space="preserve">received Jan </t>
  </si>
  <si>
    <t xml:space="preserve">ALEX </t>
  </si>
  <si>
    <t>WARREN COHEN</t>
  </si>
  <si>
    <t>RECEIVED IN METS</t>
  </si>
  <si>
    <t>ANDRISA CASH</t>
  </si>
  <si>
    <t xml:space="preserve">NEGU </t>
  </si>
  <si>
    <t>RECEIVED TO REPLAY BURGARY</t>
  </si>
  <si>
    <t>BALANCE END JAN</t>
  </si>
  <si>
    <t>INCOME FEB</t>
  </si>
  <si>
    <t>EXPENSES FEB</t>
  </si>
  <si>
    <t>TOTAL END FEB</t>
  </si>
  <si>
    <t>Leave</t>
  </si>
  <si>
    <t>Salaries &amp; Wages</t>
  </si>
  <si>
    <t>Bank Charges</t>
  </si>
  <si>
    <t>Office expenses</t>
  </si>
  <si>
    <t>Quimical swimming pools</t>
  </si>
  <si>
    <t>Pool Maintenance</t>
  </si>
  <si>
    <t>Advance</t>
  </si>
  <si>
    <t>Union Fee</t>
  </si>
  <si>
    <t>Electrisity</t>
  </si>
  <si>
    <t>Gas&amp; Eletrisity</t>
  </si>
  <si>
    <t>Diesel Generator</t>
  </si>
  <si>
    <t>General Maintenance</t>
  </si>
  <si>
    <t>Accounting</t>
  </si>
  <si>
    <t>Accounting fee Feb</t>
  </si>
  <si>
    <t>Admin Fee</t>
  </si>
  <si>
    <t>Admin Cost</t>
  </si>
  <si>
    <t>Gas Jan</t>
  </si>
  <si>
    <t>House Kepping Towel Duck</t>
  </si>
  <si>
    <t>House Keping</t>
  </si>
  <si>
    <t>SIM R SEG</t>
  </si>
  <si>
    <t>INSURANCE JET SKI AND TRAILER</t>
  </si>
  <si>
    <t>Revisao de Extintores</t>
  </si>
  <si>
    <t>MAINTENANCE</t>
  </si>
  <si>
    <t>Dolar to Mets</t>
  </si>
  <si>
    <t>Salario Feb</t>
  </si>
  <si>
    <t>SALARIES FEB</t>
  </si>
  <si>
    <t>Cleaning supplies</t>
  </si>
  <si>
    <t>Eletrical material</t>
  </si>
  <si>
    <t>Lampadas</t>
  </si>
  <si>
    <t>FISH  BODYBOARD</t>
  </si>
  <si>
    <t xml:space="preserve">HOUSE 4 </t>
  </si>
  <si>
    <t>WINDO CLEAN</t>
  </si>
  <si>
    <t>SUNLIGHT</t>
  </si>
  <si>
    <t>SOAP</t>
  </si>
  <si>
    <t>HOUSE KEEPING HOUSE 1</t>
  </si>
  <si>
    <t>IMPOSTOS VEICULOS</t>
  </si>
  <si>
    <t>TAX  LICENSE</t>
  </si>
  <si>
    <t>TAX RADIO LICENSE</t>
  </si>
  <si>
    <t>TECNO 40 X 2</t>
  </si>
  <si>
    <t>CELL FOR GUARDS SECURITY</t>
  </si>
  <si>
    <t>STARLINK FOR FEB</t>
  </si>
  <si>
    <t>INACIO AND PEDRO CLEANING BOAT</t>
  </si>
  <si>
    <t>BEFORE CYCLONE INACIO, ZITO AND PEDRO</t>
  </si>
  <si>
    <t>PETROL ALLOWANS JAN AND FEB</t>
  </si>
  <si>
    <t>ANDRISA HALF OF EXPENSES DIRE</t>
  </si>
  <si>
    <t>SEAPORT CLEANING MATERIAL BOATS</t>
  </si>
  <si>
    <t>CHRIS MONTHLY FEE</t>
  </si>
  <si>
    <t>Salaries &amp; Wages Jan</t>
  </si>
  <si>
    <t>Salaries &amp; Wages Feb</t>
  </si>
  <si>
    <t>BOAT CLEANING MATERIAL</t>
  </si>
  <si>
    <t>END FEB</t>
  </si>
  <si>
    <t>SHAREHOLDERS ACCOUNTS END  FEB</t>
  </si>
  <si>
    <t>DOLLAR CASH</t>
  </si>
  <si>
    <t>BANK MTS &amp; $</t>
  </si>
  <si>
    <t>BOAT SKIPPERS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</si>
</sst>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1" formatCode="#,##0.00_ ;\-#,##0.00\ "/>
    <numFmt numFmtId="172" formatCode="[$MZN]\ #,##0.00"/>
    <numFmt numFmtId="173" formatCode="&quot;$&quot;#,##0.00"/>
    <numFmt numFmtId="174" formatCode="[$-409]mmm\-yy;@"/>
    <numFmt numFmtId="175" formatCode="[$-409]dd\-mmm\-yy;@"/>
    <numFmt numFmtId="176" formatCode="[$-409]d\-mmm\-yy"/>
    <numFmt numFmtId="177" formatCode="[$-409]d\-mmm;@"/>
    <numFmt numFmtId="178" formatCode="_-* #,##0.00_-;\-* #,##0.00_-;_-* &quot;-&quot;??_-;_-@"/>
    <numFmt numFmtId="179" formatCode="#,##0.0000000000000"/>
    <numFmt numFmtId="180" formatCode="[$$-409]#,##0.00"/>
  </numFmts>
  <fonts count="75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165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7" fontId="27" fillId="0" borderId="0" applyBorder="0" applyProtection="0"/>
    <xf numFmtId="168" fontId="27" fillId="0" borderId="0" applyBorder="0" applyProtection="0"/>
    <xf numFmtId="167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5" fontId="27" fillId="0" borderId="0" applyBorder="0" applyProtection="0"/>
    <xf numFmtId="0" fontId="16" fillId="0" borderId="0"/>
    <xf numFmtId="0" fontId="16" fillId="0" borderId="0"/>
    <xf numFmtId="0" fontId="27" fillId="0" borderId="0"/>
    <xf numFmtId="0" fontId="16" fillId="0" borderId="0"/>
    <xf numFmtId="0" fontId="2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9" fontId="27" fillId="0" borderId="0" applyBorder="0" applyProtection="0"/>
    <xf numFmtId="0" fontId="29" fillId="0" borderId="0"/>
    <xf numFmtId="0" fontId="15" fillId="0" borderId="0"/>
    <xf numFmtId="0" fontId="34" fillId="0" borderId="0"/>
    <xf numFmtId="0" fontId="14" fillId="0" borderId="0"/>
    <xf numFmtId="0" fontId="33" fillId="0" borderId="0"/>
    <xf numFmtId="165" fontId="33" fillId="0" borderId="0" applyBorder="0" applyAlignment="0" applyProtection="0"/>
    <xf numFmtId="165" fontId="33" fillId="0" borderId="0" applyBorder="0" applyAlignment="0" applyProtection="0"/>
    <xf numFmtId="0" fontId="33" fillId="0" borderId="0"/>
    <xf numFmtId="0" fontId="35" fillId="0" borderId="0"/>
    <xf numFmtId="0" fontId="36" fillId="0" borderId="0"/>
    <xf numFmtId="0" fontId="13" fillId="0" borderId="0"/>
    <xf numFmtId="0" fontId="37" fillId="0" borderId="0"/>
    <xf numFmtId="168" fontId="33" fillId="0" borderId="0" applyBorder="0" applyAlignment="0" applyProtection="0"/>
    <xf numFmtId="0" fontId="12" fillId="0" borderId="0"/>
    <xf numFmtId="0" fontId="39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</cellStyleXfs>
  <cellXfs count="310">
    <xf numFmtId="0" fontId="0" fillId="0" borderId="0" xfId="0"/>
    <xf numFmtId="0" fontId="19" fillId="0" borderId="0" xfId="0" applyFont="1"/>
    <xf numFmtId="4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21" fillId="0" borderId="0" xfId="0" applyNumberFormat="1" applyFont="1"/>
    <xf numFmtId="0" fontId="21" fillId="2" borderId="0" xfId="0" applyFont="1" applyFill="1"/>
    <xf numFmtId="0" fontId="19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" fontId="22" fillId="0" borderId="0" xfId="0" applyNumberFormat="1" applyFont="1"/>
    <xf numFmtId="4" fontId="22" fillId="0" borderId="1" xfId="0" applyNumberFormat="1" applyFont="1" applyBorder="1"/>
    <xf numFmtId="169" fontId="22" fillId="2" borderId="0" xfId="0" applyNumberFormat="1" applyFont="1" applyFill="1"/>
    <xf numFmtId="0" fontId="22" fillId="3" borderId="2" xfId="0" applyFont="1" applyFill="1" applyBorder="1" applyAlignment="1">
      <alignment horizontal="center"/>
    </xf>
    <xf numFmtId="4" fontId="22" fillId="3" borderId="2" xfId="0" applyNumberFormat="1" applyFont="1" applyFill="1" applyBorder="1"/>
    <xf numFmtId="0" fontId="22" fillId="3" borderId="2" xfId="0" applyFont="1" applyFill="1" applyBorder="1"/>
    <xf numFmtId="170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2" xfId="0" applyFont="1" applyBorder="1"/>
    <xf numFmtId="4" fontId="19" fillId="0" borderId="2" xfId="0" applyNumberFormat="1" applyFont="1" applyBorder="1"/>
    <xf numFmtId="0" fontId="19" fillId="2" borderId="3" xfId="0" applyFont="1" applyFill="1" applyBorder="1"/>
    <xf numFmtId="4" fontId="19" fillId="2" borderId="3" xfId="0" applyNumberFormat="1" applyFont="1" applyFill="1" applyBorder="1"/>
    <xf numFmtId="169" fontId="19" fillId="2" borderId="3" xfId="0" applyNumberFormat="1" applyFont="1" applyFill="1" applyBorder="1"/>
    <xf numFmtId="165" fontId="19" fillId="0" borderId="3" xfId="0" applyNumberFormat="1" applyFont="1" applyBorder="1"/>
    <xf numFmtId="0" fontId="22" fillId="0" borderId="0" xfId="0" applyFont="1"/>
    <xf numFmtId="172" fontId="0" fillId="0" borderId="0" xfId="0" applyNumberFormat="1"/>
    <xf numFmtId="0" fontId="23" fillId="0" borderId="0" xfId="0" applyFont="1"/>
    <xf numFmtId="169" fontId="1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5" fillId="0" borderId="0" xfId="0" applyFont="1" applyAlignment="1">
      <alignment horizontal="center"/>
    </xf>
    <xf numFmtId="1" fontId="20" fillId="0" borderId="0" xfId="0" applyNumberFormat="1" applyFont="1"/>
    <xf numFmtId="1" fontId="19" fillId="0" borderId="0" xfId="0" applyNumberFormat="1" applyFont="1" applyAlignment="1">
      <alignment horizontal="left"/>
    </xf>
    <xf numFmtId="1" fontId="19" fillId="2" borderId="0" xfId="0" applyNumberFormat="1" applyFont="1" applyFill="1"/>
    <xf numFmtId="1" fontId="22" fillId="0" borderId="0" xfId="0" applyNumberFormat="1" applyFont="1" applyAlignment="1">
      <alignment horizontal="left"/>
    </xf>
    <xf numFmtId="1" fontId="22" fillId="3" borderId="2" xfId="0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1" fontId="19" fillId="2" borderId="0" xfId="0" applyNumberFormat="1" applyFont="1" applyFill="1" applyAlignment="1">
      <alignment horizontal="center"/>
    </xf>
    <xf numFmtId="1" fontId="19" fillId="0" borderId="0" xfId="0" applyNumberFormat="1" applyFont="1"/>
    <xf numFmtId="170" fontId="19" fillId="6" borderId="2" xfId="0" applyNumberFormat="1" applyFont="1" applyFill="1" applyBorder="1" applyAlignment="1">
      <alignment horizontal="center"/>
    </xf>
    <xf numFmtId="0" fontId="19" fillId="5" borderId="2" xfId="0" applyFont="1" applyFill="1" applyBorder="1"/>
    <xf numFmtId="4" fontId="19" fillId="5" borderId="2" xfId="0" applyNumberFormat="1" applyFont="1" applyFill="1" applyBorder="1"/>
    <xf numFmtId="4" fontId="19" fillId="6" borderId="3" xfId="0" applyNumberFormat="1" applyFont="1" applyFill="1" applyBorder="1"/>
    <xf numFmtId="169" fontId="19" fillId="6" borderId="3" xfId="0" applyNumberFormat="1" applyFont="1" applyFill="1" applyBorder="1"/>
    <xf numFmtId="165" fontId="19" fillId="5" borderId="3" xfId="0" applyNumberFormat="1" applyFont="1" applyFill="1" applyBorder="1"/>
    <xf numFmtId="170" fontId="19" fillId="2" borderId="4" xfId="0" applyNumberFormat="1" applyFont="1" applyFill="1" applyBorder="1" applyAlignment="1">
      <alignment horizontal="center"/>
    </xf>
    <xf numFmtId="0" fontId="32" fillId="0" borderId="6" xfId="0" applyFont="1" applyBorder="1"/>
    <xf numFmtId="1" fontId="19" fillId="6" borderId="2" xfId="0" applyNumberFormat="1" applyFont="1" applyFill="1" applyBorder="1" applyAlignment="1">
      <alignment horizontal="center"/>
    </xf>
    <xf numFmtId="0" fontId="32" fillId="5" borderId="2" xfId="0" applyFont="1" applyFill="1" applyBorder="1"/>
    <xf numFmtId="0" fontId="24" fillId="0" borderId="0" xfId="0" applyFont="1"/>
    <xf numFmtId="173" fontId="19" fillId="0" borderId="0" xfId="0" applyNumberFormat="1" applyFont="1"/>
    <xf numFmtId="173" fontId="22" fillId="3" borderId="4" xfId="0" applyNumberFormat="1" applyFont="1" applyFill="1" applyBorder="1"/>
    <xf numFmtId="173" fontId="19" fillId="0" borderId="2" xfId="0" applyNumberFormat="1" applyFont="1" applyBorder="1"/>
    <xf numFmtId="173" fontId="19" fillId="5" borderId="2" xfId="0" applyNumberFormat="1" applyFont="1" applyFill="1" applyBorder="1"/>
    <xf numFmtId="165" fontId="19" fillId="0" borderId="2" xfId="0" applyNumberFormat="1" applyFont="1" applyBorder="1"/>
    <xf numFmtId="0" fontId="38" fillId="5" borderId="0" xfId="0" applyFont="1" applyFill="1"/>
    <xf numFmtId="0" fontId="9" fillId="0" borderId="0" xfId="41"/>
    <xf numFmtId="0" fontId="9" fillId="4" borderId="0" xfId="41" applyFill="1"/>
    <xf numFmtId="0" fontId="40" fillId="0" borderId="0" xfId="41" applyFont="1"/>
    <xf numFmtId="4" fontId="9" fillId="0" borderId="0" xfId="41" applyNumberFormat="1"/>
    <xf numFmtId="0" fontId="9" fillId="4" borderId="8" xfId="41" applyFill="1" applyBorder="1" applyAlignment="1">
      <alignment horizontal="center"/>
    </xf>
    <xf numFmtId="0" fontId="9" fillId="4" borderId="9" xfId="41" applyFill="1" applyBorder="1" applyAlignment="1">
      <alignment horizontal="center"/>
    </xf>
    <xf numFmtId="0" fontId="9" fillId="4" borderId="0" xfId="41" applyFill="1" applyAlignment="1">
      <alignment horizontal="center"/>
    </xf>
    <xf numFmtId="4" fontId="9" fillId="0" borderId="12" xfId="41" applyNumberFormat="1" applyBorder="1"/>
    <xf numFmtId="4" fontId="41" fillId="0" borderId="0" xfId="41" applyNumberFormat="1" applyFont="1"/>
    <xf numFmtId="4" fontId="9" fillId="0" borderId="13" xfId="41" applyNumberFormat="1" applyBorder="1"/>
    <xf numFmtId="4" fontId="41" fillId="0" borderId="14" xfId="41" applyNumberFormat="1" applyFont="1" applyBorder="1"/>
    <xf numFmtId="4" fontId="9" fillId="0" borderId="15" xfId="41" applyNumberFormat="1" applyBorder="1"/>
    <xf numFmtId="4" fontId="42" fillId="4" borderId="12" xfId="41" applyNumberFormat="1" applyFont="1" applyFill="1" applyBorder="1"/>
    <xf numFmtId="4" fontId="43" fillId="4" borderId="0" xfId="41" applyNumberFormat="1" applyFont="1" applyFill="1"/>
    <xf numFmtId="4" fontId="9" fillId="4" borderId="0" xfId="41" applyNumberFormat="1" applyFill="1"/>
    <xf numFmtId="4" fontId="9" fillId="4" borderId="13" xfId="41" applyNumberFormat="1" applyFill="1" applyBorder="1"/>
    <xf numFmtId="4" fontId="43" fillId="0" borderId="15" xfId="41" applyNumberFormat="1" applyFont="1" applyBorder="1"/>
    <xf numFmtId="4" fontId="43" fillId="0" borderId="14" xfId="41" applyNumberFormat="1" applyFont="1" applyBorder="1"/>
    <xf numFmtId="4" fontId="9" fillId="4" borderId="12" xfId="41" applyNumberFormat="1" applyFill="1" applyBorder="1"/>
    <xf numFmtId="4" fontId="44" fillId="0" borderId="14" xfId="41" applyNumberFormat="1" applyFont="1" applyBorder="1"/>
    <xf numFmtId="4" fontId="9" fillId="0" borderId="14" xfId="41" applyNumberFormat="1" applyBorder="1"/>
    <xf numFmtId="4" fontId="45" fillId="0" borderId="14" xfId="41" applyNumberFormat="1" applyFont="1" applyBorder="1"/>
    <xf numFmtId="4" fontId="46" fillId="0" borderId="14" xfId="41" applyNumberFormat="1" applyFont="1" applyBorder="1"/>
    <xf numFmtId="4" fontId="31" fillId="7" borderId="16" xfId="41" applyNumberFormat="1" applyFont="1" applyFill="1" applyBorder="1" applyAlignment="1">
      <alignment horizontal="right" vertical="center"/>
    </xf>
    <xf numFmtId="4" fontId="31" fillId="7" borderId="17" xfId="41" applyNumberFormat="1" applyFont="1" applyFill="1" applyBorder="1" applyAlignment="1">
      <alignment horizontal="right" vertical="center"/>
    </xf>
    <xf numFmtId="4" fontId="9" fillId="8" borderId="15" xfId="41" applyNumberFormat="1" applyFill="1" applyBorder="1"/>
    <xf numFmtId="4" fontId="9" fillId="0" borderId="18" xfId="41" applyNumberFormat="1" applyBorder="1"/>
    <xf numFmtId="4" fontId="9" fillId="4" borderId="20" xfId="41" applyNumberFormat="1" applyFill="1" applyBorder="1"/>
    <xf numFmtId="4" fontId="9" fillId="4" borderId="21" xfId="41" applyNumberFormat="1" applyFill="1" applyBorder="1"/>
    <xf numFmtId="4" fontId="45" fillId="4" borderId="22" xfId="41" applyNumberFormat="1" applyFont="1" applyFill="1" applyBorder="1"/>
    <xf numFmtId="4" fontId="45" fillId="4" borderId="21" xfId="41" applyNumberFormat="1" applyFont="1" applyFill="1" applyBorder="1"/>
    <xf numFmtId="4" fontId="9" fillId="4" borderId="23" xfId="41" applyNumberFormat="1" applyFill="1" applyBorder="1"/>
    <xf numFmtId="0" fontId="40" fillId="0" borderId="0" xfId="41" applyFont="1" applyAlignment="1">
      <alignment wrapText="1"/>
    </xf>
    <xf numFmtId="171" fontId="19" fillId="0" borderId="2" xfId="0" applyNumberFormat="1" applyFont="1" applyBorder="1"/>
    <xf numFmtId="4" fontId="43" fillId="4" borderId="14" xfId="41" applyNumberFormat="1" applyFont="1" applyFill="1" applyBorder="1"/>
    <xf numFmtId="4" fontId="19" fillId="0" borderId="3" xfId="0" applyNumberFormat="1" applyFont="1" applyBorder="1"/>
    <xf numFmtId="171" fontId="19" fillId="0" borderId="3" xfId="0" applyNumberFormat="1" applyFont="1" applyBorder="1"/>
    <xf numFmtId="4" fontId="0" fillId="0" borderId="2" xfId="0" applyNumberFormat="1" applyBorder="1" applyAlignment="1">
      <alignment horizontal="center"/>
    </xf>
    <xf numFmtId="4" fontId="9" fillId="10" borderId="12" xfId="41" applyNumberFormat="1" applyFill="1" applyBorder="1"/>
    <xf numFmtId="4" fontId="9" fillId="10" borderId="19" xfId="41" applyNumberFormat="1" applyFill="1" applyBorder="1"/>
    <xf numFmtId="0" fontId="7" fillId="0" borderId="0" xfId="41" applyFont="1"/>
    <xf numFmtId="4" fontId="9" fillId="0" borderId="24" xfId="41" applyNumberFormat="1" applyBorder="1"/>
    <xf numFmtId="173" fontId="9" fillId="0" borderId="0" xfId="41" applyNumberFormat="1"/>
    <xf numFmtId="173" fontId="9" fillId="0" borderId="24" xfId="41" applyNumberFormat="1" applyBorder="1"/>
    <xf numFmtId="174" fontId="24" fillId="0" borderId="0" xfId="0" applyNumberFormat="1" applyFont="1" applyAlignment="1">
      <alignment horizontal="center"/>
    </xf>
    <xf numFmtId="174" fontId="17" fillId="0" borderId="2" xfId="0" applyNumberFormat="1" applyFont="1" applyBorder="1" applyAlignment="1">
      <alignment horizontal="center"/>
    </xf>
    <xf numFmtId="174" fontId="28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5" fillId="0" borderId="0" xfId="0" applyNumberFormat="1" applyFont="1" applyAlignment="1">
      <alignment horizontal="center"/>
    </xf>
    <xf numFmtId="174" fontId="23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right"/>
    </xf>
    <xf numFmtId="172" fontId="26" fillId="0" borderId="2" xfId="0" applyNumberFormat="1" applyFont="1" applyBorder="1" applyAlignment="1">
      <alignment horizontal="right"/>
    </xf>
    <xf numFmtId="172" fontId="28" fillId="4" borderId="2" xfId="0" applyNumberFormat="1" applyFont="1" applyFill="1" applyBorder="1" applyAlignment="1">
      <alignment horizontal="right"/>
    </xf>
    <xf numFmtId="172" fontId="28" fillId="2" borderId="2" xfId="0" applyNumberFormat="1" applyFont="1" applyFill="1" applyBorder="1" applyAlignment="1">
      <alignment horizontal="right"/>
    </xf>
    <xf numFmtId="172" fontId="28" fillId="0" borderId="2" xfId="0" applyNumberFormat="1" applyFont="1" applyBorder="1" applyAlignment="1">
      <alignment horizontal="right"/>
    </xf>
    <xf numFmtId="172" fontId="28" fillId="9" borderId="2" xfId="0" applyNumberFormat="1" applyFont="1" applyFill="1" applyBorder="1" applyAlignment="1">
      <alignment horizontal="right"/>
    </xf>
    <xf numFmtId="172" fontId="30" fillId="0" borderId="5" xfId="43" applyNumberFormat="1" applyFont="1" applyBorder="1" applyAlignment="1">
      <alignment horizontal="center"/>
    </xf>
    <xf numFmtId="172" fontId="30" fillId="0" borderId="25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5" fillId="0" borderId="0" xfId="0" applyNumberFormat="1" applyFont="1" applyAlignment="1">
      <alignment horizontal="right"/>
    </xf>
    <xf numFmtId="172" fontId="23" fillId="0" borderId="0" xfId="0" applyNumberFormat="1" applyFont="1" applyAlignment="1">
      <alignment horizontal="right"/>
    </xf>
    <xf numFmtId="173" fontId="23" fillId="0" borderId="2" xfId="0" applyNumberFormat="1" applyFont="1" applyBorder="1"/>
    <xf numFmtId="173" fontId="23" fillId="0" borderId="26" xfId="0" applyNumberFormat="1" applyFont="1" applyBorder="1"/>
    <xf numFmtId="173" fontId="0" fillId="0" borderId="2" xfId="0" applyNumberFormat="1" applyBorder="1"/>
    <xf numFmtId="0" fontId="6" fillId="0" borderId="0" xfId="41" applyFont="1"/>
    <xf numFmtId="0" fontId="32" fillId="0" borderId="2" xfId="0" applyFont="1" applyBorder="1" applyAlignment="1">
      <alignment horizontal="center"/>
    </xf>
    <xf numFmtId="0" fontId="4" fillId="0" borderId="0" xfId="41" applyFont="1"/>
    <xf numFmtId="0" fontId="32" fillId="0" borderId="0" xfId="41" applyFont="1"/>
    <xf numFmtId="0" fontId="47" fillId="0" borderId="0" xfId="41" applyFont="1"/>
    <xf numFmtId="1" fontId="24" fillId="0" borderId="0" xfId="0" applyNumberFormat="1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4" fontId="25" fillId="0" borderId="0" xfId="0" applyNumberFormat="1" applyFont="1"/>
    <xf numFmtId="4" fontId="23" fillId="0" borderId="0" xfId="0" applyNumberFormat="1" applyFont="1"/>
    <xf numFmtId="4" fontId="3" fillId="0" borderId="0" xfId="45" applyNumberFormat="1"/>
    <xf numFmtId="0" fontId="17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4" fontId="48" fillId="0" borderId="0" xfId="0" applyNumberFormat="1" applyFont="1" applyAlignment="1">
      <alignment horizontal="right"/>
    </xf>
    <xf numFmtId="175" fontId="17" fillId="0" borderId="0" xfId="0" applyNumberFormat="1" applyFont="1" applyAlignment="1">
      <alignment horizontal="center"/>
    </xf>
    <xf numFmtId="175" fontId="17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" fontId="26" fillId="0" borderId="2" xfId="0" applyNumberFormat="1" applyFont="1" applyBorder="1" applyAlignment="1">
      <alignment horizontal="right"/>
    </xf>
    <xf numFmtId="4" fontId="25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0" fillId="0" borderId="2" xfId="0" applyFont="1" applyBorder="1" applyAlignment="1">
      <alignment horizontal="center" wrapText="1"/>
    </xf>
    <xf numFmtId="4" fontId="51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3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horizontal="center" wrapText="1"/>
    </xf>
    <xf numFmtId="4" fontId="23" fillId="0" borderId="2" xfId="0" applyNumberFormat="1" applyFont="1" applyBorder="1"/>
    <xf numFmtId="175" fontId="25" fillId="0" borderId="0" xfId="0" applyNumberFormat="1" applyFont="1" applyAlignment="1">
      <alignment horizontal="center"/>
    </xf>
    <xf numFmtId="0" fontId="25" fillId="2" borderId="0" xfId="0" applyFont="1" applyFill="1"/>
    <xf numFmtId="4" fontId="25" fillId="0" borderId="0" xfId="0" applyNumberFormat="1" applyFont="1" applyAlignment="1">
      <alignment horizontal="right"/>
    </xf>
    <xf numFmtId="175" fontId="23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center"/>
    </xf>
    <xf numFmtId="180" fontId="19" fillId="0" borderId="0" xfId="0" applyNumberFormat="1" applyFont="1"/>
    <xf numFmtId="0" fontId="22" fillId="0" borderId="2" xfId="0" applyFont="1" applyBorder="1"/>
    <xf numFmtId="0" fontId="22" fillId="0" borderId="3" xfId="0" applyFont="1" applyBorder="1"/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3" fillId="0" borderId="0" xfId="0" applyNumberFormat="1" applyFont="1" applyAlignment="1">
      <alignment wrapText="1"/>
    </xf>
    <xf numFmtId="0" fontId="53" fillId="0" borderId="0" xfId="41" applyFont="1"/>
    <xf numFmtId="0" fontId="54" fillId="0" borderId="0" xfId="0" applyFont="1"/>
    <xf numFmtId="178" fontId="57" fillId="0" borderId="2" xfId="46" applyNumberFormat="1" applyFont="1" applyBorder="1" applyAlignment="1">
      <alignment horizontal="center"/>
    </xf>
    <xf numFmtId="4" fontId="58" fillId="0" borderId="31" xfId="0" applyNumberFormat="1" applyFont="1" applyBorder="1" applyAlignment="1">
      <alignment horizontal="center"/>
    </xf>
    <xf numFmtId="4" fontId="58" fillId="0" borderId="32" xfId="0" applyNumberFormat="1" applyFont="1" applyBorder="1"/>
    <xf numFmtId="40" fontId="57" fillId="0" borderId="3" xfId="46" applyNumberFormat="1" applyFont="1" applyBorder="1" applyAlignment="1">
      <alignment horizontal="right"/>
    </xf>
    <xf numFmtId="175" fontId="58" fillId="0" borderId="2" xfId="0" applyNumberFormat="1" applyFont="1" applyBorder="1" applyAlignment="1">
      <alignment horizontal="center"/>
    </xf>
    <xf numFmtId="169" fontId="58" fillId="0" borderId="2" xfId="0" applyNumberFormat="1" applyFont="1" applyBorder="1" applyAlignment="1">
      <alignment horizontal="center"/>
    </xf>
    <xf numFmtId="0" fontId="60" fillId="2" borderId="2" xfId="0" applyFont="1" applyFill="1" applyBorder="1" applyAlignment="1">
      <alignment horizontal="center"/>
    </xf>
    <xf numFmtId="4" fontId="60" fillId="0" borderId="2" xfId="0" applyNumberFormat="1" applyFont="1" applyBorder="1" applyAlignment="1">
      <alignment horizontal="right"/>
    </xf>
    <xf numFmtId="4" fontId="58" fillId="0" borderId="2" xfId="0" applyNumberFormat="1" applyFont="1" applyBorder="1" applyAlignment="1">
      <alignment wrapText="1"/>
    </xf>
    <xf numFmtId="0" fontId="60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vertical="center"/>
    </xf>
    <xf numFmtId="4" fontId="58" fillId="4" borderId="2" xfId="0" applyNumberFormat="1" applyFont="1" applyFill="1" applyBorder="1" applyAlignment="1">
      <alignment vertical="center"/>
    </xf>
    <xf numFmtId="4" fontId="61" fillId="9" borderId="2" xfId="0" applyNumberFormat="1" applyFont="1" applyFill="1" applyBorder="1" applyAlignment="1">
      <alignment horizontal="right"/>
    </xf>
    <xf numFmtId="178" fontId="59" fillId="0" borderId="2" xfId="0" applyNumberFormat="1" applyFont="1" applyBorder="1" applyAlignment="1">
      <alignment horizontal="center"/>
    </xf>
    <xf numFmtId="177" fontId="59" fillId="0" borderId="0" xfId="0" applyNumberFormat="1" applyFont="1" applyAlignment="1">
      <alignment horizontal="right"/>
    </xf>
    <xf numFmtId="175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8" fillId="2" borderId="0" xfId="0" applyFont="1" applyFill="1"/>
    <xf numFmtId="4" fontId="58" fillId="0" borderId="0" xfId="0" applyNumberFormat="1" applyFont="1" applyAlignment="1">
      <alignment horizontal="right"/>
    </xf>
    <xf numFmtId="4" fontId="58" fillId="0" borderId="0" xfId="0" applyNumberFormat="1" applyFont="1"/>
    <xf numFmtId="0" fontId="58" fillId="2" borderId="2" xfId="0" applyFont="1" applyFill="1" applyBorder="1" applyAlignment="1">
      <alignment wrapText="1"/>
    </xf>
    <xf numFmtId="0" fontId="58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horizontal="left" wrapText="1"/>
    </xf>
    <xf numFmtId="0" fontId="58" fillId="0" borderId="0" xfId="0" applyFont="1"/>
    <xf numFmtId="4" fontId="58" fillId="4" borderId="2" xfId="0" applyNumberFormat="1" applyFont="1" applyFill="1" applyBorder="1" applyAlignment="1">
      <alignment wrapText="1"/>
    </xf>
    <xf numFmtId="4" fontId="58" fillId="9" borderId="2" xfId="0" applyNumberFormat="1" applyFont="1" applyFill="1" applyBorder="1" applyAlignment="1">
      <alignment wrapText="1"/>
    </xf>
    <xf numFmtId="4" fontId="58" fillId="4" borderId="2" xfId="0" applyNumberFormat="1" applyFont="1" applyFill="1" applyBorder="1" applyAlignment="1">
      <alignment horizontal="left" wrapText="1"/>
    </xf>
    <xf numFmtId="0" fontId="58" fillId="9" borderId="2" xfId="0" applyFont="1" applyFill="1" applyBorder="1" applyAlignment="1">
      <alignment wrapText="1"/>
    </xf>
    <xf numFmtId="0" fontId="58" fillId="4" borderId="2" xfId="0" applyFont="1" applyFill="1" applyBorder="1" applyAlignment="1">
      <alignment horizontal="center" wrapText="1"/>
    </xf>
    <xf numFmtId="4" fontId="58" fillId="4" borderId="2" xfId="0" applyNumberFormat="1" applyFont="1" applyFill="1" applyBorder="1" applyAlignment="1">
      <alignment horizontal="center" wrapText="1"/>
    </xf>
    <xf numFmtId="4" fontId="58" fillId="0" borderId="2" xfId="0" applyNumberFormat="1" applyFont="1" applyBorder="1"/>
    <xf numFmtId="169" fontId="58" fillId="2" borderId="2" xfId="0" applyNumberFormat="1" applyFont="1" applyFill="1" applyBorder="1" applyAlignment="1">
      <alignment horizontal="center"/>
    </xf>
    <xf numFmtId="4" fontId="58" fillId="4" borderId="2" xfId="29" applyNumberFormat="1" applyFont="1" applyFill="1" applyBorder="1" applyAlignment="1" applyProtection="1">
      <alignment horizontal="right"/>
    </xf>
    <xf numFmtId="4" fontId="58" fillId="4" borderId="2" xfId="0" applyNumberFormat="1" applyFont="1" applyFill="1" applyBorder="1"/>
    <xf numFmtId="4" fontId="58" fillId="4" borderId="0" xfId="0" applyNumberFormat="1" applyFont="1" applyFill="1"/>
    <xf numFmtId="0" fontId="58" fillId="4" borderId="0" xfId="0" applyFont="1" applyFill="1"/>
    <xf numFmtId="4" fontId="58" fillId="0" borderId="4" xfId="0" applyNumberFormat="1" applyFont="1" applyBorder="1" applyAlignment="1">
      <alignment vertical="center"/>
    </xf>
    <xf numFmtId="4" fontId="61" fillId="0" borderId="2" xfId="0" applyNumberFormat="1" applyFont="1" applyBorder="1" applyAlignment="1">
      <alignment horizontal="right" vertical="center"/>
    </xf>
    <xf numFmtId="176" fontId="61" fillId="11" borderId="4" xfId="0" applyNumberFormat="1" applyFont="1" applyFill="1" applyBorder="1" applyAlignment="1">
      <alignment horizontal="right"/>
    </xf>
    <xf numFmtId="0" fontId="61" fillId="11" borderId="4" xfId="0" applyFont="1" applyFill="1" applyBorder="1"/>
    <xf numFmtId="0" fontId="61" fillId="11" borderId="4" xfId="0" applyFont="1" applyFill="1" applyBorder="1" applyAlignment="1">
      <alignment horizontal="left" vertical="center"/>
    </xf>
    <xf numFmtId="4" fontId="58" fillId="11" borderId="4" xfId="0" applyNumberFormat="1" applyFont="1" applyFill="1" applyBorder="1" applyAlignment="1">
      <alignment vertical="center"/>
    </xf>
    <xf numFmtId="4" fontId="58" fillId="11" borderId="30" xfId="0" applyNumberFormat="1" applyFont="1" applyFill="1" applyBorder="1" applyAlignment="1">
      <alignment vertical="center"/>
    </xf>
    <xf numFmtId="0" fontId="58" fillId="2" borderId="2" xfId="0" applyFont="1" applyFill="1" applyBorder="1"/>
    <xf numFmtId="178" fontId="57" fillId="0" borderId="33" xfId="46" applyNumberFormat="1" applyFont="1" applyBorder="1" applyAlignment="1">
      <alignment horizontal="center"/>
    </xf>
    <xf numFmtId="178" fontId="57" fillId="0" borderId="25" xfId="46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9" fillId="0" borderId="3" xfId="46" applyFont="1" applyBorder="1" applyAlignment="1">
      <alignment horizontal="left" vertical="center" wrapText="1"/>
    </xf>
    <xf numFmtId="0" fontId="58" fillId="0" borderId="2" xfId="0" applyFont="1" applyBorder="1" applyAlignment="1">
      <alignment horizontal="center"/>
    </xf>
    <xf numFmtId="0" fontId="59" fillId="0" borderId="2" xfId="46" applyFont="1" applyBorder="1" applyAlignment="1">
      <alignment horizontal="left" vertical="center" wrapText="1"/>
    </xf>
    <xf numFmtId="178" fontId="57" fillId="0" borderId="3" xfId="46" applyNumberFormat="1" applyFont="1" applyBorder="1" applyAlignment="1">
      <alignment horizontal="center"/>
    </xf>
    <xf numFmtId="0" fontId="60" fillId="2" borderId="2" xfId="0" applyFont="1" applyFill="1" applyBorder="1"/>
    <xf numFmtId="4" fontId="58" fillId="0" borderId="2" xfId="0" applyNumberFormat="1" applyFont="1" applyBorder="1" applyAlignment="1">
      <alignment horizontal="right"/>
    </xf>
    <xf numFmtId="4" fontId="58" fillId="0" borderId="3" xfId="0" applyNumberFormat="1" applyFont="1" applyBorder="1"/>
    <xf numFmtId="164" fontId="58" fillId="0" borderId="32" xfId="0" applyNumberFormat="1" applyFont="1" applyBorder="1"/>
    <xf numFmtId="179" fontId="58" fillId="0" borderId="0" xfId="0" applyNumberFormat="1" applyFont="1"/>
    <xf numFmtId="0" fontId="58" fillId="0" borderId="32" xfId="0" applyFont="1" applyBorder="1"/>
    <xf numFmtId="0" fontId="58" fillId="2" borderId="2" xfId="0" applyFont="1" applyFill="1" applyBorder="1" applyAlignment="1">
      <alignment horizontal="left" vertical="center" wrapText="1"/>
    </xf>
    <xf numFmtId="4" fontId="58" fillId="2" borderId="2" xfId="0" applyNumberFormat="1" applyFont="1" applyFill="1" applyBorder="1"/>
    <xf numFmtId="4" fontId="60" fillId="0" borderId="2" xfId="0" applyNumberFormat="1" applyFont="1" applyBorder="1"/>
    <xf numFmtId="0" fontId="58" fillId="2" borderId="3" xfId="0" applyFont="1" applyFill="1" applyBorder="1"/>
    <xf numFmtId="177" fontId="59" fillId="0" borderId="2" xfId="0" applyNumberFormat="1" applyFont="1" applyBorder="1" applyAlignment="1">
      <alignment horizontal="right"/>
    </xf>
    <xf numFmtId="0" fontId="59" fillId="0" borderId="2" xfId="0" applyFont="1" applyBorder="1"/>
    <xf numFmtId="40" fontId="57" fillId="0" borderId="2" xfId="46" applyNumberFormat="1" applyFont="1" applyBorder="1" applyAlignment="1">
      <alignment horizontal="right"/>
    </xf>
    <xf numFmtId="0" fontId="59" fillId="0" borderId="2" xfId="0" applyFont="1" applyBorder="1" applyAlignment="1">
      <alignment horizontal="left" vertical="center" wrapText="1"/>
    </xf>
    <xf numFmtId="176" fontId="28" fillId="4" borderId="2" xfId="0" applyNumberFormat="1" applyFont="1" applyFill="1" applyBorder="1" applyAlignment="1">
      <alignment horizontal="center" vertical="center"/>
    </xf>
    <xf numFmtId="176" fontId="62" fillId="4" borderId="2" xfId="0" applyNumberFormat="1" applyFont="1" applyFill="1" applyBorder="1" applyAlignment="1">
      <alignment horizontal="center" vertical="center"/>
    </xf>
    <xf numFmtId="176" fontId="28" fillId="2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" fontId="62" fillId="0" borderId="2" xfId="0" applyNumberFormat="1" applyFont="1" applyBorder="1" applyAlignment="1">
      <alignment vertical="center"/>
    </xf>
    <xf numFmtId="4" fontId="62" fillId="4" borderId="2" xfId="0" applyNumberFormat="1" applyFont="1" applyFill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4" fontId="28" fillId="2" borderId="2" xfId="0" applyNumberFormat="1" applyFont="1" applyFill="1" applyBorder="1" applyAlignment="1">
      <alignment vertical="center"/>
    </xf>
    <xf numFmtId="176" fontId="63" fillId="0" borderId="4" xfId="0" applyNumberFormat="1" applyFont="1" applyBorder="1" applyAlignment="1">
      <alignment horizontal="right" vertical="center"/>
    </xf>
    <xf numFmtId="176" fontId="64" fillId="0" borderId="2" xfId="0" applyNumberFormat="1" applyFont="1" applyBorder="1" applyAlignment="1">
      <alignment horizontal="right"/>
    </xf>
    <xf numFmtId="0" fontId="63" fillId="0" borderId="4" xfId="0" applyFont="1" applyBorder="1" applyAlignment="1">
      <alignment horizontal="left" vertical="center"/>
    </xf>
    <xf numFmtId="0" fontId="64" fillId="0" borderId="2" xfId="0" applyFont="1" applyBorder="1"/>
    <xf numFmtId="0" fontId="63" fillId="0" borderId="2" xfId="0" applyFont="1" applyBorder="1"/>
    <xf numFmtId="0" fontId="64" fillId="0" borderId="2" xfId="0" applyFont="1" applyBorder="1" applyAlignment="1">
      <alignment horizontal="left" vertical="center"/>
    </xf>
    <xf numFmtId="4" fontId="63" fillId="4" borderId="4" xfId="0" applyNumberFormat="1" applyFont="1" applyFill="1" applyBorder="1" applyAlignment="1">
      <alignment horizontal="right" vertical="center"/>
    </xf>
    <xf numFmtId="168" fontId="64" fillId="4" borderId="2" xfId="35" applyFont="1" applyFill="1" applyBorder="1" applyAlignment="1" applyProtection="1">
      <alignment horizontal="center"/>
    </xf>
    <xf numFmtId="4" fontId="28" fillId="4" borderId="2" xfId="0" applyNumberFormat="1" applyFont="1" applyFill="1" applyBorder="1" applyAlignment="1">
      <alignment horizontal="right"/>
    </xf>
    <xf numFmtId="4" fontId="28" fillId="2" borderId="2" xfId="0" applyNumberFormat="1" applyFont="1" applyFill="1" applyBorder="1" applyAlignment="1">
      <alignment horizontal="right"/>
    </xf>
    <xf numFmtId="4" fontId="28" fillId="9" borderId="2" xfId="0" applyNumberFormat="1" applyFont="1" applyFill="1" applyBorder="1" applyAlignment="1">
      <alignment horizontal="right"/>
    </xf>
    <xf numFmtId="4" fontId="62" fillId="4" borderId="2" xfId="0" applyNumberFormat="1" applyFont="1" applyFill="1" applyBorder="1" applyAlignment="1">
      <alignment horizontal="right"/>
    </xf>
    <xf numFmtId="4" fontId="62" fillId="0" borderId="2" xfId="0" applyNumberFormat="1" applyFont="1" applyBorder="1" applyAlignment="1">
      <alignment horizontal="right"/>
    </xf>
    <xf numFmtId="4" fontId="28" fillId="2" borderId="4" xfId="0" applyNumberFormat="1" applyFont="1" applyFill="1" applyBorder="1" applyAlignment="1">
      <alignment horizontal="right"/>
    </xf>
    <xf numFmtId="15" fontId="65" fillId="0" borderId="2" xfId="0" applyNumberFormat="1" applyFont="1" applyBorder="1" applyAlignment="1">
      <alignment horizontal="right"/>
    </xf>
    <xf numFmtId="0" fontId="65" fillId="0" borderId="2" xfId="0" applyFont="1" applyBorder="1"/>
    <xf numFmtId="4" fontId="51" fillId="0" borderId="2" xfId="0" applyNumberFormat="1" applyFont="1" applyBorder="1" applyAlignment="1">
      <alignment vertical="center"/>
    </xf>
    <xf numFmtId="4" fontId="51" fillId="4" borderId="2" xfId="0" applyNumberFormat="1" applyFont="1" applyFill="1" applyBorder="1" applyAlignment="1">
      <alignment vertical="center"/>
    </xf>
    <xf numFmtId="4" fontId="27" fillId="0" borderId="2" xfId="30" applyNumberFormat="1" applyFont="1" applyBorder="1" applyAlignment="1">
      <alignment horizontal="left"/>
    </xf>
    <xf numFmtId="4" fontId="65" fillId="0" borderId="2" xfId="0" applyNumberFormat="1" applyFont="1" applyBorder="1" applyAlignment="1">
      <alignment horizontal="right"/>
    </xf>
    <xf numFmtId="0" fontId="53" fillId="0" borderId="34" xfId="0" applyFont="1" applyBorder="1" applyAlignment="1">
      <alignment horizontal="left" wrapText="1"/>
    </xf>
    <xf numFmtId="4" fontId="58" fillId="4" borderId="2" xfId="0" applyNumberFormat="1" applyFont="1" applyFill="1" applyBorder="1" applyAlignment="1">
      <alignment horizontal="right" wrapText="1"/>
    </xf>
    <xf numFmtId="178" fontId="59" fillId="0" borderId="29" xfId="46" applyNumberFormat="1" applyFont="1" applyBorder="1" applyAlignment="1">
      <alignment horizontal="center"/>
    </xf>
    <xf numFmtId="0" fontId="53" fillId="0" borderId="2" xfId="0" applyFont="1" applyBorder="1" applyAlignment="1">
      <alignment horizontal="left" wrapText="1"/>
    </xf>
    <xf numFmtId="0" fontId="31" fillId="0" borderId="35" xfId="19" applyFont="1" applyBorder="1" applyAlignment="1">
      <alignment horizontal="left" vertical="center"/>
    </xf>
    <xf numFmtId="0" fontId="31" fillId="0" borderId="2" xfId="19" applyFont="1" applyBorder="1" applyAlignment="1">
      <alignment horizontal="left" vertical="center"/>
    </xf>
    <xf numFmtId="4" fontId="62" fillId="0" borderId="31" xfId="0" applyNumberFormat="1" applyFont="1" applyBorder="1" applyAlignment="1">
      <alignment vertical="center"/>
    </xf>
    <xf numFmtId="178" fontId="57" fillId="0" borderId="36" xfId="46" applyNumberFormat="1" applyFont="1" applyBorder="1" applyAlignment="1">
      <alignment horizontal="center"/>
    </xf>
    <xf numFmtId="178" fontId="57" fillId="0" borderId="29" xfId="46" applyNumberFormat="1" applyFont="1" applyBorder="1" applyAlignment="1">
      <alignment horizontal="center"/>
    </xf>
    <xf numFmtId="43" fontId="58" fillId="0" borderId="0" xfId="0" applyNumberFormat="1" applyFont="1"/>
    <xf numFmtId="170" fontId="19" fillId="9" borderId="2" xfId="0" applyNumberFormat="1" applyFont="1" applyFill="1" applyBorder="1" applyAlignment="1">
      <alignment horizontal="center"/>
    </xf>
    <xf numFmtId="1" fontId="19" fillId="9" borderId="2" xfId="0" applyNumberFormat="1" applyFont="1" applyFill="1" applyBorder="1" applyAlignment="1">
      <alignment horizontal="center"/>
    </xf>
    <xf numFmtId="4" fontId="19" fillId="4" borderId="2" xfId="0" applyNumberFormat="1" applyFont="1" applyFill="1" applyBorder="1"/>
    <xf numFmtId="173" fontId="19" fillId="4" borderId="2" xfId="0" applyNumberFormat="1" applyFont="1" applyFill="1" applyBorder="1"/>
    <xf numFmtId="0" fontId="32" fillId="4" borderId="2" xfId="0" applyFont="1" applyFill="1" applyBorder="1" applyAlignment="1">
      <alignment horizontal="center"/>
    </xf>
    <xf numFmtId="4" fontId="70" fillId="0" borderId="0" xfId="0" applyNumberFormat="1" applyFont="1"/>
    <xf numFmtId="172" fontId="70" fillId="0" borderId="0" xfId="0" applyNumberFormat="1" applyFont="1"/>
    <xf numFmtId="180" fontId="70" fillId="0" borderId="0" xfId="0" applyNumberFormat="1" applyFont="1"/>
    <xf numFmtId="172" fontId="71" fillId="0" borderId="0" xfId="0" applyNumberFormat="1" applyFont="1"/>
    <xf numFmtId="172" fontId="71" fillId="0" borderId="0" xfId="0" applyNumberFormat="1" applyFont="1" applyAlignment="1">
      <alignment wrapText="1"/>
    </xf>
    <xf numFmtId="4" fontId="72" fillId="0" borderId="0" xfId="0" applyNumberFormat="1" applyFont="1"/>
    <xf numFmtId="4" fontId="73" fillId="0" borderId="0" xfId="0" applyNumberFormat="1" applyFont="1"/>
    <xf numFmtId="180" fontId="72" fillId="0" borderId="0" xfId="0" applyNumberFormat="1" applyFont="1"/>
    <xf numFmtId="176" fontId="74" fillId="0" borderId="2" xfId="0" applyNumberFormat="1" applyFont="1" applyBorder="1" applyAlignment="1">
      <alignment horizontal="center" vertical="center"/>
    </xf>
    <xf numFmtId="0" fontId="31" fillId="0" borderId="37" xfId="19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8" fontId="64" fillId="0" borderId="2" xfId="35" applyFont="1" applyBorder="1" applyAlignment="1" applyProtection="1">
      <alignment horizontal="center"/>
    </xf>
    <xf numFmtId="4" fontId="28" fillId="6" borderId="2" xfId="0" applyNumberFormat="1" applyFont="1" applyFill="1" applyBorder="1" applyAlignment="1">
      <alignment horizontal="right"/>
    </xf>
    <xf numFmtId="0" fontId="66" fillId="0" borderId="2" xfId="0" applyFont="1" applyBorder="1" applyAlignment="1">
      <alignment horizontal="left"/>
    </xf>
    <xf numFmtId="4" fontId="66" fillId="0" borderId="38" xfId="0" applyNumberFormat="1" applyFont="1" applyBorder="1" applyAlignment="1">
      <alignment horizontal="right"/>
    </xf>
    <xf numFmtId="0" fontId="53" fillId="0" borderId="2" xfId="0" applyFont="1" applyBorder="1"/>
    <xf numFmtId="178" fontId="53" fillId="4" borderId="38" xfId="0" applyNumberFormat="1" applyFont="1" applyFill="1" applyBorder="1" applyAlignment="1">
      <alignment horizontal="center"/>
    </xf>
    <xf numFmtId="178" fontId="53" fillId="0" borderId="38" xfId="0" applyNumberFormat="1" applyFont="1" applyBorder="1" applyAlignment="1">
      <alignment horizontal="center"/>
    </xf>
    <xf numFmtId="0" fontId="53" fillId="0" borderId="2" xfId="0" applyFont="1" applyBorder="1" applyAlignment="1">
      <alignment horizontal="left"/>
    </xf>
    <xf numFmtId="178" fontId="67" fillId="0" borderId="38" xfId="0" applyNumberFormat="1" applyFont="1" applyBorder="1" applyAlignment="1">
      <alignment horizontal="center"/>
    </xf>
    <xf numFmtId="4" fontId="62" fillId="4" borderId="31" xfId="0" applyNumberFormat="1" applyFont="1" applyFill="1" applyBorder="1" applyAlignment="1">
      <alignment horizontal="right"/>
    </xf>
    <xf numFmtId="0" fontId="1" fillId="0" borderId="0" xfId="41" applyFont="1"/>
    <xf numFmtId="4" fontId="49" fillId="0" borderId="27" xfId="0" applyNumberFormat="1" applyFont="1" applyBorder="1" applyAlignment="1">
      <alignment horizontal="center"/>
    </xf>
    <xf numFmtId="0" fontId="0" fillId="0" borderId="28" xfId="0" applyBorder="1"/>
    <xf numFmtId="17" fontId="68" fillId="0" borderId="0" xfId="41" applyNumberFormat="1" applyFont="1" applyAlignment="1">
      <alignment horizontal="center"/>
    </xf>
    <xf numFmtId="17" fontId="69" fillId="0" borderId="0" xfId="0" applyNumberFormat="1" applyFont="1" applyAlignment="1">
      <alignment horizontal="center"/>
    </xf>
    <xf numFmtId="4" fontId="72" fillId="0" borderId="0" xfId="0" applyNumberFormat="1" applyFont="1"/>
    <xf numFmtId="0" fontId="0" fillId="0" borderId="0" xfId="0"/>
    <xf numFmtId="0" fontId="5" fillId="0" borderId="0" xfId="41" applyFont="1"/>
    <xf numFmtId="0" fontId="9" fillId="4" borderId="7" xfId="4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10" xfId="4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41" applyFont="1" applyBorder="1" applyAlignment="1">
      <alignment horizontal="center"/>
    </xf>
    <xf numFmtId="1" fontId="24" fillId="0" borderId="0" xfId="0" applyNumberFormat="1" applyFont="1"/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aries%20Landco%202026/Landco%20Salaries%202026/02%20Salary%20sheet%20for%20Landco.xlsx" TargetMode="External"/><Relationship Id="rId2" Type="http://schemas.openxmlformats.org/officeDocument/2006/relationships/externalLinkPath" Target="file:///C:\Users\Andrisa\Dropbox\Andrisa\Landco\Accounts%202026\Salaries%20Landco%202026\Landco%20Salaries%202026\02%20Salary%20sheet%20for%20Landco.xlsx" TargetMode="External"/><Relationship Id="rId1" Type="http://schemas.openxmlformats.org/officeDocument/2006/relationships/externalLinkPath" Target="/Users/Andrisa/Dropbox/Andrisa/Landco/Accounts%202026/Salaries%20Landco%202026/Landco%20Salaries%202026/02%20Salary%20sheet%20for%20Landc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05%20May%20Shareholders%202025/05%20H3%20KEVIN%20MAY%20METICAIS.xlsx" TargetMode="External"/><Relationship Id="rId2" Type="http://schemas.openxmlformats.org/officeDocument/2006/relationships/externalLinkPath" Target="file:///C:\Users\Andrisa\Dropbox\Andrisa\Landco\Accounts%202025\Shareholders%202025\05%20May%20Shareholders%202025\05%20H3%20KEVIN%20MAY%20METICAIS.xlsx" TargetMode="External"/><Relationship Id="rId1" Type="http://schemas.openxmlformats.org/officeDocument/2006/relationships/externalLinkPath" Target="/Users/Andrisa/Dropbox/Andrisa/Landco/Accounts%202025/Shareholders%202025/05%20May%20Shareholders%202025/05%20H3%20KEVIN%20MAY%20METICAI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1%20BDO%20Bank%20Control%202026.xlsx" TargetMode="External"/><Relationship Id="rId2" Type="http://schemas.openxmlformats.org/officeDocument/2006/relationships/externalLinkPath" Target="file:///C:\Users\Andrisa\Dropbox\Andrisa\Landco\Accounts%202026\BDO%20Accounts%202026\01%20BDO%20Bank%20Control%202026.xlsx" TargetMode="External"/><Relationship Id="rId1" Type="http://schemas.openxmlformats.org/officeDocument/2006/relationships/externalLinkPath" Target="/Users/Andrisa/Dropbox/Andrisa/Landco/Accounts%202026/BDO%20Accounts%202026/01%20BDO%20Bank%20Control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02%20Petty%20Cash%20PETTY%20CASH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2%20BDO%20Bank%20Control%202026.xlsx" TargetMode="External"/><Relationship Id="rId2" Type="http://schemas.openxmlformats.org/officeDocument/2006/relationships/externalLinkPath" Target="file:///C:\Users\Andrisa\Dropbox\Andrisa\Landco\Accounts%202026\BDO%20Accounts%202026\02%20BDO%20Bank%20Control%202026.xlsx" TargetMode="External"/><Relationship Id="rId1" Type="http://schemas.openxmlformats.org/officeDocument/2006/relationships/externalLinkPath" Target="/Users/Andrisa/Dropbox/Andrisa/Landco/Accounts%202026/BDO%20Accounts%202026/02%20BDO%20Bank%20Control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LUZ%20TAFY%202026.xlsx" TargetMode="External"/><Relationship Id="rId2" Type="http://schemas.openxmlformats.org/officeDocument/2006/relationships/externalLinkPath" Target="file:///C:\Users\Andrisa\Dropbox\Andrisa\Landco\Accounts%202026\Shareholders%202026\02%20LUZ%20TAFY%202026.xlsx" TargetMode="External"/><Relationship Id="rId1" Type="http://schemas.openxmlformats.org/officeDocument/2006/relationships/externalLinkPath" Target="/Users/Andrisa/Dropbox/Andrisa/Landco/Accounts%202026/Shareholders%202026/02%20LUZ%20TAFY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AURORA%20STEAD%202026.xlsx" TargetMode="External"/><Relationship Id="rId2" Type="http://schemas.openxmlformats.org/officeDocument/2006/relationships/externalLinkPath" Target="file:///C:\Users\Andrisa\Dropbox\Andrisa\Landco\Accounts%202026\Shareholders%202026\01%20AURORA%20STEAD%202026.xlsx" TargetMode="External"/><Relationship Id="rId1" Type="http://schemas.openxmlformats.org/officeDocument/2006/relationships/externalLinkPath" Target="/Users/Andrisa/Dropbox/Andrisa/Landco/Accounts%202026/Shareholders%202026/01%20AURORA%20STEAD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CAJU%20KEVIN%202026.xlsx" TargetMode="External"/><Relationship Id="rId2" Type="http://schemas.openxmlformats.org/officeDocument/2006/relationships/externalLinkPath" Target="file:///C:\Users\Andrisa\Dropbox\Andrisa\Landco\Accounts%202026\Shareholders%202026\02%20CAJU%20KEVIN%202026.xlsx" TargetMode="External"/><Relationship Id="rId1" Type="http://schemas.openxmlformats.org/officeDocument/2006/relationships/externalLinkPath" Target="/Users/Andrisa/Dropbox/Andrisa/Landco/Accounts%202026/Shareholders%202026/02%20CAJU%20KEVIN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COCO%20COHEN2026.xlsx" TargetMode="External"/><Relationship Id="rId2" Type="http://schemas.openxmlformats.org/officeDocument/2006/relationships/externalLinkPath" Target="file:///C:\Users\Andrisa\Dropbox\Andrisa\Landco\Accounts%202026\Shareholders%202026\02%20COCO%20COHEN2026.xlsx" TargetMode="External"/><Relationship Id="rId1" Type="http://schemas.openxmlformats.org/officeDocument/2006/relationships/externalLinkPath" Target="/Users/Andrisa/Dropbox/Andrisa/Landco/Accounts%202026/Shareholders%202026/02%20COCO%20COHEN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indicate"/>
      <sheetName val="PaySlip"/>
    </sheetNames>
    <sheetDataSet>
      <sheetData sheetId="0">
        <row r="10">
          <cell r="AH10">
            <v>169068.41666666669</v>
          </cell>
        </row>
        <row r="18">
          <cell r="AH18">
            <v>35109.333333333336</v>
          </cell>
        </row>
        <row r="21">
          <cell r="AH21">
            <v>65199.916666666672</v>
          </cell>
        </row>
        <row r="25">
          <cell r="AH25">
            <v>38723.333333333328</v>
          </cell>
        </row>
        <row r="28">
          <cell r="AH28">
            <v>43125</v>
          </cell>
        </row>
        <row r="31">
          <cell r="AC31">
            <v>10536.78</v>
          </cell>
        </row>
        <row r="32">
          <cell r="AC32">
            <v>24585.820000000007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MAY Expenses"/>
    </sheetNames>
    <sheetDataSet>
      <sheetData sheetId="0"/>
      <sheetData sheetId="1">
        <row r="9">
          <cell r="C9">
            <v>420000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/>
      <sheetData sheetId="5">
        <row r="15">
          <cell r="G15">
            <v>232000</v>
          </cell>
        </row>
        <row r="16">
          <cell r="G16">
            <v>281750</v>
          </cell>
        </row>
        <row r="17">
          <cell r="G17">
            <v>435000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20">
          <cell r="E20">
            <v>12125</v>
          </cell>
        </row>
      </sheetData>
      <sheetData sheetId="3">
        <row r="9">
          <cell r="F9">
            <v>557664.46250000014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11">
          <cell r="F11">
            <v>335000</v>
          </cell>
        </row>
      </sheetData>
      <sheetData sheetId="3">
        <row r="8">
          <cell r="F8">
            <v>204957.5</v>
          </cell>
        </row>
        <row r="9">
          <cell r="F9">
            <v>352706.96250000014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>
        <row r="7">
          <cell r="I7">
            <v>227192.10250000001</v>
          </cell>
        </row>
      </sheetData>
      <sheetData sheetId="5">
        <row r="5">
          <cell r="J5">
            <v>670125.74999999988</v>
          </cell>
        </row>
        <row r="6">
          <cell r="J6">
            <v>258025.81000000017</v>
          </cell>
        </row>
      </sheetData>
      <sheetData sheetId="6">
        <row r="7">
          <cell r="G7">
            <v>27289.8</v>
          </cell>
        </row>
        <row r="8">
          <cell r="G8">
            <v>-18889.39</v>
          </cell>
        </row>
      </sheetData>
      <sheetData sheetId="7">
        <row r="7">
          <cell r="G7">
            <v>0</v>
          </cell>
        </row>
        <row r="8">
          <cell r="G8">
            <v>32537.27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302840.89580000041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727458.65249999985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19">
          <cell r="F19">
            <v>307359.51249999995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-90605.40750000003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97"/>
  <sheetViews>
    <sheetView zoomScale="80" zoomScaleNormal="80" workbookViewId="0">
      <pane xSplit="4" ySplit="6" topLeftCell="E34" activePane="bottomRight" state="frozen"/>
      <selection pane="topRight" activeCell="E1" sqref="E1"/>
      <selection pane="bottomLeft" activeCell="A7" sqref="A7"/>
      <selection pane="bottomRight" activeCell="D53" sqref="D53"/>
    </sheetView>
  </sheetViews>
  <sheetFormatPr defaultColWidth="14.42578125" defaultRowHeight="15" x14ac:dyDescent="0.3"/>
  <cols>
    <col min="1" max="1" width="11" style="1" customWidth="1"/>
    <col min="2" max="2" width="11" style="41" customWidth="1"/>
    <col min="3" max="3" width="51.5703125" style="1" customWidth="1"/>
    <col min="4" max="4" width="20.7109375" style="2" customWidth="1"/>
    <col min="5" max="6" width="15.7109375" style="1" customWidth="1"/>
    <col min="7" max="7" width="15.7109375" style="2" customWidth="1"/>
    <col min="8" max="9" width="15.7109375" style="1" customWidth="1"/>
    <col min="10" max="10" width="15.7109375" style="53" customWidth="1"/>
    <col min="11" max="11" width="15.7109375" style="1" customWidth="1"/>
    <col min="12" max="12" width="14.42578125" style="2"/>
    <col min="13" max="13" width="17" style="2" customWidth="1"/>
    <col min="14" max="16384" width="14.42578125" style="1"/>
  </cols>
  <sheetData>
    <row r="1" spans="1:11" ht="39" customHeight="1" x14ac:dyDescent="0.7">
      <c r="A1" s="3" t="s">
        <v>0</v>
      </c>
      <c r="B1" s="34"/>
      <c r="C1" s="4"/>
      <c r="D1" s="4" t="s">
        <v>7</v>
      </c>
      <c r="E1" s="2">
        <f>+E49</f>
        <v>0</v>
      </c>
      <c r="F1" s="157">
        <f>+E1/63.25</f>
        <v>0</v>
      </c>
    </row>
    <row r="2" spans="1:11" ht="15.75" customHeight="1" x14ac:dyDescent="0.3">
      <c r="A2" s="5"/>
      <c r="B2" s="35"/>
      <c r="D2" s="4" t="s">
        <v>8</v>
      </c>
      <c r="E2" s="2">
        <f>+F49</f>
        <v>0</v>
      </c>
      <c r="F2" s="157">
        <f t="shared" ref="F2:F4" si="0">+E2/63.25</f>
        <v>0</v>
      </c>
      <c r="G2" s="6"/>
      <c r="H2" s="7"/>
      <c r="I2" s="7"/>
    </row>
    <row r="3" spans="1:11" x14ac:dyDescent="0.3">
      <c r="A3" s="8"/>
      <c r="B3" s="36"/>
      <c r="C3" s="9"/>
      <c r="D3" s="4" t="s">
        <v>9</v>
      </c>
      <c r="E3" s="2">
        <f>+G49</f>
        <v>0</v>
      </c>
      <c r="F3" s="157">
        <f t="shared" si="0"/>
        <v>0</v>
      </c>
      <c r="G3" s="6"/>
      <c r="H3" s="10"/>
      <c r="I3" s="10"/>
    </row>
    <row r="4" spans="1:11" x14ac:dyDescent="0.3">
      <c r="A4" s="8"/>
      <c r="B4" s="36"/>
      <c r="C4" s="9"/>
      <c r="D4" s="4" t="s">
        <v>10</v>
      </c>
      <c r="E4" s="2">
        <f>+H49</f>
        <v>0</v>
      </c>
      <c r="F4" s="157">
        <f t="shared" si="0"/>
        <v>0</v>
      </c>
      <c r="G4" s="6"/>
      <c r="H4" s="10"/>
      <c r="I4" s="10"/>
    </row>
    <row r="5" spans="1:11" x14ac:dyDescent="0.3">
      <c r="A5" s="11"/>
      <c r="B5" s="37"/>
      <c r="C5" s="12"/>
      <c r="D5" s="4"/>
      <c r="E5" s="13">
        <f>SUM(E1:E4)</f>
        <v>0</v>
      </c>
      <c r="F5" s="157">
        <f>+E5/63.25</f>
        <v>0</v>
      </c>
      <c r="G5" s="14">
        <f>SUM(F1:F4)</f>
        <v>0</v>
      </c>
      <c r="H5" s="15"/>
      <c r="I5" s="15"/>
    </row>
    <row r="6" spans="1:11" ht="17.25" customHeight="1" x14ac:dyDescent="0.3">
      <c r="A6" s="16" t="s">
        <v>1</v>
      </c>
      <c r="B6" s="38" t="s">
        <v>16</v>
      </c>
      <c r="C6" s="16" t="s">
        <v>2</v>
      </c>
      <c r="D6" s="18" t="s">
        <v>3</v>
      </c>
      <c r="E6" s="16" t="s">
        <v>7</v>
      </c>
      <c r="F6" s="18" t="s">
        <v>8</v>
      </c>
      <c r="G6" s="18" t="s">
        <v>9</v>
      </c>
      <c r="H6" s="18" t="s">
        <v>10</v>
      </c>
      <c r="I6" s="18" t="s">
        <v>19</v>
      </c>
      <c r="J6" s="54" t="s">
        <v>18</v>
      </c>
      <c r="K6" s="58" t="s">
        <v>20</v>
      </c>
    </row>
    <row r="7" spans="1:11" ht="17.25" customHeight="1" x14ac:dyDescent="0.3">
      <c r="A7" s="19">
        <v>45659</v>
      </c>
      <c r="B7" s="39">
        <v>3</v>
      </c>
      <c r="C7" s="20" t="s">
        <v>4</v>
      </c>
      <c r="D7" s="22">
        <v>594297</v>
      </c>
      <c r="E7" s="21">
        <v>0</v>
      </c>
      <c r="F7" s="23"/>
      <c r="G7" s="24">
        <f>+D7</f>
        <v>594297</v>
      </c>
      <c r="H7" s="25"/>
      <c r="I7" s="26">
        <f>SUM(E7:H7)</f>
        <v>594297</v>
      </c>
      <c r="J7" s="55">
        <f>+D7/63.25</f>
        <v>9396</v>
      </c>
      <c r="K7" s="22">
        <f>SUM(I7:I9)</f>
        <v>1846127</v>
      </c>
    </row>
    <row r="8" spans="1:11" ht="17.25" customHeight="1" x14ac:dyDescent="0.3">
      <c r="A8" s="19">
        <v>45673</v>
      </c>
      <c r="B8" s="39">
        <v>2</v>
      </c>
      <c r="C8" s="20" t="s">
        <v>6</v>
      </c>
      <c r="D8" s="22">
        <v>958350</v>
      </c>
      <c r="E8" s="21"/>
      <c r="F8" s="24">
        <f>+D8</f>
        <v>958350</v>
      </c>
      <c r="G8" s="24"/>
      <c r="H8" s="25"/>
      <c r="I8" s="26">
        <f t="shared" ref="I8:I9" si="1">SUM(E8:H8)</f>
        <v>958350</v>
      </c>
      <c r="J8" s="55">
        <f>+D8/63.25</f>
        <v>15151.778656126482</v>
      </c>
      <c r="K8" s="21"/>
    </row>
    <row r="9" spans="1:11" ht="17.25" customHeight="1" x14ac:dyDescent="0.3">
      <c r="A9" s="19">
        <v>45681</v>
      </c>
      <c r="B9" s="39">
        <v>3</v>
      </c>
      <c r="C9" s="20" t="s">
        <v>4</v>
      </c>
      <c r="D9" s="22">
        <v>293480</v>
      </c>
      <c r="E9" s="21"/>
      <c r="F9" s="23"/>
      <c r="G9" s="24">
        <f>+D9</f>
        <v>293480</v>
      </c>
      <c r="H9" s="25"/>
      <c r="I9" s="26">
        <f t="shared" si="1"/>
        <v>293480</v>
      </c>
      <c r="J9" s="55">
        <f>+D9/63.25</f>
        <v>4640</v>
      </c>
      <c r="K9" s="21"/>
    </row>
    <row r="10" spans="1:11" ht="17.25" customHeight="1" x14ac:dyDescent="0.3">
      <c r="A10" s="16"/>
      <c r="B10" s="38"/>
      <c r="C10" s="16"/>
      <c r="D10" s="17"/>
      <c r="E10" s="16"/>
      <c r="F10" s="18"/>
      <c r="G10" s="17"/>
      <c r="H10" s="18"/>
      <c r="I10" s="47"/>
      <c r="J10" s="56"/>
      <c r="K10" s="56"/>
    </row>
    <row r="11" spans="1:11" ht="17.25" customHeight="1" x14ac:dyDescent="0.3">
      <c r="A11" s="48">
        <v>45713</v>
      </c>
      <c r="B11" s="40">
        <v>3</v>
      </c>
      <c r="C11" s="49" t="s">
        <v>39</v>
      </c>
      <c r="D11" s="22">
        <v>40200</v>
      </c>
      <c r="E11" s="21"/>
      <c r="F11" s="24"/>
      <c r="G11" s="24">
        <f>+D11</f>
        <v>40200</v>
      </c>
      <c r="H11" s="25"/>
      <c r="I11" s="26">
        <f>+D11</f>
        <v>40200</v>
      </c>
      <c r="J11" s="55">
        <f>+D11/67</f>
        <v>600</v>
      </c>
      <c r="K11" s="57">
        <f>+I11</f>
        <v>40200</v>
      </c>
    </row>
    <row r="12" spans="1:11" ht="17.25" customHeight="1" x14ac:dyDescent="0.3">
      <c r="A12" s="42"/>
      <c r="B12" s="50"/>
      <c r="C12" s="51"/>
      <c r="D12" s="44"/>
      <c r="E12" s="43"/>
      <c r="F12" s="45"/>
      <c r="G12" s="45"/>
      <c r="H12" s="46"/>
      <c r="I12" s="47"/>
      <c r="J12" s="56"/>
      <c r="K12" s="56"/>
    </row>
    <row r="13" spans="1:11" ht="17.25" customHeight="1" x14ac:dyDescent="0.3">
      <c r="A13" s="19">
        <v>45720</v>
      </c>
      <c r="B13" s="39">
        <v>3</v>
      </c>
      <c r="C13" s="20" t="s">
        <v>4</v>
      </c>
      <c r="D13" s="22">
        <v>751171</v>
      </c>
      <c r="E13" s="21"/>
      <c r="F13" s="21"/>
      <c r="G13" s="24">
        <f>+D13</f>
        <v>751171</v>
      </c>
      <c r="H13" s="25"/>
      <c r="I13" s="26">
        <f>SUM(E13:H13)</f>
        <v>751171</v>
      </c>
      <c r="J13" s="55">
        <f>+D13/63.25</f>
        <v>11876.221343873518</v>
      </c>
      <c r="K13" s="22">
        <f>SUM(D13:D16)</f>
        <v>2299693</v>
      </c>
    </row>
    <row r="14" spans="1:11" ht="17.25" customHeight="1" x14ac:dyDescent="0.3">
      <c r="A14" s="19">
        <v>45740</v>
      </c>
      <c r="B14" s="39">
        <v>4</v>
      </c>
      <c r="C14" s="20" t="s">
        <v>17</v>
      </c>
      <c r="D14" s="22">
        <f>6942*66</f>
        <v>458172</v>
      </c>
      <c r="E14" s="21"/>
      <c r="F14" s="21"/>
      <c r="G14" s="24"/>
      <c r="H14" s="25">
        <f>+D14</f>
        <v>458172</v>
      </c>
      <c r="I14" s="26">
        <f t="shared" ref="I14:I16" si="2">SUM(E14:H14)</f>
        <v>458172</v>
      </c>
      <c r="J14" s="55">
        <f>+D14/66</f>
        <v>6942</v>
      </c>
      <c r="K14" s="21"/>
    </row>
    <row r="15" spans="1:11" ht="17.25" customHeight="1" x14ac:dyDescent="0.3">
      <c r="A15" s="19">
        <v>45741</v>
      </c>
      <c r="B15" s="39">
        <v>2</v>
      </c>
      <c r="C15" s="20" t="s">
        <v>6</v>
      </c>
      <c r="D15" s="22">
        <v>958350</v>
      </c>
      <c r="E15" s="21"/>
      <c r="F15" s="22">
        <f>+D15</f>
        <v>958350</v>
      </c>
      <c r="G15" s="24"/>
      <c r="H15" s="25"/>
      <c r="I15" s="26">
        <f t="shared" si="2"/>
        <v>958350</v>
      </c>
      <c r="J15" s="55">
        <f>+D15/63.25</f>
        <v>15151.778656126482</v>
      </c>
      <c r="K15" s="21"/>
    </row>
    <row r="16" spans="1:11" ht="17.25" customHeight="1" x14ac:dyDescent="0.3">
      <c r="A16" s="19">
        <v>45741</v>
      </c>
      <c r="B16" s="39">
        <v>3</v>
      </c>
      <c r="C16" s="20" t="s">
        <v>4</v>
      </c>
      <c r="D16" s="22">
        <f>2000*66</f>
        <v>132000</v>
      </c>
      <c r="E16" s="21"/>
      <c r="F16" s="21"/>
      <c r="G16" s="24">
        <f>+D16</f>
        <v>132000</v>
      </c>
      <c r="H16" s="25"/>
      <c r="I16" s="26">
        <f t="shared" si="2"/>
        <v>132000</v>
      </c>
      <c r="J16" s="55">
        <f>+D16/66</f>
        <v>2000</v>
      </c>
      <c r="K16" s="21"/>
    </row>
    <row r="17" spans="1:11" ht="17.25" customHeight="1" x14ac:dyDescent="0.3">
      <c r="A17" s="42"/>
      <c r="B17" s="50"/>
      <c r="C17" s="51"/>
      <c r="D17" s="44"/>
      <c r="E17" s="43"/>
      <c r="F17" s="45"/>
      <c r="G17" s="45"/>
      <c r="H17" s="46"/>
      <c r="I17" s="47"/>
      <c r="J17" s="56"/>
      <c r="K17" s="56"/>
    </row>
    <row r="18" spans="1:11" ht="15.75" customHeight="1" x14ac:dyDescent="0.3">
      <c r="A18" s="19">
        <v>45763</v>
      </c>
      <c r="B18" s="39">
        <v>1</v>
      </c>
      <c r="C18" s="20" t="s">
        <v>26</v>
      </c>
      <c r="D18" s="22">
        <f>6950*67</f>
        <v>465650</v>
      </c>
      <c r="E18" s="22">
        <f>+D18</f>
        <v>465650</v>
      </c>
      <c r="F18" s="21"/>
      <c r="G18" s="22"/>
      <c r="H18" s="92"/>
      <c r="I18" s="158"/>
      <c r="J18" s="55">
        <v>6950</v>
      </c>
      <c r="K18" s="22">
        <f>SUM(D18:D20)</f>
        <v>923170</v>
      </c>
    </row>
    <row r="19" spans="1:11" ht="15.75" customHeight="1" x14ac:dyDescent="0.3">
      <c r="A19" s="19">
        <v>45763</v>
      </c>
      <c r="B19" s="39">
        <v>2</v>
      </c>
      <c r="C19" s="20" t="s">
        <v>27</v>
      </c>
      <c r="D19" s="22">
        <f>560*67</f>
        <v>37520</v>
      </c>
      <c r="E19" s="22"/>
      <c r="F19" s="22">
        <f>+D19</f>
        <v>37520</v>
      </c>
      <c r="G19" s="22"/>
      <c r="H19" s="92"/>
      <c r="I19" s="158"/>
      <c r="J19" s="55">
        <f>7*80</f>
        <v>560</v>
      </c>
      <c r="K19" s="21"/>
    </row>
    <row r="20" spans="1:11" ht="15.75" customHeight="1" x14ac:dyDescent="0.3">
      <c r="A20" s="19">
        <v>45777</v>
      </c>
      <c r="B20" s="39">
        <v>3</v>
      </c>
      <c r="C20" s="20" t="s">
        <v>28</v>
      </c>
      <c r="D20" s="22">
        <f>+'[2]Breakdown of Income'!$C$9</f>
        <v>420000</v>
      </c>
      <c r="E20" s="22"/>
      <c r="F20" s="94"/>
      <c r="G20" s="94">
        <f>+D20</f>
        <v>420000</v>
      </c>
      <c r="H20" s="95"/>
      <c r="I20" s="159"/>
      <c r="J20" s="55">
        <f>+G20/63.25</f>
        <v>6640.316205533597</v>
      </c>
      <c r="K20" s="21"/>
    </row>
    <row r="21" spans="1:11" ht="17.25" customHeight="1" x14ac:dyDescent="0.3">
      <c r="A21" s="42"/>
      <c r="B21" s="50"/>
      <c r="C21" s="51"/>
      <c r="D21" s="44"/>
      <c r="E21" s="44"/>
      <c r="F21" s="44"/>
      <c r="G21" s="44"/>
      <c r="H21" s="44"/>
      <c r="I21" s="44"/>
      <c r="J21" s="56"/>
      <c r="K21" s="56"/>
    </row>
    <row r="22" spans="1:11" ht="15.75" customHeight="1" x14ac:dyDescent="0.3">
      <c r="A22" s="19">
        <v>45800</v>
      </c>
      <c r="B22" s="39">
        <v>1</v>
      </c>
      <c r="C22" s="20" t="s">
        <v>29</v>
      </c>
      <c r="D22" s="22">
        <f>5000*62</f>
        <v>310000</v>
      </c>
      <c r="E22" s="22">
        <f>+D22</f>
        <v>310000</v>
      </c>
      <c r="F22" s="21"/>
      <c r="G22" s="22"/>
      <c r="H22" s="92"/>
      <c r="I22" s="158"/>
      <c r="J22" s="55">
        <v>5000</v>
      </c>
      <c r="K22" s="22">
        <f>SUM(D22:D24)</f>
        <v>1268350</v>
      </c>
    </row>
    <row r="23" spans="1:11" ht="17.25" customHeight="1" x14ac:dyDescent="0.3">
      <c r="A23" s="42"/>
      <c r="B23" s="50"/>
      <c r="C23" s="51"/>
      <c r="D23" s="44"/>
      <c r="E23" s="44"/>
      <c r="F23" s="44"/>
      <c r="G23" s="44"/>
      <c r="H23" s="44"/>
      <c r="I23" s="44"/>
      <c r="J23" s="56"/>
      <c r="K23" s="56"/>
    </row>
    <row r="24" spans="1:11" ht="15.75" customHeight="1" x14ac:dyDescent="0.3">
      <c r="A24" s="19">
        <v>45811</v>
      </c>
      <c r="B24" s="39">
        <v>1</v>
      </c>
      <c r="C24" s="20" t="s">
        <v>4</v>
      </c>
      <c r="D24" s="22">
        <v>958350</v>
      </c>
      <c r="E24" s="22"/>
      <c r="F24" s="21"/>
      <c r="G24" s="22">
        <f>+D24</f>
        <v>958350</v>
      </c>
      <c r="H24" s="92"/>
      <c r="I24" s="158"/>
      <c r="J24" s="55">
        <f>+D24/63.25</f>
        <v>15151.778656126482</v>
      </c>
      <c r="K24" s="22">
        <f>SUM(D24:D26)</f>
        <v>2865450</v>
      </c>
    </row>
    <row r="25" spans="1:11" ht="15.75" customHeight="1" x14ac:dyDescent="0.3">
      <c r="A25" s="19">
        <v>45828</v>
      </c>
      <c r="B25" s="39">
        <v>4</v>
      </c>
      <c r="C25" s="20" t="s">
        <v>30</v>
      </c>
      <c r="D25" s="22">
        <f>15000*63.25</f>
        <v>948750</v>
      </c>
      <c r="E25" s="22"/>
      <c r="F25" s="22"/>
      <c r="G25" s="22"/>
      <c r="H25" s="92">
        <f>+D25</f>
        <v>948750</v>
      </c>
      <c r="I25" s="158"/>
      <c r="J25" s="55">
        <f>+D25/63.25</f>
        <v>15000</v>
      </c>
      <c r="K25" s="21"/>
    </row>
    <row r="26" spans="1:11" ht="15.75" customHeight="1" x14ac:dyDescent="0.3">
      <c r="A26" s="19">
        <v>45829</v>
      </c>
      <c r="B26" s="39">
        <v>3</v>
      </c>
      <c r="C26" s="20" t="s">
        <v>6</v>
      </c>
      <c r="D26" s="22">
        <v>958350</v>
      </c>
      <c r="E26" s="22"/>
      <c r="F26" s="94">
        <f>+D26</f>
        <v>958350</v>
      </c>
      <c r="G26" s="94"/>
      <c r="H26" s="95"/>
      <c r="I26" s="159"/>
      <c r="J26" s="55">
        <f>+D26/63.25</f>
        <v>15151.778656126482</v>
      </c>
      <c r="K26" s="21"/>
    </row>
    <row r="27" spans="1:11" ht="17.25" customHeight="1" x14ac:dyDescent="0.3">
      <c r="A27" s="42"/>
      <c r="B27" s="50"/>
      <c r="C27" s="51"/>
      <c r="D27" s="44"/>
      <c r="E27" s="44"/>
      <c r="F27" s="44"/>
      <c r="G27" s="44"/>
      <c r="H27" s="44"/>
      <c r="I27" s="44"/>
      <c r="J27" s="56"/>
      <c r="K27" s="56"/>
    </row>
    <row r="28" spans="1:11" ht="15.75" customHeight="1" x14ac:dyDescent="0.3">
      <c r="A28" s="19">
        <v>45854</v>
      </c>
      <c r="B28" s="39">
        <v>1</v>
      </c>
      <c r="C28" s="20" t="s">
        <v>37</v>
      </c>
      <c r="D28" s="22">
        <f>+J28*67</f>
        <v>335000</v>
      </c>
      <c r="E28" s="22">
        <f>+D28</f>
        <v>335000</v>
      </c>
      <c r="F28" s="21"/>
      <c r="G28" s="22"/>
      <c r="H28" s="92"/>
      <c r="I28" s="158"/>
      <c r="J28" s="55">
        <v>5000</v>
      </c>
      <c r="K28" s="22">
        <f>SUM(D28:D291)</f>
        <v>7882805</v>
      </c>
    </row>
    <row r="29" spans="1:11" ht="15.75" customHeight="1" x14ac:dyDescent="0.3">
      <c r="A29" s="19">
        <v>45855</v>
      </c>
      <c r="B29" s="39">
        <v>4</v>
      </c>
      <c r="C29" s="20" t="s">
        <v>38</v>
      </c>
      <c r="D29" s="22">
        <f>1470*67</f>
        <v>98490</v>
      </c>
      <c r="E29" s="22"/>
      <c r="F29" s="22"/>
      <c r="G29" s="22"/>
      <c r="H29" s="92">
        <f>+D29</f>
        <v>98490</v>
      </c>
      <c r="I29" s="158"/>
      <c r="J29" s="55">
        <v>1470</v>
      </c>
      <c r="K29" s="21"/>
    </row>
    <row r="30" spans="1:11" ht="17.25" customHeight="1" x14ac:dyDescent="0.3">
      <c r="A30" s="42"/>
      <c r="B30" s="50"/>
      <c r="C30" s="51"/>
      <c r="D30" s="44"/>
      <c r="E30" s="44"/>
      <c r="F30" s="44"/>
      <c r="G30" s="44"/>
      <c r="H30" s="44"/>
      <c r="I30" s="44"/>
      <c r="J30" s="56"/>
      <c r="K30" s="56"/>
    </row>
    <row r="31" spans="1:11" ht="15.75" customHeight="1" x14ac:dyDescent="0.3">
      <c r="A31" s="19">
        <v>45880</v>
      </c>
      <c r="B31" s="39">
        <v>1</v>
      </c>
      <c r="C31" s="124" t="s">
        <v>40</v>
      </c>
      <c r="D31" s="22">
        <f>+J31*68</f>
        <v>68000</v>
      </c>
      <c r="E31" s="22">
        <f>+D31</f>
        <v>68000</v>
      </c>
      <c r="F31" s="21"/>
      <c r="G31" s="22"/>
      <c r="H31" s="92"/>
      <c r="I31" s="158"/>
      <c r="J31" s="55">
        <v>1000</v>
      </c>
      <c r="K31" s="22">
        <f>SUM(D31:D294)</f>
        <v>7449315</v>
      </c>
    </row>
    <row r="32" spans="1:11" ht="15.75" customHeight="1" x14ac:dyDescent="0.3">
      <c r="A32" s="19">
        <v>45894</v>
      </c>
      <c r="B32" s="39">
        <v>2</v>
      </c>
      <c r="C32" s="124" t="s">
        <v>76</v>
      </c>
      <c r="D32" s="22">
        <f>+J32*68</f>
        <v>119000</v>
      </c>
      <c r="E32" s="22"/>
      <c r="F32" s="22">
        <f>+D32</f>
        <v>119000</v>
      </c>
      <c r="G32" s="22"/>
      <c r="H32" s="92"/>
      <c r="I32" s="158"/>
      <c r="J32" s="55">
        <f>1250+500</f>
        <v>1750</v>
      </c>
      <c r="K32" s="22"/>
    </row>
    <row r="33" spans="1:11" ht="17.25" customHeight="1" x14ac:dyDescent="0.3">
      <c r="A33" s="42"/>
      <c r="B33" s="50"/>
      <c r="C33" s="51"/>
      <c r="D33" s="44"/>
      <c r="E33" s="44"/>
      <c r="F33" s="44"/>
      <c r="G33" s="44"/>
      <c r="H33" s="44"/>
      <c r="I33" s="44"/>
      <c r="J33" s="56"/>
      <c r="K33" s="56"/>
    </row>
    <row r="34" spans="1:11" ht="17.25" customHeight="1" x14ac:dyDescent="0.3">
      <c r="A34" s="19">
        <v>45912</v>
      </c>
      <c r="B34" s="39">
        <v>3</v>
      </c>
      <c r="C34" s="20" t="s">
        <v>4</v>
      </c>
      <c r="D34" s="22">
        <v>638900</v>
      </c>
      <c r="E34" s="21"/>
      <c r="F34" s="21"/>
      <c r="G34" s="24">
        <f>+D34</f>
        <v>638900</v>
      </c>
      <c r="H34" s="25"/>
      <c r="I34" s="26">
        <f>SUM(E34:H34)</f>
        <v>638900</v>
      </c>
      <c r="J34" s="55">
        <f>+D34/63.25</f>
        <v>10101.185770750988</v>
      </c>
      <c r="K34" s="22">
        <f>SUM(D34:D37)</f>
        <v>1641540</v>
      </c>
    </row>
    <row r="35" spans="1:11" ht="15.75" customHeight="1" x14ac:dyDescent="0.3">
      <c r="A35" s="19">
        <v>45922</v>
      </c>
      <c r="B35" s="39">
        <v>4</v>
      </c>
      <c r="C35" s="124" t="s">
        <v>44</v>
      </c>
      <c r="D35" s="22">
        <v>60720</v>
      </c>
      <c r="E35" s="22"/>
      <c r="F35" s="22"/>
      <c r="G35" s="22"/>
      <c r="H35" s="92">
        <f>+D35</f>
        <v>60720</v>
      </c>
      <c r="I35" s="158"/>
      <c r="J35" s="55">
        <f>+D35/69</f>
        <v>880</v>
      </c>
      <c r="K35" s="22"/>
    </row>
    <row r="36" spans="1:11" ht="17.25" customHeight="1" x14ac:dyDescent="0.3">
      <c r="A36" s="42"/>
      <c r="B36" s="50"/>
      <c r="C36" s="51"/>
      <c r="D36" s="44"/>
      <c r="E36" s="44"/>
      <c r="F36" s="44"/>
      <c r="G36" s="44"/>
      <c r="H36" s="44"/>
      <c r="I36" s="44"/>
      <c r="J36" s="56"/>
      <c r="K36" s="56"/>
    </row>
    <row r="37" spans="1:11" ht="15.75" customHeight="1" x14ac:dyDescent="0.3">
      <c r="A37" s="19">
        <v>45940</v>
      </c>
      <c r="B37" s="160">
        <v>2</v>
      </c>
      <c r="C37" s="161" t="s">
        <v>77</v>
      </c>
      <c r="D37" s="22">
        <f>617120+324800</f>
        <v>941920</v>
      </c>
      <c r="E37" s="21"/>
      <c r="F37" s="22">
        <f>+D37</f>
        <v>941920</v>
      </c>
      <c r="G37" s="22"/>
      <c r="H37" s="21"/>
      <c r="I37" s="21"/>
      <c r="J37" s="55">
        <f>+D37/63.25</f>
        <v>14892.01581027668</v>
      </c>
      <c r="K37" s="22">
        <f>SUM(D37:D39)</f>
        <v>2112970</v>
      </c>
    </row>
    <row r="38" spans="1:11" ht="15.75" customHeight="1" x14ac:dyDescent="0.3">
      <c r="A38" s="19">
        <v>45953</v>
      </c>
      <c r="B38" s="160">
        <v>3</v>
      </c>
      <c r="C38" s="161" t="s">
        <v>85</v>
      </c>
      <c r="D38" s="22">
        <v>222300</v>
      </c>
      <c r="E38" s="21"/>
      <c r="F38" s="22"/>
      <c r="G38" s="22">
        <f>57000*3.9</f>
        <v>222300</v>
      </c>
      <c r="H38" s="21"/>
      <c r="I38" s="21"/>
      <c r="J38" s="55">
        <v>3000</v>
      </c>
      <c r="K38" s="21"/>
    </row>
    <row r="39" spans="1:11" ht="15.75" customHeight="1" x14ac:dyDescent="0.3">
      <c r="A39" s="19">
        <v>45954</v>
      </c>
      <c r="B39" s="160">
        <v>4</v>
      </c>
      <c r="C39" s="20" t="s">
        <v>30</v>
      </c>
      <c r="D39" s="22">
        <f>15000*63.25</f>
        <v>948750</v>
      </c>
      <c r="E39" s="21"/>
      <c r="F39" s="22"/>
      <c r="G39" s="22"/>
      <c r="H39" s="22">
        <f>15000*63.25</f>
        <v>948750</v>
      </c>
      <c r="I39" s="21"/>
      <c r="J39" s="55">
        <f>+H39/63.25</f>
        <v>15000</v>
      </c>
      <c r="K39" s="21"/>
    </row>
    <row r="40" spans="1:11" ht="17.25" customHeight="1" x14ac:dyDescent="0.3">
      <c r="A40" s="42"/>
      <c r="B40" s="50"/>
      <c r="C40" s="51"/>
      <c r="D40" s="44"/>
      <c r="E40" s="44"/>
      <c r="F40" s="44"/>
      <c r="G40" s="44"/>
      <c r="H40" s="44"/>
      <c r="I40" s="44"/>
      <c r="J40" s="56"/>
      <c r="K40" s="56"/>
    </row>
    <row r="41" spans="1:11" ht="15.75" customHeight="1" x14ac:dyDescent="0.3">
      <c r="A41" s="19">
        <v>45979</v>
      </c>
      <c r="B41" s="160">
        <v>3</v>
      </c>
      <c r="C41" s="161" t="s">
        <v>4</v>
      </c>
      <c r="D41" s="22">
        <v>948750</v>
      </c>
      <c r="E41" s="21"/>
      <c r="F41" s="22"/>
      <c r="G41" s="22">
        <f>+D41</f>
        <v>948750</v>
      </c>
      <c r="H41" s="21"/>
      <c r="I41" s="21"/>
      <c r="J41" s="55">
        <f>+D41/63.25</f>
        <v>15000</v>
      </c>
      <c r="K41" s="22">
        <f>SUM(D41:D44)</f>
        <v>1522150</v>
      </c>
    </row>
    <row r="42" spans="1:11" ht="15.75" customHeight="1" x14ac:dyDescent="0.3">
      <c r="A42" s="19">
        <v>45980</v>
      </c>
      <c r="B42" s="160">
        <v>2</v>
      </c>
      <c r="C42" s="161" t="s">
        <v>83</v>
      </c>
      <c r="D42" s="22">
        <f>320*70</f>
        <v>22400</v>
      </c>
      <c r="E42" s="21"/>
      <c r="F42" s="22">
        <f>+D42</f>
        <v>22400</v>
      </c>
      <c r="G42" s="22"/>
      <c r="H42" s="21"/>
      <c r="I42" s="21"/>
      <c r="J42" s="55">
        <v>320</v>
      </c>
      <c r="K42" s="22"/>
    </row>
    <row r="43" spans="1:11" ht="15.75" customHeight="1" x14ac:dyDescent="0.3">
      <c r="A43" s="19">
        <v>45986</v>
      </c>
      <c r="B43" s="160">
        <v>1</v>
      </c>
      <c r="C43" s="161" t="s">
        <v>82</v>
      </c>
      <c r="D43" s="22">
        <f>551000</f>
        <v>551000</v>
      </c>
      <c r="E43" s="22">
        <f>+D43</f>
        <v>551000</v>
      </c>
      <c r="F43" s="22"/>
      <c r="G43" s="22"/>
      <c r="H43" s="21"/>
      <c r="I43" s="21"/>
      <c r="J43" s="55">
        <f>+D43/63.25</f>
        <v>8711.4624505928859</v>
      </c>
      <c r="K43" s="21"/>
    </row>
    <row r="44" spans="1:11" ht="17.25" customHeight="1" x14ac:dyDescent="0.3">
      <c r="A44" s="42"/>
      <c r="B44" s="50"/>
      <c r="C44" s="51"/>
      <c r="D44" s="44"/>
      <c r="E44" s="44"/>
      <c r="F44" s="44"/>
      <c r="G44" s="44"/>
      <c r="H44" s="44"/>
      <c r="I44" s="44"/>
      <c r="J44" s="56"/>
      <c r="K44" s="56"/>
    </row>
    <row r="45" spans="1:11" ht="15.75" customHeight="1" x14ac:dyDescent="0.3">
      <c r="A45" s="19">
        <v>46007</v>
      </c>
      <c r="B45" s="160">
        <v>2</v>
      </c>
      <c r="C45" s="161" t="s">
        <v>83</v>
      </c>
      <c r="D45" s="22">
        <f>800*69</f>
        <v>55200</v>
      </c>
      <c r="E45" s="21"/>
      <c r="F45" s="22">
        <f>+D45</f>
        <v>55200</v>
      </c>
      <c r="G45" s="22"/>
      <c r="H45" s="21"/>
      <c r="I45" s="21"/>
      <c r="J45" s="55">
        <v>800</v>
      </c>
      <c r="K45" s="22"/>
    </row>
    <row r="46" spans="1:11" ht="15.75" customHeight="1" x14ac:dyDescent="0.3">
      <c r="A46" s="19">
        <v>46020</v>
      </c>
      <c r="B46" s="160">
        <v>1</v>
      </c>
      <c r="C46" s="161" t="s">
        <v>94</v>
      </c>
      <c r="D46" s="22">
        <f>3000*69</f>
        <v>207000</v>
      </c>
      <c r="E46" s="22">
        <f>+D46</f>
        <v>207000</v>
      </c>
      <c r="F46" s="22"/>
      <c r="G46" s="22"/>
      <c r="H46" s="21"/>
      <c r="I46" s="21"/>
      <c r="J46" s="55">
        <v>3000</v>
      </c>
      <c r="K46" s="22"/>
    </row>
    <row r="47" spans="1:11" ht="15.75" customHeight="1" x14ac:dyDescent="0.3">
      <c r="A47" s="19">
        <v>46020</v>
      </c>
      <c r="B47" s="160">
        <v>3</v>
      </c>
      <c r="C47" s="161" t="s">
        <v>86</v>
      </c>
      <c r="D47" s="22"/>
      <c r="E47" s="22"/>
      <c r="F47" s="22"/>
      <c r="G47" s="22">
        <f>+D47</f>
        <v>0</v>
      </c>
      <c r="H47" s="21"/>
      <c r="I47" s="21"/>
      <c r="J47" s="55"/>
      <c r="K47" s="22"/>
    </row>
    <row r="48" spans="1:11" ht="15.75" customHeight="1" x14ac:dyDescent="0.3">
      <c r="A48" s="19">
        <v>46020</v>
      </c>
      <c r="B48" s="160">
        <v>4</v>
      </c>
      <c r="C48" s="161" t="s">
        <v>95</v>
      </c>
      <c r="D48" s="22">
        <f>9000*63.25</f>
        <v>569250</v>
      </c>
      <c r="E48" s="22"/>
      <c r="F48" s="22"/>
      <c r="G48" s="22"/>
      <c r="H48" s="22">
        <f>+D48</f>
        <v>569250</v>
      </c>
      <c r="I48" s="21"/>
      <c r="J48" s="55">
        <v>9000</v>
      </c>
      <c r="K48" s="22"/>
    </row>
    <row r="49" spans="1:11" ht="17.25" customHeight="1" x14ac:dyDescent="0.3">
      <c r="A49" s="42"/>
      <c r="B49" s="50"/>
      <c r="C49" s="51"/>
      <c r="D49" s="44"/>
      <c r="E49" s="44"/>
      <c r="F49" s="44"/>
      <c r="G49" s="44"/>
      <c r="H49" s="44"/>
      <c r="I49" s="44"/>
      <c r="J49" s="56"/>
      <c r="K49" s="44"/>
    </row>
    <row r="50" spans="1:11" ht="17.25" customHeight="1" x14ac:dyDescent="0.3">
      <c r="A50" s="270">
        <v>46031</v>
      </c>
      <c r="B50" s="271">
        <v>2</v>
      </c>
      <c r="C50" s="274" t="s">
        <v>103</v>
      </c>
      <c r="D50" s="272">
        <f>SUM('[3]BIM Bank Control Mtn'!$G$15:$G$17)</f>
        <v>948750</v>
      </c>
      <c r="E50" s="272"/>
      <c r="F50" s="272">
        <f>+D50</f>
        <v>948750</v>
      </c>
      <c r="G50" s="272"/>
      <c r="H50" s="272"/>
      <c r="I50" s="272"/>
      <c r="J50" s="273">
        <f>+D50/63.25</f>
        <v>15000</v>
      </c>
      <c r="K50" s="273"/>
    </row>
    <row r="51" spans="1:11" ht="15.75" customHeight="1" x14ac:dyDescent="0.3">
      <c r="A51" s="19">
        <v>46038</v>
      </c>
      <c r="B51" s="160">
        <v>1</v>
      </c>
      <c r="C51" s="161" t="s">
        <v>102</v>
      </c>
      <c r="D51" s="22">
        <f>+J51*67</f>
        <v>812375</v>
      </c>
      <c r="E51" s="22">
        <f>+D51</f>
        <v>812375</v>
      </c>
      <c r="F51" s="22"/>
      <c r="G51" s="22"/>
      <c r="H51" s="21"/>
      <c r="I51" s="21"/>
      <c r="J51" s="55">
        <f>+'[4]LANDCO US$ CASH'!$E$20</f>
        <v>12125</v>
      </c>
      <c r="K51" s="22"/>
    </row>
    <row r="52" spans="1:11" ht="17.25" customHeight="1" x14ac:dyDescent="0.3">
      <c r="A52" s="42"/>
      <c r="B52" s="50"/>
      <c r="C52" s="51"/>
      <c r="D52" s="44"/>
      <c r="E52" s="44"/>
      <c r="F52" s="44"/>
      <c r="G52" s="44"/>
      <c r="H52" s="44"/>
      <c r="I52" s="44"/>
      <c r="J52" s="56"/>
      <c r="K52" s="44"/>
    </row>
    <row r="53" spans="1:11" ht="15.75" customHeight="1" x14ac:dyDescent="0.3">
      <c r="A53" s="19">
        <v>46069</v>
      </c>
      <c r="B53" s="160">
        <v>1</v>
      </c>
      <c r="C53" s="161" t="s">
        <v>102</v>
      </c>
      <c r="D53" s="22">
        <f>+J53*67</f>
        <v>335000</v>
      </c>
      <c r="E53" s="22">
        <f>+D53</f>
        <v>335000</v>
      </c>
      <c r="F53" s="22"/>
      <c r="G53" s="22"/>
      <c r="H53" s="21"/>
      <c r="I53" s="21"/>
      <c r="J53" s="55">
        <v>5000</v>
      </c>
      <c r="K53" s="22"/>
    </row>
    <row r="54" spans="1:11" ht="15.75" customHeight="1" x14ac:dyDescent="0.3"/>
    <row r="55" spans="1:11" ht="15.75" customHeight="1" x14ac:dyDescent="0.3"/>
    <row r="56" spans="1:11" ht="15.75" customHeight="1" x14ac:dyDescent="0.3"/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spans="1:9" ht="15.75" customHeight="1" x14ac:dyDescent="0.3"/>
    <row r="66" spans="1:9" ht="15.75" customHeight="1" x14ac:dyDescent="0.3"/>
    <row r="67" spans="1:9" ht="15.75" customHeight="1" x14ac:dyDescent="0.3"/>
    <row r="68" spans="1:9" ht="15.75" customHeight="1" x14ac:dyDescent="0.3"/>
    <row r="69" spans="1:9" ht="15.75" customHeight="1" x14ac:dyDescent="0.3">
      <c r="A69" s="5"/>
      <c r="B69" s="35"/>
      <c r="C69" s="4"/>
      <c r="I69" s="27"/>
    </row>
    <row r="70" spans="1:9" ht="15.75" customHeight="1" x14ac:dyDescent="0.3">
      <c r="A70" s="5"/>
      <c r="B70" s="35"/>
      <c r="C70" s="4"/>
      <c r="I70" s="27"/>
    </row>
    <row r="71" spans="1:9" ht="15.75" customHeight="1" x14ac:dyDescent="0.3">
      <c r="A71" s="5"/>
      <c r="B71" s="35"/>
      <c r="C71" s="4"/>
      <c r="I71" s="27"/>
    </row>
    <row r="72" spans="1:9" ht="15.75" customHeight="1" x14ac:dyDescent="0.3">
      <c r="A72" s="5"/>
      <c r="B72" s="35"/>
      <c r="C72" s="4"/>
      <c r="I72" s="27"/>
    </row>
    <row r="73" spans="1:9" ht="15.75" customHeight="1" x14ac:dyDescent="0.3">
      <c r="A73" s="5"/>
      <c r="B73" s="35"/>
      <c r="C73" s="4"/>
      <c r="I73" s="27"/>
    </row>
    <row r="74" spans="1:9" ht="15.75" customHeight="1" x14ac:dyDescent="0.3">
      <c r="A74" s="5"/>
      <c r="B74" s="35"/>
      <c r="C74" s="4"/>
      <c r="I74" s="27"/>
    </row>
    <row r="75" spans="1:9" ht="15.75" customHeight="1" x14ac:dyDescent="0.3">
      <c r="A75" s="5"/>
      <c r="B75" s="35"/>
      <c r="C75" s="4"/>
      <c r="I75" s="27"/>
    </row>
    <row r="76" spans="1:9" ht="15.75" customHeight="1" x14ac:dyDescent="0.3">
      <c r="A76" s="5"/>
      <c r="B76" s="35"/>
      <c r="C76" s="4"/>
      <c r="I76" s="27"/>
    </row>
    <row r="77" spans="1:9" ht="15.75" customHeight="1" x14ac:dyDescent="0.3">
      <c r="A77" s="5"/>
      <c r="B77" s="35"/>
      <c r="C77" s="4"/>
      <c r="I77" s="27"/>
    </row>
    <row r="78" spans="1:9" ht="15.75" customHeight="1" x14ac:dyDescent="0.3">
      <c r="A78" s="5"/>
      <c r="B78" s="35"/>
      <c r="C78" s="4"/>
      <c r="I78" s="27"/>
    </row>
    <row r="79" spans="1:9" ht="15.75" customHeight="1" x14ac:dyDescent="0.3">
      <c r="A79" s="5"/>
      <c r="B79" s="35"/>
      <c r="C79" s="4"/>
      <c r="I79" s="27"/>
    </row>
    <row r="80" spans="1:9" ht="15.75" customHeight="1" x14ac:dyDescent="0.3">
      <c r="A80" s="5"/>
      <c r="B80" s="35"/>
      <c r="C80" s="4"/>
      <c r="I80" s="27"/>
    </row>
    <row r="81" spans="1:9" ht="15.75" customHeight="1" x14ac:dyDescent="0.3">
      <c r="A81" s="5"/>
      <c r="B81" s="35"/>
      <c r="C81" s="4"/>
      <c r="I81" s="27"/>
    </row>
    <row r="82" spans="1:9" ht="15.75" customHeight="1" x14ac:dyDescent="0.3">
      <c r="A82" s="5"/>
      <c r="B82" s="35"/>
      <c r="C82" s="4"/>
      <c r="I82" s="27"/>
    </row>
    <row r="83" spans="1:9" ht="15.75" customHeight="1" x14ac:dyDescent="0.3">
      <c r="A83" s="5"/>
      <c r="B83" s="35"/>
      <c r="C83" s="4"/>
      <c r="I83" s="27"/>
    </row>
    <row r="84" spans="1:9" ht="15.75" customHeight="1" x14ac:dyDescent="0.3">
      <c r="A84" s="5"/>
      <c r="B84" s="35"/>
      <c r="C84" s="4"/>
      <c r="I84" s="27"/>
    </row>
    <row r="85" spans="1:9" ht="15.75" customHeight="1" x14ac:dyDescent="0.3">
      <c r="A85" s="5"/>
      <c r="B85" s="35"/>
      <c r="C85" s="4"/>
      <c r="I85" s="27"/>
    </row>
    <row r="86" spans="1:9" ht="15.75" customHeight="1" x14ac:dyDescent="0.3">
      <c r="A86" s="5"/>
      <c r="B86" s="35"/>
      <c r="C86" s="4"/>
      <c r="I86" s="27"/>
    </row>
    <row r="87" spans="1:9" ht="15.75" customHeight="1" x14ac:dyDescent="0.3">
      <c r="A87" s="5"/>
      <c r="B87" s="35"/>
      <c r="C87" s="4"/>
      <c r="I87" s="27"/>
    </row>
    <row r="88" spans="1:9" ht="15.75" customHeight="1" x14ac:dyDescent="0.3">
      <c r="A88" s="5"/>
      <c r="B88" s="35"/>
      <c r="C88" s="4"/>
      <c r="I88" s="27"/>
    </row>
    <row r="89" spans="1:9" ht="15.75" customHeight="1" x14ac:dyDescent="0.3">
      <c r="A89" s="5"/>
      <c r="B89" s="35"/>
      <c r="C89" s="4"/>
      <c r="I89" s="27"/>
    </row>
    <row r="90" spans="1:9" ht="15.75" customHeight="1" x14ac:dyDescent="0.3">
      <c r="A90" s="5"/>
      <c r="B90" s="35"/>
      <c r="C90" s="4"/>
      <c r="I90" s="27"/>
    </row>
    <row r="91" spans="1:9" ht="15.75" customHeight="1" x14ac:dyDescent="0.3">
      <c r="A91" s="5"/>
      <c r="B91" s="35"/>
      <c r="C91" s="4"/>
      <c r="I91" s="27"/>
    </row>
    <row r="92" spans="1:9" ht="15.75" customHeight="1" x14ac:dyDescent="0.3">
      <c r="A92" s="5"/>
      <c r="B92" s="35"/>
      <c r="C92" s="4"/>
      <c r="I92" s="27"/>
    </row>
    <row r="93" spans="1:9" ht="15.75" customHeight="1" x14ac:dyDescent="0.3">
      <c r="A93" s="5"/>
      <c r="B93" s="35"/>
      <c r="C93" s="4"/>
      <c r="I93" s="27"/>
    </row>
    <row r="94" spans="1:9" ht="15.75" customHeight="1" x14ac:dyDescent="0.3">
      <c r="A94" s="5"/>
      <c r="B94" s="35"/>
      <c r="C94" s="4"/>
      <c r="I94" s="27"/>
    </row>
    <row r="95" spans="1:9" ht="15.75" customHeight="1" x14ac:dyDescent="0.3">
      <c r="A95" s="5"/>
      <c r="B95" s="35"/>
      <c r="C95" s="4"/>
      <c r="I95" s="27"/>
    </row>
    <row r="96" spans="1:9" ht="15.75" customHeight="1" x14ac:dyDescent="0.3">
      <c r="A96" s="5"/>
      <c r="B96" s="35"/>
      <c r="C96" s="4"/>
      <c r="I96" s="27"/>
    </row>
    <row r="97" spans="1:9" ht="15.75" customHeight="1" x14ac:dyDescent="0.3">
      <c r="A97" s="5"/>
      <c r="B97" s="35"/>
      <c r="C97" s="4"/>
      <c r="I97" s="27"/>
    </row>
    <row r="98" spans="1:9" ht="15.75" customHeight="1" x14ac:dyDescent="0.3">
      <c r="A98" s="5"/>
      <c r="B98" s="35"/>
      <c r="C98" s="4"/>
      <c r="I98" s="27"/>
    </row>
    <row r="99" spans="1:9" ht="15.75" customHeight="1" x14ac:dyDescent="0.3">
      <c r="A99" s="5"/>
      <c r="B99" s="35"/>
      <c r="C99" s="4"/>
      <c r="I99" s="27"/>
    </row>
    <row r="100" spans="1:9" ht="15.75" customHeight="1" x14ac:dyDescent="0.3">
      <c r="A100" s="5"/>
      <c r="B100" s="35"/>
      <c r="C100" s="4"/>
      <c r="I100" s="27"/>
    </row>
    <row r="101" spans="1:9" ht="15.75" customHeight="1" x14ac:dyDescent="0.3">
      <c r="A101" s="5"/>
      <c r="B101" s="35"/>
      <c r="C101" s="4"/>
      <c r="I101" s="27"/>
    </row>
    <row r="102" spans="1:9" ht="15.75" customHeight="1" x14ac:dyDescent="0.3">
      <c r="A102" s="5"/>
      <c r="B102" s="35"/>
      <c r="C102" s="4"/>
      <c r="I102" s="27"/>
    </row>
    <row r="103" spans="1:9" ht="15.75" customHeight="1" x14ac:dyDescent="0.3">
      <c r="A103" s="5"/>
      <c r="B103" s="35"/>
      <c r="C103" s="4"/>
      <c r="I103" s="27"/>
    </row>
    <row r="104" spans="1:9" ht="15.75" customHeight="1" x14ac:dyDescent="0.3">
      <c r="A104" s="5"/>
      <c r="B104" s="35"/>
      <c r="C104" s="4"/>
      <c r="I104" s="27"/>
    </row>
    <row r="105" spans="1:9" ht="15.75" customHeight="1" x14ac:dyDescent="0.3">
      <c r="A105" s="5"/>
      <c r="B105" s="35"/>
      <c r="C105" s="4"/>
      <c r="I105" s="27"/>
    </row>
    <row r="106" spans="1:9" ht="15.75" customHeight="1" x14ac:dyDescent="0.3">
      <c r="A106" s="5"/>
      <c r="B106" s="35"/>
      <c r="C106" s="4"/>
      <c r="I106" s="27"/>
    </row>
    <row r="107" spans="1:9" ht="15.75" customHeight="1" x14ac:dyDescent="0.3">
      <c r="A107" s="5"/>
      <c r="B107" s="35"/>
      <c r="C107" s="4"/>
      <c r="I107" s="27"/>
    </row>
    <row r="108" spans="1:9" ht="15.75" customHeight="1" x14ac:dyDescent="0.3">
      <c r="A108" s="5"/>
      <c r="B108" s="35"/>
      <c r="C108" s="4"/>
      <c r="I108" s="27"/>
    </row>
    <row r="109" spans="1:9" ht="15.75" customHeight="1" x14ac:dyDescent="0.3">
      <c r="A109" s="5"/>
      <c r="B109" s="35"/>
      <c r="C109" s="4"/>
      <c r="I109" s="27"/>
    </row>
    <row r="110" spans="1:9" ht="15.75" customHeight="1" x14ac:dyDescent="0.3">
      <c r="A110" s="5"/>
      <c r="B110" s="35"/>
      <c r="C110" s="4"/>
      <c r="I110" s="27"/>
    </row>
    <row r="111" spans="1:9" ht="15.75" customHeight="1" x14ac:dyDescent="0.3">
      <c r="A111" s="5"/>
      <c r="B111" s="35"/>
      <c r="C111" s="4"/>
      <c r="I111" s="27"/>
    </row>
    <row r="112" spans="1:9" ht="15.75" customHeight="1" x14ac:dyDescent="0.3">
      <c r="A112" s="5"/>
      <c r="B112" s="35"/>
      <c r="C112" s="4"/>
      <c r="I112" s="27"/>
    </row>
    <row r="113" spans="1:9" ht="15.75" customHeight="1" x14ac:dyDescent="0.3">
      <c r="A113" s="5"/>
      <c r="B113" s="35"/>
      <c r="C113" s="4"/>
      <c r="I113" s="27"/>
    </row>
    <row r="114" spans="1:9" ht="15.75" customHeight="1" x14ac:dyDescent="0.3">
      <c r="A114" s="5"/>
      <c r="B114" s="35"/>
      <c r="C114" s="4"/>
      <c r="I114" s="27"/>
    </row>
    <row r="115" spans="1:9" ht="15.75" customHeight="1" x14ac:dyDescent="0.3">
      <c r="A115" s="5"/>
      <c r="B115" s="35"/>
      <c r="C115" s="4"/>
      <c r="I115" s="27"/>
    </row>
    <row r="116" spans="1:9" ht="15.75" customHeight="1" x14ac:dyDescent="0.3">
      <c r="A116" s="5"/>
      <c r="B116" s="35"/>
      <c r="C116" s="4"/>
      <c r="I116" s="27"/>
    </row>
    <row r="117" spans="1:9" ht="15.75" customHeight="1" x14ac:dyDescent="0.3">
      <c r="A117" s="5"/>
      <c r="B117" s="35"/>
      <c r="C117" s="4"/>
      <c r="I117" s="27"/>
    </row>
    <row r="118" spans="1:9" ht="15.75" customHeight="1" x14ac:dyDescent="0.3">
      <c r="A118" s="5"/>
      <c r="B118" s="35"/>
      <c r="C118" s="4"/>
      <c r="I118" s="27"/>
    </row>
    <row r="119" spans="1:9" ht="15.75" customHeight="1" x14ac:dyDescent="0.3">
      <c r="A119" s="5"/>
      <c r="B119" s="35"/>
      <c r="C119" s="4"/>
      <c r="I119" s="27"/>
    </row>
    <row r="120" spans="1:9" ht="15.75" customHeight="1" x14ac:dyDescent="0.3">
      <c r="A120" s="5"/>
      <c r="B120" s="35"/>
      <c r="C120" s="4"/>
      <c r="I120" s="27"/>
    </row>
    <row r="121" spans="1:9" ht="15.75" customHeight="1" x14ac:dyDescent="0.3">
      <c r="A121" s="5"/>
      <c r="B121" s="35"/>
      <c r="C121" s="4"/>
      <c r="I121" s="27"/>
    </row>
    <row r="122" spans="1:9" ht="15.75" customHeight="1" x14ac:dyDescent="0.3">
      <c r="A122" s="5"/>
      <c r="B122" s="35"/>
      <c r="C122" s="4"/>
      <c r="I122" s="27"/>
    </row>
    <row r="123" spans="1:9" ht="15.75" customHeight="1" x14ac:dyDescent="0.3">
      <c r="A123" s="5"/>
      <c r="B123" s="35"/>
      <c r="C123" s="4"/>
      <c r="I123" s="27"/>
    </row>
    <row r="124" spans="1:9" ht="15.75" customHeight="1" x14ac:dyDescent="0.3">
      <c r="A124" s="5"/>
      <c r="B124" s="35"/>
      <c r="C124" s="4"/>
      <c r="I124" s="27"/>
    </row>
    <row r="125" spans="1:9" ht="15.75" customHeight="1" x14ac:dyDescent="0.3">
      <c r="A125" s="5"/>
      <c r="B125" s="35"/>
      <c r="C125" s="4"/>
      <c r="I125" s="27"/>
    </row>
    <row r="126" spans="1:9" ht="15.75" customHeight="1" x14ac:dyDescent="0.3">
      <c r="A126" s="5"/>
      <c r="B126" s="35"/>
      <c r="C126" s="4"/>
      <c r="I126" s="27"/>
    </row>
    <row r="127" spans="1:9" ht="15.75" customHeight="1" x14ac:dyDescent="0.3">
      <c r="A127" s="5"/>
      <c r="B127" s="35"/>
      <c r="C127" s="4"/>
      <c r="I127" s="27"/>
    </row>
    <row r="128" spans="1:9" ht="15.75" customHeight="1" x14ac:dyDescent="0.3">
      <c r="A128" s="5"/>
      <c r="B128" s="35"/>
      <c r="C128" s="4"/>
      <c r="I128" s="27"/>
    </row>
    <row r="129" spans="1:9" ht="15.75" customHeight="1" x14ac:dyDescent="0.3">
      <c r="A129" s="5"/>
      <c r="B129" s="35"/>
      <c r="C129" s="4"/>
      <c r="I129" s="27"/>
    </row>
    <row r="130" spans="1:9" ht="15.75" customHeight="1" x14ac:dyDescent="0.3">
      <c r="A130" s="5"/>
      <c r="B130" s="35"/>
      <c r="C130" s="4"/>
      <c r="I130" s="27"/>
    </row>
    <row r="131" spans="1:9" ht="15.75" customHeight="1" x14ac:dyDescent="0.3">
      <c r="A131" s="5"/>
      <c r="B131" s="35"/>
      <c r="C131" s="4"/>
      <c r="I131" s="27"/>
    </row>
    <row r="132" spans="1:9" ht="15.75" customHeight="1" x14ac:dyDescent="0.3">
      <c r="A132" s="5"/>
      <c r="B132" s="35"/>
      <c r="C132" s="4"/>
      <c r="I132" s="27"/>
    </row>
    <row r="133" spans="1:9" ht="15.75" customHeight="1" x14ac:dyDescent="0.3">
      <c r="A133" s="5"/>
      <c r="B133" s="35"/>
      <c r="C133" s="4"/>
      <c r="I133" s="27"/>
    </row>
    <row r="134" spans="1:9" ht="15.75" customHeight="1" x14ac:dyDescent="0.3">
      <c r="A134" s="5"/>
      <c r="B134" s="35"/>
      <c r="C134" s="4"/>
      <c r="I134" s="27"/>
    </row>
    <row r="135" spans="1:9" ht="15.75" customHeight="1" x14ac:dyDescent="0.3">
      <c r="A135" s="5"/>
      <c r="B135" s="35"/>
      <c r="C135" s="4"/>
      <c r="I135" s="27"/>
    </row>
    <row r="136" spans="1:9" ht="15.75" customHeight="1" x14ac:dyDescent="0.3">
      <c r="A136" s="5"/>
      <c r="B136" s="35"/>
      <c r="C136" s="4"/>
      <c r="I136" s="27"/>
    </row>
    <row r="137" spans="1:9" ht="15.75" customHeight="1" x14ac:dyDescent="0.3">
      <c r="A137" s="5"/>
      <c r="B137" s="35"/>
      <c r="C137" s="4"/>
      <c r="I137" s="27"/>
    </row>
    <row r="138" spans="1:9" ht="15.75" customHeight="1" x14ac:dyDescent="0.3">
      <c r="A138" s="5"/>
      <c r="B138" s="35"/>
      <c r="C138" s="4"/>
      <c r="I138" s="27"/>
    </row>
    <row r="139" spans="1:9" ht="15.75" customHeight="1" x14ac:dyDescent="0.3">
      <c r="A139" s="5"/>
      <c r="B139" s="35"/>
      <c r="C139" s="4"/>
      <c r="I139" s="27"/>
    </row>
    <row r="140" spans="1:9" ht="15.75" customHeight="1" x14ac:dyDescent="0.3">
      <c r="A140" s="5"/>
      <c r="B140" s="35"/>
      <c r="C140" s="4"/>
      <c r="I140" s="27"/>
    </row>
    <row r="141" spans="1:9" ht="15.75" customHeight="1" x14ac:dyDescent="0.3">
      <c r="A141" s="5"/>
      <c r="B141" s="35"/>
      <c r="C141" s="4"/>
      <c r="I141" s="27"/>
    </row>
    <row r="142" spans="1:9" ht="15.75" customHeight="1" x14ac:dyDescent="0.3">
      <c r="A142" s="5"/>
      <c r="B142" s="35"/>
      <c r="C142" s="4"/>
      <c r="I142" s="27"/>
    </row>
    <row r="143" spans="1:9" ht="15.75" customHeight="1" x14ac:dyDescent="0.3">
      <c r="A143" s="5"/>
      <c r="B143" s="35"/>
      <c r="C143" s="4"/>
      <c r="I143" s="27"/>
    </row>
    <row r="144" spans="1:9" ht="15.75" customHeight="1" x14ac:dyDescent="0.3">
      <c r="A144" s="5"/>
      <c r="B144" s="35"/>
      <c r="C144" s="4"/>
      <c r="I144" s="27"/>
    </row>
    <row r="145" spans="1:9" ht="15.75" customHeight="1" x14ac:dyDescent="0.3">
      <c r="A145" s="5"/>
      <c r="B145" s="35"/>
      <c r="C145" s="4"/>
      <c r="I145" s="27"/>
    </row>
    <row r="146" spans="1:9" ht="15.75" customHeight="1" x14ac:dyDescent="0.3">
      <c r="A146" s="5"/>
      <c r="B146" s="35"/>
      <c r="C146" s="4"/>
      <c r="I146" s="27"/>
    </row>
    <row r="147" spans="1:9" ht="15.75" customHeight="1" x14ac:dyDescent="0.3">
      <c r="A147" s="5"/>
      <c r="B147" s="35"/>
      <c r="C147" s="4"/>
      <c r="I147" s="27"/>
    </row>
    <row r="148" spans="1:9" ht="15.75" customHeight="1" x14ac:dyDescent="0.3">
      <c r="A148" s="5"/>
      <c r="B148" s="35"/>
      <c r="C148" s="4"/>
      <c r="I148" s="27"/>
    </row>
    <row r="149" spans="1:9" ht="15.75" customHeight="1" x14ac:dyDescent="0.3">
      <c r="A149" s="5"/>
      <c r="B149" s="35"/>
      <c r="C149" s="4"/>
      <c r="I149" s="27"/>
    </row>
    <row r="150" spans="1:9" ht="15.75" customHeight="1" x14ac:dyDescent="0.3">
      <c r="A150" s="5"/>
      <c r="B150" s="35"/>
      <c r="C150" s="4"/>
      <c r="I150" s="27"/>
    </row>
    <row r="151" spans="1:9" ht="15.75" customHeight="1" x14ac:dyDescent="0.3">
      <c r="A151" s="5"/>
      <c r="B151" s="35"/>
      <c r="C151" s="4"/>
      <c r="I151" s="27"/>
    </row>
    <row r="152" spans="1:9" ht="15.75" customHeight="1" x14ac:dyDescent="0.3">
      <c r="A152" s="5"/>
      <c r="B152" s="35"/>
      <c r="C152" s="4"/>
      <c r="I152" s="27"/>
    </row>
    <row r="153" spans="1:9" ht="15.75" customHeight="1" x14ac:dyDescent="0.3">
      <c r="A153" s="5"/>
      <c r="B153" s="35"/>
      <c r="C153" s="4"/>
      <c r="I153" s="27"/>
    </row>
    <row r="154" spans="1:9" ht="15.75" customHeight="1" x14ac:dyDescent="0.3">
      <c r="A154" s="5"/>
      <c r="B154" s="35"/>
      <c r="C154" s="4"/>
      <c r="I154" s="27"/>
    </row>
    <row r="155" spans="1:9" ht="15.75" customHeight="1" x14ac:dyDescent="0.3">
      <c r="A155" s="5"/>
      <c r="B155" s="35"/>
      <c r="C155" s="4"/>
      <c r="I155" s="27"/>
    </row>
    <row r="156" spans="1:9" ht="15.75" customHeight="1" x14ac:dyDescent="0.3">
      <c r="A156" s="5"/>
      <c r="B156" s="35"/>
      <c r="C156" s="4"/>
      <c r="I156" s="27"/>
    </row>
    <row r="157" spans="1:9" ht="15.75" customHeight="1" x14ac:dyDescent="0.3">
      <c r="A157" s="5"/>
      <c r="B157" s="35"/>
      <c r="C157" s="4"/>
      <c r="I157" s="27"/>
    </row>
    <row r="158" spans="1:9" ht="15.75" customHeight="1" x14ac:dyDescent="0.3">
      <c r="A158" s="5"/>
      <c r="B158" s="35"/>
      <c r="C158" s="4"/>
      <c r="I158" s="27"/>
    </row>
    <row r="159" spans="1:9" ht="15.75" customHeight="1" x14ac:dyDescent="0.3">
      <c r="A159" s="5"/>
      <c r="B159" s="35"/>
      <c r="C159" s="4"/>
      <c r="I159" s="27"/>
    </row>
    <row r="160" spans="1:9" ht="15.75" customHeight="1" x14ac:dyDescent="0.3">
      <c r="A160" s="5"/>
      <c r="B160" s="35"/>
      <c r="C160" s="4"/>
      <c r="I160" s="27"/>
    </row>
    <row r="161" spans="1:9" ht="15.75" customHeight="1" x14ac:dyDescent="0.3">
      <c r="A161" s="5"/>
      <c r="B161" s="35"/>
      <c r="C161" s="4"/>
      <c r="I161" s="27"/>
    </row>
    <row r="162" spans="1:9" ht="15.75" customHeight="1" x14ac:dyDescent="0.3">
      <c r="A162" s="5"/>
      <c r="B162" s="35"/>
      <c r="C162" s="4"/>
      <c r="I162" s="27"/>
    </row>
    <row r="163" spans="1:9" ht="15.75" customHeight="1" x14ac:dyDescent="0.3">
      <c r="A163" s="5"/>
      <c r="B163" s="35"/>
      <c r="C163" s="4"/>
      <c r="I163" s="27"/>
    </row>
    <row r="164" spans="1:9" ht="15.75" customHeight="1" x14ac:dyDescent="0.3">
      <c r="A164" s="5"/>
      <c r="B164" s="35"/>
      <c r="C164" s="4"/>
      <c r="I164" s="27"/>
    </row>
    <row r="165" spans="1:9" ht="15.75" customHeight="1" x14ac:dyDescent="0.3">
      <c r="A165" s="5"/>
      <c r="B165" s="35"/>
      <c r="C165" s="4"/>
      <c r="I165" s="27"/>
    </row>
    <row r="166" spans="1:9" ht="15.75" customHeight="1" x14ac:dyDescent="0.3">
      <c r="A166" s="5"/>
      <c r="B166" s="35"/>
      <c r="C166" s="4"/>
      <c r="I166" s="27"/>
    </row>
    <row r="167" spans="1:9" ht="15.75" customHeight="1" x14ac:dyDescent="0.3">
      <c r="A167" s="5"/>
      <c r="B167" s="35"/>
      <c r="C167" s="4"/>
      <c r="I167" s="27"/>
    </row>
    <row r="168" spans="1:9" ht="15.75" customHeight="1" x14ac:dyDescent="0.3">
      <c r="A168" s="5"/>
      <c r="B168" s="35"/>
      <c r="C168" s="4"/>
      <c r="I168" s="27"/>
    </row>
    <row r="169" spans="1:9" ht="15.75" customHeight="1" x14ac:dyDescent="0.3">
      <c r="A169" s="5"/>
      <c r="B169" s="35"/>
      <c r="C169" s="4"/>
      <c r="I169" s="27"/>
    </row>
    <row r="170" spans="1:9" ht="15.75" customHeight="1" x14ac:dyDescent="0.3">
      <c r="A170" s="5"/>
      <c r="B170" s="35"/>
      <c r="C170" s="4"/>
      <c r="I170" s="27"/>
    </row>
    <row r="171" spans="1:9" ht="15.75" customHeight="1" x14ac:dyDescent="0.3">
      <c r="A171" s="5"/>
      <c r="B171" s="35"/>
      <c r="C171" s="4"/>
      <c r="I171" s="27"/>
    </row>
    <row r="172" spans="1:9" ht="15.75" customHeight="1" x14ac:dyDescent="0.3">
      <c r="A172" s="5"/>
      <c r="B172" s="35"/>
      <c r="C172" s="4"/>
      <c r="I172" s="27"/>
    </row>
    <row r="173" spans="1:9" ht="15.75" customHeight="1" x14ac:dyDescent="0.3">
      <c r="A173" s="5"/>
      <c r="B173" s="35"/>
      <c r="C173" s="4"/>
      <c r="I173" s="27"/>
    </row>
    <row r="174" spans="1:9" ht="15.75" customHeight="1" x14ac:dyDescent="0.3">
      <c r="A174" s="5"/>
      <c r="B174" s="35"/>
      <c r="C174" s="4"/>
      <c r="I174" s="27"/>
    </row>
    <row r="175" spans="1:9" ht="15.75" customHeight="1" x14ac:dyDescent="0.3">
      <c r="A175" s="5"/>
      <c r="B175" s="35"/>
      <c r="C175" s="4"/>
      <c r="I175" s="27"/>
    </row>
    <row r="176" spans="1:9" ht="15.75" customHeight="1" x14ac:dyDescent="0.3">
      <c r="A176" s="5"/>
      <c r="B176" s="35"/>
      <c r="C176" s="4"/>
      <c r="I176" s="27"/>
    </row>
    <row r="177" spans="1:9" ht="15.75" customHeight="1" x14ac:dyDescent="0.3">
      <c r="A177" s="5"/>
      <c r="B177" s="35"/>
      <c r="C177" s="4"/>
      <c r="I177" s="27"/>
    </row>
    <row r="178" spans="1:9" ht="15.75" customHeight="1" x14ac:dyDescent="0.3">
      <c r="A178" s="5"/>
      <c r="B178" s="35"/>
      <c r="C178" s="4"/>
      <c r="I178" s="27"/>
    </row>
    <row r="179" spans="1:9" ht="15.75" customHeight="1" x14ac:dyDescent="0.3">
      <c r="A179" s="5"/>
      <c r="B179" s="35"/>
      <c r="C179" s="4"/>
      <c r="I179" s="27"/>
    </row>
    <row r="180" spans="1:9" ht="15.75" customHeight="1" x14ac:dyDescent="0.3">
      <c r="A180" s="5"/>
      <c r="B180" s="35"/>
      <c r="C180" s="4"/>
      <c r="I180" s="27"/>
    </row>
    <row r="181" spans="1:9" ht="15.75" customHeight="1" x14ac:dyDescent="0.3">
      <c r="A181" s="5"/>
      <c r="B181" s="35"/>
      <c r="C181" s="4"/>
      <c r="I181" s="27"/>
    </row>
    <row r="182" spans="1:9" ht="15.75" customHeight="1" x14ac:dyDescent="0.3">
      <c r="A182" s="5"/>
      <c r="B182" s="35"/>
      <c r="C182" s="4"/>
      <c r="I182" s="27"/>
    </row>
    <row r="183" spans="1:9" ht="15.75" customHeight="1" x14ac:dyDescent="0.3">
      <c r="A183" s="5"/>
      <c r="B183" s="35"/>
      <c r="C183" s="4"/>
      <c r="I183" s="27"/>
    </row>
    <row r="184" spans="1:9" ht="15.75" customHeight="1" x14ac:dyDescent="0.3">
      <c r="A184" s="5"/>
      <c r="B184" s="35"/>
      <c r="C184" s="4"/>
      <c r="I184" s="27"/>
    </row>
    <row r="185" spans="1:9" ht="15.75" customHeight="1" x14ac:dyDescent="0.3">
      <c r="A185" s="5"/>
      <c r="B185" s="35"/>
      <c r="C185" s="4"/>
      <c r="I185" s="27"/>
    </row>
    <row r="186" spans="1:9" ht="15.75" customHeight="1" x14ac:dyDescent="0.3">
      <c r="A186" s="5"/>
      <c r="B186" s="35"/>
      <c r="C186" s="4"/>
      <c r="I186" s="27"/>
    </row>
    <row r="187" spans="1:9" ht="15.75" customHeight="1" x14ac:dyDescent="0.3">
      <c r="A187" s="5"/>
      <c r="B187" s="35"/>
      <c r="C187" s="4"/>
      <c r="I187" s="27"/>
    </row>
    <row r="188" spans="1:9" ht="15.75" customHeight="1" x14ac:dyDescent="0.3">
      <c r="A188" s="5"/>
      <c r="B188" s="35"/>
      <c r="C188" s="4"/>
      <c r="I188" s="27"/>
    </row>
    <row r="189" spans="1:9" ht="15.75" customHeight="1" x14ac:dyDescent="0.3">
      <c r="A189" s="5"/>
      <c r="B189" s="35"/>
      <c r="C189" s="4"/>
      <c r="I189" s="27"/>
    </row>
    <row r="190" spans="1:9" ht="15.75" customHeight="1" x14ac:dyDescent="0.3">
      <c r="A190" s="5"/>
      <c r="B190" s="35"/>
      <c r="C190" s="4"/>
      <c r="I190" s="27"/>
    </row>
    <row r="191" spans="1:9" ht="15.75" customHeight="1" x14ac:dyDescent="0.3">
      <c r="A191" s="5"/>
      <c r="B191" s="35"/>
      <c r="C191" s="4"/>
      <c r="I191" s="27"/>
    </row>
    <row r="192" spans="1:9" ht="15.75" customHeight="1" x14ac:dyDescent="0.3">
      <c r="A192" s="5"/>
      <c r="B192" s="35"/>
      <c r="C192" s="4"/>
      <c r="I192" s="27"/>
    </row>
    <row r="193" spans="1:9" ht="15.75" customHeight="1" x14ac:dyDescent="0.3">
      <c r="A193" s="5"/>
      <c r="B193" s="35"/>
      <c r="C193" s="4"/>
      <c r="I193" s="27"/>
    </row>
    <row r="194" spans="1:9" ht="15.75" customHeight="1" x14ac:dyDescent="0.3">
      <c r="A194" s="5"/>
      <c r="B194" s="35"/>
      <c r="C194" s="4"/>
      <c r="I194" s="27"/>
    </row>
    <row r="195" spans="1:9" ht="15.75" customHeight="1" x14ac:dyDescent="0.3">
      <c r="A195" s="5"/>
      <c r="B195" s="35"/>
      <c r="C195" s="4"/>
      <c r="I195" s="27"/>
    </row>
    <row r="196" spans="1:9" ht="15.75" customHeight="1" x14ac:dyDescent="0.3">
      <c r="A196" s="5"/>
      <c r="B196" s="35"/>
      <c r="C196" s="4"/>
      <c r="I196" s="27"/>
    </row>
    <row r="197" spans="1:9" ht="15.75" customHeight="1" x14ac:dyDescent="0.3">
      <c r="A197" s="5"/>
      <c r="B197" s="35"/>
      <c r="C197" s="4"/>
      <c r="I197" s="27"/>
    </row>
    <row r="198" spans="1:9" ht="15.75" customHeight="1" x14ac:dyDescent="0.3">
      <c r="A198" s="5"/>
      <c r="B198" s="35"/>
      <c r="C198" s="4"/>
      <c r="I198" s="27"/>
    </row>
    <row r="199" spans="1:9" ht="15.75" customHeight="1" x14ac:dyDescent="0.3">
      <c r="A199" s="5"/>
      <c r="B199" s="35"/>
      <c r="C199" s="4"/>
      <c r="I199" s="27"/>
    </row>
    <row r="200" spans="1:9" ht="15.75" customHeight="1" x14ac:dyDescent="0.3">
      <c r="A200" s="5"/>
      <c r="B200" s="35"/>
      <c r="C200" s="4"/>
      <c r="I200" s="27"/>
    </row>
    <row r="201" spans="1:9" ht="15.75" customHeight="1" x14ac:dyDescent="0.3">
      <c r="A201" s="5"/>
      <c r="B201" s="35"/>
      <c r="C201" s="4"/>
      <c r="I201" s="27"/>
    </row>
    <row r="202" spans="1:9" ht="15.75" customHeight="1" x14ac:dyDescent="0.3">
      <c r="A202" s="5"/>
      <c r="B202" s="35"/>
      <c r="C202" s="4"/>
      <c r="I202" s="27"/>
    </row>
    <row r="203" spans="1:9" ht="15.75" customHeight="1" x14ac:dyDescent="0.3">
      <c r="A203" s="5"/>
      <c r="B203" s="35"/>
      <c r="C203" s="4"/>
      <c r="I203" s="27"/>
    </row>
    <row r="204" spans="1:9" ht="15.75" customHeight="1" x14ac:dyDescent="0.3">
      <c r="A204" s="5"/>
      <c r="B204" s="35"/>
      <c r="C204" s="4"/>
      <c r="I204" s="27"/>
    </row>
    <row r="205" spans="1:9" ht="15.75" customHeight="1" x14ac:dyDescent="0.3">
      <c r="A205" s="5"/>
      <c r="B205" s="35"/>
      <c r="C205" s="4"/>
      <c r="I205" s="27"/>
    </row>
    <row r="206" spans="1:9" ht="15.75" customHeight="1" x14ac:dyDescent="0.3">
      <c r="A206" s="5"/>
      <c r="B206" s="35"/>
      <c r="C206" s="4"/>
      <c r="I206" s="27"/>
    </row>
    <row r="207" spans="1:9" ht="15.75" customHeight="1" x14ac:dyDescent="0.3">
      <c r="A207" s="5"/>
      <c r="B207" s="35"/>
      <c r="C207" s="4"/>
      <c r="I207" s="27"/>
    </row>
    <row r="208" spans="1:9" ht="15.75" customHeight="1" x14ac:dyDescent="0.3">
      <c r="A208" s="5"/>
      <c r="B208" s="35"/>
      <c r="C208" s="4"/>
      <c r="I208" s="27"/>
    </row>
    <row r="209" spans="1:9" ht="15.75" customHeight="1" x14ac:dyDescent="0.3">
      <c r="A209" s="5"/>
      <c r="B209" s="35"/>
      <c r="C209" s="4"/>
      <c r="I209" s="27"/>
    </row>
    <row r="210" spans="1:9" ht="15.75" customHeight="1" x14ac:dyDescent="0.3">
      <c r="A210" s="5"/>
      <c r="B210" s="35"/>
      <c r="C210" s="4"/>
      <c r="I210" s="27"/>
    </row>
    <row r="211" spans="1:9" ht="15.75" customHeight="1" x14ac:dyDescent="0.3">
      <c r="A211" s="5"/>
      <c r="B211" s="35"/>
      <c r="C211" s="4"/>
      <c r="I211" s="27"/>
    </row>
    <row r="212" spans="1:9" ht="15.75" customHeight="1" x14ac:dyDescent="0.3">
      <c r="A212" s="5"/>
      <c r="B212" s="35"/>
      <c r="C212" s="4"/>
      <c r="I212" s="27"/>
    </row>
    <row r="213" spans="1:9" ht="15.75" customHeight="1" x14ac:dyDescent="0.3">
      <c r="A213" s="5"/>
      <c r="B213" s="35"/>
      <c r="C213" s="4"/>
      <c r="I213" s="27"/>
    </row>
    <row r="214" spans="1:9" ht="15.75" customHeight="1" x14ac:dyDescent="0.3">
      <c r="A214" s="5"/>
      <c r="B214" s="35"/>
      <c r="C214" s="4"/>
      <c r="I214" s="27"/>
    </row>
    <row r="215" spans="1:9" ht="15.75" customHeight="1" x14ac:dyDescent="0.3">
      <c r="A215" s="5"/>
      <c r="B215" s="35"/>
      <c r="C215" s="4"/>
      <c r="I215" s="27"/>
    </row>
    <row r="216" spans="1:9" ht="15.75" customHeight="1" x14ac:dyDescent="0.3">
      <c r="A216" s="5"/>
      <c r="B216" s="35"/>
      <c r="C216" s="4"/>
      <c r="I216" s="27"/>
    </row>
    <row r="217" spans="1:9" ht="15.75" customHeight="1" x14ac:dyDescent="0.3">
      <c r="A217" s="5"/>
      <c r="B217" s="35"/>
      <c r="C217" s="4"/>
      <c r="I217" s="27"/>
    </row>
    <row r="218" spans="1:9" ht="15.75" customHeight="1" x14ac:dyDescent="0.3">
      <c r="A218" s="5"/>
      <c r="B218" s="35"/>
      <c r="C218" s="4"/>
      <c r="I218" s="27"/>
    </row>
    <row r="219" spans="1:9" ht="15.75" customHeight="1" x14ac:dyDescent="0.3">
      <c r="A219" s="5"/>
      <c r="B219" s="35"/>
      <c r="C219" s="4"/>
      <c r="I219" s="27"/>
    </row>
    <row r="220" spans="1:9" ht="15.75" customHeight="1" x14ac:dyDescent="0.3">
      <c r="A220" s="5"/>
      <c r="B220" s="35"/>
      <c r="C220" s="4"/>
      <c r="I220" s="27"/>
    </row>
    <row r="221" spans="1:9" ht="15.75" customHeight="1" x14ac:dyDescent="0.3">
      <c r="A221" s="5"/>
      <c r="B221" s="35"/>
      <c r="C221" s="4"/>
      <c r="I221" s="27"/>
    </row>
    <row r="222" spans="1:9" ht="15.75" customHeight="1" x14ac:dyDescent="0.3">
      <c r="A222" s="5"/>
      <c r="B222" s="35"/>
      <c r="C222" s="4"/>
      <c r="I222" s="27"/>
    </row>
    <row r="223" spans="1:9" ht="15.75" customHeight="1" x14ac:dyDescent="0.3">
      <c r="A223" s="5"/>
      <c r="B223" s="35"/>
      <c r="C223" s="4"/>
      <c r="I223" s="27"/>
    </row>
    <row r="224" spans="1:9" ht="15.75" customHeight="1" x14ac:dyDescent="0.3">
      <c r="A224" s="5"/>
      <c r="B224" s="35"/>
      <c r="C224" s="4"/>
      <c r="I224" s="27"/>
    </row>
    <row r="225" spans="1:9" ht="15.75" customHeight="1" x14ac:dyDescent="0.3">
      <c r="A225" s="5"/>
      <c r="B225" s="35"/>
      <c r="C225" s="4"/>
      <c r="I225" s="27"/>
    </row>
    <row r="226" spans="1:9" ht="15.75" customHeight="1" x14ac:dyDescent="0.3">
      <c r="A226" s="5"/>
      <c r="B226" s="35"/>
      <c r="C226" s="4"/>
      <c r="I226" s="27"/>
    </row>
    <row r="227" spans="1:9" ht="15.75" customHeight="1" x14ac:dyDescent="0.3">
      <c r="A227" s="5"/>
      <c r="B227" s="35"/>
      <c r="C227" s="4"/>
      <c r="I227" s="27"/>
    </row>
    <row r="228" spans="1:9" ht="15.75" customHeight="1" x14ac:dyDescent="0.3">
      <c r="A228" s="5"/>
      <c r="B228" s="35"/>
      <c r="C228" s="4"/>
      <c r="I228" s="27"/>
    </row>
    <row r="229" spans="1:9" ht="15.75" customHeight="1" x14ac:dyDescent="0.3">
      <c r="A229" s="5"/>
      <c r="B229" s="35"/>
      <c r="C229" s="4"/>
      <c r="I229" s="27"/>
    </row>
    <row r="230" spans="1:9" ht="15.75" customHeight="1" x14ac:dyDescent="0.3">
      <c r="A230" s="5"/>
      <c r="B230" s="35"/>
      <c r="C230" s="4"/>
      <c r="I230" s="27"/>
    </row>
    <row r="231" spans="1:9" ht="15.75" customHeight="1" x14ac:dyDescent="0.3">
      <c r="A231" s="5"/>
      <c r="B231" s="35"/>
      <c r="C231" s="4"/>
      <c r="I231" s="27"/>
    </row>
    <row r="232" spans="1:9" ht="15.75" customHeight="1" x14ac:dyDescent="0.3">
      <c r="A232" s="5"/>
      <c r="B232" s="35"/>
      <c r="C232" s="4"/>
      <c r="I232" s="27"/>
    </row>
    <row r="233" spans="1:9" ht="15.75" customHeight="1" x14ac:dyDescent="0.3">
      <c r="A233" s="5"/>
      <c r="B233" s="35"/>
      <c r="C233" s="4"/>
      <c r="I233" s="27"/>
    </row>
    <row r="234" spans="1:9" ht="15.75" customHeight="1" x14ac:dyDescent="0.3">
      <c r="A234" s="5"/>
      <c r="B234" s="35"/>
      <c r="C234" s="4"/>
      <c r="I234" s="27"/>
    </row>
    <row r="235" spans="1:9" ht="15.75" customHeight="1" x14ac:dyDescent="0.3">
      <c r="A235" s="5"/>
      <c r="B235" s="35"/>
      <c r="C235" s="4"/>
      <c r="I235" s="27"/>
    </row>
    <row r="236" spans="1:9" ht="15.75" customHeight="1" x14ac:dyDescent="0.3">
      <c r="A236" s="5"/>
      <c r="B236" s="35"/>
      <c r="C236" s="4"/>
      <c r="I236" s="27"/>
    </row>
    <row r="237" spans="1:9" ht="15.75" customHeight="1" x14ac:dyDescent="0.3">
      <c r="A237" s="5"/>
      <c r="B237" s="35"/>
      <c r="C237" s="4"/>
      <c r="I237" s="27"/>
    </row>
    <row r="238" spans="1:9" ht="15.75" customHeight="1" x14ac:dyDescent="0.3">
      <c r="A238" s="5"/>
      <c r="B238" s="35"/>
      <c r="C238" s="4"/>
      <c r="I238" s="27"/>
    </row>
    <row r="239" spans="1:9" ht="15.75" customHeight="1" x14ac:dyDescent="0.3">
      <c r="A239" s="5"/>
      <c r="B239" s="35"/>
      <c r="C239" s="4"/>
      <c r="I239" s="27"/>
    </row>
    <row r="240" spans="1:9" ht="15.75" customHeight="1" x14ac:dyDescent="0.3">
      <c r="A240" s="5"/>
      <c r="B240" s="35"/>
      <c r="C240" s="4"/>
      <c r="I240" s="27"/>
    </row>
    <row r="241" spans="1:9" ht="15.75" customHeight="1" x14ac:dyDescent="0.3">
      <c r="A241" s="5"/>
      <c r="B241" s="35"/>
      <c r="C241" s="4"/>
      <c r="I241" s="27"/>
    </row>
    <row r="242" spans="1:9" ht="15.75" customHeight="1" x14ac:dyDescent="0.3">
      <c r="A242" s="5"/>
      <c r="B242" s="35"/>
      <c r="C242" s="4"/>
      <c r="I242" s="27"/>
    </row>
    <row r="243" spans="1:9" ht="15.75" customHeight="1" x14ac:dyDescent="0.3">
      <c r="A243" s="5"/>
      <c r="B243" s="35"/>
      <c r="C243" s="4"/>
      <c r="I243" s="27"/>
    </row>
    <row r="244" spans="1:9" ht="15.75" customHeight="1" x14ac:dyDescent="0.3">
      <c r="A244" s="5"/>
      <c r="B244" s="35"/>
      <c r="C244" s="4"/>
      <c r="I244" s="27"/>
    </row>
    <row r="245" spans="1:9" ht="15.75" customHeight="1" x14ac:dyDescent="0.3">
      <c r="A245" s="5"/>
      <c r="B245" s="35"/>
      <c r="C245" s="4"/>
      <c r="I245" s="27"/>
    </row>
    <row r="246" spans="1:9" ht="15.75" customHeight="1" x14ac:dyDescent="0.3">
      <c r="A246" s="5"/>
      <c r="B246" s="35"/>
      <c r="C246" s="4"/>
      <c r="I246" s="27"/>
    </row>
    <row r="247" spans="1:9" ht="15.75" customHeight="1" x14ac:dyDescent="0.3">
      <c r="A247" s="5"/>
      <c r="B247" s="35"/>
      <c r="C247" s="4"/>
      <c r="I247" s="27"/>
    </row>
    <row r="248" spans="1:9" ht="15.75" customHeight="1" x14ac:dyDescent="0.3">
      <c r="A248" s="5"/>
      <c r="B248" s="35"/>
      <c r="C248" s="4"/>
      <c r="I248" s="27"/>
    </row>
    <row r="249" spans="1:9" ht="15.75" customHeight="1" x14ac:dyDescent="0.3">
      <c r="A249" s="5"/>
      <c r="B249" s="35"/>
      <c r="C249" s="4"/>
      <c r="I249" s="27"/>
    </row>
    <row r="250" spans="1:9" ht="15.75" customHeight="1" x14ac:dyDescent="0.3">
      <c r="A250" s="5"/>
      <c r="B250" s="35"/>
      <c r="C250" s="4"/>
      <c r="I250" s="27"/>
    </row>
    <row r="251" spans="1:9" ht="15.75" customHeight="1" x14ac:dyDescent="0.3">
      <c r="A251" s="5"/>
      <c r="B251" s="35"/>
      <c r="C251" s="4"/>
      <c r="I251" s="27"/>
    </row>
    <row r="252" spans="1:9" ht="15.75" customHeight="1" x14ac:dyDescent="0.3">
      <c r="A252" s="5"/>
      <c r="B252" s="35"/>
      <c r="C252" s="4"/>
      <c r="I252" s="27"/>
    </row>
    <row r="253" spans="1:9" ht="15.75" customHeight="1" x14ac:dyDescent="0.3">
      <c r="A253" s="5"/>
      <c r="B253" s="35"/>
      <c r="C253" s="4"/>
      <c r="I253" s="27"/>
    </row>
    <row r="254" spans="1:9" ht="15.75" customHeight="1" x14ac:dyDescent="0.3">
      <c r="A254" s="5"/>
      <c r="B254" s="35"/>
      <c r="C254" s="4"/>
      <c r="I254" s="27"/>
    </row>
    <row r="255" spans="1:9" ht="15.75" customHeight="1" x14ac:dyDescent="0.3">
      <c r="A255" s="5"/>
      <c r="B255" s="35"/>
      <c r="C255" s="4"/>
      <c r="I255" s="27"/>
    </row>
    <row r="256" spans="1:9" ht="15.75" customHeight="1" x14ac:dyDescent="0.3">
      <c r="A256" s="5"/>
      <c r="B256" s="35"/>
      <c r="C256" s="4"/>
      <c r="I256" s="27"/>
    </row>
    <row r="257" spans="1:9" ht="15.75" customHeight="1" x14ac:dyDescent="0.3">
      <c r="A257" s="5"/>
      <c r="B257" s="35"/>
      <c r="C257" s="4"/>
      <c r="I257" s="27"/>
    </row>
    <row r="258" spans="1:9" ht="15.75" customHeight="1" x14ac:dyDescent="0.3">
      <c r="A258" s="5"/>
      <c r="B258" s="35"/>
      <c r="C258" s="4"/>
      <c r="I258" s="27"/>
    </row>
    <row r="259" spans="1:9" ht="15.75" customHeight="1" x14ac:dyDescent="0.3">
      <c r="A259" s="5"/>
      <c r="B259" s="35"/>
      <c r="C259" s="4"/>
      <c r="I259" s="27"/>
    </row>
    <row r="260" spans="1:9" ht="15.75" customHeight="1" x14ac:dyDescent="0.3">
      <c r="A260" s="5"/>
      <c r="B260" s="35"/>
      <c r="C260" s="4"/>
      <c r="I260" s="27"/>
    </row>
    <row r="261" spans="1:9" ht="15.75" customHeight="1" x14ac:dyDescent="0.3">
      <c r="A261" s="5"/>
      <c r="B261" s="35"/>
      <c r="C261" s="4"/>
      <c r="I261" s="27"/>
    </row>
    <row r="262" spans="1:9" ht="15.75" customHeight="1" x14ac:dyDescent="0.3">
      <c r="A262" s="5"/>
      <c r="B262" s="35"/>
      <c r="C262" s="4"/>
      <c r="I262" s="27"/>
    </row>
    <row r="263" spans="1:9" ht="15.75" customHeight="1" x14ac:dyDescent="0.3">
      <c r="A263" s="5"/>
      <c r="B263" s="35"/>
      <c r="C263" s="4"/>
      <c r="I263" s="27"/>
    </row>
    <row r="264" spans="1:9" ht="15.75" customHeight="1" x14ac:dyDescent="0.3">
      <c r="A264" s="5"/>
      <c r="B264" s="35"/>
      <c r="C264" s="4"/>
      <c r="I264" s="27"/>
    </row>
    <row r="265" spans="1:9" ht="15.75" customHeight="1" x14ac:dyDescent="0.3">
      <c r="A265" s="5"/>
      <c r="B265" s="35"/>
      <c r="C265" s="4"/>
      <c r="I265" s="27"/>
    </row>
    <row r="266" spans="1:9" ht="15.75" customHeight="1" x14ac:dyDescent="0.3">
      <c r="A266" s="5"/>
      <c r="B266" s="35"/>
      <c r="C266" s="4"/>
      <c r="I266" s="27"/>
    </row>
    <row r="267" spans="1:9" ht="15.75" customHeight="1" x14ac:dyDescent="0.3">
      <c r="A267" s="5"/>
      <c r="B267" s="35"/>
      <c r="C267" s="4"/>
      <c r="I267" s="27"/>
    </row>
    <row r="268" spans="1:9" ht="15.75" customHeight="1" x14ac:dyDescent="0.3">
      <c r="A268" s="5"/>
      <c r="B268" s="35"/>
      <c r="C268" s="4"/>
      <c r="I268" s="27"/>
    </row>
    <row r="269" spans="1:9" ht="15.75" customHeight="1" x14ac:dyDescent="0.3">
      <c r="A269" s="5"/>
      <c r="B269" s="35"/>
      <c r="C269" s="4"/>
      <c r="I269" s="27"/>
    </row>
    <row r="270" spans="1:9" ht="15.75" customHeight="1" x14ac:dyDescent="0.3">
      <c r="A270" s="5"/>
      <c r="B270" s="35"/>
      <c r="C270" s="4"/>
      <c r="I270" s="27"/>
    </row>
    <row r="271" spans="1:9" ht="15.75" customHeight="1" x14ac:dyDescent="0.3">
      <c r="A271" s="5"/>
      <c r="B271" s="35"/>
      <c r="C271" s="4"/>
      <c r="I271" s="27"/>
    </row>
    <row r="272" spans="1:9" ht="15.75" customHeight="1" x14ac:dyDescent="0.3">
      <c r="A272" s="5"/>
      <c r="B272" s="35"/>
      <c r="C272" s="4"/>
      <c r="I272" s="27"/>
    </row>
    <row r="273" spans="1:9" ht="15.75" customHeight="1" x14ac:dyDescent="0.3">
      <c r="A273" s="5"/>
      <c r="B273" s="35"/>
      <c r="C273" s="4"/>
      <c r="I273" s="27"/>
    </row>
    <row r="274" spans="1:9" ht="15.75" customHeight="1" x14ac:dyDescent="0.3">
      <c r="A274" s="5"/>
      <c r="B274" s="35"/>
      <c r="C274" s="4"/>
      <c r="I274" s="27"/>
    </row>
    <row r="275" spans="1:9" ht="15.75" customHeight="1" x14ac:dyDescent="0.3">
      <c r="A275" s="5"/>
      <c r="B275" s="35"/>
      <c r="C275" s="4"/>
      <c r="I275" s="27"/>
    </row>
    <row r="276" spans="1:9" ht="15.75" customHeight="1" x14ac:dyDescent="0.3">
      <c r="A276" s="5"/>
      <c r="B276" s="35"/>
      <c r="C276" s="4"/>
      <c r="I276" s="27"/>
    </row>
    <row r="277" spans="1:9" ht="15.75" customHeight="1" x14ac:dyDescent="0.3">
      <c r="A277" s="5"/>
      <c r="B277" s="35"/>
      <c r="C277" s="4"/>
      <c r="I277" s="27"/>
    </row>
    <row r="278" spans="1:9" ht="15.75" customHeight="1" x14ac:dyDescent="0.3">
      <c r="A278" s="5"/>
      <c r="B278" s="35"/>
      <c r="C278" s="4"/>
      <c r="I278" s="27"/>
    </row>
    <row r="279" spans="1:9" ht="15.75" customHeight="1" x14ac:dyDescent="0.3">
      <c r="A279" s="5"/>
      <c r="B279" s="35"/>
      <c r="C279" s="4"/>
      <c r="I279" s="27"/>
    </row>
    <row r="280" spans="1:9" ht="15.75" customHeight="1" x14ac:dyDescent="0.3">
      <c r="A280" s="5"/>
      <c r="B280" s="35"/>
      <c r="C280" s="4"/>
      <c r="I280" s="27"/>
    </row>
    <row r="281" spans="1:9" ht="15.75" customHeight="1" x14ac:dyDescent="0.3">
      <c r="A281" s="5"/>
      <c r="B281" s="35"/>
      <c r="C281" s="4"/>
      <c r="I281" s="27"/>
    </row>
    <row r="282" spans="1:9" ht="15.75" customHeight="1" x14ac:dyDescent="0.3">
      <c r="A282" s="5"/>
      <c r="B282" s="35"/>
      <c r="C282" s="4"/>
      <c r="I282" s="27"/>
    </row>
    <row r="283" spans="1:9" ht="15.75" customHeight="1" x14ac:dyDescent="0.3">
      <c r="A283" s="5"/>
      <c r="B283" s="35"/>
      <c r="C283" s="4"/>
      <c r="I283" s="27"/>
    </row>
    <row r="284" spans="1:9" ht="15.75" customHeight="1" x14ac:dyDescent="0.3">
      <c r="A284" s="5"/>
      <c r="B284" s="35"/>
      <c r="C284" s="4"/>
      <c r="I284" s="27"/>
    </row>
    <row r="285" spans="1:9" ht="15.75" customHeight="1" x14ac:dyDescent="0.3">
      <c r="A285" s="5"/>
      <c r="B285" s="35"/>
      <c r="C285" s="4"/>
      <c r="I285" s="27"/>
    </row>
    <row r="286" spans="1:9" ht="15.75" customHeight="1" x14ac:dyDescent="0.3">
      <c r="A286" s="5"/>
      <c r="B286" s="35"/>
      <c r="C286" s="4"/>
      <c r="I286" s="27"/>
    </row>
    <row r="287" spans="1:9" ht="15.75" customHeight="1" x14ac:dyDescent="0.3">
      <c r="A287" s="5"/>
      <c r="B287" s="35"/>
      <c r="C287" s="4"/>
      <c r="I287" s="27"/>
    </row>
    <row r="288" spans="1:9" ht="15.75" customHeight="1" x14ac:dyDescent="0.3">
      <c r="A288" s="5"/>
      <c r="B288" s="35"/>
      <c r="C288" s="4"/>
      <c r="I288" s="27"/>
    </row>
    <row r="289" spans="1:9" ht="15.75" customHeight="1" x14ac:dyDescent="0.3">
      <c r="A289" s="5"/>
      <c r="B289" s="35"/>
      <c r="C289" s="4"/>
      <c r="I289" s="27"/>
    </row>
    <row r="290" spans="1:9" ht="15.75" customHeight="1" x14ac:dyDescent="0.3">
      <c r="A290" s="5"/>
      <c r="B290" s="35"/>
      <c r="C290" s="4"/>
      <c r="I290" s="27"/>
    </row>
    <row r="291" spans="1:9" ht="15.75" customHeight="1" x14ac:dyDescent="0.3">
      <c r="A291" s="5"/>
      <c r="B291" s="35"/>
      <c r="C291" s="4"/>
      <c r="I291" s="27"/>
    </row>
    <row r="292" spans="1:9" ht="15.75" customHeight="1" x14ac:dyDescent="0.3">
      <c r="A292" s="5"/>
      <c r="B292" s="35"/>
      <c r="C292" s="4"/>
      <c r="I292" s="27"/>
    </row>
    <row r="293" spans="1:9" ht="15.75" customHeight="1" x14ac:dyDescent="0.3">
      <c r="A293" s="5"/>
      <c r="B293" s="35"/>
      <c r="C293" s="4"/>
      <c r="I293" s="27"/>
    </row>
    <row r="294" spans="1:9" ht="15.75" customHeight="1" x14ac:dyDescent="0.3">
      <c r="A294" s="5"/>
      <c r="B294" s="35"/>
      <c r="C294" s="4"/>
      <c r="I294" s="27"/>
    </row>
    <row r="295" spans="1:9" ht="15.75" customHeight="1" x14ac:dyDescent="0.3">
      <c r="A295" s="5"/>
      <c r="B295" s="35"/>
      <c r="C295" s="4"/>
      <c r="I295" s="27"/>
    </row>
    <row r="296" spans="1:9" ht="15.75" customHeight="1" x14ac:dyDescent="0.3">
      <c r="A296" s="5"/>
      <c r="B296" s="35"/>
      <c r="C296" s="4"/>
      <c r="I296" s="27"/>
    </row>
    <row r="297" spans="1:9" ht="15.75" customHeight="1" x14ac:dyDescent="0.3">
      <c r="A297" s="5"/>
      <c r="B297" s="35"/>
      <c r="C297" s="4"/>
      <c r="I297" s="27"/>
    </row>
    <row r="298" spans="1:9" ht="15.75" customHeight="1" x14ac:dyDescent="0.3">
      <c r="A298" s="5"/>
      <c r="B298" s="35"/>
      <c r="C298" s="4"/>
      <c r="I298" s="27"/>
    </row>
    <row r="299" spans="1:9" ht="15.75" customHeight="1" x14ac:dyDescent="0.3">
      <c r="A299" s="5"/>
      <c r="B299" s="35"/>
      <c r="C299" s="4"/>
      <c r="I299" s="27"/>
    </row>
    <row r="300" spans="1:9" ht="15.75" customHeight="1" x14ac:dyDescent="0.3">
      <c r="A300" s="5"/>
      <c r="B300" s="35"/>
      <c r="C300" s="4"/>
      <c r="I300" s="27"/>
    </row>
    <row r="301" spans="1:9" ht="15.75" customHeight="1" x14ac:dyDescent="0.3">
      <c r="A301" s="5"/>
      <c r="B301" s="35"/>
      <c r="C301" s="4"/>
      <c r="I301" s="27"/>
    </row>
    <row r="302" spans="1:9" ht="15.75" customHeight="1" x14ac:dyDescent="0.3">
      <c r="A302" s="5"/>
      <c r="B302" s="35"/>
      <c r="C302" s="4"/>
      <c r="I302" s="27"/>
    </row>
    <row r="303" spans="1:9" ht="15.75" customHeight="1" x14ac:dyDescent="0.3">
      <c r="A303" s="5"/>
      <c r="B303" s="35"/>
      <c r="C303" s="4"/>
      <c r="I303" s="27"/>
    </row>
    <row r="304" spans="1:9" ht="15.75" customHeight="1" x14ac:dyDescent="0.3">
      <c r="A304" s="5"/>
      <c r="B304" s="35"/>
      <c r="C304" s="4"/>
      <c r="I304" s="27"/>
    </row>
    <row r="305" spans="1:9" ht="15.75" customHeight="1" x14ac:dyDescent="0.3">
      <c r="A305" s="5"/>
      <c r="B305" s="35"/>
      <c r="C305" s="4"/>
      <c r="I305" s="27"/>
    </row>
    <row r="306" spans="1:9" ht="15.75" customHeight="1" x14ac:dyDescent="0.3">
      <c r="A306" s="5"/>
      <c r="B306" s="35"/>
      <c r="C306" s="4"/>
      <c r="I306" s="27"/>
    </row>
    <row r="307" spans="1:9" ht="15.75" customHeight="1" x14ac:dyDescent="0.3">
      <c r="A307" s="5"/>
      <c r="B307" s="35"/>
      <c r="C307" s="4"/>
      <c r="I307" s="27"/>
    </row>
    <row r="308" spans="1:9" ht="15.75" customHeight="1" x14ac:dyDescent="0.3">
      <c r="A308" s="5"/>
      <c r="B308" s="35"/>
      <c r="C308" s="4"/>
      <c r="I308" s="27"/>
    </row>
    <row r="309" spans="1:9" ht="15.75" customHeight="1" x14ac:dyDescent="0.3">
      <c r="A309" s="5"/>
      <c r="B309" s="35"/>
      <c r="C309" s="4"/>
      <c r="I309" s="27"/>
    </row>
    <row r="310" spans="1:9" ht="15.75" customHeight="1" x14ac:dyDescent="0.3">
      <c r="A310" s="5"/>
      <c r="B310" s="35"/>
      <c r="C310" s="4"/>
      <c r="I310" s="27"/>
    </row>
    <row r="311" spans="1:9" ht="15.75" customHeight="1" x14ac:dyDescent="0.3">
      <c r="A311" s="5"/>
      <c r="B311" s="35"/>
      <c r="C311" s="4"/>
      <c r="I311" s="27"/>
    </row>
    <row r="312" spans="1:9" ht="15.75" customHeight="1" x14ac:dyDescent="0.3">
      <c r="A312" s="5"/>
      <c r="B312" s="35"/>
      <c r="C312" s="4"/>
      <c r="I312" s="27"/>
    </row>
    <row r="313" spans="1:9" ht="15.75" customHeight="1" x14ac:dyDescent="0.3">
      <c r="A313" s="5"/>
      <c r="B313" s="35"/>
      <c r="C313" s="4"/>
      <c r="I313" s="27"/>
    </row>
    <row r="314" spans="1:9" ht="15.75" customHeight="1" x14ac:dyDescent="0.3">
      <c r="A314" s="5"/>
      <c r="B314" s="35"/>
      <c r="C314" s="4"/>
      <c r="I314" s="27"/>
    </row>
    <row r="315" spans="1:9" ht="15.75" customHeight="1" x14ac:dyDescent="0.3">
      <c r="A315" s="5"/>
      <c r="B315" s="35"/>
      <c r="C315" s="4"/>
      <c r="I315" s="27"/>
    </row>
    <row r="316" spans="1:9" ht="15.75" customHeight="1" x14ac:dyDescent="0.3">
      <c r="A316" s="5"/>
      <c r="B316" s="35"/>
      <c r="C316" s="4"/>
      <c r="I316" s="27"/>
    </row>
    <row r="317" spans="1:9" ht="15.75" customHeight="1" x14ac:dyDescent="0.3">
      <c r="A317" s="5"/>
      <c r="B317" s="35"/>
      <c r="C317" s="4"/>
      <c r="I317" s="27"/>
    </row>
    <row r="318" spans="1:9" ht="15.75" customHeight="1" x14ac:dyDescent="0.3">
      <c r="A318" s="5"/>
      <c r="B318" s="35"/>
      <c r="C318" s="4"/>
      <c r="I318" s="27"/>
    </row>
    <row r="319" spans="1:9" ht="15.75" customHeight="1" x14ac:dyDescent="0.3">
      <c r="A319" s="5"/>
      <c r="B319" s="35"/>
      <c r="C319" s="4"/>
      <c r="I319" s="27"/>
    </row>
    <row r="320" spans="1:9" ht="15.75" customHeight="1" x14ac:dyDescent="0.3">
      <c r="A320" s="5"/>
      <c r="B320" s="35"/>
      <c r="C320" s="4"/>
      <c r="I320" s="27"/>
    </row>
    <row r="321" spans="1:9" ht="15.75" customHeight="1" x14ac:dyDescent="0.3">
      <c r="A321" s="5"/>
      <c r="B321" s="35"/>
      <c r="C321" s="4"/>
      <c r="I321" s="27"/>
    </row>
    <row r="322" spans="1:9" ht="15.75" customHeight="1" x14ac:dyDescent="0.3">
      <c r="A322" s="5"/>
      <c r="B322" s="35"/>
      <c r="C322" s="4"/>
      <c r="I322" s="27"/>
    </row>
    <row r="323" spans="1:9" ht="15.75" customHeight="1" x14ac:dyDescent="0.3">
      <c r="A323" s="5"/>
      <c r="B323" s="35"/>
      <c r="C323" s="4"/>
      <c r="I323" s="27"/>
    </row>
    <row r="324" spans="1:9" ht="15.75" customHeight="1" x14ac:dyDescent="0.3">
      <c r="A324" s="5"/>
      <c r="B324" s="35"/>
      <c r="C324" s="4"/>
      <c r="I324" s="27"/>
    </row>
    <row r="325" spans="1:9" ht="15.75" customHeight="1" x14ac:dyDescent="0.3">
      <c r="A325" s="5"/>
      <c r="B325" s="35"/>
      <c r="C325" s="4"/>
      <c r="I325" s="27"/>
    </row>
    <row r="326" spans="1:9" ht="15.75" customHeight="1" x14ac:dyDescent="0.3">
      <c r="A326" s="5"/>
      <c r="B326" s="35"/>
      <c r="C326" s="4"/>
      <c r="I326" s="27"/>
    </row>
    <row r="327" spans="1:9" ht="15.75" customHeight="1" x14ac:dyDescent="0.3">
      <c r="A327" s="5"/>
      <c r="B327" s="35"/>
      <c r="C327" s="4"/>
      <c r="I327" s="27"/>
    </row>
    <row r="328" spans="1:9" ht="15.75" customHeight="1" x14ac:dyDescent="0.3">
      <c r="A328" s="5"/>
      <c r="B328" s="35"/>
      <c r="C328" s="4"/>
      <c r="I328" s="27"/>
    </row>
    <row r="329" spans="1:9" ht="15.75" customHeight="1" x14ac:dyDescent="0.3">
      <c r="A329" s="5"/>
      <c r="B329" s="35"/>
      <c r="C329" s="4"/>
      <c r="I329" s="27"/>
    </row>
    <row r="330" spans="1:9" ht="15.75" customHeight="1" x14ac:dyDescent="0.3">
      <c r="A330" s="5"/>
      <c r="B330" s="35"/>
      <c r="C330" s="4"/>
      <c r="I330" s="27"/>
    </row>
    <row r="331" spans="1:9" ht="15.75" customHeight="1" x14ac:dyDescent="0.3">
      <c r="A331" s="5"/>
      <c r="B331" s="35"/>
      <c r="C331" s="4"/>
      <c r="I331" s="27"/>
    </row>
    <row r="332" spans="1:9" ht="15.75" customHeight="1" x14ac:dyDescent="0.3">
      <c r="A332" s="5"/>
      <c r="B332" s="35"/>
      <c r="C332" s="4"/>
      <c r="I332" s="27"/>
    </row>
    <row r="333" spans="1:9" ht="15.75" customHeight="1" x14ac:dyDescent="0.3">
      <c r="A333" s="5"/>
      <c r="B333" s="35"/>
      <c r="C333" s="4"/>
      <c r="I333" s="27"/>
    </row>
    <row r="334" spans="1:9" ht="15.75" customHeight="1" x14ac:dyDescent="0.3">
      <c r="A334" s="5"/>
      <c r="B334" s="35"/>
      <c r="C334" s="4"/>
      <c r="I334" s="27"/>
    </row>
    <row r="335" spans="1:9" ht="15.75" customHeight="1" x14ac:dyDescent="0.3">
      <c r="A335" s="5"/>
      <c r="B335" s="35"/>
      <c r="C335" s="4"/>
      <c r="I335" s="27"/>
    </row>
    <row r="336" spans="1:9" ht="15.75" customHeight="1" x14ac:dyDescent="0.3">
      <c r="A336" s="5"/>
      <c r="B336" s="35"/>
      <c r="C336" s="4"/>
      <c r="I336" s="27"/>
    </row>
    <row r="337" spans="1:9" ht="15.75" customHeight="1" x14ac:dyDescent="0.3">
      <c r="A337" s="5"/>
      <c r="B337" s="35"/>
      <c r="C337" s="4"/>
      <c r="I337" s="27"/>
    </row>
    <row r="338" spans="1:9" ht="15.75" customHeight="1" x14ac:dyDescent="0.3">
      <c r="A338" s="5"/>
      <c r="B338" s="35"/>
      <c r="C338" s="4"/>
      <c r="I338" s="27"/>
    </row>
    <row r="339" spans="1:9" ht="15.75" customHeight="1" x14ac:dyDescent="0.3">
      <c r="A339" s="5"/>
      <c r="B339" s="35"/>
      <c r="C339" s="4"/>
      <c r="I339" s="27"/>
    </row>
    <row r="340" spans="1:9" ht="15.75" customHeight="1" x14ac:dyDescent="0.3">
      <c r="A340" s="5"/>
      <c r="B340" s="35"/>
      <c r="C340" s="4"/>
      <c r="I340" s="27"/>
    </row>
    <row r="341" spans="1:9" ht="15.75" customHeight="1" x14ac:dyDescent="0.3">
      <c r="A341" s="5"/>
      <c r="B341" s="35"/>
      <c r="C341" s="4"/>
      <c r="I341" s="27"/>
    </row>
    <row r="342" spans="1:9" ht="15.75" customHeight="1" x14ac:dyDescent="0.3">
      <c r="A342" s="5"/>
      <c r="B342" s="35"/>
      <c r="C342" s="4"/>
      <c r="I342" s="27"/>
    </row>
    <row r="343" spans="1:9" ht="15.75" customHeight="1" x14ac:dyDescent="0.3">
      <c r="A343" s="5"/>
      <c r="B343" s="35"/>
      <c r="C343" s="4"/>
      <c r="I343" s="27"/>
    </row>
    <row r="344" spans="1:9" ht="15.75" customHeight="1" x14ac:dyDescent="0.3">
      <c r="A344" s="5"/>
      <c r="B344" s="35"/>
      <c r="C344" s="4"/>
      <c r="I344" s="27"/>
    </row>
    <row r="345" spans="1:9" ht="15.75" customHeight="1" x14ac:dyDescent="0.3">
      <c r="A345" s="5"/>
      <c r="B345" s="35"/>
      <c r="C345" s="4"/>
      <c r="I345" s="27"/>
    </row>
    <row r="346" spans="1:9" ht="15.75" customHeight="1" x14ac:dyDescent="0.3">
      <c r="A346" s="5"/>
      <c r="B346" s="35"/>
      <c r="C346" s="4"/>
      <c r="I346" s="27"/>
    </row>
    <row r="347" spans="1:9" ht="15.75" customHeight="1" x14ac:dyDescent="0.3">
      <c r="A347" s="5"/>
      <c r="B347" s="35"/>
      <c r="C347" s="4"/>
      <c r="I347" s="27"/>
    </row>
    <row r="348" spans="1:9" ht="15.75" customHeight="1" x14ac:dyDescent="0.3">
      <c r="A348" s="5"/>
      <c r="B348" s="35"/>
      <c r="C348" s="4"/>
      <c r="I348" s="27"/>
    </row>
    <row r="349" spans="1:9" ht="15.75" customHeight="1" x14ac:dyDescent="0.3">
      <c r="A349" s="5"/>
      <c r="B349" s="35"/>
      <c r="C349" s="4"/>
      <c r="I349" s="27"/>
    </row>
    <row r="350" spans="1:9" ht="15.75" customHeight="1" x14ac:dyDescent="0.3">
      <c r="A350" s="5"/>
      <c r="B350" s="35"/>
      <c r="C350" s="4"/>
      <c r="I350" s="27"/>
    </row>
    <row r="351" spans="1:9" ht="15.75" customHeight="1" x14ac:dyDescent="0.3">
      <c r="A351" s="5"/>
      <c r="B351" s="35"/>
      <c r="C351" s="4"/>
      <c r="I351" s="27"/>
    </row>
    <row r="352" spans="1:9" ht="15.75" customHeight="1" x14ac:dyDescent="0.3">
      <c r="A352" s="5"/>
      <c r="B352" s="35"/>
      <c r="C352" s="4"/>
      <c r="I352" s="27"/>
    </row>
    <row r="353" spans="1:9" ht="15.75" customHeight="1" x14ac:dyDescent="0.3">
      <c r="A353" s="5"/>
      <c r="B353" s="35"/>
      <c r="C353" s="4"/>
      <c r="I353" s="27"/>
    </row>
    <row r="354" spans="1:9" ht="15.75" customHeight="1" x14ac:dyDescent="0.3">
      <c r="A354" s="5"/>
      <c r="B354" s="35"/>
      <c r="C354" s="4"/>
      <c r="I354" s="27"/>
    </row>
    <row r="355" spans="1:9" ht="15.75" customHeight="1" x14ac:dyDescent="0.3">
      <c r="A355" s="5"/>
      <c r="B355" s="35"/>
      <c r="C355" s="4"/>
      <c r="I355" s="27"/>
    </row>
    <row r="356" spans="1:9" ht="15.75" customHeight="1" x14ac:dyDescent="0.3">
      <c r="A356" s="5"/>
      <c r="B356" s="35"/>
      <c r="C356" s="4"/>
      <c r="I356" s="27"/>
    </row>
    <row r="357" spans="1:9" ht="15.75" customHeight="1" x14ac:dyDescent="0.3">
      <c r="A357" s="5"/>
      <c r="B357" s="35"/>
      <c r="C357" s="4"/>
      <c r="I357" s="27"/>
    </row>
    <row r="358" spans="1:9" ht="15.75" customHeight="1" x14ac:dyDescent="0.3">
      <c r="A358" s="5"/>
      <c r="B358" s="35"/>
      <c r="C358" s="4"/>
      <c r="I358" s="27"/>
    </row>
    <row r="359" spans="1:9" ht="15.75" customHeight="1" x14ac:dyDescent="0.3">
      <c r="A359" s="5"/>
      <c r="B359" s="35"/>
      <c r="C359" s="4"/>
      <c r="I359" s="27"/>
    </row>
    <row r="360" spans="1:9" ht="15.75" customHeight="1" x14ac:dyDescent="0.3">
      <c r="A360" s="5"/>
      <c r="B360" s="35"/>
      <c r="C360" s="4"/>
      <c r="I360" s="27"/>
    </row>
    <row r="361" spans="1:9" ht="15.75" customHeight="1" x14ac:dyDescent="0.3">
      <c r="A361" s="5"/>
      <c r="B361" s="35"/>
      <c r="C361" s="4"/>
      <c r="I361" s="27"/>
    </row>
    <row r="362" spans="1:9" ht="15.75" customHeight="1" x14ac:dyDescent="0.3">
      <c r="A362" s="5"/>
      <c r="B362" s="35"/>
      <c r="C362" s="4"/>
      <c r="I362" s="27"/>
    </row>
    <row r="363" spans="1:9" ht="15.75" customHeight="1" x14ac:dyDescent="0.3">
      <c r="A363" s="5"/>
      <c r="B363" s="35"/>
      <c r="C363" s="4"/>
      <c r="I363" s="27"/>
    </row>
    <row r="364" spans="1:9" ht="15.75" customHeight="1" x14ac:dyDescent="0.3">
      <c r="A364" s="5"/>
      <c r="B364" s="35"/>
      <c r="C364" s="4"/>
      <c r="I364" s="27"/>
    </row>
    <row r="365" spans="1:9" ht="15.75" customHeight="1" x14ac:dyDescent="0.3">
      <c r="A365" s="5"/>
      <c r="B365" s="35"/>
      <c r="C365" s="4"/>
      <c r="I365" s="27"/>
    </row>
    <row r="366" spans="1:9" ht="15.75" customHeight="1" x14ac:dyDescent="0.3">
      <c r="A366" s="5"/>
      <c r="B366" s="35"/>
      <c r="C366" s="4"/>
      <c r="I366" s="27"/>
    </row>
    <row r="367" spans="1:9" ht="15.75" customHeight="1" x14ac:dyDescent="0.3">
      <c r="A367" s="5"/>
      <c r="B367" s="35"/>
      <c r="C367" s="4"/>
      <c r="I367" s="27"/>
    </row>
    <row r="368" spans="1:9" ht="15.75" customHeight="1" x14ac:dyDescent="0.3">
      <c r="A368" s="5"/>
      <c r="B368" s="35"/>
      <c r="C368" s="4"/>
      <c r="I368" s="27"/>
    </row>
    <row r="369" spans="1:9" ht="15.75" customHeight="1" x14ac:dyDescent="0.3">
      <c r="A369" s="5"/>
      <c r="B369" s="35"/>
      <c r="C369" s="4"/>
      <c r="I369" s="27"/>
    </row>
    <row r="370" spans="1:9" ht="15.75" customHeight="1" x14ac:dyDescent="0.3">
      <c r="A370" s="5"/>
      <c r="B370" s="35"/>
      <c r="C370" s="4"/>
      <c r="I370" s="27"/>
    </row>
    <row r="371" spans="1:9" ht="15.75" customHeight="1" x14ac:dyDescent="0.3">
      <c r="A371" s="5"/>
      <c r="B371" s="35"/>
      <c r="C371" s="4"/>
      <c r="I371" s="27"/>
    </row>
    <row r="372" spans="1:9" ht="15.75" customHeight="1" x14ac:dyDescent="0.3">
      <c r="A372" s="5"/>
      <c r="B372" s="35"/>
      <c r="C372" s="4"/>
      <c r="I372" s="27"/>
    </row>
    <row r="373" spans="1:9" ht="15.75" customHeight="1" x14ac:dyDescent="0.3">
      <c r="A373" s="5"/>
      <c r="B373" s="35"/>
      <c r="C373" s="4"/>
      <c r="I373" s="27"/>
    </row>
    <row r="374" spans="1:9" ht="15.75" customHeight="1" x14ac:dyDescent="0.3">
      <c r="A374" s="5"/>
      <c r="B374" s="35"/>
      <c r="C374" s="4"/>
      <c r="I374" s="27"/>
    </row>
    <row r="375" spans="1:9" ht="15.75" customHeight="1" x14ac:dyDescent="0.3">
      <c r="A375" s="5"/>
      <c r="B375" s="35"/>
      <c r="C375" s="4"/>
      <c r="I375" s="27"/>
    </row>
    <row r="376" spans="1:9" ht="15.75" customHeight="1" x14ac:dyDescent="0.3">
      <c r="A376" s="5"/>
      <c r="B376" s="35"/>
      <c r="C376" s="4"/>
      <c r="I376" s="27"/>
    </row>
    <row r="377" spans="1:9" ht="15.75" customHeight="1" x14ac:dyDescent="0.3">
      <c r="A377" s="5"/>
      <c r="B377" s="35"/>
      <c r="C377" s="4"/>
      <c r="I377" s="27"/>
    </row>
    <row r="378" spans="1:9" ht="15.75" customHeight="1" x14ac:dyDescent="0.3">
      <c r="A378" s="5"/>
      <c r="B378" s="35"/>
      <c r="C378" s="4"/>
      <c r="I378" s="27"/>
    </row>
    <row r="379" spans="1:9" ht="15.75" customHeight="1" x14ac:dyDescent="0.3">
      <c r="A379" s="5"/>
      <c r="B379" s="35"/>
      <c r="C379" s="4"/>
      <c r="I379" s="27"/>
    </row>
    <row r="380" spans="1:9" ht="15.75" customHeight="1" x14ac:dyDescent="0.3">
      <c r="A380" s="5"/>
      <c r="B380" s="35"/>
      <c r="C380" s="4"/>
      <c r="I380" s="27"/>
    </row>
    <row r="381" spans="1:9" ht="15.75" customHeight="1" x14ac:dyDescent="0.3">
      <c r="A381" s="5"/>
      <c r="B381" s="35"/>
      <c r="C381" s="4"/>
      <c r="I381" s="27"/>
    </row>
    <row r="382" spans="1:9" ht="15.75" customHeight="1" x14ac:dyDescent="0.3">
      <c r="A382" s="5"/>
      <c r="B382" s="35"/>
      <c r="C382" s="4"/>
      <c r="I382" s="27"/>
    </row>
    <row r="383" spans="1:9" ht="15.75" customHeight="1" x14ac:dyDescent="0.3">
      <c r="A383" s="5"/>
      <c r="B383" s="35"/>
      <c r="C383" s="4"/>
      <c r="I383" s="27"/>
    </row>
    <row r="384" spans="1:9" ht="15.75" customHeight="1" x14ac:dyDescent="0.3">
      <c r="A384" s="5"/>
      <c r="B384" s="35"/>
      <c r="C384" s="4"/>
      <c r="I384" s="27"/>
    </row>
    <row r="385" spans="1:9" ht="15.75" customHeight="1" x14ac:dyDescent="0.3">
      <c r="A385" s="5"/>
      <c r="B385" s="35"/>
      <c r="C385" s="4"/>
      <c r="I385" s="27"/>
    </row>
    <row r="386" spans="1:9" ht="15.75" customHeight="1" x14ac:dyDescent="0.3">
      <c r="A386" s="5"/>
      <c r="B386" s="35"/>
      <c r="C386" s="4"/>
      <c r="I386" s="27"/>
    </row>
    <row r="387" spans="1:9" ht="15.75" customHeight="1" x14ac:dyDescent="0.3">
      <c r="A387" s="5"/>
      <c r="B387" s="35"/>
      <c r="C387" s="4"/>
      <c r="I387" s="27"/>
    </row>
    <row r="388" spans="1:9" ht="15.75" customHeight="1" x14ac:dyDescent="0.3">
      <c r="A388" s="5"/>
      <c r="B388" s="35"/>
      <c r="C388" s="4"/>
      <c r="I388" s="27"/>
    </row>
    <row r="389" spans="1:9" ht="15.75" customHeight="1" x14ac:dyDescent="0.3">
      <c r="A389" s="5"/>
      <c r="B389" s="35"/>
      <c r="C389" s="4"/>
      <c r="I389" s="27"/>
    </row>
    <row r="390" spans="1:9" ht="15.75" customHeight="1" x14ac:dyDescent="0.3">
      <c r="A390" s="5"/>
      <c r="B390" s="35"/>
      <c r="C390" s="4"/>
      <c r="I390" s="27"/>
    </row>
    <row r="391" spans="1:9" ht="15.75" customHeight="1" x14ac:dyDescent="0.3">
      <c r="A391" s="5"/>
      <c r="B391" s="35"/>
      <c r="C391" s="4"/>
      <c r="I391" s="27"/>
    </row>
    <row r="392" spans="1:9" ht="15.75" customHeight="1" x14ac:dyDescent="0.3">
      <c r="A392" s="5"/>
      <c r="B392" s="35"/>
      <c r="C392" s="4"/>
      <c r="I392" s="27"/>
    </row>
    <row r="393" spans="1:9" ht="15.75" customHeight="1" x14ac:dyDescent="0.3">
      <c r="A393" s="5"/>
      <c r="B393" s="35"/>
      <c r="C393" s="4"/>
      <c r="I393" s="27"/>
    </row>
    <row r="394" spans="1:9" ht="15.75" customHeight="1" x14ac:dyDescent="0.3">
      <c r="A394" s="5"/>
      <c r="B394" s="35"/>
      <c r="C394" s="4"/>
      <c r="I394" s="27"/>
    </row>
    <row r="395" spans="1:9" ht="15.75" customHeight="1" x14ac:dyDescent="0.3">
      <c r="A395" s="5"/>
      <c r="B395" s="35"/>
      <c r="C395" s="4"/>
      <c r="I395" s="27"/>
    </row>
    <row r="396" spans="1:9" ht="15.75" customHeight="1" x14ac:dyDescent="0.3">
      <c r="A396" s="5"/>
      <c r="B396" s="35"/>
      <c r="C396" s="4"/>
      <c r="I396" s="27"/>
    </row>
    <row r="397" spans="1:9" ht="15.75" customHeight="1" x14ac:dyDescent="0.3">
      <c r="A397" s="5"/>
      <c r="B397" s="35"/>
      <c r="C397" s="4"/>
      <c r="I397" s="27"/>
    </row>
    <row r="398" spans="1:9" ht="15.75" customHeight="1" x14ac:dyDescent="0.3">
      <c r="A398" s="5"/>
      <c r="B398" s="35"/>
      <c r="C398" s="4"/>
      <c r="I398" s="27"/>
    </row>
    <row r="399" spans="1:9" ht="15.75" customHeight="1" x14ac:dyDescent="0.3">
      <c r="A399" s="5"/>
      <c r="B399" s="35"/>
      <c r="C399" s="4"/>
      <c r="I399" s="27"/>
    </row>
    <row r="400" spans="1:9" ht="15.75" customHeight="1" x14ac:dyDescent="0.3">
      <c r="A400" s="5"/>
      <c r="B400" s="35"/>
      <c r="C400" s="4"/>
      <c r="I400" s="27"/>
    </row>
    <row r="401" spans="1:9" ht="15.75" customHeight="1" x14ac:dyDescent="0.3">
      <c r="A401" s="5"/>
      <c r="B401" s="35"/>
      <c r="C401" s="4"/>
      <c r="I401" s="27"/>
    </row>
    <row r="402" spans="1:9" ht="15.75" customHeight="1" x14ac:dyDescent="0.3">
      <c r="A402" s="5"/>
      <c r="B402" s="35"/>
      <c r="C402" s="4"/>
      <c r="I402" s="27"/>
    </row>
    <row r="403" spans="1:9" ht="15.75" customHeight="1" x14ac:dyDescent="0.3">
      <c r="A403" s="5"/>
      <c r="B403" s="35"/>
      <c r="C403" s="4"/>
      <c r="I403" s="27"/>
    </row>
    <row r="404" spans="1:9" ht="15.75" customHeight="1" x14ac:dyDescent="0.3">
      <c r="A404" s="5"/>
      <c r="B404" s="35"/>
      <c r="C404" s="4"/>
      <c r="I404" s="27"/>
    </row>
    <row r="405" spans="1:9" ht="15.75" customHeight="1" x14ac:dyDescent="0.3">
      <c r="A405" s="5"/>
      <c r="B405" s="35"/>
      <c r="C405" s="4"/>
      <c r="I405" s="27"/>
    </row>
    <row r="406" spans="1:9" ht="15.75" customHeight="1" x14ac:dyDescent="0.3">
      <c r="A406" s="5"/>
      <c r="B406" s="35"/>
      <c r="C406" s="4"/>
      <c r="I406" s="27"/>
    </row>
    <row r="407" spans="1:9" ht="15.75" customHeight="1" x14ac:dyDescent="0.3">
      <c r="A407" s="5"/>
      <c r="B407" s="35"/>
      <c r="C407" s="4"/>
      <c r="I407" s="27"/>
    </row>
    <row r="408" spans="1:9" ht="15.75" customHeight="1" x14ac:dyDescent="0.3">
      <c r="A408" s="5"/>
      <c r="B408" s="35"/>
      <c r="C408" s="4"/>
      <c r="I408" s="27"/>
    </row>
    <row r="409" spans="1:9" ht="15.75" customHeight="1" x14ac:dyDescent="0.3">
      <c r="A409" s="5"/>
      <c r="B409" s="35"/>
      <c r="C409" s="4"/>
      <c r="I409" s="27"/>
    </row>
    <row r="410" spans="1:9" ht="15.75" customHeight="1" x14ac:dyDescent="0.3">
      <c r="A410" s="5"/>
      <c r="B410" s="35"/>
      <c r="C410" s="4"/>
      <c r="I410" s="27"/>
    </row>
    <row r="411" spans="1:9" ht="15.75" customHeight="1" x14ac:dyDescent="0.3">
      <c r="A411" s="5"/>
      <c r="B411" s="35"/>
      <c r="C411" s="4"/>
      <c r="I411" s="27"/>
    </row>
    <row r="412" spans="1:9" ht="15.75" customHeight="1" x14ac:dyDescent="0.3">
      <c r="A412" s="5"/>
      <c r="B412" s="35"/>
      <c r="C412" s="4"/>
      <c r="I412" s="27"/>
    </row>
    <row r="413" spans="1:9" ht="15.75" customHeight="1" x14ac:dyDescent="0.3">
      <c r="A413" s="5"/>
      <c r="B413" s="35"/>
      <c r="C413" s="4"/>
      <c r="I413" s="27"/>
    </row>
    <row r="414" spans="1:9" ht="15.75" customHeight="1" x14ac:dyDescent="0.3">
      <c r="A414" s="5"/>
      <c r="B414" s="35"/>
      <c r="C414" s="4"/>
      <c r="I414" s="27"/>
    </row>
    <row r="415" spans="1:9" ht="15.75" customHeight="1" x14ac:dyDescent="0.3">
      <c r="A415" s="5"/>
      <c r="B415" s="35"/>
      <c r="C415" s="4"/>
      <c r="I415" s="27"/>
    </row>
    <row r="416" spans="1:9" ht="15.75" customHeight="1" x14ac:dyDescent="0.3">
      <c r="A416" s="5"/>
      <c r="B416" s="35"/>
      <c r="C416" s="4"/>
      <c r="I416" s="27"/>
    </row>
    <row r="417" spans="1:9" ht="15.75" customHeight="1" x14ac:dyDescent="0.3">
      <c r="A417" s="5"/>
      <c r="B417" s="35"/>
      <c r="C417" s="4"/>
      <c r="I417" s="27"/>
    </row>
    <row r="418" spans="1:9" ht="15.75" customHeight="1" x14ac:dyDescent="0.3">
      <c r="A418" s="5"/>
      <c r="B418" s="35"/>
      <c r="C418" s="4"/>
      <c r="I418" s="27"/>
    </row>
    <row r="419" spans="1:9" ht="15.75" customHeight="1" x14ac:dyDescent="0.3">
      <c r="A419" s="5"/>
      <c r="B419" s="35"/>
      <c r="C419" s="4"/>
      <c r="I419" s="27"/>
    </row>
    <row r="420" spans="1:9" ht="15.75" customHeight="1" x14ac:dyDescent="0.3">
      <c r="A420" s="5"/>
      <c r="B420" s="35"/>
      <c r="C420" s="4"/>
      <c r="I420" s="27"/>
    </row>
    <row r="421" spans="1:9" ht="15.75" customHeight="1" x14ac:dyDescent="0.3">
      <c r="A421" s="5"/>
      <c r="B421" s="35"/>
      <c r="C421" s="4"/>
      <c r="I421" s="27"/>
    </row>
    <row r="422" spans="1:9" ht="15.75" customHeight="1" x14ac:dyDescent="0.3">
      <c r="A422" s="5"/>
      <c r="B422" s="35"/>
      <c r="C422" s="4"/>
      <c r="I422" s="27"/>
    </row>
    <row r="423" spans="1:9" ht="15.75" customHeight="1" x14ac:dyDescent="0.3">
      <c r="A423" s="5"/>
      <c r="B423" s="35"/>
      <c r="C423" s="4"/>
      <c r="I423" s="27"/>
    </row>
    <row r="424" spans="1:9" ht="15.75" customHeight="1" x14ac:dyDescent="0.3">
      <c r="A424" s="5"/>
      <c r="B424" s="35"/>
      <c r="C424" s="4"/>
      <c r="I424" s="27"/>
    </row>
    <row r="425" spans="1:9" ht="15.75" customHeight="1" x14ac:dyDescent="0.3">
      <c r="A425" s="5"/>
      <c r="B425" s="35"/>
      <c r="C425" s="4"/>
      <c r="I425" s="27"/>
    </row>
    <row r="426" spans="1:9" ht="15.75" customHeight="1" x14ac:dyDescent="0.3">
      <c r="A426" s="5"/>
      <c r="B426" s="35"/>
      <c r="C426" s="4"/>
      <c r="I426" s="27"/>
    </row>
    <row r="427" spans="1:9" ht="15.75" customHeight="1" x14ac:dyDescent="0.3">
      <c r="A427" s="5"/>
      <c r="B427" s="35"/>
      <c r="C427" s="4"/>
      <c r="I427" s="27"/>
    </row>
    <row r="428" spans="1:9" ht="15.75" customHeight="1" x14ac:dyDescent="0.3">
      <c r="A428" s="5"/>
      <c r="B428" s="35"/>
      <c r="C428" s="4"/>
      <c r="I428" s="27"/>
    </row>
    <row r="429" spans="1:9" ht="15.75" customHeight="1" x14ac:dyDescent="0.3">
      <c r="A429" s="5"/>
      <c r="B429" s="35"/>
      <c r="C429" s="4"/>
      <c r="I429" s="27"/>
    </row>
    <row r="430" spans="1:9" ht="15.75" customHeight="1" x14ac:dyDescent="0.3">
      <c r="A430" s="5"/>
      <c r="B430" s="35"/>
      <c r="C430" s="4"/>
      <c r="I430" s="27"/>
    </row>
    <row r="431" spans="1:9" ht="15.75" customHeight="1" x14ac:dyDescent="0.3">
      <c r="A431" s="5"/>
      <c r="B431" s="35"/>
      <c r="C431" s="4"/>
      <c r="I431" s="27"/>
    </row>
    <row r="432" spans="1:9" ht="15.75" customHeight="1" x14ac:dyDescent="0.3">
      <c r="A432" s="5"/>
      <c r="B432" s="35"/>
      <c r="C432" s="4"/>
      <c r="I432" s="27"/>
    </row>
    <row r="433" spans="1:9" ht="15.75" customHeight="1" x14ac:dyDescent="0.3">
      <c r="A433" s="5"/>
      <c r="B433" s="35"/>
      <c r="C433" s="4"/>
      <c r="I433" s="27"/>
    </row>
    <row r="434" spans="1:9" ht="15.75" customHeight="1" x14ac:dyDescent="0.3">
      <c r="A434" s="5"/>
      <c r="B434" s="35"/>
      <c r="C434" s="4"/>
      <c r="I434" s="27"/>
    </row>
    <row r="435" spans="1:9" ht="15.75" customHeight="1" x14ac:dyDescent="0.3">
      <c r="A435" s="5"/>
      <c r="B435" s="35"/>
      <c r="C435" s="4"/>
      <c r="I435" s="27"/>
    </row>
    <row r="436" spans="1:9" ht="15.75" customHeight="1" x14ac:dyDescent="0.3">
      <c r="A436" s="5"/>
      <c r="B436" s="35"/>
      <c r="C436" s="4"/>
      <c r="I436" s="27"/>
    </row>
    <row r="437" spans="1:9" ht="15.75" customHeight="1" x14ac:dyDescent="0.3">
      <c r="A437" s="5"/>
      <c r="B437" s="35"/>
      <c r="C437" s="4"/>
      <c r="I437" s="27"/>
    </row>
    <row r="438" spans="1:9" ht="15.75" customHeight="1" x14ac:dyDescent="0.3">
      <c r="A438" s="5"/>
      <c r="B438" s="35"/>
      <c r="C438" s="4"/>
      <c r="I438" s="27"/>
    </row>
    <row r="439" spans="1:9" ht="15.75" customHeight="1" x14ac:dyDescent="0.3">
      <c r="A439" s="5"/>
      <c r="B439" s="35"/>
      <c r="C439" s="4"/>
      <c r="I439" s="27"/>
    </row>
    <row r="440" spans="1:9" ht="15.75" customHeight="1" x14ac:dyDescent="0.3">
      <c r="A440" s="5"/>
      <c r="B440" s="35"/>
      <c r="C440" s="4"/>
      <c r="I440" s="27"/>
    </row>
    <row r="441" spans="1:9" ht="15.75" customHeight="1" x14ac:dyDescent="0.3">
      <c r="A441" s="5"/>
      <c r="B441" s="35"/>
      <c r="C441" s="4"/>
      <c r="I441" s="27"/>
    </row>
    <row r="442" spans="1:9" ht="15.75" customHeight="1" x14ac:dyDescent="0.3">
      <c r="A442" s="5"/>
      <c r="B442" s="35"/>
      <c r="C442" s="4"/>
      <c r="I442" s="27"/>
    </row>
    <row r="443" spans="1:9" ht="15.75" customHeight="1" x14ac:dyDescent="0.3">
      <c r="A443" s="5"/>
      <c r="B443" s="35"/>
      <c r="C443" s="4"/>
      <c r="I443" s="27"/>
    </row>
    <row r="444" spans="1:9" ht="15.75" customHeight="1" x14ac:dyDescent="0.3">
      <c r="A444" s="5"/>
      <c r="B444" s="35"/>
      <c r="C444" s="4"/>
      <c r="I444" s="27"/>
    </row>
    <row r="445" spans="1:9" ht="15.75" customHeight="1" x14ac:dyDescent="0.3">
      <c r="A445" s="5"/>
      <c r="B445" s="35"/>
      <c r="C445" s="4"/>
      <c r="I445" s="27"/>
    </row>
    <row r="446" spans="1:9" ht="15.75" customHeight="1" x14ac:dyDescent="0.3">
      <c r="A446" s="5"/>
      <c r="B446" s="35"/>
      <c r="C446" s="4"/>
      <c r="I446" s="27"/>
    </row>
    <row r="447" spans="1:9" ht="15.75" customHeight="1" x14ac:dyDescent="0.3">
      <c r="A447" s="5"/>
      <c r="B447" s="35"/>
      <c r="C447" s="4"/>
      <c r="I447" s="27"/>
    </row>
    <row r="448" spans="1:9" ht="15.75" customHeight="1" x14ac:dyDescent="0.3">
      <c r="A448" s="5"/>
      <c r="B448" s="35"/>
      <c r="C448" s="4"/>
      <c r="I448" s="27"/>
    </row>
    <row r="449" spans="1:9" ht="15.75" customHeight="1" x14ac:dyDescent="0.3">
      <c r="A449" s="5"/>
      <c r="B449" s="35"/>
      <c r="C449" s="4"/>
      <c r="I449" s="27"/>
    </row>
    <row r="450" spans="1:9" ht="15.75" customHeight="1" x14ac:dyDescent="0.3">
      <c r="A450" s="5"/>
      <c r="B450" s="35"/>
      <c r="C450" s="4"/>
      <c r="I450" s="27"/>
    </row>
    <row r="451" spans="1:9" ht="15.75" customHeight="1" x14ac:dyDescent="0.3">
      <c r="A451" s="5"/>
      <c r="B451" s="35"/>
      <c r="C451" s="4"/>
      <c r="I451" s="27"/>
    </row>
    <row r="452" spans="1:9" ht="15.75" customHeight="1" x14ac:dyDescent="0.3">
      <c r="A452" s="5"/>
      <c r="B452" s="35"/>
      <c r="C452" s="4"/>
      <c r="I452" s="27"/>
    </row>
    <row r="453" spans="1:9" ht="15.75" customHeight="1" x14ac:dyDescent="0.3">
      <c r="A453" s="5"/>
      <c r="B453" s="35"/>
      <c r="C453" s="4"/>
      <c r="I453" s="27"/>
    </row>
    <row r="454" spans="1:9" ht="15.75" customHeight="1" x14ac:dyDescent="0.3">
      <c r="A454" s="5"/>
      <c r="B454" s="35"/>
      <c r="C454" s="4"/>
      <c r="I454" s="27"/>
    </row>
    <row r="455" spans="1:9" ht="15.75" customHeight="1" x14ac:dyDescent="0.3">
      <c r="A455" s="5"/>
      <c r="B455" s="35"/>
      <c r="C455" s="4"/>
      <c r="I455" s="27"/>
    </row>
    <row r="456" spans="1:9" ht="15.75" customHeight="1" x14ac:dyDescent="0.3">
      <c r="A456" s="5"/>
      <c r="B456" s="35"/>
      <c r="C456" s="4"/>
      <c r="I456" s="27"/>
    </row>
    <row r="457" spans="1:9" ht="15.75" customHeight="1" x14ac:dyDescent="0.3">
      <c r="A457" s="5"/>
      <c r="B457" s="35"/>
      <c r="C457" s="4"/>
      <c r="I457" s="27"/>
    </row>
    <row r="458" spans="1:9" ht="15.75" customHeight="1" x14ac:dyDescent="0.3">
      <c r="A458" s="5"/>
      <c r="B458" s="35"/>
      <c r="C458" s="4"/>
      <c r="I458" s="27"/>
    </row>
    <row r="459" spans="1:9" ht="15.75" customHeight="1" x14ac:dyDescent="0.3">
      <c r="A459" s="5"/>
      <c r="B459" s="35"/>
      <c r="C459" s="4"/>
      <c r="I459" s="27"/>
    </row>
    <row r="460" spans="1:9" ht="15.75" customHeight="1" x14ac:dyDescent="0.3">
      <c r="A460" s="5"/>
      <c r="B460" s="35"/>
      <c r="C460" s="4"/>
      <c r="I460" s="27"/>
    </row>
    <row r="461" spans="1:9" ht="15.75" customHeight="1" x14ac:dyDescent="0.3">
      <c r="A461" s="5"/>
      <c r="B461" s="35"/>
      <c r="C461" s="4"/>
      <c r="I461" s="27"/>
    </row>
    <row r="462" spans="1:9" ht="15.75" customHeight="1" x14ac:dyDescent="0.3">
      <c r="A462" s="5"/>
      <c r="B462" s="35"/>
      <c r="C462" s="4"/>
      <c r="I462" s="27"/>
    </row>
    <row r="463" spans="1:9" ht="15.75" customHeight="1" x14ac:dyDescent="0.3">
      <c r="A463" s="5"/>
      <c r="B463" s="35"/>
      <c r="C463" s="4"/>
      <c r="I463" s="27"/>
    </row>
    <row r="464" spans="1:9" ht="15.75" customHeight="1" x14ac:dyDescent="0.3">
      <c r="A464" s="5"/>
      <c r="B464" s="35"/>
      <c r="C464" s="4"/>
      <c r="I464" s="27"/>
    </row>
    <row r="465" spans="1:9" ht="15.75" customHeight="1" x14ac:dyDescent="0.3">
      <c r="A465" s="5"/>
      <c r="B465" s="35"/>
      <c r="C465" s="4"/>
      <c r="I465" s="27"/>
    </row>
    <row r="466" spans="1:9" ht="15.75" customHeight="1" x14ac:dyDescent="0.3">
      <c r="A466" s="5"/>
      <c r="B466" s="35"/>
      <c r="C466" s="4"/>
      <c r="I466" s="27"/>
    </row>
    <row r="467" spans="1:9" ht="15.75" customHeight="1" x14ac:dyDescent="0.3">
      <c r="A467" s="5"/>
      <c r="B467" s="35"/>
      <c r="C467" s="4"/>
      <c r="I467" s="27"/>
    </row>
    <row r="468" spans="1:9" ht="15.75" customHeight="1" x14ac:dyDescent="0.3">
      <c r="A468" s="5"/>
      <c r="B468" s="35"/>
      <c r="C468" s="4"/>
      <c r="I468" s="27"/>
    </row>
    <row r="469" spans="1:9" ht="15.75" customHeight="1" x14ac:dyDescent="0.3">
      <c r="A469" s="5"/>
      <c r="B469" s="35"/>
      <c r="C469" s="4"/>
      <c r="I469" s="27"/>
    </row>
    <row r="470" spans="1:9" ht="15.75" customHeight="1" x14ac:dyDescent="0.3">
      <c r="A470" s="5"/>
      <c r="B470" s="35"/>
      <c r="C470" s="4"/>
      <c r="I470" s="27"/>
    </row>
    <row r="471" spans="1:9" ht="15.75" customHeight="1" x14ac:dyDescent="0.3">
      <c r="A471" s="5"/>
      <c r="B471" s="35"/>
      <c r="C471" s="4"/>
      <c r="I471" s="27"/>
    </row>
    <row r="472" spans="1:9" ht="15.75" customHeight="1" x14ac:dyDescent="0.3">
      <c r="A472" s="5"/>
      <c r="B472" s="35"/>
      <c r="C472" s="4"/>
      <c r="I472" s="27"/>
    </row>
    <row r="473" spans="1:9" ht="15.75" customHeight="1" x14ac:dyDescent="0.3">
      <c r="A473" s="5"/>
      <c r="B473" s="35"/>
      <c r="C473" s="4"/>
      <c r="I473" s="27"/>
    </row>
    <row r="474" spans="1:9" ht="15.75" customHeight="1" x14ac:dyDescent="0.3">
      <c r="A474" s="5"/>
      <c r="B474" s="35"/>
      <c r="C474" s="4"/>
      <c r="I474" s="27"/>
    </row>
    <row r="475" spans="1:9" ht="15.75" customHeight="1" x14ac:dyDescent="0.3">
      <c r="A475" s="5"/>
      <c r="B475" s="35"/>
      <c r="C475" s="4"/>
      <c r="I475" s="27"/>
    </row>
    <row r="476" spans="1:9" ht="15.75" customHeight="1" x14ac:dyDescent="0.3">
      <c r="A476" s="5"/>
      <c r="B476" s="35"/>
      <c r="C476" s="4"/>
      <c r="I476" s="27"/>
    </row>
    <row r="477" spans="1:9" ht="15.75" customHeight="1" x14ac:dyDescent="0.3">
      <c r="A477" s="5"/>
      <c r="B477" s="35"/>
      <c r="C477" s="4"/>
      <c r="I477" s="27"/>
    </row>
    <row r="478" spans="1:9" ht="15.75" customHeight="1" x14ac:dyDescent="0.3">
      <c r="A478" s="5"/>
      <c r="B478" s="35"/>
      <c r="C478" s="4"/>
      <c r="I478" s="27"/>
    </row>
    <row r="479" spans="1:9" ht="15.75" customHeight="1" x14ac:dyDescent="0.3">
      <c r="A479" s="5"/>
      <c r="B479" s="35"/>
      <c r="C479" s="4"/>
      <c r="I479" s="27"/>
    </row>
    <row r="480" spans="1:9" ht="15.75" customHeight="1" x14ac:dyDescent="0.3">
      <c r="A480" s="5"/>
      <c r="B480" s="35"/>
      <c r="C480" s="4"/>
      <c r="I480" s="27"/>
    </row>
    <row r="481" spans="1:9" ht="15.75" customHeight="1" x14ac:dyDescent="0.3">
      <c r="A481" s="5"/>
      <c r="B481" s="35"/>
      <c r="C481" s="4"/>
      <c r="I481" s="27"/>
    </row>
    <row r="482" spans="1:9" ht="15.75" customHeight="1" x14ac:dyDescent="0.3">
      <c r="A482" s="5"/>
      <c r="B482" s="35"/>
      <c r="C482" s="4"/>
      <c r="I482" s="27"/>
    </row>
    <row r="483" spans="1:9" ht="15.75" customHeight="1" x14ac:dyDescent="0.3">
      <c r="A483" s="5"/>
      <c r="B483" s="35"/>
      <c r="C483" s="4"/>
      <c r="I483" s="27"/>
    </row>
    <row r="484" spans="1:9" ht="15.75" customHeight="1" x14ac:dyDescent="0.3">
      <c r="A484" s="5"/>
      <c r="B484" s="35"/>
      <c r="C484" s="4"/>
      <c r="I484" s="27"/>
    </row>
    <row r="485" spans="1:9" ht="15.75" customHeight="1" x14ac:dyDescent="0.3">
      <c r="A485" s="5"/>
      <c r="B485" s="35"/>
      <c r="C485" s="4"/>
      <c r="I485" s="27"/>
    </row>
    <row r="486" spans="1:9" ht="15.75" customHeight="1" x14ac:dyDescent="0.3">
      <c r="A486" s="5"/>
      <c r="B486" s="35"/>
      <c r="C486" s="4"/>
      <c r="I486" s="27"/>
    </row>
    <row r="487" spans="1:9" ht="15.75" customHeight="1" x14ac:dyDescent="0.3">
      <c r="A487" s="5"/>
      <c r="B487" s="35"/>
      <c r="C487" s="4"/>
      <c r="I487" s="27"/>
    </row>
    <row r="488" spans="1:9" ht="15.75" customHeight="1" x14ac:dyDescent="0.3">
      <c r="A488" s="5"/>
      <c r="B488" s="35"/>
      <c r="C488" s="4"/>
      <c r="I488" s="27"/>
    </row>
    <row r="489" spans="1:9" ht="15.75" customHeight="1" x14ac:dyDescent="0.3">
      <c r="A489" s="5"/>
      <c r="B489" s="35"/>
      <c r="C489" s="4"/>
      <c r="I489" s="27"/>
    </row>
    <row r="490" spans="1:9" ht="15.75" customHeight="1" x14ac:dyDescent="0.3">
      <c r="A490" s="5"/>
      <c r="B490" s="35"/>
      <c r="C490" s="4"/>
      <c r="I490" s="27"/>
    </row>
    <row r="491" spans="1:9" ht="15.75" customHeight="1" x14ac:dyDescent="0.3">
      <c r="A491" s="5"/>
      <c r="B491" s="35"/>
      <c r="C491" s="4"/>
      <c r="I491" s="27"/>
    </row>
    <row r="492" spans="1:9" ht="15.75" customHeight="1" x14ac:dyDescent="0.3">
      <c r="A492" s="5"/>
      <c r="B492" s="35"/>
      <c r="C492" s="4"/>
      <c r="I492" s="27"/>
    </row>
    <row r="493" spans="1:9" ht="15.75" customHeight="1" x14ac:dyDescent="0.3">
      <c r="A493" s="5"/>
      <c r="B493" s="35"/>
      <c r="C493" s="4"/>
      <c r="I493" s="27"/>
    </row>
    <row r="494" spans="1:9" ht="15.75" customHeight="1" x14ac:dyDescent="0.3">
      <c r="A494" s="5"/>
      <c r="B494" s="35"/>
      <c r="C494" s="4"/>
      <c r="I494" s="27"/>
    </row>
    <row r="495" spans="1:9" ht="15.75" customHeight="1" x14ac:dyDescent="0.3">
      <c r="A495" s="5"/>
      <c r="B495" s="35"/>
      <c r="C495" s="4"/>
      <c r="I495" s="27"/>
    </row>
    <row r="496" spans="1:9" ht="15.75" customHeight="1" x14ac:dyDescent="0.3">
      <c r="A496" s="5"/>
      <c r="B496" s="35"/>
      <c r="C496" s="4"/>
      <c r="I496" s="27"/>
    </row>
    <row r="497" spans="1:9" ht="15.75" customHeight="1" x14ac:dyDescent="0.3">
      <c r="A497" s="5"/>
      <c r="B497" s="35"/>
      <c r="C497" s="4"/>
      <c r="I497" s="27"/>
    </row>
    <row r="498" spans="1:9" ht="15.75" customHeight="1" x14ac:dyDescent="0.3">
      <c r="A498" s="5"/>
      <c r="B498" s="35"/>
      <c r="C498" s="4"/>
      <c r="I498" s="27"/>
    </row>
    <row r="499" spans="1:9" ht="15.75" customHeight="1" x14ac:dyDescent="0.3">
      <c r="A499" s="5"/>
      <c r="B499" s="35"/>
      <c r="C499" s="4"/>
      <c r="I499" s="27"/>
    </row>
    <row r="500" spans="1:9" ht="15.75" customHeight="1" x14ac:dyDescent="0.3">
      <c r="A500" s="5"/>
      <c r="B500" s="35"/>
      <c r="C500" s="4"/>
      <c r="I500" s="27"/>
    </row>
    <row r="501" spans="1:9" ht="15.75" customHeight="1" x14ac:dyDescent="0.3">
      <c r="A501" s="5"/>
      <c r="B501" s="35"/>
      <c r="C501" s="4"/>
      <c r="I501" s="27"/>
    </row>
    <row r="502" spans="1:9" ht="15.75" customHeight="1" x14ac:dyDescent="0.3">
      <c r="A502" s="5"/>
      <c r="B502" s="35"/>
      <c r="C502" s="4"/>
      <c r="I502" s="27"/>
    </row>
    <row r="503" spans="1:9" ht="15.75" customHeight="1" x14ac:dyDescent="0.3">
      <c r="A503" s="5"/>
      <c r="B503" s="35"/>
      <c r="C503" s="4"/>
      <c r="I503" s="27"/>
    </row>
    <row r="504" spans="1:9" ht="15.75" customHeight="1" x14ac:dyDescent="0.3">
      <c r="A504" s="5"/>
      <c r="B504" s="35"/>
      <c r="C504" s="4"/>
      <c r="I504" s="27"/>
    </row>
    <row r="505" spans="1:9" ht="15.75" customHeight="1" x14ac:dyDescent="0.3">
      <c r="A505" s="5"/>
      <c r="B505" s="35"/>
      <c r="C505" s="4"/>
      <c r="I505" s="27"/>
    </row>
    <row r="506" spans="1:9" ht="15.75" customHeight="1" x14ac:dyDescent="0.3">
      <c r="A506" s="5"/>
      <c r="B506" s="35"/>
      <c r="C506" s="4"/>
      <c r="I506" s="27"/>
    </row>
    <row r="507" spans="1:9" ht="15.75" customHeight="1" x14ac:dyDescent="0.3">
      <c r="A507" s="5"/>
      <c r="B507" s="35"/>
      <c r="C507" s="4"/>
      <c r="I507" s="27"/>
    </row>
    <row r="508" spans="1:9" ht="15.75" customHeight="1" x14ac:dyDescent="0.3">
      <c r="A508" s="5"/>
      <c r="B508" s="35"/>
      <c r="C508" s="4"/>
      <c r="I508" s="27"/>
    </row>
    <row r="509" spans="1:9" ht="15.75" customHeight="1" x14ac:dyDescent="0.3">
      <c r="A509" s="5"/>
      <c r="B509" s="35"/>
      <c r="C509" s="4"/>
      <c r="I509" s="27"/>
    </row>
    <row r="510" spans="1:9" ht="15.75" customHeight="1" x14ac:dyDescent="0.3">
      <c r="A510" s="5"/>
      <c r="B510" s="35"/>
      <c r="C510" s="4"/>
      <c r="I510" s="27"/>
    </row>
    <row r="511" spans="1:9" ht="15.75" customHeight="1" x14ac:dyDescent="0.3">
      <c r="A511" s="5"/>
      <c r="B511" s="35"/>
      <c r="C511" s="4"/>
      <c r="I511" s="27"/>
    </row>
    <row r="512" spans="1:9" ht="15.75" customHeight="1" x14ac:dyDescent="0.3">
      <c r="A512" s="5"/>
      <c r="B512" s="35"/>
      <c r="C512" s="4"/>
      <c r="I512" s="27"/>
    </row>
    <row r="513" spans="1:9" ht="15.75" customHeight="1" x14ac:dyDescent="0.3">
      <c r="A513" s="5"/>
      <c r="B513" s="35"/>
      <c r="C513" s="4"/>
      <c r="I513" s="27"/>
    </row>
    <row r="514" spans="1:9" ht="15.75" customHeight="1" x14ac:dyDescent="0.3">
      <c r="A514" s="5"/>
      <c r="B514" s="35"/>
      <c r="C514" s="4"/>
      <c r="I514" s="27"/>
    </row>
    <row r="515" spans="1:9" ht="15.75" customHeight="1" x14ac:dyDescent="0.3">
      <c r="A515" s="5"/>
      <c r="B515" s="35"/>
      <c r="C515" s="4"/>
      <c r="I515" s="27"/>
    </row>
    <row r="516" spans="1:9" ht="15.75" customHeight="1" x14ac:dyDescent="0.3">
      <c r="A516" s="5"/>
      <c r="B516" s="35"/>
      <c r="C516" s="4"/>
      <c r="I516" s="27"/>
    </row>
    <row r="517" spans="1:9" ht="15.75" customHeight="1" x14ac:dyDescent="0.3">
      <c r="A517" s="5"/>
      <c r="B517" s="35"/>
      <c r="C517" s="4"/>
      <c r="I517" s="27"/>
    </row>
    <row r="518" spans="1:9" ht="15.75" customHeight="1" x14ac:dyDescent="0.3">
      <c r="A518" s="5"/>
      <c r="B518" s="35"/>
      <c r="C518" s="4"/>
      <c r="I518" s="27"/>
    </row>
    <row r="519" spans="1:9" ht="15.75" customHeight="1" x14ac:dyDescent="0.3">
      <c r="A519" s="5"/>
      <c r="B519" s="35"/>
      <c r="C519" s="4"/>
      <c r="I519" s="27"/>
    </row>
    <row r="520" spans="1:9" ht="15.75" customHeight="1" x14ac:dyDescent="0.3">
      <c r="A520" s="5"/>
      <c r="B520" s="35"/>
      <c r="C520" s="4"/>
      <c r="I520" s="27"/>
    </row>
    <row r="521" spans="1:9" ht="15.75" customHeight="1" x14ac:dyDescent="0.3">
      <c r="A521" s="5"/>
      <c r="B521" s="35"/>
      <c r="C521" s="4"/>
      <c r="I521" s="27"/>
    </row>
    <row r="522" spans="1:9" ht="15.75" customHeight="1" x14ac:dyDescent="0.3">
      <c r="A522" s="5"/>
      <c r="B522" s="35"/>
      <c r="C522" s="4"/>
      <c r="I522" s="27"/>
    </row>
    <row r="523" spans="1:9" ht="15.75" customHeight="1" x14ac:dyDescent="0.3">
      <c r="A523" s="5"/>
      <c r="B523" s="35"/>
      <c r="C523" s="4"/>
      <c r="I523" s="27"/>
    </row>
    <row r="524" spans="1:9" ht="15.75" customHeight="1" x14ac:dyDescent="0.3">
      <c r="A524" s="5"/>
      <c r="B524" s="35"/>
      <c r="C524" s="4"/>
      <c r="I524" s="27"/>
    </row>
    <row r="525" spans="1:9" ht="15.75" customHeight="1" x14ac:dyDescent="0.3">
      <c r="A525" s="5"/>
      <c r="B525" s="35"/>
      <c r="C525" s="4"/>
      <c r="I525" s="27"/>
    </row>
    <row r="526" spans="1:9" ht="15.75" customHeight="1" x14ac:dyDescent="0.3">
      <c r="A526" s="5"/>
      <c r="B526" s="35"/>
      <c r="C526" s="4"/>
      <c r="I526" s="27"/>
    </row>
    <row r="527" spans="1:9" ht="15.75" customHeight="1" x14ac:dyDescent="0.3">
      <c r="A527" s="5"/>
      <c r="B527" s="35"/>
      <c r="C527" s="4"/>
      <c r="I527" s="27"/>
    </row>
    <row r="528" spans="1:9" ht="15.75" customHeight="1" x14ac:dyDescent="0.3">
      <c r="A528" s="5"/>
      <c r="B528" s="35"/>
      <c r="C528" s="4"/>
      <c r="I528" s="27"/>
    </row>
    <row r="529" spans="1:9" ht="15.75" customHeight="1" x14ac:dyDescent="0.3">
      <c r="A529" s="5"/>
      <c r="B529" s="35"/>
      <c r="C529" s="4"/>
      <c r="I529" s="27"/>
    </row>
    <row r="530" spans="1:9" ht="15.75" customHeight="1" x14ac:dyDescent="0.3">
      <c r="A530" s="5"/>
      <c r="B530" s="35"/>
      <c r="C530" s="4"/>
      <c r="I530" s="27"/>
    </row>
    <row r="531" spans="1:9" ht="15.75" customHeight="1" x14ac:dyDescent="0.3">
      <c r="A531" s="5"/>
      <c r="B531" s="35"/>
      <c r="C531" s="4"/>
      <c r="I531" s="27"/>
    </row>
    <row r="532" spans="1:9" ht="15.75" customHeight="1" x14ac:dyDescent="0.3">
      <c r="A532" s="5"/>
      <c r="B532" s="35"/>
      <c r="C532" s="4"/>
      <c r="I532" s="27"/>
    </row>
    <row r="533" spans="1:9" ht="15.75" customHeight="1" x14ac:dyDescent="0.3">
      <c r="A533" s="5"/>
      <c r="B533" s="35"/>
      <c r="C533" s="4"/>
      <c r="I533" s="27"/>
    </row>
    <row r="534" spans="1:9" ht="15.75" customHeight="1" x14ac:dyDescent="0.3">
      <c r="A534" s="5"/>
      <c r="B534" s="35"/>
      <c r="C534" s="4"/>
      <c r="I534" s="27"/>
    </row>
    <row r="535" spans="1:9" ht="15.75" customHeight="1" x14ac:dyDescent="0.3">
      <c r="A535" s="5"/>
      <c r="B535" s="35"/>
      <c r="C535" s="4"/>
      <c r="I535" s="27"/>
    </row>
    <row r="536" spans="1:9" ht="15.75" customHeight="1" x14ac:dyDescent="0.3">
      <c r="A536" s="5"/>
      <c r="B536" s="35"/>
      <c r="C536" s="4"/>
      <c r="I536" s="27"/>
    </row>
    <row r="537" spans="1:9" ht="15.75" customHeight="1" x14ac:dyDescent="0.3">
      <c r="A537" s="5"/>
      <c r="B537" s="35"/>
      <c r="C537" s="4"/>
      <c r="I537" s="27"/>
    </row>
    <row r="538" spans="1:9" ht="15.75" customHeight="1" x14ac:dyDescent="0.3">
      <c r="A538" s="5"/>
      <c r="B538" s="35"/>
      <c r="C538" s="4"/>
      <c r="I538" s="27"/>
    </row>
    <row r="539" spans="1:9" ht="15.75" customHeight="1" x14ac:dyDescent="0.3">
      <c r="A539" s="5"/>
      <c r="B539" s="35"/>
      <c r="C539" s="4"/>
      <c r="I539" s="27"/>
    </row>
    <row r="540" spans="1:9" ht="15.75" customHeight="1" x14ac:dyDescent="0.3">
      <c r="A540" s="5"/>
      <c r="B540" s="35"/>
      <c r="C540" s="4"/>
      <c r="I540" s="27"/>
    </row>
    <row r="541" spans="1:9" ht="15.75" customHeight="1" x14ac:dyDescent="0.3">
      <c r="A541" s="5"/>
      <c r="B541" s="35"/>
      <c r="C541" s="4"/>
      <c r="I541" s="27"/>
    </row>
    <row r="542" spans="1:9" ht="15.75" customHeight="1" x14ac:dyDescent="0.3">
      <c r="A542" s="5"/>
      <c r="B542" s="35"/>
      <c r="C542" s="4"/>
      <c r="I542" s="27"/>
    </row>
    <row r="543" spans="1:9" ht="15.75" customHeight="1" x14ac:dyDescent="0.3">
      <c r="A543" s="5"/>
      <c r="B543" s="35"/>
      <c r="C543" s="4"/>
      <c r="I543" s="27"/>
    </row>
    <row r="544" spans="1:9" ht="15.75" customHeight="1" x14ac:dyDescent="0.3">
      <c r="A544" s="5"/>
      <c r="B544" s="35"/>
      <c r="C544" s="4"/>
      <c r="I544" s="27"/>
    </row>
    <row r="545" spans="1:9" ht="15.75" customHeight="1" x14ac:dyDescent="0.3">
      <c r="A545" s="5"/>
      <c r="B545" s="35"/>
      <c r="C545" s="4"/>
      <c r="I545" s="27"/>
    </row>
    <row r="546" spans="1:9" ht="15.75" customHeight="1" x14ac:dyDescent="0.3">
      <c r="A546" s="5"/>
      <c r="B546" s="35"/>
      <c r="C546" s="4"/>
      <c r="I546" s="27"/>
    </row>
    <row r="547" spans="1:9" ht="15.75" customHeight="1" x14ac:dyDescent="0.3">
      <c r="A547" s="5"/>
      <c r="B547" s="35"/>
      <c r="C547" s="4"/>
      <c r="I547" s="27"/>
    </row>
    <row r="548" spans="1:9" ht="15.75" customHeight="1" x14ac:dyDescent="0.3">
      <c r="A548" s="5"/>
      <c r="B548" s="35"/>
      <c r="C548" s="4"/>
      <c r="I548" s="27"/>
    </row>
    <row r="549" spans="1:9" ht="15.75" customHeight="1" x14ac:dyDescent="0.3">
      <c r="A549" s="5"/>
      <c r="B549" s="35"/>
      <c r="C549" s="4"/>
      <c r="I549" s="27"/>
    </row>
    <row r="550" spans="1:9" ht="15.75" customHeight="1" x14ac:dyDescent="0.3">
      <c r="A550" s="5"/>
      <c r="B550" s="35"/>
      <c r="C550" s="4"/>
      <c r="I550" s="27"/>
    </row>
    <row r="551" spans="1:9" ht="15.75" customHeight="1" x14ac:dyDescent="0.3">
      <c r="A551" s="5"/>
      <c r="B551" s="35"/>
      <c r="C551" s="4"/>
      <c r="I551" s="27"/>
    </row>
    <row r="552" spans="1:9" ht="15.75" customHeight="1" x14ac:dyDescent="0.3">
      <c r="A552" s="5"/>
      <c r="B552" s="35"/>
      <c r="C552" s="4"/>
      <c r="I552" s="27"/>
    </row>
    <row r="553" spans="1:9" ht="15.75" customHeight="1" x14ac:dyDescent="0.3">
      <c r="A553" s="5"/>
      <c r="B553" s="35"/>
      <c r="C553" s="4"/>
      <c r="I553" s="27"/>
    </row>
    <row r="554" spans="1:9" ht="15.75" customHeight="1" x14ac:dyDescent="0.3">
      <c r="A554" s="5"/>
      <c r="B554" s="35"/>
      <c r="C554" s="4"/>
      <c r="I554" s="27"/>
    </row>
    <row r="555" spans="1:9" ht="15.75" customHeight="1" x14ac:dyDescent="0.3">
      <c r="A555" s="5"/>
      <c r="B555" s="35"/>
      <c r="C555" s="4"/>
      <c r="I555" s="27"/>
    </row>
    <row r="556" spans="1:9" ht="15.75" customHeight="1" x14ac:dyDescent="0.3">
      <c r="A556" s="5"/>
      <c r="B556" s="35"/>
      <c r="C556" s="4"/>
      <c r="I556" s="27"/>
    </row>
    <row r="557" spans="1:9" ht="15.75" customHeight="1" x14ac:dyDescent="0.3">
      <c r="A557" s="5"/>
      <c r="B557" s="35"/>
      <c r="C557" s="4"/>
      <c r="I557" s="27"/>
    </row>
    <row r="558" spans="1:9" ht="15.75" customHeight="1" x14ac:dyDescent="0.3">
      <c r="A558" s="5"/>
      <c r="B558" s="35"/>
      <c r="C558" s="4"/>
      <c r="I558" s="27"/>
    </row>
    <row r="559" spans="1:9" ht="15.75" customHeight="1" x14ac:dyDescent="0.3">
      <c r="A559" s="5"/>
      <c r="B559" s="35"/>
      <c r="C559" s="4"/>
      <c r="I559" s="27"/>
    </row>
    <row r="560" spans="1:9" ht="15.75" customHeight="1" x14ac:dyDescent="0.3">
      <c r="A560" s="5"/>
      <c r="B560" s="35"/>
      <c r="C560" s="4"/>
      <c r="I560" s="27"/>
    </row>
    <row r="561" spans="1:9" ht="15.75" customHeight="1" x14ac:dyDescent="0.3">
      <c r="A561" s="5"/>
      <c r="B561" s="35"/>
      <c r="C561" s="4"/>
      <c r="I561" s="27"/>
    </row>
    <row r="562" spans="1:9" ht="15.75" customHeight="1" x14ac:dyDescent="0.3">
      <c r="A562" s="5"/>
      <c r="B562" s="35"/>
      <c r="C562" s="4"/>
      <c r="I562" s="27"/>
    </row>
    <row r="563" spans="1:9" ht="15.75" customHeight="1" x14ac:dyDescent="0.3">
      <c r="A563" s="5"/>
      <c r="B563" s="35"/>
      <c r="C563" s="4"/>
      <c r="I563" s="27"/>
    </row>
    <row r="564" spans="1:9" ht="15.75" customHeight="1" x14ac:dyDescent="0.3">
      <c r="A564" s="5"/>
      <c r="B564" s="35"/>
      <c r="C564" s="4"/>
      <c r="I564" s="27"/>
    </row>
    <row r="565" spans="1:9" ht="15.75" customHeight="1" x14ac:dyDescent="0.3">
      <c r="A565" s="5"/>
      <c r="B565" s="35"/>
      <c r="C565" s="4"/>
      <c r="I565" s="27"/>
    </row>
    <row r="566" spans="1:9" ht="15.75" customHeight="1" x14ac:dyDescent="0.3">
      <c r="A566" s="5"/>
      <c r="B566" s="35"/>
      <c r="C566" s="4"/>
      <c r="I566" s="27"/>
    </row>
    <row r="567" spans="1:9" ht="15.75" customHeight="1" x14ac:dyDescent="0.3">
      <c r="A567" s="5"/>
      <c r="B567" s="35"/>
      <c r="C567" s="4"/>
      <c r="I567" s="27"/>
    </row>
    <row r="568" spans="1:9" ht="15.75" customHeight="1" x14ac:dyDescent="0.3">
      <c r="A568" s="5"/>
      <c r="B568" s="35"/>
      <c r="C568" s="4"/>
      <c r="I568" s="27"/>
    </row>
    <row r="569" spans="1:9" ht="15.75" customHeight="1" x14ac:dyDescent="0.3">
      <c r="A569" s="5"/>
      <c r="B569" s="35"/>
      <c r="C569" s="4"/>
      <c r="I569" s="27"/>
    </row>
    <row r="570" spans="1:9" ht="15.75" customHeight="1" x14ac:dyDescent="0.3">
      <c r="A570" s="5"/>
      <c r="B570" s="35"/>
      <c r="C570" s="4"/>
      <c r="I570" s="27"/>
    </row>
    <row r="571" spans="1:9" ht="15.75" customHeight="1" x14ac:dyDescent="0.3">
      <c r="A571" s="5"/>
      <c r="B571" s="35"/>
      <c r="C571" s="4"/>
      <c r="I571" s="27"/>
    </row>
    <row r="572" spans="1:9" ht="15.75" customHeight="1" x14ac:dyDescent="0.3">
      <c r="A572" s="5"/>
      <c r="B572" s="35"/>
      <c r="C572" s="4"/>
      <c r="I572" s="27"/>
    </row>
    <row r="573" spans="1:9" ht="15.75" customHeight="1" x14ac:dyDescent="0.3">
      <c r="A573" s="5"/>
      <c r="B573" s="35"/>
      <c r="C573" s="4"/>
      <c r="I573" s="27"/>
    </row>
    <row r="574" spans="1:9" ht="15.75" customHeight="1" x14ac:dyDescent="0.3">
      <c r="A574" s="5"/>
      <c r="B574" s="35"/>
      <c r="C574" s="4"/>
      <c r="I574" s="27"/>
    </row>
    <row r="575" spans="1:9" ht="15.75" customHeight="1" x14ac:dyDescent="0.3">
      <c r="A575" s="5"/>
      <c r="B575" s="35"/>
      <c r="C575" s="4"/>
      <c r="I575" s="27"/>
    </row>
    <row r="576" spans="1:9" ht="15.75" customHeight="1" x14ac:dyDescent="0.3">
      <c r="A576" s="5"/>
      <c r="B576" s="35"/>
      <c r="C576" s="4"/>
      <c r="I576" s="27"/>
    </row>
    <row r="577" spans="1:9" ht="15.75" customHeight="1" x14ac:dyDescent="0.3">
      <c r="A577" s="5"/>
      <c r="B577" s="35"/>
      <c r="C577" s="4"/>
      <c r="I577" s="27"/>
    </row>
    <row r="578" spans="1:9" ht="15.75" customHeight="1" x14ac:dyDescent="0.3">
      <c r="A578" s="5"/>
      <c r="B578" s="35"/>
      <c r="C578" s="4"/>
      <c r="I578" s="27"/>
    </row>
    <row r="579" spans="1:9" ht="15.75" customHeight="1" x14ac:dyDescent="0.3">
      <c r="A579" s="5"/>
      <c r="B579" s="35"/>
      <c r="C579" s="4"/>
      <c r="I579" s="27"/>
    </row>
    <row r="580" spans="1:9" ht="15.75" customHeight="1" x14ac:dyDescent="0.3">
      <c r="A580" s="5"/>
      <c r="B580" s="35"/>
      <c r="C580" s="4"/>
      <c r="I580" s="27"/>
    </row>
    <row r="581" spans="1:9" ht="15.75" customHeight="1" x14ac:dyDescent="0.3">
      <c r="A581" s="5"/>
      <c r="B581" s="35"/>
      <c r="C581" s="4"/>
      <c r="I581" s="27"/>
    </row>
    <row r="582" spans="1:9" ht="15.75" customHeight="1" x14ac:dyDescent="0.3">
      <c r="A582" s="5"/>
      <c r="B582" s="35"/>
      <c r="C582" s="4"/>
      <c r="I582" s="27"/>
    </row>
    <row r="583" spans="1:9" ht="15.75" customHeight="1" x14ac:dyDescent="0.3">
      <c r="A583" s="5"/>
      <c r="B583" s="35"/>
      <c r="C583" s="4"/>
      <c r="I583" s="27"/>
    </row>
    <row r="584" spans="1:9" ht="15.75" customHeight="1" x14ac:dyDescent="0.3">
      <c r="A584" s="5"/>
      <c r="B584" s="35"/>
      <c r="C584" s="4"/>
      <c r="I584" s="27"/>
    </row>
    <row r="585" spans="1:9" ht="15.75" customHeight="1" x14ac:dyDescent="0.3">
      <c r="A585" s="5"/>
      <c r="B585" s="35"/>
      <c r="C585" s="4"/>
      <c r="I585" s="27"/>
    </row>
    <row r="586" spans="1:9" ht="15.75" customHeight="1" x14ac:dyDescent="0.3">
      <c r="A586" s="5"/>
      <c r="B586" s="35"/>
      <c r="C586" s="4"/>
      <c r="I586" s="27"/>
    </row>
    <row r="587" spans="1:9" ht="15.75" customHeight="1" x14ac:dyDescent="0.3">
      <c r="A587" s="5"/>
      <c r="B587" s="35"/>
      <c r="C587" s="4"/>
      <c r="I587" s="27"/>
    </row>
    <row r="588" spans="1:9" ht="15.75" customHeight="1" x14ac:dyDescent="0.3">
      <c r="A588" s="5"/>
      <c r="B588" s="35"/>
      <c r="C588" s="4"/>
      <c r="I588" s="27"/>
    </row>
    <row r="589" spans="1:9" ht="15.75" customHeight="1" x14ac:dyDescent="0.3">
      <c r="A589" s="5"/>
      <c r="B589" s="35"/>
      <c r="C589" s="4"/>
      <c r="I589" s="27"/>
    </row>
    <row r="590" spans="1:9" ht="15.75" customHeight="1" x14ac:dyDescent="0.3">
      <c r="A590" s="5"/>
      <c r="B590" s="35"/>
      <c r="C590" s="4"/>
      <c r="I590" s="27"/>
    </row>
    <row r="591" spans="1:9" ht="15.75" customHeight="1" x14ac:dyDescent="0.3">
      <c r="A591" s="5"/>
      <c r="B591" s="35"/>
      <c r="C591" s="4"/>
      <c r="I591" s="27"/>
    </row>
    <row r="592" spans="1:9" ht="15.75" customHeight="1" x14ac:dyDescent="0.3">
      <c r="A592" s="5"/>
      <c r="B592" s="35"/>
      <c r="C592" s="4"/>
      <c r="I592" s="27"/>
    </row>
    <row r="593" spans="1:9" ht="15.75" customHeight="1" x14ac:dyDescent="0.3">
      <c r="A593" s="5"/>
      <c r="B593" s="35"/>
      <c r="C593" s="4"/>
      <c r="I593" s="27"/>
    </row>
    <row r="594" spans="1:9" ht="15.75" customHeight="1" x14ac:dyDescent="0.3">
      <c r="A594" s="5"/>
      <c r="B594" s="35"/>
      <c r="C594" s="4"/>
      <c r="I594" s="27"/>
    </row>
    <row r="595" spans="1:9" ht="15.75" customHeight="1" x14ac:dyDescent="0.3">
      <c r="A595" s="5"/>
      <c r="B595" s="35"/>
      <c r="C595" s="4"/>
      <c r="I595" s="27"/>
    </row>
    <row r="596" spans="1:9" ht="15.75" customHeight="1" x14ac:dyDescent="0.3">
      <c r="A596" s="5"/>
      <c r="B596" s="35"/>
      <c r="C596" s="4"/>
      <c r="I596" s="27"/>
    </row>
    <row r="597" spans="1:9" ht="15.75" customHeight="1" x14ac:dyDescent="0.3">
      <c r="A597" s="5"/>
      <c r="B597" s="35"/>
      <c r="C597" s="4"/>
      <c r="I597" s="27"/>
    </row>
    <row r="598" spans="1:9" ht="15.75" customHeight="1" x14ac:dyDescent="0.3">
      <c r="A598" s="5"/>
      <c r="B598" s="35"/>
      <c r="C598" s="4"/>
      <c r="I598" s="27"/>
    </row>
    <row r="599" spans="1:9" ht="15.75" customHeight="1" x14ac:dyDescent="0.3">
      <c r="A599" s="5"/>
      <c r="B599" s="35"/>
      <c r="C599" s="4"/>
      <c r="I599" s="27"/>
    </row>
    <row r="600" spans="1:9" ht="15.75" customHeight="1" x14ac:dyDescent="0.3">
      <c r="A600" s="5"/>
      <c r="B600" s="35"/>
      <c r="C600" s="4"/>
      <c r="I600" s="27"/>
    </row>
    <row r="601" spans="1:9" ht="15.75" customHeight="1" x14ac:dyDescent="0.3">
      <c r="A601" s="5"/>
      <c r="B601" s="35"/>
      <c r="C601" s="4"/>
      <c r="I601" s="27"/>
    </row>
    <row r="602" spans="1:9" ht="15.75" customHeight="1" x14ac:dyDescent="0.3">
      <c r="A602" s="5"/>
      <c r="B602" s="35"/>
      <c r="C602" s="4"/>
      <c r="I602" s="27"/>
    </row>
    <row r="603" spans="1:9" ht="15.75" customHeight="1" x14ac:dyDescent="0.3">
      <c r="A603" s="5"/>
      <c r="B603" s="35"/>
      <c r="C603" s="4"/>
      <c r="I603" s="27"/>
    </row>
    <row r="604" spans="1:9" ht="15.75" customHeight="1" x14ac:dyDescent="0.3">
      <c r="A604" s="5"/>
      <c r="B604" s="35"/>
      <c r="C604" s="4"/>
      <c r="I604" s="27"/>
    </row>
    <row r="605" spans="1:9" ht="15.75" customHeight="1" x14ac:dyDescent="0.3">
      <c r="A605" s="5"/>
      <c r="B605" s="35"/>
      <c r="C605" s="4"/>
      <c r="I605" s="27"/>
    </row>
    <row r="606" spans="1:9" ht="15.75" customHeight="1" x14ac:dyDescent="0.3">
      <c r="A606" s="5"/>
      <c r="B606" s="35"/>
      <c r="C606" s="4"/>
      <c r="I606" s="27"/>
    </row>
    <row r="607" spans="1:9" ht="15.75" customHeight="1" x14ac:dyDescent="0.3">
      <c r="A607" s="5"/>
      <c r="B607" s="35"/>
      <c r="C607" s="4"/>
      <c r="I607" s="27"/>
    </row>
    <row r="608" spans="1:9" ht="15.75" customHeight="1" x14ac:dyDescent="0.3">
      <c r="A608" s="5"/>
      <c r="B608" s="35"/>
      <c r="C608" s="4"/>
      <c r="I608" s="27"/>
    </row>
    <row r="609" spans="1:9" ht="15.75" customHeight="1" x14ac:dyDescent="0.3">
      <c r="A609" s="5"/>
      <c r="B609" s="35"/>
      <c r="C609" s="4"/>
      <c r="I609" s="27"/>
    </row>
    <row r="610" spans="1:9" ht="15.75" customHeight="1" x14ac:dyDescent="0.3">
      <c r="A610" s="5"/>
      <c r="B610" s="35"/>
      <c r="C610" s="4"/>
      <c r="I610" s="27"/>
    </row>
    <row r="611" spans="1:9" ht="15.75" customHeight="1" x14ac:dyDescent="0.3">
      <c r="A611" s="5"/>
      <c r="B611" s="35"/>
      <c r="C611" s="4"/>
      <c r="I611" s="27"/>
    </row>
    <row r="612" spans="1:9" ht="15.75" customHeight="1" x14ac:dyDescent="0.3">
      <c r="A612" s="5"/>
      <c r="B612" s="35"/>
      <c r="C612" s="4"/>
      <c r="I612" s="27"/>
    </row>
    <row r="613" spans="1:9" ht="15.75" customHeight="1" x14ac:dyDescent="0.3">
      <c r="A613" s="5"/>
      <c r="B613" s="35"/>
      <c r="C613" s="4"/>
      <c r="I613" s="27"/>
    </row>
    <row r="614" spans="1:9" ht="15.75" customHeight="1" x14ac:dyDescent="0.3">
      <c r="A614" s="5"/>
      <c r="B614" s="35"/>
      <c r="C614" s="4"/>
      <c r="I614" s="27"/>
    </row>
    <row r="615" spans="1:9" ht="15.75" customHeight="1" x14ac:dyDescent="0.3">
      <c r="A615" s="5"/>
      <c r="B615" s="35"/>
      <c r="C615" s="4"/>
      <c r="I615" s="27"/>
    </row>
    <row r="616" spans="1:9" ht="15.75" customHeight="1" x14ac:dyDescent="0.3">
      <c r="A616" s="5"/>
      <c r="B616" s="35"/>
      <c r="C616" s="4"/>
      <c r="I616" s="27"/>
    </row>
    <row r="617" spans="1:9" ht="15.75" customHeight="1" x14ac:dyDescent="0.3">
      <c r="A617" s="5"/>
      <c r="B617" s="35"/>
      <c r="C617" s="4"/>
      <c r="I617" s="27"/>
    </row>
    <row r="618" spans="1:9" ht="15.75" customHeight="1" x14ac:dyDescent="0.3">
      <c r="A618" s="5"/>
      <c r="B618" s="35"/>
      <c r="C618" s="4"/>
      <c r="I618" s="27"/>
    </row>
    <row r="619" spans="1:9" ht="15.75" customHeight="1" x14ac:dyDescent="0.3">
      <c r="A619" s="5"/>
      <c r="B619" s="35"/>
      <c r="C619" s="4"/>
      <c r="I619" s="27"/>
    </row>
    <row r="620" spans="1:9" ht="15.75" customHeight="1" x14ac:dyDescent="0.3">
      <c r="A620" s="5"/>
      <c r="B620" s="35"/>
      <c r="C620" s="4"/>
      <c r="I620" s="27"/>
    </row>
    <row r="621" spans="1:9" ht="15.75" customHeight="1" x14ac:dyDescent="0.3">
      <c r="A621" s="5"/>
      <c r="B621" s="35"/>
      <c r="C621" s="4"/>
      <c r="I621" s="27"/>
    </row>
    <row r="622" spans="1:9" ht="15.75" customHeight="1" x14ac:dyDescent="0.3">
      <c r="A622" s="5"/>
      <c r="B622" s="35"/>
      <c r="C622" s="4"/>
      <c r="I622" s="27"/>
    </row>
    <row r="623" spans="1:9" ht="15.75" customHeight="1" x14ac:dyDescent="0.3">
      <c r="A623" s="5"/>
      <c r="B623" s="35"/>
      <c r="C623" s="4"/>
      <c r="I623" s="27"/>
    </row>
    <row r="624" spans="1:9" ht="15.75" customHeight="1" x14ac:dyDescent="0.3">
      <c r="A624" s="5"/>
      <c r="B624" s="35"/>
      <c r="C624" s="4"/>
      <c r="I624" s="27"/>
    </row>
    <row r="625" spans="1:9" ht="15.75" customHeight="1" x14ac:dyDescent="0.3">
      <c r="A625" s="5"/>
      <c r="B625" s="35"/>
      <c r="C625" s="4"/>
      <c r="I625" s="27"/>
    </row>
    <row r="626" spans="1:9" ht="15.75" customHeight="1" x14ac:dyDescent="0.3">
      <c r="A626" s="5"/>
      <c r="B626" s="35"/>
      <c r="C626" s="4"/>
      <c r="I626" s="27"/>
    </row>
    <row r="627" spans="1:9" ht="15.75" customHeight="1" x14ac:dyDescent="0.3">
      <c r="A627" s="5"/>
      <c r="B627" s="35"/>
      <c r="C627" s="4"/>
      <c r="I627" s="27"/>
    </row>
    <row r="628" spans="1:9" ht="15.75" customHeight="1" x14ac:dyDescent="0.3">
      <c r="A628" s="5"/>
      <c r="B628" s="35"/>
      <c r="C628" s="4"/>
      <c r="I628" s="27"/>
    </row>
    <row r="629" spans="1:9" ht="15.75" customHeight="1" x14ac:dyDescent="0.3">
      <c r="A629" s="5"/>
      <c r="B629" s="35"/>
      <c r="C629" s="4"/>
      <c r="I629" s="27"/>
    </row>
    <row r="630" spans="1:9" ht="15.75" customHeight="1" x14ac:dyDescent="0.3">
      <c r="A630" s="5"/>
      <c r="B630" s="35"/>
      <c r="C630" s="4"/>
      <c r="I630" s="27"/>
    </row>
    <row r="631" spans="1:9" ht="15.75" customHeight="1" x14ac:dyDescent="0.3">
      <c r="A631" s="5"/>
      <c r="B631" s="35"/>
      <c r="C631" s="4"/>
      <c r="I631" s="27"/>
    </row>
    <row r="632" spans="1:9" ht="15.75" customHeight="1" x14ac:dyDescent="0.3">
      <c r="A632" s="5"/>
      <c r="B632" s="35"/>
      <c r="C632" s="4"/>
      <c r="I632" s="27"/>
    </row>
    <row r="633" spans="1:9" ht="15.75" customHeight="1" x14ac:dyDescent="0.3">
      <c r="A633" s="5"/>
      <c r="B633" s="35"/>
      <c r="C633" s="4"/>
      <c r="I633" s="27"/>
    </row>
    <row r="634" spans="1:9" ht="15.75" customHeight="1" x14ac:dyDescent="0.3">
      <c r="A634" s="5"/>
      <c r="B634" s="35"/>
      <c r="C634" s="4"/>
      <c r="I634" s="27"/>
    </row>
    <row r="635" spans="1:9" ht="15.75" customHeight="1" x14ac:dyDescent="0.3">
      <c r="A635" s="5"/>
      <c r="B635" s="35"/>
      <c r="C635" s="4"/>
      <c r="I635" s="27"/>
    </row>
    <row r="636" spans="1:9" ht="15.75" customHeight="1" x14ac:dyDescent="0.3">
      <c r="A636" s="5"/>
      <c r="B636" s="35"/>
      <c r="C636" s="4"/>
      <c r="I636" s="27"/>
    </row>
    <row r="637" spans="1:9" ht="15.75" customHeight="1" x14ac:dyDescent="0.3">
      <c r="A637" s="5"/>
      <c r="B637" s="35"/>
      <c r="C637" s="4"/>
      <c r="I637" s="27"/>
    </row>
    <row r="638" spans="1:9" ht="15.75" customHeight="1" x14ac:dyDescent="0.3">
      <c r="A638" s="5"/>
      <c r="B638" s="35"/>
      <c r="C638" s="4"/>
      <c r="I638" s="27"/>
    </row>
    <row r="639" spans="1:9" ht="15.75" customHeight="1" x14ac:dyDescent="0.3">
      <c r="A639" s="5"/>
      <c r="B639" s="35"/>
      <c r="C639" s="4"/>
      <c r="I639" s="27"/>
    </row>
    <row r="640" spans="1:9" ht="15.75" customHeight="1" x14ac:dyDescent="0.3">
      <c r="A640" s="5"/>
      <c r="B640" s="35"/>
      <c r="C640" s="4"/>
      <c r="I640" s="27"/>
    </row>
    <row r="641" spans="1:9" ht="15.75" customHeight="1" x14ac:dyDescent="0.3">
      <c r="A641" s="5"/>
      <c r="B641" s="35"/>
      <c r="C641" s="4"/>
      <c r="I641" s="27"/>
    </row>
    <row r="642" spans="1:9" ht="15.75" customHeight="1" x14ac:dyDescent="0.3">
      <c r="A642" s="5"/>
      <c r="B642" s="35"/>
      <c r="C642" s="4"/>
      <c r="I642" s="27"/>
    </row>
    <row r="643" spans="1:9" ht="15.75" customHeight="1" x14ac:dyDescent="0.3">
      <c r="A643" s="5"/>
      <c r="B643" s="35"/>
      <c r="C643" s="4"/>
      <c r="I643" s="27"/>
    </row>
    <row r="644" spans="1:9" ht="15.75" customHeight="1" x14ac:dyDescent="0.3">
      <c r="A644" s="5"/>
      <c r="B644" s="35"/>
      <c r="C644" s="4"/>
      <c r="I644" s="27"/>
    </row>
    <row r="645" spans="1:9" ht="15.75" customHeight="1" x14ac:dyDescent="0.3">
      <c r="A645" s="5"/>
      <c r="B645" s="35"/>
      <c r="C645" s="4"/>
      <c r="I645" s="27"/>
    </row>
    <row r="646" spans="1:9" ht="15.75" customHeight="1" x14ac:dyDescent="0.3">
      <c r="A646" s="5"/>
      <c r="B646" s="35"/>
      <c r="C646" s="4"/>
      <c r="I646" s="27"/>
    </row>
    <row r="647" spans="1:9" ht="15.75" customHeight="1" x14ac:dyDescent="0.3">
      <c r="A647" s="5"/>
      <c r="B647" s="35"/>
      <c r="C647" s="4"/>
      <c r="I647" s="27"/>
    </row>
    <row r="648" spans="1:9" ht="15.75" customHeight="1" x14ac:dyDescent="0.3">
      <c r="A648" s="5"/>
      <c r="B648" s="35"/>
      <c r="C648" s="4"/>
      <c r="I648" s="27"/>
    </row>
    <row r="649" spans="1:9" ht="15.75" customHeight="1" x14ac:dyDescent="0.3">
      <c r="A649" s="5"/>
      <c r="B649" s="35"/>
      <c r="C649" s="4"/>
      <c r="I649" s="27"/>
    </row>
    <row r="650" spans="1:9" ht="15.75" customHeight="1" x14ac:dyDescent="0.3">
      <c r="A650" s="5"/>
      <c r="B650" s="35"/>
      <c r="C650" s="4"/>
      <c r="I650" s="27"/>
    </row>
    <row r="651" spans="1:9" ht="15.75" customHeight="1" x14ac:dyDescent="0.3">
      <c r="A651" s="5"/>
      <c r="B651" s="35"/>
      <c r="C651" s="4"/>
      <c r="I651" s="27"/>
    </row>
    <row r="652" spans="1:9" ht="15.75" customHeight="1" x14ac:dyDescent="0.3">
      <c r="A652" s="5"/>
      <c r="B652" s="35"/>
      <c r="C652" s="4"/>
      <c r="I652" s="27"/>
    </row>
    <row r="653" spans="1:9" ht="15.75" customHeight="1" x14ac:dyDescent="0.3">
      <c r="A653" s="5"/>
      <c r="B653" s="35"/>
      <c r="C653" s="4"/>
      <c r="I653" s="27"/>
    </row>
    <row r="654" spans="1:9" ht="15.75" customHeight="1" x14ac:dyDescent="0.3">
      <c r="A654" s="5"/>
      <c r="B654" s="35"/>
      <c r="C654" s="4"/>
      <c r="I654" s="27"/>
    </row>
    <row r="655" spans="1:9" ht="15.75" customHeight="1" x14ac:dyDescent="0.3">
      <c r="A655" s="5"/>
      <c r="B655" s="35"/>
      <c r="C655" s="4"/>
      <c r="I655" s="27"/>
    </row>
    <row r="656" spans="1:9" ht="15.75" customHeight="1" x14ac:dyDescent="0.3">
      <c r="A656" s="5"/>
      <c r="B656" s="35"/>
      <c r="C656" s="4"/>
      <c r="I656" s="27"/>
    </row>
    <row r="657" spans="1:9" ht="15.75" customHeight="1" x14ac:dyDescent="0.3">
      <c r="A657" s="5"/>
      <c r="B657" s="35"/>
      <c r="C657" s="4"/>
      <c r="I657" s="27"/>
    </row>
    <row r="658" spans="1:9" ht="15.75" customHeight="1" x14ac:dyDescent="0.3">
      <c r="A658" s="5"/>
      <c r="B658" s="35"/>
      <c r="C658" s="4"/>
      <c r="I658" s="27"/>
    </row>
    <row r="659" spans="1:9" ht="15.75" customHeight="1" x14ac:dyDescent="0.3">
      <c r="A659" s="5"/>
      <c r="B659" s="35"/>
      <c r="C659" s="4"/>
      <c r="I659" s="27"/>
    </row>
    <row r="660" spans="1:9" ht="15.75" customHeight="1" x14ac:dyDescent="0.3">
      <c r="A660" s="5"/>
      <c r="B660" s="35"/>
      <c r="C660" s="4"/>
      <c r="I660" s="27"/>
    </row>
    <row r="661" spans="1:9" ht="15.75" customHeight="1" x14ac:dyDescent="0.3">
      <c r="A661" s="5"/>
      <c r="B661" s="35"/>
      <c r="C661" s="4"/>
      <c r="I661" s="27"/>
    </row>
    <row r="662" spans="1:9" ht="15.75" customHeight="1" x14ac:dyDescent="0.3">
      <c r="A662" s="5"/>
      <c r="B662" s="35"/>
      <c r="C662" s="4"/>
      <c r="I662" s="27"/>
    </row>
    <row r="663" spans="1:9" ht="15.75" customHeight="1" x14ac:dyDescent="0.3">
      <c r="A663" s="5"/>
      <c r="B663" s="35"/>
      <c r="C663" s="4"/>
      <c r="I663" s="27"/>
    </row>
    <row r="664" spans="1:9" ht="15.75" customHeight="1" x14ac:dyDescent="0.3">
      <c r="A664" s="5"/>
      <c r="B664" s="35"/>
      <c r="C664" s="4"/>
      <c r="I664" s="27"/>
    </row>
    <row r="665" spans="1:9" ht="15.75" customHeight="1" x14ac:dyDescent="0.3">
      <c r="A665" s="5"/>
      <c r="B665" s="35"/>
      <c r="C665" s="4"/>
      <c r="I665" s="27"/>
    </row>
    <row r="666" spans="1:9" ht="15.75" customHeight="1" x14ac:dyDescent="0.3">
      <c r="A666" s="5"/>
      <c r="B666" s="35"/>
      <c r="C666" s="4"/>
      <c r="I666" s="27"/>
    </row>
    <row r="667" spans="1:9" ht="15.75" customHeight="1" x14ac:dyDescent="0.3">
      <c r="A667" s="5"/>
      <c r="B667" s="35"/>
      <c r="C667" s="4"/>
      <c r="I667" s="27"/>
    </row>
    <row r="668" spans="1:9" ht="15.75" customHeight="1" x14ac:dyDescent="0.3">
      <c r="A668" s="5"/>
      <c r="B668" s="35"/>
      <c r="C668" s="4"/>
      <c r="I668" s="27"/>
    </row>
    <row r="669" spans="1:9" ht="15.75" customHeight="1" x14ac:dyDescent="0.3">
      <c r="A669" s="5"/>
      <c r="B669" s="35"/>
      <c r="C669" s="4"/>
      <c r="I669" s="27"/>
    </row>
    <row r="670" spans="1:9" ht="15.75" customHeight="1" x14ac:dyDescent="0.3">
      <c r="A670" s="5"/>
      <c r="B670" s="35"/>
      <c r="C670" s="4"/>
      <c r="I670" s="27"/>
    </row>
    <row r="671" spans="1:9" ht="15.75" customHeight="1" x14ac:dyDescent="0.3">
      <c r="A671" s="5"/>
      <c r="B671" s="35"/>
      <c r="C671" s="4"/>
      <c r="I671" s="27"/>
    </row>
    <row r="672" spans="1:9" ht="15.75" customHeight="1" x14ac:dyDescent="0.3">
      <c r="A672" s="5"/>
      <c r="B672" s="35"/>
      <c r="C672" s="4"/>
      <c r="I672" s="27"/>
    </row>
    <row r="673" spans="1:9" ht="15.75" customHeight="1" x14ac:dyDescent="0.3">
      <c r="A673" s="5"/>
      <c r="B673" s="35"/>
      <c r="C673" s="4"/>
      <c r="I673" s="27"/>
    </row>
    <row r="674" spans="1:9" ht="15.75" customHeight="1" x14ac:dyDescent="0.3">
      <c r="A674" s="5"/>
      <c r="B674" s="35"/>
      <c r="C674" s="4"/>
      <c r="I674" s="27"/>
    </row>
    <row r="675" spans="1:9" ht="15.75" customHeight="1" x14ac:dyDescent="0.3">
      <c r="A675" s="5"/>
      <c r="B675" s="35"/>
      <c r="C675" s="4"/>
      <c r="I675" s="27"/>
    </row>
    <row r="676" spans="1:9" ht="15.75" customHeight="1" x14ac:dyDescent="0.3">
      <c r="A676" s="5"/>
      <c r="B676" s="35"/>
      <c r="C676" s="4"/>
      <c r="I676" s="27"/>
    </row>
    <row r="677" spans="1:9" ht="15.75" customHeight="1" x14ac:dyDescent="0.3">
      <c r="A677" s="5"/>
      <c r="B677" s="35"/>
      <c r="C677" s="4"/>
      <c r="I677" s="27"/>
    </row>
    <row r="678" spans="1:9" ht="15.75" customHeight="1" x14ac:dyDescent="0.3">
      <c r="A678" s="5"/>
      <c r="B678" s="35"/>
      <c r="C678" s="4"/>
      <c r="I678" s="27"/>
    </row>
    <row r="679" spans="1:9" ht="15.75" customHeight="1" x14ac:dyDescent="0.3">
      <c r="A679" s="5"/>
      <c r="B679" s="35"/>
      <c r="C679" s="4"/>
      <c r="I679" s="27"/>
    </row>
    <row r="680" spans="1:9" ht="15.75" customHeight="1" x14ac:dyDescent="0.3">
      <c r="A680" s="5"/>
      <c r="B680" s="35"/>
      <c r="C680" s="4"/>
      <c r="I680" s="27"/>
    </row>
    <row r="681" spans="1:9" ht="15.75" customHeight="1" x14ac:dyDescent="0.3">
      <c r="A681" s="5"/>
      <c r="B681" s="35"/>
      <c r="C681" s="4"/>
      <c r="I681" s="27"/>
    </row>
    <row r="682" spans="1:9" ht="15.75" customHeight="1" x14ac:dyDescent="0.3">
      <c r="A682" s="5"/>
      <c r="B682" s="35"/>
      <c r="C682" s="4"/>
      <c r="I682" s="27"/>
    </row>
    <row r="683" spans="1:9" ht="15.75" customHeight="1" x14ac:dyDescent="0.3">
      <c r="A683" s="5"/>
      <c r="B683" s="35"/>
      <c r="C683" s="4"/>
      <c r="I683" s="27"/>
    </row>
    <row r="684" spans="1:9" ht="15.75" customHeight="1" x14ac:dyDescent="0.3">
      <c r="A684" s="5"/>
      <c r="B684" s="35"/>
      <c r="C684" s="4"/>
      <c r="I684" s="27"/>
    </row>
    <row r="685" spans="1:9" ht="15.75" customHeight="1" x14ac:dyDescent="0.3">
      <c r="A685" s="5"/>
      <c r="B685" s="35"/>
      <c r="C685" s="4"/>
      <c r="I685" s="27"/>
    </row>
    <row r="686" spans="1:9" ht="15.75" customHeight="1" x14ac:dyDescent="0.3">
      <c r="A686" s="5"/>
      <c r="B686" s="35"/>
      <c r="C686" s="4"/>
      <c r="I686" s="27"/>
    </row>
    <row r="687" spans="1:9" ht="15.75" customHeight="1" x14ac:dyDescent="0.3">
      <c r="A687" s="5"/>
      <c r="B687" s="35"/>
      <c r="C687" s="4"/>
      <c r="I687" s="27"/>
    </row>
    <row r="688" spans="1:9" ht="15.75" customHeight="1" x14ac:dyDescent="0.3">
      <c r="A688" s="5"/>
      <c r="B688" s="35"/>
      <c r="C688" s="4"/>
      <c r="I688" s="27"/>
    </row>
    <row r="689" spans="1:9" ht="15.75" customHeight="1" x14ac:dyDescent="0.3">
      <c r="A689" s="5"/>
      <c r="B689" s="35"/>
      <c r="C689" s="4"/>
      <c r="I689" s="27"/>
    </row>
    <row r="690" spans="1:9" ht="15.75" customHeight="1" x14ac:dyDescent="0.3">
      <c r="A690" s="5"/>
      <c r="B690" s="35"/>
      <c r="C690" s="4"/>
      <c r="I690" s="27"/>
    </row>
    <row r="691" spans="1:9" ht="15.75" customHeight="1" x14ac:dyDescent="0.3">
      <c r="A691" s="5"/>
      <c r="B691" s="35"/>
      <c r="C691" s="4"/>
      <c r="I691" s="27"/>
    </row>
    <row r="692" spans="1:9" ht="15.75" customHeight="1" x14ac:dyDescent="0.3">
      <c r="A692" s="5"/>
      <c r="B692" s="35"/>
      <c r="C692" s="4"/>
      <c r="I692" s="27"/>
    </row>
    <row r="693" spans="1:9" ht="15.75" customHeight="1" x14ac:dyDescent="0.3">
      <c r="A693" s="5"/>
      <c r="B693" s="35"/>
      <c r="C693" s="4"/>
      <c r="I693" s="27"/>
    </row>
    <row r="694" spans="1:9" ht="15.75" customHeight="1" x14ac:dyDescent="0.3">
      <c r="A694" s="5"/>
      <c r="B694" s="35"/>
      <c r="C694" s="4"/>
      <c r="I694" s="27"/>
    </row>
    <row r="695" spans="1:9" ht="15.75" customHeight="1" x14ac:dyDescent="0.3">
      <c r="A695" s="5"/>
      <c r="B695" s="35"/>
      <c r="C695" s="4"/>
      <c r="I695" s="27"/>
    </row>
    <row r="696" spans="1:9" ht="15.75" customHeight="1" x14ac:dyDescent="0.3">
      <c r="A696" s="5"/>
      <c r="B696" s="35"/>
      <c r="C696" s="4"/>
      <c r="I696" s="27"/>
    </row>
    <row r="697" spans="1:9" ht="15.75" customHeight="1" x14ac:dyDescent="0.3">
      <c r="A697" s="5"/>
      <c r="B697" s="35"/>
      <c r="C697" s="4"/>
      <c r="I697" s="27"/>
    </row>
    <row r="698" spans="1:9" ht="15.75" customHeight="1" x14ac:dyDescent="0.3">
      <c r="A698" s="5"/>
      <c r="B698" s="35"/>
      <c r="C698" s="4"/>
      <c r="I698" s="27"/>
    </row>
    <row r="699" spans="1:9" ht="15.75" customHeight="1" x14ac:dyDescent="0.3">
      <c r="A699" s="5"/>
      <c r="B699" s="35"/>
      <c r="C699" s="4"/>
      <c r="I699" s="27"/>
    </row>
    <row r="700" spans="1:9" ht="15.75" customHeight="1" x14ac:dyDescent="0.3">
      <c r="A700" s="5"/>
      <c r="B700" s="35"/>
      <c r="C700" s="4"/>
      <c r="I700" s="27"/>
    </row>
    <row r="701" spans="1:9" ht="15.75" customHeight="1" x14ac:dyDescent="0.3">
      <c r="A701" s="5"/>
      <c r="B701" s="35"/>
      <c r="C701" s="4"/>
      <c r="I701" s="27"/>
    </row>
    <row r="702" spans="1:9" ht="15.75" customHeight="1" x14ac:dyDescent="0.3">
      <c r="A702" s="5"/>
      <c r="B702" s="35"/>
      <c r="C702" s="4"/>
      <c r="I702" s="27"/>
    </row>
    <row r="703" spans="1:9" ht="15.75" customHeight="1" x14ac:dyDescent="0.3">
      <c r="A703" s="5"/>
      <c r="B703" s="35"/>
      <c r="C703" s="4"/>
      <c r="I703" s="27"/>
    </row>
    <row r="704" spans="1:9" ht="15.75" customHeight="1" x14ac:dyDescent="0.3">
      <c r="A704" s="5"/>
      <c r="B704" s="35"/>
      <c r="C704" s="4"/>
      <c r="I704" s="27"/>
    </row>
    <row r="705" spans="1:9" ht="15.75" customHeight="1" x14ac:dyDescent="0.3">
      <c r="A705" s="5"/>
      <c r="B705" s="35"/>
      <c r="C705" s="4"/>
      <c r="I705" s="27"/>
    </row>
    <row r="706" spans="1:9" ht="15.75" customHeight="1" x14ac:dyDescent="0.3">
      <c r="A706" s="5"/>
      <c r="B706" s="35"/>
      <c r="C706" s="4"/>
      <c r="I706" s="27"/>
    </row>
    <row r="707" spans="1:9" ht="15.75" customHeight="1" x14ac:dyDescent="0.3">
      <c r="A707" s="5"/>
      <c r="B707" s="35"/>
      <c r="C707" s="4"/>
      <c r="I707" s="27"/>
    </row>
    <row r="708" spans="1:9" ht="15.75" customHeight="1" x14ac:dyDescent="0.3">
      <c r="A708" s="5"/>
      <c r="B708" s="35"/>
      <c r="C708" s="4"/>
      <c r="I708" s="27"/>
    </row>
    <row r="709" spans="1:9" ht="15.75" customHeight="1" x14ac:dyDescent="0.3">
      <c r="A709" s="5"/>
      <c r="B709" s="35"/>
      <c r="C709" s="4"/>
      <c r="I709" s="27"/>
    </row>
    <row r="710" spans="1:9" ht="15.75" customHeight="1" x14ac:dyDescent="0.3">
      <c r="A710" s="5"/>
      <c r="B710" s="35"/>
      <c r="C710" s="4"/>
      <c r="I710" s="27"/>
    </row>
    <row r="711" spans="1:9" ht="15.75" customHeight="1" x14ac:dyDescent="0.3">
      <c r="A711" s="5"/>
      <c r="B711" s="35"/>
      <c r="C711" s="4"/>
      <c r="I711" s="27"/>
    </row>
    <row r="712" spans="1:9" ht="15.75" customHeight="1" x14ac:dyDescent="0.3">
      <c r="A712" s="5"/>
      <c r="B712" s="35"/>
      <c r="C712" s="4"/>
      <c r="I712" s="27"/>
    </row>
    <row r="713" spans="1:9" ht="15.75" customHeight="1" x14ac:dyDescent="0.3">
      <c r="A713" s="5"/>
      <c r="B713" s="35"/>
      <c r="C713" s="4"/>
      <c r="I713" s="27"/>
    </row>
    <row r="714" spans="1:9" ht="15.75" customHeight="1" x14ac:dyDescent="0.3">
      <c r="A714" s="5"/>
      <c r="B714" s="35"/>
      <c r="C714" s="4"/>
      <c r="I714" s="27"/>
    </row>
    <row r="715" spans="1:9" ht="15.75" customHeight="1" x14ac:dyDescent="0.3">
      <c r="A715" s="5"/>
      <c r="B715" s="35"/>
      <c r="C715" s="4"/>
      <c r="I715" s="27"/>
    </row>
    <row r="716" spans="1:9" ht="15.75" customHeight="1" x14ac:dyDescent="0.3">
      <c r="A716" s="5"/>
      <c r="B716" s="35"/>
      <c r="C716" s="4"/>
      <c r="I716" s="27"/>
    </row>
    <row r="717" spans="1:9" ht="15.75" customHeight="1" x14ac:dyDescent="0.3">
      <c r="A717" s="5"/>
      <c r="B717" s="35"/>
      <c r="C717" s="4"/>
      <c r="I717" s="27"/>
    </row>
    <row r="718" spans="1:9" ht="15.75" customHeight="1" x14ac:dyDescent="0.3">
      <c r="A718" s="5"/>
      <c r="B718" s="35"/>
      <c r="C718" s="4"/>
      <c r="I718" s="27"/>
    </row>
    <row r="719" spans="1:9" ht="15.75" customHeight="1" x14ac:dyDescent="0.3">
      <c r="A719" s="5"/>
      <c r="B719" s="35"/>
      <c r="C719" s="4"/>
      <c r="I719" s="27"/>
    </row>
    <row r="720" spans="1:9" ht="15.75" customHeight="1" x14ac:dyDescent="0.3">
      <c r="A720" s="5"/>
      <c r="B720" s="35"/>
      <c r="C720" s="4"/>
      <c r="I720" s="27"/>
    </row>
    <row r="721" spans="1:9" ht="15.75" customHeight="1" x14ac:dyDescent="0.3">
      <c r="A721" s="5"/>
      <c r="B721" s="35"/>
      <c r="C721" s="4"/>
      <c r="I721" s="27"/>
    </row>
    <row r="722" spans="1:9" ht="15.75" customHeight="1" x14ac:dyDescent="0.3">
      <c r="A722" s="5"/>
      <c r="B722" s="35"/>
      <c r="C722" s="4"/>
      <c r="I722" s="27"/>
    </row>
    <row r="723" spans="1:9" ht="15.75" customHeight="1" x14ac:dyDescent="0.3">
      <c r="A723" s="5"/>
      <c r="B723" s="35"/>
      <c r="C723" s="4"/>
      <c r="I723" s="27"/>
    </row>
    <row r="724" spans="1:9" ht="15.75" customHeight="1" x14ac:dyDescent="0.3">
      <c r="A724" s="5"/>
      <c r="B724" s="35"/>
      <c r="C724" s="4"/>
      <c r="I724" s="27"/>
    </row>
    <row r="725" spans="1:9" ht="15.75" customHeight="1" x14ac:dyDescent="0.3">
      <c r="A725" s="5"/>
      <c r="B725" s="35"/>
      <c r="C725" s="4"/>
      <c r="I725" s="27"/>
    </row>
    <row r="726" spans="1:9" ht="15.75" customHeight="1" x14ac:dyDescent="0.3">
      <c r="A726" s="5"/>
      <c r="B726" s="35"/>
      <c r="C726" s="4"/>
      <c r="I726" s="27"/>
    </row>
    <row r="727" spans="1:9" ht="15.75" customHeight="1" x14ac:dyDescent="0.3">
      <c r="A727" s="5"/>
      <c r="B727" s="35"/>
      <c r="C727" s="4"/>
      <c r="I727" s="27"/>
    </row>
    <row r="728" spans="1:9" ht="15.75" customHeight="1" x14ac:dyDescent="0.3">
      <c r="A728" s="5"/>
      <c r="B728" s="35"/>
      <c r="C728" s="4"/>
      <c r="I728" s="27"/>
    </row>
    <row r="729" spans="1:9" ht="15.75" customHeight="1" x14ac:dyDescent="0.3">
      <c r="A729" s="5"/>
      <c r="B729" s="35"/>
      <c r="C729" s="4"/>
      <c r="I729" s="27"/>
    </row>
    <row r="730" spans="1:9" ht="15.75" customHeight="1" x14ac:dyDescent="0.3">
      <c r="A730" s="5"/>
      <c r="B730" s="35"/>
      <c r="C730" s="4"/>
      <c r="I730" s="27"/>
    </row>
    <row r="731" spans="1:9" ht="15.75" customHeight="1" x14ac:dyDescent="0.3">
      <c r="A731" s="5"/>
      <c r="B731" s="35"/>
      <c r="C731" s="4"/>
      <c r="I731" s="27"/>
    </row>
    <row r="732" spans="1:9" ht="15.75" customHeight="1" x14ac:dyDescent="0.3">
      <c r="A732" s="5"/>
      <c r="B732" s="35"/>
      <c r="C732" s="4"/>
      <c r="I732" s="27"/>
    </row>
    <row r="733" spans="1:9" ht="15.75" customHeight="1" x14ac:dyDescent="0.3">
      <c r="A733" s="5"/>
      <c r="B733" s="35"/>
      <c r="C733" s="4"/>
      <c r="I733" s="27"/>
    </row>
    <row r="734" spans="1:9" ht="15.75" customHeight="1" x14ac:dyDescent="0.3">
      <c r="A734" s="5"/>
      <c r="B734" s="35"/>
      <c r="C734" s="4"/>
      <c r="I734" s="27"/>
    </row>
    <row r="735" spans="1:9" ht="15.75" customHeight="1" x14ac:dyDescent="0.3">
      <c r="A735" s="5"/>
      <c r="B735" s="35"/>
      <c r="C735" s="4"/>
      <c r="I735" s="27"/>
    </row>
    <row r="736" spans="1:9" ht="15.75" customHeight="1" x14ac:dyDescent="0.3">
      <c r="A736" s="5"/>
      <c r="B736" s="35"/>
      <c r="C736" s="4"/>
      <c r="I736" s="27"/>
    </row>
    <row r="737" spans="1:9" ht="15.75" customHeight="1" x14ac:dyDescent="0.3">
      <c r="A737" s="5"/>
      <c r="B737" s="35"/>
      <c r="C737" s="4"/>
      <c r="I737" s="27"/>
    </row>
    <row r="738" spans="1:9" ht="15.75" customHeight="1" x14ac:dyDescent="0.3">
      <c r="A738" s="5"/>
      <c r="B738" s="35"/>
      <c r="C738" s="4"/>
      <c r="I738" s="27"/>
    </row>
    <row r="739" spans="1:9" ht="15.75" customHeight="1" x14ac:dyDescent="0.3">
      <c r="A739" s="5"/>
      <c r="B739" s="35"/>
      <c r="C739" s="4"/>
      <c r="I739" s="27"/>
    </row>
    <row r="740" spans="1:9" ht="15.75" customHeight="1" x14ac:dyDescent="0.3">
      <c r="A740" s="5"/>
      <c r="B740" s="35"/>
      <c r="C740" s="4"/>
      <c r="I740" s="27"/>
    </row>
    <row r="741" spans="1:9" ht="15.75" customHeight="1" x14ac:dyDescent="0.3">
      <c r="A741" s="5"/>
      <c r="B741" s="35"/>
      <c r="C741" s="4"/>
      <c r="I741" s="27"/>
    </row>
    <row r="742" spans="1:9" ht="15.75" customHeight="1" x14ac:dyDescent="0.3">
      <c r="A742" s="5"/>
      <c r="B742" s="35"/>
      <c r="C742" s="4"/>
      <c r="I742" s="27"/>
    </row>
    <row r="743" spans="1:9" ht="15.75" customHeight="1" x14ac:dyDescent="0.3">
      <c r="A743" s="5"/>
      <c r="B743" s="35"/>
      <c r="C743" s="4"/>
      <c r="I743" s="27"/>
    </row>
    <row r="744" spans="1:9" ht="15.75" customHeight="1" x14ac:dyDescent="0.3">
      <c r="A744" s="5"/>
      <c r="B744" s="35"/>
      <c r="C744" s="4"/>
      <c r="I744" s="27"/>
    </row>
    <row r="745" spans="1:9" ht="15.75" customHeight="1" x14ac:dyDescent="0.3">
      <c r="A745" s="5"/>
      <c r="B745" s="35"/>
      <c r="C745" s="4"/>
      <c r="I745" s="27"/>
    </row>
    <row r="746" spans="1:9" ht="15.75" customHeight="1" x14ac:dyDescent="0.3">
      <c r="A746" s="5"/>
      <c r="B746" s="35"/>
      <c r="C746" s="4"/>
      <c r="I746" s="27"/>
    </row>
    <row r="747" spans="1:9" ht="15.75" customHeight="1" x14ac:dyDescent="0.3">
      <c r="A747" s="5"/>
      <c r="B747" s="35"/>
      <c r="C747" s="4"/>
      <c r="I747" s="27"/>
    </row>
    <row r="748" spans="1:9" ht="15.75" customHeight="1" x14ac:dyDescent="0.3">
      <c r="A748" s="5"/>
      <c r="B748" s="35"/>
      <c r="C748" s="4"/>
      <c r="I748" s="27"/>
    </row>
    <row r="749" spans="1:9" ht="15.75" customHeight="1" x14ac:dyDescent="0.3">
      <c r="A749" s="5"/>
      <c r="B749" s="35"/>
      <c r="C749" s="4"/>
      <c r="I749" s="27"/>
    </row>
    <row r="750" spans="1:9" ht="15.75" customHeight="1" x14ac:dyDescent="0.3">
      <c r="A750" s="5"/>
      <c r="B750" s="35"/>
      <c r="C750" s="4"/>
      <c r="I750" s="27"/>
    </row>
    <row r="751" spans="1:9" ht="15.75" customHeight="1" x14ac:dyDescent="0.3">
      <c r="A751" s="5"/>
      <c r="B751" s="35"/>
      <c r="C751" s="4"/>
      <c r="I751" s="27"/>
    </row>
    <row r="752" spans="1:9" ht="15.75" customHeight="1" x14ac:dyDescent="0.3">
      <c r="A752" s="5"/>
      <c r="B752" s="35"/>
      <c r="C752" s="4"/>
      <c r="I752" s="27"/>
    </row>
    <row r="753" spans="1:9" ht="15.75" customHeight="1" x14ac:dyDescent="0.3">
      <c r="A753" s="5"/>
      <c r="B753" s="35"/>
      <c r="C753" s="4"/>
      <c r="I753" s="27"/>
    </row>
    <row r="754" spans="1:9" ht="15.75" customHeight="1" x14ac:dyDescent="0.3">
      <c r="A754" s="5"/>
      <c r="B754" s="35"/>
      <c r="C754" s="4"/>
      <c r="I754" s="27"/>
    </row>
    <row r="755" spans="1:9" ht="15.75" customHeight="1" x14ac:dyDescent="0.3">
      <c r="A755" s="5"/>
      <c r="B755" s="35"/>
      <c r="C755" s="4"/>
      <c r="I755" s="27"/>
    </row>
    <row r="756" spans="1:9" ht="15.75" customHeight="1" x14ac:dyDescent="0.3">
      <c r="A756" s="5"/>
      <c r="B756" s="35"/>
      <c r="C756" s="4"/>
      <c r="I756" s="27"/>
    </row>
    <row r="757" spans="1:9" ht="15.75" customHeight="1" x14ac:dyDescent="0.3">
      <c r="A757" s="5"/>
      <c r="B757" s="35"/>
      <c r="C757" s="4"/>
      <c r="I757" s="27"/>
    </row>
    <row r="758" spans="1:9" ht="15.75" customHeight="1" x14ac:dyDescent="0.3">
      <c r="A758" s="5"/>
      <c r="B758" s="35"/>
      <c r="C758" s="4"/>
      <c r="I758" s="27"/>
    </row>
    <row r="759" spans="1:9" ht="15.75" customHeight="1" x14ac:dyDescent="0.3">
      <c r="A759" s="5"/>
      <c r="B759" s="35"/>
      <c r="C759" s="4"/>
      <c r="I759" s="27"/>
    </row>
    <row r="760" spans="1:9" ht="15.75" customHeight="1" x14ac:dyDescent="0.3">
      <c r="A760" s="5"/>
      <c r="B760" s="35"/>
      <c r="C760" s="4"/>
      <c r="I760" s="27"/>
    </row>
    <row r="761" spans="1:9" ht="15.75" customHeight="1" x14ac:dyDescent="0.3">
      <c r="A761" s="5"/>
      <c r="B761" s="35"/>
      <c r="C761" s="4"/>
      <c r="I761" s="27"/>
    </row>
    <row r="762" spans="1:9" ht="15.75" customHeight="1" x14ac:dyDescent="0.3">
      <c r="A762" s="5"/>
      <c r="B762" s="35"/>
      <c r="C762" s="4"/>
      <c r="I762" s="27"/>
    </row>
    <row r="763" spans="1:9" ht="15.75" customHeight="1" x14ac:dyDescent="0.3">
      <c r="A763" s="5"/>
      <c r="B763" s="35"/>
      <c r="C763" s="4"/>
      <c r="I763" s="27"/>
    </row>
    <row r="764" spans="1:9" ht="15.75" customHeight="1" x14ac:dyDescent="0.3">
      <c r="A764" s="5"/>
      <c r="B764" s="35"/>
      <c r="C764" s="4"/>
      <c r="I764" s="27"/>
    </row>
    <row r="765" spans="1:9" ht="15.75" customHeight="1" x14ac:dyDescent="0.3">
      <c r="A765" s="5"/>
      <c r="B765" s="35"/>
      <c r="C765" s="4"/>
      <c r="I765" s="27"/>
    </row>
    <row r="766" spans="1:9" ht="15.75" customHeight="1" x14ac:dyDescent="0.3">
      <c r="A766" s="5"/>
      <c r="B766" s="35"/>
      <c r="C766" s="4"/>
      <c r="I766" s="27"/>
    </row>
    <row r="767" spans="1:9" ht="15.75" customHeight="1" x14ac:dyDescent="0.3">
      <c r="A767" s="5"/>
      <c r="B767" s="35"/>
      <c r="C767" s="4"/>
      <c r="I767" s="27"/>
    </row>
    <row r="768" spans="1:9" ht="15.75" customHeight="1" x14ac:dyDescent="0.3">
      <c r="A768" s="5"/>
      <c r="B768" s="35"/>
      <c r="C768" s="4"/>
      <c r="I768" s="27"/>
    </row>
    <row r="769" spans="1:9" ht="15.75" customHeight="1" x14ac:dyDescent="0.3">
      <c r="A769" s="5"/>
      <c r="B769" s="35"/>
      <c r="C769" s="4"/>
      <c r="I769" s="27"/>
    </row>
    <row r="770" spans="1:9" ht="15.75" customHeight="1" x14ac:dyDescent="0.3">
      <c r="A770" s="5"/>
      <c r="B770" s="35"/>
      <c r="C770" s="4"/>
      <c r="I770" s="27"/>
    </row>
    <row r="771" spans="1:9" ht="15.75" customHeight="1" x14ac:dyDescent="0.3">
      <c r="A771" s="5"/>
      <c r="B771" s="35"/>
      <c r="C771" s="4"/>
      <c r="I771" s="27"/>
    </row>
    <row r="772" spans="1:9" ht="15.75" customHeight="1" x14ac:dyDescent="0.3">
      <c r="A772" s="5"/>
      <c r="B772" s="35"/>
      <c r="C772" s="4"/>
      <c r="I772" s="27"/>
    </row>
    <row r="773" spans="1:9" ht="15.75" customHeight="1" x14ac:dyDescent="0.3">
      <c r="A773" s="5"/>
      <c r="B773" s="35"/>
      <c r="C773" s="4"/>
      <c r="I773" s="27"/>
    </row>
    <row r="774" spans="1:9" ht="15.75" customHeight="1" x14ac:dyDescent="0.3">
      <c r="A774" s="5"/>
      <c r="B774" s="35"/>
      <c r="C774" s="4"/>
      <c r="I774" s="27"/>
    </row>
    <row r="775" spans="1:9" ht="15.75" customHeight="1" x14ac:dyDescent="0.3">
      <c r="A775" s="5"/>
      <c r="B775" s="35"/>
      <c r="C775" s="4"/>
      <c r="I775" s="27"/>
    </row>
    <row r="776" spans="1:9" ht="15.75" customHeight="1" x14ac:dyDescent="0.3">
      <c r="A776" s="5"/>
      <c r="B776" s="35"/>
      <c r="C776" s="4"/>
      <c r="I776" s="27"/>
    </row>
    <row r="777" spans="1:9" ht="15.75" customHeight="1" x14ac:dyDescent="0.3">
      <c r="A777" s="5"/>
      <c r="B777" s="35"/>
      <c r="C777" s="4"/>
      <c r="I777" s="27"/>
    </row>
    <row r="778" spans="1:9" ht="15.75" customHeight="1" x14ac:dyDescent="0.3">
      <c r="A778" s="5"/>
      <c r="B778" s="35"/>
      <c r="C778" s="4"/>
      <c r="I778" s="27"/>
    </row>
    <row r="779" spans="1:9" ht="15.75" customHeight="1" x14ac:dyDescent="0.3">
      <c r="A779" s="5"/>
      <c r="B779" s="35"/>
      <c r="C779" s="4"/>
      <c r="I779" s="27"/>
    </row>
    <row r="780" spans="1:9" ht="15.75" customHeight="1" x14ac:dyDescent="0.3">
      <c r="A780" s="5"/>
      <c r="B780" s="35"/>
      <c r="C780" s="4"/>
      <c r="I780" s="27"/>
    </row>
    <row r="781" spans="1:9" ht="15.75" customHeight="1" x14ac:dyDescent="0.3">
      <c r="A781" s="5"/>
      <c r="B781" s="35"/>
      <c r="C781" s="4"/>
      <c r="I781" s="27"/>
    </row>
    <row r="782" spans="1:9" ht="15.75" customHeight="1" x14ac:dyDescent="0.3">
      <c r="A782" s="5"/>
      <c r="B782" s="35"/>
      <c r="C782" s="4"/>
      <c r="I782" s="27"/>
    </row>
    <row r="783" spans="1:9" ht="15.75" customHeight="1" x14ac:dyDescent="0.3">
      <c r="A783" s="5"/>
      <c r="B783" s="35"/>
      <c r="C783" s="4"/>
      <c r="I783" s="27"/>
    </row>
    <row r="784" spans="1:9" ht="15.75" customHeight="1" x14ac:dyDescent="0.3">
      <c r="A784" s="5"/>
      <c r="B784" s="35"/>
      <c r="C784" s="4"/>
      <c r="I784" s="27"/>
    </row>
    <row r="785" spans="1:9" ht="15.75" customHeight="1" x14ac:dyDescent="0.3">
      <c r="A785" s="5"/>
      <c r="B785" s="35"/>
      <c r="C785" s="4"/>
      <c r="I785" s="27"/>
    </row>
    <row r="786" spans="1:9" ht="15.75" customHeight="1" x14ac:dyDescent="0.3">
      <c r="A786" s="5"/>
      <c r="B786" s="35"/>
      <c r="C786" s="4"/>
      <c r="I786" s="27"/>
    </row>
    <row r="787" spans="1:9" ht="15.75" customHeight="1" x14ac:dyDescent="0.3">
      <c r="A787" s="5"/>
      <c r="B787" s="35"/>
      <c r="C787" s="4"/>
      <c r="I787" s="27"/>
    </row>
    <row r="788" spans="1:9" ht="15.75" customHeight="1" x14ac:dyDescent="0.3">
      <c r="A788" s="5"/>
      <c r="B788" s="35"/>
      <c r="C788" s="4"/>
      <c r="I788" s="27"/>
    </row>
    <row r="789" spans="1:9" ht="15.75" customHeight="1" x14ac:dyDescent="0.3">
      <c r="A789" s="5"/>
      <c r="B789" s="35"/>
      <c r="C789" s="4"/>
      <c r="I789" s="27"/>
    </row>
    <row r="790" spans="1:9" ht="15.75" customHeight="1" x14ac:dyDescent="0.3">
      <c r="A790" s="5"/>
      <c r="B790" s="35"/>
      <c r="C790" s="4"/>
      <c r="I790" s="27"/>
    </row>
    <row r="791" spans="1:9" ht="15.75" customHeight="1" x14ac:dyDescent="0.3">
      <c r="A791" s="5"/>
      <c r="B791" s="35"/>
      <c r="C791" s="4"/>
      <c r="I791" s="27"/>
    </row>
    <row r="792" spans="1:9" ht="15.75" customHeight="1" x14ac:dyDescent="0.3">
      <c r="A792" s="5"/>
      <c r="B792" s="35"/>
      <c r="C792" s="4"/>
      <c r="I792" s="27"/>
    </row>
    <row r="793" spans="1:9" ht="15.75" customHeight="1" x14ac:dyDescent="0.3">
      <c r="A793" s="5"/>
      <c r="B793" s="35"/>
      <c r="C793" s="4"/>
      <c r="I793" s="27"/>
    </row>
    <row r="794" spans="1:9" ht="15.75" customHeight="1" x14ac:dyDescent="0.3">
      <c r="A794" s="5"/>
      <c r="B794" s="35"/>
      <c r="C794" s="4"/>
      <c r="I794" s="27"/>
    </row>
    <row r="795" spans="1:9" ht="15.75" customHeight="1" x14ac:dyDescent="0.3">
      <c r="A795" s="5"/>
      <c r="B795" s="35"/>
      <c r="C795" s="4"/>
      <c r="I795" s="27"/>
    </row>
    <row r="796" spans="1:9" ht="15.75" customHeight="1" x14ac:dyDescent="0.3">
      <c r="A796" s="5"/>
      <c r="B796" s="35"/>
      <c r="C796" s="4"/>
      <c r="I796" s="27"/>
    </row>
    <row r="797" spans="1:9" ht="15.75" customHeight="1" x14ac:dyDescent="0.3">
      <c r="A797" s="5"/>
      <c r="B797" s="35"/>
      <c r="C797" s="4"/>
      <c r="I797" s="27"/>
    </row>
  </sheetData>
  <pageMargins left="0.7" right="0.7" top="0.75" bottom="0.75" header="0.511811023622047" footer="0.511811023622047"/>
  <pageSetup paperSize="9" orientation="portrait" horizontalDpi="300" verticalDpi="300" r:id="rId1"/>
  <ignoredErrors>
    <ignoredError sqref="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P31"/>
  <sheetViews>
    <sheetView topLeftCell="B1" zoomScaleNormal="100" workbookViewId="0">
      <selection activeCell="F31" sqref="F31"/>
    </sheetView>
  </sheetViews>
  <sheetFormatPr defaultColWidth="8.5703125" defaultRowHeight="15" x14ac:dyDescent="0.25"/>
  <cols>
    <col min="1" max="1" width="3.28515625" customWidth="1"/>
    <col min="2" max="2" width="15.140625" customWidth="1"/>
    <col min="3" max="3" width="19.28515625" customWidth="1"/>
    <col min="4" max="4" width="18.85546875" style="28" customWidth="1"/>
    <col min="5" max="5" width="11.7109375" customWidth="1"/>
    <col min="6" max="7" width="15" customWidth="1"/>
    <col min="8" max="8" width="13.7109375" style="28" customWidth="1"/>
    <col min="9" max="9" width="12.7109375" style="28" customWidth="1"/>
    <col min="10" max="10" width="13" style="28" customWidth="1"/>
    <col min="11" max="11" width="14.42578125" customWidth="1"/>
    <col min="13" max="13" width="11.42578125" bestFit="1" customWidth="1"/>
    <col min="14" max="14" width="9.85546875" bestFit="1" customWidth="1"/>
  </cols>
  <sheetData>
    <row r="1" spans="2:14" s="59" customFormat="1" ht="18.75" x14ac:dyDescent="0.3">
      <c r="D1" s="299">
        <v>46054</v>
      </c>
      <c r="E1" s="300"/>
      <c r="F1" s="300"/>
    </row>
    <row r="2" spans="2:14" s="59" customFormat="1" x14ac:dyDescent="0.25">
      <c r="F2" s="60"/>
      <c r="G2" s="60"/>
    </row>
    <row r="3" spans="2:14" s="59" customFormat="1" x14ac:dyDescent="0.25">
      <c r="C3" s="91" t="s">
        <v>111</v>
      </c>
      <c r="D3" s="61" t="s">
        <v>112</v>
      </c>
      <c r="E3" s="61" t="s">
        <v>113</v>
      </c>
      <c r="F3" s="61" t="s">
        <v>114</v>
      </c>
      <c r="I3" s="91"/>
      <c r="J3" s="61"/>
    </row>
    <row r="4" spans="2:14" s="59" customFormat="1" x14ac:dyDescent="0.25">
      <c r="B4" s="123" t="s">
        <v>34</v>
      </c>
      <c r="C4" s="62">
        <v>172438.58330000041</v>
      </c>
      <c r="D4" s="62">
        <f>5000*67</f>
        <v>335000</v>
      </c>
      <c r="E4" s="62">
        <f>+' EXPENSES HOUSE'!L4</f>
        <v>204597.69</v>
      </c>
      <c r="F4" s="62">
        <f>+C4+D4-E4</f>
        <v>302840.8933000004</v>
      </c>
      <c r="G4" s="62"/>
      <c r="H4" s="62">
        <f>+F4-C21</f>
        <v>-2.5000000023283064E-3</v>
      </c>
      <c r="I4" s="62"/>
      <c r="J4" s="62"/>
    </row>
    <row r="5" spans="2:14" s="59" customFormat="1" x14ac:dyDescent="0.25">
      <c r="B5" s="125" t="s">
        <v>41</v>
      </c>
      <c r="C5" s="62">
        <v>727458.64999999991</v>
      </c>
      <c r="D5" s="62"/>
      <c r="E5" s="62">
        <f>+' EXPENSES HOUSE'!L5</f>
        <v>239143.14666666667</v>
      </c>
      <c r="F5" s="62">
        <f t="shared" ref="F5:F8" si="0">+C5+D5-E5</f>
        <v>488315.50333333324</v>
      </c>
      <c r="H5" s="62">
        <f>+F5-C22</f>
        <v>-239143.14916666661</v>
      </c>
      <c r="I5" s="62"/>
      <c r="J5" s="62"/>
    </row>
    <row r="6" spans="2:14" s="59" customFormat="1" x14ac:dyDescent="0.25">
      <c r="B6" s="123" t="s">
        <v>35</v>
      </c>
      <c r="C6" s="62">
        <v>527529.50999999989</v>
      </c>
      <c r="D6" s="62"/>
      <c r="E6" s="62">
        <f>+' EXPENSES HOUSE'!L6</f>
        <v>220170</v>
      </c>
      <c r="F6" s="62">
        <f t="shared" si="0"/>
        <v>307359.50999999989</v>
      </c>
      <c r="H6" s="62">
        <f>+F6-C23</f>
        <v>-2.5000000605359674E-3</v>
      </c>
      <c r="I6" s="62"/>
      <c r="J6" s="62"/>
    </row>
    <row r="7" spans="2:14" s="59" customFormat="1" x14ac:dyDescent="0.25">
      <c r="B7" s="123" t="s">
        <v>36</v>
      </c>
      <c r="C7" s="62">
        <v>152154.56999999998</v>
      </c>
      <c r="D7" s="62"/>
      <c r="E7" s="62">
        <f>+' EXPENSES HOUSE'!L7</f>
        <v>242759.98333333334</v>
      </c>
      <c r="F7" s="62">
        <f t="shared" si="0"/>
        <v>-90605.413333333359</v>
      </c>
      <c r="H7" s="62">
        <f>+F7-C24</f>
        <v>-5.8333333290647715E-3</v>
      </c>
      <c r="I7" s="62"/>
      <c r="J7" s="62"/>
    </row>
    <row r="8" spans="2:14" s="59" customFormat="1" x14ac:dyDescent="0.25">
      <c r="B8" s="59" t="s">
        <v>12</v>
      </c>
      <c r="C8" s="62">
        <v>170900</v>
      </c>
      <c r="D8" s="62"/>
      <c r="E8" s="62">
        <v>0</v>
      </c>
      <c r="F8" s="62">
        <f t="shared" si="0"/>
        <v>170900</v>
      </c>
      <c r="I8" s="62"/>
      <c r="J8" s="62"/>
    </row>
    <row r="9" spans="2:14" s="59" customFormat="1" x14ac:dyDescent="0.25">
      <c r="B9" s="59" t="s">
        <v>11</v>
      </c>
      <c r="C9" s="62">
        <v>1750481.3133000003</v>
      </c>
      <c r="D9" s="62">
        <f>SUM(D4:D8)</f>
        <v>335000</v>
      </c>
      <c r="E9" s="62">
        <f>SUM(E4:E8)</f>
        <v>906670.82000000007</v>
      </c>
      <c r="F9" s="62">
        <f>SUM(F4:F8)</f>
        <v>1178810.4933000002</v>
      </c>
      <c r="I9" s="62"/>
      <c r="J9" s="62"/>
    </row>
    <row r="10" spans="2:14" s="59" customFormat="1" ht="15.75" thickBot="1" x14ac:dyDescent="0.3">
      <c r="D10" s="73"/>
      <c r="E10" s="73"/>
      <c r="K10" s="62"/>
    </row>
    <row r="11" spans="2:14" s="59" customFormat="1" x14ac:dyDescent="0.25">
      <c r="B11" s="304" t="s">
        <v>22</v>
      </c>
      <c r="C11" s="305"/>
      <c r="D11" s="63" t="s">
        <v>21</v>
      </c>
      <c r="E11" s="64"/>
      <c r="F11" s="65"/>
      <c r="G11" s="306" t="s">
        <v>23</v>
      </c>
      <c r="H11" s="307"/>
      <c r="I11" s="308" t="s">
        <v>84</v>
      </c>
      <c r="J11" s="307"/>
    </row>
    <row r="12" spans="2:14" s="59" customFormat="1" x14ac:dyDescent="0.25">
      <c r="B12" s="66"/>
      <c r="C12" s="67">
        <f>+C9</f>
        <v>1750481.3133000003</v>
      </c>
      <c r="D12" s="62"/>
      <c r="E12" s="68"/>
      <c r="F12" s="62" t="s">
        <v>24</v>
      </c>
      <c r="G12" s="69">
        <v>557664.46</v>
      </c>
      <c r="H12" s="70"/>
      <c r="I12" s="69">
        <v>1192816.6100000001</v>
      </c>
      <c r="J12" s="70"/>
      <c r="K12" s="62">
        <f>+C12-G12-I12</f>
        <v>0.24330000020563602</v>
      </c>
      <c r="M12" s="62"/>
    </row>
    <row r="13" spans="2:14" s="59" customFormat="1" x14ac:dyDescent="0.25">
      <c r="B13" s="71"/>
      <c r="C13" s="72">
        <f>+D9</f>
        <v>335000</v>
      </c>
      <c r="D13" s="73"/>
      <c r="E13" s="74"/>
      <c r="F13" s="73" t="s">
        <v>25</v>
      </c>
      <c r="G13" s="76">
        <f>5000*67</f>
        <v>335000</v>
      </c>
      <c r="H13" s="75"/>
      <c r="I13" s="93"/>
      <c r="J13" s="70"/>
      <c r="K13" s="62">
        <f>+C13-G13-I13</f>
        <v>0</v>
      </c>
      <c r="M13" s="62"/>
    </row>
    <row r="14" spans="2:14" s="59" customFormat="1" x14ac:dyDescent="0.25">
      <c r="B14" s="77"/>
      <c r="C14" s="72"/>
      <c r="D14" s="73"/>
      <c r="E14" s="74"/>
      <c r="F14" s="73" t="s">
        <v>21</v>
      </c>
      <c r="G14" s="78"/>
      <c r="H14" s="70"/>
      <c r="I14" s="79"/>
      <c r="J14" s="70"/>
      <c r="K14" s="62">
        <f t="shared" ref="K14:K15" si="1">+C14-G14-I14</f>
        <v>0</v>
      </c>
    </row>
    <row r="15" spans="2:14" s="59" customFormat="1" x14ac:dyDescent="0.25">
      <c r="B15" s="77"/>
      <c r="C15" s="72"/>
      <c r="D15" s="73"/>
      <c r="E15" s="74"/>
      <c r="F15" s="73"/>
      <c r="G15" s="80"/>
      <c r="H15" s="70"/>
      <c r="I15" s="81"/>
      <c r="J15" s="70"/>
      <c r="K15" s="62">
        <f t="shared" si="1"/>
        <v>0</v>
      </c>
    </row>
    <row r="16" spans="2:14" s="59" customFormat="1" x14ac:dyDescent="0.25">
      <c r="B16" s="82">
        <f>+E9</f>
        <v>906670.82000000007</v>
      </c>
      <c r="C16" s="73"/>
      <c r="D16" s="73"/>
      <c r="E16" s="74"/>
      <c r="F16" s="73" t="s">
        <v>13</v>
      </c>
      <c r="G16" s="79"/>
      <c r="H16" s="83">
        <f>+'[5]LANDCO MET CASH'!$F$8</f>
        <v>204957.5</v>
      </c>
      <c r="I16" s="79"/>
      <c r="J16" s="84">
        <f>+'[6]BIM Bank Control Mtn'!$J$5-3464.73+'[6]Petty cash '!$G$7+'[6]Pre-paid'!$G$7</f>
        <v>693950.82</v>
      </c>
      <c r="K16" s="62">
        <f>+B16-H16-J16</f>
        <v>7762.5000000001164</v>
      </c>
      <c r="M16" s="62"/>
      <c r="N16" s="62"/>
    </row>
    <row r="17" spans="2:16" s="59" customFormat="1" x14ac:dyDescent="0.25">
      <c r="B17" s="97">
        <f>+F9</f>
        <v>1178810.4933000002</v>
      </c>
      <c r="C17" s="73"/>
      <c r="D17" s="73"/>
      <c r="E17" s="74"/>
      <c r="F17" s="73" t="s">
        <v>14</v>
      </c>
      <c r="G17" s="85"/>
      <c r="H17" s="98">
        <f>+'[5]LANDCO MET CASH'!$F$9+335000</f>
        <v>687706.96250000014</v>
      </c>
      <c r="I17" s="85"/>
      <c r="J17" s="98">
        <f>+'[6]BIM Bank Control USD'!$I$7+'[6]BIM Bank Control Mtn'!$J$6+'[6]Petty cash '!$G$8+'[6]Pre-paid'!$G$8</f>
        <v>498865.79250000021</v>
      </c>
      <c r="K17" s="62">
        <f>+B17-H17-J17</f>
        <v>-7762.2617000001483</v>
      </c>
      <c r="M17" s="62"/>
      <c r="N17" s="62"/>
    </row>
    <row r="18" spans="2:16" s="59" customFormat="1" ht="15.75" thickBot="1" x14ac:dyDescent="0.3">
      <c r="B18" s="86">
        <f>SUM(B12:B17)</f>
        <v>2085481.3133000003</v>
      </c>
      <c r="C18" s="87">
        <f>SUM(C12:C17)</f>
        <v>2085481.3133000003</v>
      </c>
      <c r="D18" s="87">
        <f t="shared" ref="D18:E18" si="2">SUM(D13:D17)</f>
        <v>0</v>
      </c>
      <c r="E18" s="88">
        <f t="shared" si="2"/>
        <v>0</v>
      </c>
      <c r="F18" s="89"/>
      <c r="G18" s="90">
        <f t="shared" ref="G18:H18" si="3">SUM(G12:G17)</f>
        <v>892664.46</v>
      </c>
      <c r="H18" s="87">
        <f t="shared" si="3"/>
        <v>892664.46250000014</v>
      </c>
      <c r="I18" s="87">
        <f>SUM(I12:I17)</f>
        <v>1192816.6100000001</v>
      </c>
      <c r="J18" s="87">
        <f>SUM(J12:J17)</f>
        <v>1192816.6125000003</v>
      </c>
      <c r="K18" s="62"/>
    </row>
    <row r="19" spans="2:16" s="59" customFormat="1" x14ac:dyDescent="0.25">
      <c r="B19" s="73"/>
      <c r="C19" s="73">
        <f>+B18-C18</f>
        <v>0</v>
      </c>
      <c r="D19" s="73"/>
      <c r="E19" s="73"/>
      <c r="F19" s="73"/>
      <c r="G19" s="62"/>
      <c r="H19" s="62">
        <f>+G18-H18</f>
        <v>-2.5000001769512892E-3</v>
      </c>
      <c r="I19" s="62"/>
      <c r="J19" s="62">
        <f>+I18-J18</f>
        <v>-2.5000001769512892E-3</v>
      </c>
      <c r="K19" s="62">
        <f>SUM(K12:K17)</f>
        <v>0.48160000017378479</v>
      </c>
    </row>
    <row r="20" spans="2:16" s="59" customFormat="1" x14ac:dyDescent="0.25">
      <c r="B20" s="165" t="s">
        <v>166</v>
      </c>
      <c r="C20" s="166"/>
      <c r="D20">
        <v>63.25</v>
      </c>
      <c r="F20" s="296" t="s">
        <v>165</v>
      </c>
      <c r="I20" s="303"/>
      <c r="J20" s="302"/>
      <c r="L20" s="62"/>
      <c r="M20" s="62"/>
      <c r="N20" s="62"/>
    </row>
    <row r="21" spans="2:16" s="59" customFormat="1" x14ac:dyDescent="0.25">
      <c r="B21" s="123" t="s">
        <v>34</v>
      </c>
      <c r="C21" s="62">
        <f>+[7]SUMMERY!$E$19</f>
        <v>302840.89580000041</v>
      </c>
      <c r="D21" s="101">
        <f>+C21/$D$20</f>
        <v>4787.9983525691759</v>
      </c>
      <c r="E21" s="62"/>
      <c r="F21" s="296" t="s">
        <v>168</v>
      </c>
      <c r="G21" s="62">
        <f>+J17</f>
        <v>498865.79250000021</v>
      </c>
      <c r="H21" s="127"/>
      <c r="I21" s="275" t="s">
        <v>110</v>
      </c>
      <c r="J21" s="275"/>
      <c r="K21" s="275"/>
      <c r="L21" s="276"/>
      <c r="M21" s="62"/>
      <c r="N21" s="62"/>
    </row>
    <row r="22" spans="2:16" s="59" customFormat="1" x14ac:dyDescent="0.25">
      <c r="B22" s="125" t="s">
        <v>41</v>
      </c>
      <c r="C22" s="62">
        <f>+'[8] SUMMERY '!$F$19</f>
        <v>727458.65249999985</v>
      </c>
      <c r="D22" s="101">
        <f>+C22/$D$20</f>
        <v>11501.322569169959</v>
      </c>
      <c r="E22" s="62"/>
      <c r="F22" s="99" t="s">
        <v>15</v>
      </c>
      <c r="G22" s="62">
        <f>+'[5]LANDCO MET CASH'!$F$9</f>
        <v>352706.96250000014</v>
      </c>
      <c r="H22" s="62">
        <f>SUM(G22:G23)</f>
        <v>687706.96250000014</v>
      </c>
      <c r="I22" s="275" t="s">
        <v>6</v>
      </c>
      <c r="J22" s="277">
        <f>1375</f>
        <v>1375</v>
      </c>
      <c r="K22" s="275">
        <f>+J22*70</f>
        <v>96250</v>
      </c>
      <c r="L22" s="278"/>
      <c r="M22" s="62"/>
      <c r="N22" s="62"/>
    </row>
    <row r="23" spans="2:16" s="59" customFormat="1" x14ac:dyDescent="0.25">
      <c r="B23" s="123" t="s">
        <v>35</v>
      </c>
      <c r="C23" s="62">
        <f>+[9]SUMMERY!$F$19</f>
        <v>307359.51249999995</v>
      </c>
      <c r="D23" s="101">
        <f>+C23/$D$20</f>
        <v>4859.4389328063235</v>
      </c>
      <c r="E23" s="62"/>
      <c r="F23" s="296" t="s">
        <v>167</v>
      </c>
      <c r="G23" s="62">
        <f>+'[5]LANDCO US$ CASH'!$F$11</f>
        <v>335000</v>
      </c>
      <c r="I23" s="275" t="s">
        <v>82</v>
      </c>
      <c r="J23" s="277">
        <v>1375</v>
      </c>
      <c r="K23" s="275">
        <f>+J23*70</f>
        <v>96250</v>
      </c>
      <c r="L23" s="276" t="s">
        <v>104</v>
      </c>
      <c r="O23" s="99"/>
      <c r="P23" s="62"/>
    </row>
    <row r="24" spans="2:16" s="59" customFormat="1" x14ac:dyDescent="0.25">
      <c r="B24" s="123" t="s">
        <v>36</v>
      </c>
      <c r="C24" s="62">
        <f>+'[10]SUMMERY '!$F$19</f>
        <v>-90605.40750000003</v>
      </c>
      <c r="D24" s="101">
        <f>+C24/$D$20</f>
        <v>-1432.4965612648225</v>
      </c>
      <c r="E24" s="62"/>
      <c r="I24" s="275" t="s">
        <v>105</v>
      </c>
      <c r="J24" s="277">
        <v>0</v>
      </c>
      <c r="K24" s="275">
        <f>+J24*69</f>
        <v>0</v>
      </c>
      <c r="L24" s="279"/>
    </row>
    <row r="25" spans="2:16" s="59" customFormat="1" x14ac:dyDescent="0.25">
      <c r="B25" s="125" t="s">
        <v>42</v>
      </c>
      <c r="C25" s="62">
        <v>170900</v>
      </c>
      <c r="D25" s="101">
        <f>+C25/$D$20</f>
        <v>2701.97628458498</v>
      </c>
      <c r="E25" s="62"/>
      <c r="F25" s="126"/>
      <c r="G25" s="62"/>
      <c r="I25" s="275" t="s">
        <v>106</v>
      </c>
      <c r="J25" s="277">
        <v>0</v>
      </c>
      <c r="K25" s="275"/>
      <c r="L25" s="276"/>
    </row>
    <row r="26" spans="2:16" s="59" customFormat="1" ht="15.75" thickBot="1" x14ac:dyDescent="0.3">
      <c r="C26" s="100">
        <f>SUM(C21:C25)</f>
        <v>1417953.6533000001</v>
      </c>
      <c r="D26" s="102">
        <f>SUM(D21:D25)</f>
        <v>22418.239577865614</v>
      </c>
      <c r="G26" s="100">
        <f>SUM(G21:G25)</f>
        <v>1186572.7550000004</v>
      </c>
      <c r="I26" s="275"/>
      <c r="J26" s="277"/>
      <c r="K26" s="275"/>
      <c r="L26" s="275"/>
    </row>
    <row r="27" spans="2:16" ht="15.75" thickTop="1" x14ac:dyDescent="0.25">
      <c r="I27" s="301" t="s">
        <v>107</v>
      </c>
      <c r="J27" s="302"/>
      <c r="K27" s="281">
        <f>SUM(K22:K25)</f>
        <v>192500</v>
      </c>
      <c r="L27" s="275"/>
    </row>
    <row r="28" spans="2:16" x14ac:dyDescent="0.25">
      <c r="C28" s="32"/>
      <c r="G28" s="28"/>
      <c r="I28" s="280" t="s">
        <v>23</v>
      </c>
      <c r="J28" s="282"/>
      <c r="K28" s="280">
        <v>-140925.9</v>
      </c>
      <c r="L28" s="275"/>
    </row>
    <row r="29" spans="2:16" x14ac:dyDescent="0.25">
      <c r="G29" s="28">
        <f>+G26-F9</f>
        <v>7762.2617000001483</v>
      </c>
      <c r="I29" s="280" t="s">
        <v>108</v>
      </c>
      <c r="J29" s="282"/>
      <c r="K29" s="280">
        <v>-70000</v>
      </c>
      <c r="L29" s="275"/>
    </row>
    <row r="30" spans="2:16" x14ac:dyDescent="0.25">
      <c r="G30" s="32"/>
      <c r="I30" s="280" t="s">
        <v>109</v>
      </c>
      <c r="J30" s="280"/>
      <c r="K30" s="280">
        <v>-170900</v>
      </c>
      <c r="L30" s="275"/>
    </row>
    <row r="31" spans="2:16" x14ac:dyDescent="0.25">
      <c r="I31" s="280"/>
      <c r="J31" s="282">
        <f>SUM(J22:J30)</f>
        <v>2750</v>
      </c>
      <c r="K31" s="280">
        <f>SUM(K27:K30)</f>
        <v>-189325.9</v>
      </c>
      <c r="L31" s="275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L725"/>
  <sheetViews>
    <sheetView tabSelected="1" zoomScale="80" zoomScaleNormal="80" workbookViewId="0">
      <pane xSplit="5" ySplit="6" topLeftCell="O38" activePane="bottomRight" state="frozen"/>
      <selection pane="topRight" activeCell="F1" sqref="F1"/>
      <selection pane="bottomLeft" activeCell="A8" sqref="A8"/>
      <selection pane="bottomRight" activeCell="C46" sqref="C46"/>
    </sheetView>
  </sheetViews>
  <sheetFormatPr defaultColWidth="14.42578125" defaultRowHeight="17.25" x14ac:dyDescent="0.35"/>
  <cols>
    <col min="1" max="1" width="14.28515625" style="152" customWidth="1"/>
    <col min="2" max="2" width="26.5703125" style="29" customWidth="1"/>
    <col min="3" max="3" width="42.5703125" style="29" customWidth="1"/>
    <col min="4" max="4" width="7.5703125" style="29" customWidth="1"/>
    <col min="5" max="5" width="18.7109375" style="153" customWidth="1"/>
    <col min="6" max="7" width="13.5703125" style="132" customWidth="1"/>
    <col min="8" max="8" width="14.7109375" style="132" customWidth="1"/>
    <col min="9" max="9" width="13" style="132" customWidth="1"/>
    <col min="10" max="10" width="14.42578125" style="132"/>
    <col min="11" max="11" width="13.7109375" style="132" customWidth="1"/>
    <col min="12" max="12" width="13.28515625" style="132" customWidth="1"/>
    <col min="13" max="13" width="12.42578125" style="132" customWidth="1"/>
    <col min="14" max="14" width="11.140625" style="132" customWidth="1"/>
    <col min="15" max="15" width="14.7109375" style="132" customWidth="1"/>
    <col min="16" max="18" width="11.140625" style="132" customWidth="1"/>
    <col min="19" max="26" width="14.42578125" style="132"/>
    <col min="27" max="27" width="15.85546875" style="132" customWidth="1"/>
    <col min="28" max="28" width="13" style="154" customWidth="1"/>
    <col min="29" max="16384" width="14.42578125" style="29"/>
  </cols>
  <sheetData>
    <row r="1" spans="1:90" ht="23.25" x14ac:dyDescent="0.35">
      <c r="A1" s="128" t="s">
        <v>45</v>
      </c>
      <c r="B1" s="52"/>
      <c r="C1" s="129"/>
      <c r="D1" s="129"/>
      <c r="E1" s="130"/>
      <c r="F1" s="131" t="s">
        <v>7</v>
      </c>
      <c r="G1" s="131" t="s">
        <v>8</v>
      </c>
      <c r="I1" s="131" t="s">
        <v>9</v>
      </c>
      <c r="J1" s="131" t="s">
        <v>10</v>
      </c>
      <c r="M1" s="131"/>
      <c r="N1" s="133"/>
      <c r="O1" s="133"/>
      <c r="P1" s="131"/>
      <c r="Q1" s="131"/>
      <c r="AB1" s="134"/>
    </row>
    <row r="2" spans="1:90" ht="23.25" x14ac:dyDescent="0.35">
      <c r="A2" s="135"/>
      <c r="B2" s="52"/>
      <c r="C2" s="129" t="s">
        <v>46</v>
      </c>
      <c r="D2" s="129"/>
      <c r="E2" s="130">
        <f>SUM(E8:E52)</f>
        <v>693950.82000000007</v>
      </c>
      <c r="F2" s="131"/>
      <c r="G2" s="131"/>
      <c r="M2" s="131"/>
      <c r="N2" s="133"/>
      <c r="O2" s="133"/>
      <c r="P2" s="131"/>
      <c r="Q2" s="131"/>
      <c r="X2" s="130"/>
      <c r="AB2" s="134"/>
    </row>
    <row r="3" spans="1:90" ht="23.25" x14ac:dyDescent="0.35">
      <c r="A3" s="135"/>
      <c r="B3" s="52"/>
      <c r="C3" s="129" t="s">
        <v>47</v>
      </c>
      <c r="D3" s="129"/>
      <c r="E3" s="130">
        <f>SUM(E59:E67)</f>
        <v>212720</v>
      </c>
      <c r="F3" s="131"/>
      <c r="G3" s="131"/>
      <c r="M3" s="131"/>
      <c r="N3" s="133"/>
      <c r="O3" s="133"/>
      <c r="P3" s="131"/>
      <c r="Q3" s="131"/>
      <c r="W3" s="132" t="e">
        <f>+#REF!-E2</f>
        <v>#REF!</v>
      </c>
      <c r="AB3" s="134"/>
    </row>
    <row r="4" spans="1:90" ht="23.25" x14ac:dyDescent="0.35">
      <c r="A4" s="135"/>
      <c r="B4" s="52"/>
      <c r="C4" s="129" t="s">
        <v>48</v>
      </c>
      <c r="D4" s="129"/>
      <c r="E4" s="136">
        <f>SUM(E2:E3)</f>
        <v>906670.82000000007</v>
      </c>
      <c r="F4" s="131"/>
      <c r="G4" s="131">
        <f>+E4/4</f>
        <v>226667.70500000002</v>
      </c>
      <c r="H4" s="132">
        <f>+G4/63.25</f>
        <v>3583.679130434783</v>
      </c>
      <c r="M4" s="131"/>
      <c r="N4" s="133"/>
      <c r="O4" s="133"/>
      <c r="P4" s="131"/>
      <c r="Q4" s="131"/>
      <c r="AB4" s="134"/>
    </row>
    <row r="5" spans="1:90" ht="19.5" x14ac:dyDescent="0.4">
      <c r="A5" s="137"/>
      <c r="B5" s="134"/>
      <c r="C5" s="129"/>
      <c r="D5" s="129"/>
      <c r="E5" s="130"/>
      <c r="F5" s="297" t="s">
        <v>49</v>
      </c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AB5" s="134"/>
    </row>
    <row r="6" spans="1:90" ht="66.599999999999994" customHeight="1" x14ac:dyDescent="0.35">
      <c r="A6" s="138" t="s">
        <v>1</v>
      </c>
      <c r="B6" s="139" t="s">
        <v>50</v>
      </c>
      <c r="C6" s="139" t="s">
        <v>51</v>
      </c>
      <c r="D6" s="139"/>
      <c r="E6" s="140" t="s">
        <v>48</v>
      </c>
      <c r="F6" s="141" t="s">
        <v>52</v>
      </c>
      <c r="G6" s="142" t="s">
        <v>79</v>
      </c>
      <c r="H6" s="143" t="s">
        <v>54</v>
      </c>
      <c r="I6" s="144" t="s">
        <v>55</v>
      </c>
      <c r="J6" s="145" t="s">
        <v>56</v>
      </c>
      <c r="K6" s="142" t="s">
        <v>57</v>
      </c>
      <c r="L6" s="142" t="s">
        <v>58</v>
      </c>
      <c r="M6" s="142" t="s">
        <v>59</v>
      </c>
      <c r="N6" s="142" t="s">
        <v>60</v>
      </c>
      <c r="O6" s="142" t="s">
        <v>87</v>
      </c>
      <c r="P6" s="142" t="s">
        <v>61</v>
      </c>
      <c r="Q6" s="142" t="s">
        <v>62</v>
      </c>
      <c r="R6" s="142" t="s">
        <v>63</v>
      </c>
      <c r="S6" s="142" t="s">
        <v>64</v>
      </c>
      <c r="T6" s="142" t="s">
        <v>65</v>
      </c>
      <c r="U6" s="142" t="s">
        <v>100</v>
      </c>
      <c r="V6" s="143" t="s">
        <v>66</v>
      </c>
      <c r="W6" s="143" t="s">
        <v>67</v>
      </c>
      <c r="X6" s="143" t="s">
        <v>68</v>
      </c>
      <c r="Y6" s="143" t="s">
        <v>69</v>
      </c>
      <c r="Z6" s="143" t="s">
        <v>70</v>
      </c>
      <c r="AA6" s="146" t="s">
        <v>14</v>
      </c>
      <c r="AB6" s="147"/>
    </row>
    <row r="7" spans="1:90" ht="19.899999999999999" customHeight="1" x14ac:dyDescent="0.35">
      <c r="A7" s="171"/>
      <c r="B7" s="172"/>
      <c r="C7" s="173" t="s">
        <v>71</v>
      </c>
      <c r="D7" s="173"/>
      <c r="E7" s="174"/>
      <c r="F7" s="175"/>
      <c r="G7" s="187"/>
      <c r="H7" s="188"/>
      <c r="I7" s="189"/>
      <c r="J7" s="189"/>
      <c r="K7" s="187"/>
      <c r="L7" s="187"/>
      <c r="M7" s="187"/>
      <c r="N7" s="187"/>
      <c r="O7" s="187"/>
      <c r="P7" s="175"/>
      <c r="Q7" s="175"/>
      <c r="R7" s="187"/>
      <c r="S7" s="187"/>
      <c r="T7" s="187"/>
      <c r="U7" s="187"/>
      <c r="V7" s="188"/>
      <c r="W7" s="188"/>
      <c r="X7" s="188"/>
      <c r="Y7" s="188"/>
      <c r="Z7" s="188"/>
      <c r="AA7" s="175"/>
      <c r="AB7" s="176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</row>
    <row r="8" spans="1:90" ht="19.899999999999999" customHeight="1" x14ac:dyDescent="0.35">
      <c r="A8" s="283">
        <v>46055</v>
      </c>
      <c r="B8" s="235" t="s">
        <v>115</v>
      </c>
      <c r="C8" s="236" t="s">
        <v>116</v>
      </c>
      <c r="D8" s="173"/>
      <c r="E8" s="248">
        <v>10987.2</v>
      </c>
      <c r="F8" s="191"/>
      <c r="G8" s="192"/>
      <c r="H8" s="191">
        <f>+E8</f>
        <v>10987.2</v>
      </c>
      <c r="I8" s="193"/>
      <c r="J8" s="189"/>
      <c r="K8" s="192"/>
      <c r="L8" s="194"/>
      <c r="M8" s="194"/>
      <c r="N8" s="194"/>
      <c r="O8" s="192"/>
      <c r="P8" s="191"/>
      <c r="Q8" s="191"/>
      <c r="R8" s="194"/>
      <c r="S8" s="194"/>
      <c r="T8" s="194"/>
      <c r="U8" s="192"/>
      <c r="V8" s="195"/>
      <c r="W8" s="195"/>
      <c r="X8" s="196"/>
      <c r="Y8" s="195"/>
      <c r="Z8" s="195"/>
      <c r="AA8" s="197">
        <f t="shared" ref="AA8:AA47" si="0">SUM(F8:Z8)</f>
        <v>10987.2</v>
      </c>
      <c r="AB8" s="198" t="s">
        <v>5</v>
      </c>
      <c r="AC8" s="186">
        <f t="shared" ref="AC8:AC76" si="1">+E8-AA8</f>
        <v>0</v>
      </c>
      <c r="AD8" s="186"/>
      <c r="AE8" s="190"/>
      <c r="AF8" s="186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</row>
    <row r="9" spans="1:90" ht="19.899999999999999" customHeight="1" x14ac:dyDescent="0.35">
      <c r="A9" s="283">
        <v>46055</v>
      </c>
      <c r="B9" s="237" t="s">
        <v>117</v>
      </c>
      <c r="C9" s="236" t="s">
        <v>118</v>
      </c>
      <c r="D9" s="173"/>
      <c r="E9" s="249">
        <v>7</v>
      </c>
      <c r="F9" s="191"/>
      <c r="G9" s="192"/>
      <c r="H9" s="191"/>
      <c r="I9" s="261">
        <f>+E9</f>
        <v>7</v>
      </c>
      <c r="J9" s="189"/>
      <c r="K9" s="194"/>
      <c r="L9" s="194"/>
      <c r="M9" s="194"/>
      <c r="N9" s="194"/>
      <c r="O9" s="194"/>
      <c r="P9" s="191"/>
      <c r="Q9" s="191"/>
      <c r="R9" s="194"/>
      <c r="S9" s="194"/>
      <c r="T9" s="194"/>
      <c r="U9" s="192"/>
      <c r="V9" s="195"/>
      <c r="W9" s="195"/>
      <c r="X9" s="196"/>
      <c r="Y9" s="195"/>
      <c r="Z9" s="195"/>
      <c r="AA9" s="197">
        <f t="shared" si="0"/>
        <v>7</v>
      </c>
      <c r="AB9" s="198" t="s">
        <v>5</v>
      </c>
      <c r="AC9" s="186">
        <f t="shared" si="1"/>
        <v>0</v>
      </c>
      <c r="AD9" s="186"/>
      <c r="AE9" s="190"/>
      <c r="AF9" s="186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</row>
    <row r="10" spans="1:90" ht="19.5" customHeight="1" x14ac:dyDescent="0.35">
      <c r="A10" s="283">
        <v>46055</v>
      </c>
      <c r="B10" s="236" t="s">
        <v>119</v>
      </c>
      <c r="C10" s="236" t="s">
        <v>120</v>
      </c>
      <c r="D10" s="177"/>
      <c r="E10" s="248">
        <v>905</v>
      </c>
      <c r="F10" s="199"/>
      <c r="G10" s="200"/>
      <c r="H10" s="200"/>
      <c r="I10" s="200"/>
      <c r="J10" s="200"/>
      <c r="K10" s="200"/>
      <c r="L10" s="200"/>
      <c r="M10" s="200">
        <f>+E10</f>
        <v>905</v>
      </c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197">
        <f t="shared" si="0"/>
        <v>905</v>
      </c>
      <c r="AB10" s="198" t="s">
        <v>5</v>
      </c>
      <c r="AC10" s="186">
        <f t="shared" si="1"/>
        <v>0</v>
      </c>
      <c r="AD10" s="186"/>
      <c r="AE10" s="190"/>
      <c r="AF10" s="186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ht="19.5" customHeight="1" x14ac:dyDescent="0.35">
      <c r="A11" s="283">
        <v>46055</v>
      </c>
      <c r="B11" s="237" t="s">
        <v>119</v>
      </c>
      <c r="C11" s="236" t="s">
        <v>120</v>
      </c>
      <c r="D11" s="177"/>
      <c r="E11" s="249">
        <v>1519.6</v>
      </c>
      <c r="F11" s="199"/>
      <c r="G11" s="200"/>
      <c r="H11" s="200"/>
      <c r="I11" s="200"/>
      <c r="J11" s="200"/>
      <c r="K11" s="200"/>
      <c r="L11" s="200"/>
      <c r="M11" s="200">
        <f>+E11</f>
        <v>1519.6</v>
      </c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197">
        <f t="shared" si="0"/>
        <v>1519.6</v>
      </c>
      <c r="AB11" s="198" t="s">
        <v>5</v>
      </c>
      <c r="AC11" s="186">
        <f t="shared" si="1"/>
        <v>0</v>
      </c>
      <c r="AD11" s="190"/>
      <c r="AE11" s="190"/>
      <c r="AF11" s="186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ht="19.5" customHeight="1" x14ac:dyDescent="0.35">
      <c r="A12" s="283">
        <v>46055</v>
      </c>
      <c r="B12" s="237" t="s">
        <v>117</v>
      </c>
      <c r="C12" s="236" t="s">
        <v>118</v>
      </c>
      <c r="D12" s="177"/>
      <c r="E12" s="249">
        <v>7</v>
      </c>
      <c r="F12" s="199"/>
      <c r="G12" s="200"/>
      <c r="H12" s="200"/>
      <c r="I12" s="200">
        <f>+E12</f>
        <v>7</v>
      </c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197">
        <f t="shared" si="0"/>
        <v>7</v>
      </c>
      <c r="AB12" s="198" t="s">
        <v>5</v>
      </c>
      <c r="AC12" s="186">
        <f t="shared" si="1"/>
        <v>0</v>
      </c>
      <c r="AD12" s="190"/>
      <c r="AE12" s="190"/>
      <c r="AF12" s="186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ht="19.5" customHeight="1" x14ac:dyDescent="0.35">
      <c r="A13" s="283">
        <v>46055</v>
      </c>
      <c r="B13" s="237" t="s">
        <v>121</v>
      </c>
      <c r="C13" s="236" t="s">
        <v>116</v>
      </c>
      <c r="D13" s="177"/>
      <c r="E13" s="248">
        <v>1000</v>
      </c>
      <c r="F13" s="199"/>
      <c r="G13" s="200"/>
      <c r="H13" s="200">
        <f>+E13</f>
        <v>1000</v>
      </c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197">
        <f t="shared" si="0"/>
        <v>1000</v>
      </c>
      <c r="AB13" s="198" t="s">
        <v>5</v>
      </c>
      <c r="AC13" s="186">
        <f t="shared" si="1"/>
        <v>0</v>
      </c>
      <c r="AD13" s="190"/>
      <c r="AE13" s="190"/>
      <c r="AF13" s="186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19.5" customHeight="1" x14ac:dyDescent="0.35">
      <c r="A14" s="283">
        <v>46055</v>
      </c>
      <c r="B14" s="237" t="s">
        <v>117</v>
      </c>
      <c r="C14" s="238" t="s">
        <v>118</v>
      </c>
      <c r="D14" s="177"/>
      <c r="E14" s="250">
        <v>7</v>
      </c>
      <c r="F14" s="199"/>
      <c r="G14" s="200"/>
      <c r="H14" s="200"/>
      <c r="I14" s="200">
        <f>+E14</f>
        <v>7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197">
        <f t="shared" si="0"/>
        <v>7</v>
      </c>
      <c r="AB14" s="198" t="s">
        <v>5</v>
      </c>
      <c r="AC14" s="186">
        <f t="shared" si="1"/>
        <v>0</v>
      </c>
      <c r="AD14" s="190"/>
      <c r="AE14" s="190"/>
      <c r="AF14" s="186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ht="19.5" customHeight="1" x14ac:dyDescent="0.35">
      <c r="A15" s="283">
        <v>46057</v>
      </c>
      <c r="B15" s="237" t="s">
        <v>122</v>
      </c>
      <c r="C15" s="236" t="s">
        <v>162</v>
      </c>
      <c r="D15" s="177"/>
      <c r="E15" s="287"/>
      <c r="F15" s="199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197">
        <f t="shared" si="0"/>
        <v>0</v>
      </c>
      <c r="AB15" s="198" t="s">
        <v>5</v>
      </c>
      <c r="AC15" s="186">
        <f t="shared" si="1"/>
        <v>0</v>
      </c>
      <c r="AD15" s="190"/>
      <c r="AE15" s="190"/>
      <c r="AF15" s="186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ht="19.5" customHeight="1" x14ac:dyDescent="0.35">
      <c r="A16" s="283"/>
      <c r="B16" s="237" t="s">
        <v>122</v>
      </c>
      <c r="C16" s="236" t="s">
        <v>163</v>
      </c>
      <c r="D16" s="177"/>
      <c r="E16" s="250">
        <v>3512.26</v>
      </c>
      <c r="F16" s="199"/>
      <c r="G16" s="200"/>
      <c r="H16" s="200">
        <v>3512.26</v>
      </c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197">
        <f t="shared" si="0"/>
        <v>3512.26</v>
      </c>
      <c r="AB16" s="198" t="s">
        <v>5</v>
      </c>
      <c r="AC16" s="186">
        <f t="shared" si="1"/>
        <v>0</v>
      </c>
      <c r="AD16" s="190"/>
      <c r="AE16" s="190"/>
      <c r="AF16" s="186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ht="19.5" customHeight="1" x14ac:dyDescent="0.35">
      <c r="A17" s="283">
        <v>46057</v>
      </c>
      <c r="B17" s="237" t="s">
        <v>117</v>
      </c>
      <c r="C17" s="236" t="s">
        <v>118</v>
      </c>
      <c r="D17" s="177"/>
      <c r="E17" s="248">
        <v>7</v>
      </c>
      <c r="F17" s="199"/>
      <c r="G17" s="200"/>
      <c r="H17" s="200"/>
      <c r="I17" s="200">
        <f>+E17</f>
        <v>7</v>
      </c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197">
        <f t="shared" si="0"/>
        <v>7</v>
      </c>
      <c r="AB17" s="198" t="s">
        <v>5</v>
      </c>
      <c r="AC17" s="186">
        <f t="shared" si="1"/>
        <v>0</v>
      </c>
      <c r="AD17" s="190"/>
      <c r="AE17" s="190"/>
      <c r="AF17" s="186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ht="19.5" customHeight="1" x14ac:dyDescent="0.35">
      <c r="A18" s="283">
        <v>46062</v>
      </c>
      <c r="B18" s="237" t="s">
        <v>121</v>
      </c>
      <c r="C18" s="236" t="s">
        <v>116</v>
      </c>
      <c r="D18" s="177"/>
      <c r="E18" s="250">
        <v>3500</v>
      </c>
      <c r="F18" s="199"/>
      <c r="G18" s="200"/>
      <c r="H18" s="200">
        <f>+E18</f>
        <v>3500</v>
      </c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197">
        <f t="shared" si="0"/>
        <v>3500</v>
      </c>
      <c r="AB18" s="198" t="s">
        <v>5</v>
      </c>
      <c r="AC18" s="186">
        <f t="shared" si="1"/>
        <v>0</v>
      </c>
      <c r="AD18" s="190"/>
      <c r="AE18" s="190"/>
      <c r="AF18" s="186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ht="19.5" customHeight="1" x14ac:dyDescent="0.35">
      <c r="A19" s="283">
        <v>46062</v>
      </c>
      <c r="B19" s="237" t="s">
        <v>117</v>
      </c>
      <c r="C19" s="236" t="s">
        <v>118</v>
      </c>
      <c r="D19" s="177"/>
      <c r="E19" s="250">
        <v>7</v>
      </c>
      <c r="F19" s="199"/>
      <c r="G19" s="200"/>
      <c r="H19" s="200"/>
      <c r="I19" s="200">
        <f>+E19</f>
        <v>7</v>
      </c>
      <c r="J19" s="200"/>
      <c r="K19" s="200"/>
      <c r="L19" s="200"/>
      <c r="M19" s="200"/>
      <c r="N19" s="200"/>
      <c r="O19" s="201"/>
      <c r="P19" s="186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197">
        <f t="shared" si="0"/>
        <v>7</v>
      </c>
      <c r="AB19" s="198" t="s">
        <v>5</v>
      </c>
      <c r="AC19" s="186">
        <f t="shared" si="1"/>
        <v>0</v>
      </c>
      <c r="AD19" s="190"/>
      <c r="AE19" s="190"/>
      <c r="AF19" s="186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ht="19.5" customHeight="1" x14ac:dyDescent="0.35">
      <c r="A20" s="283">
        <v>46063</v>
      </c>
      <c r="B20" s="237" t="s">
        <v>123</v>
      </c>
      <c r="C20" s="236" t="s">
        <v>124</v>
      </c>
      <c r="D20" s="177"/>
      <c r="E20" s="248">
        <v>58424.49</v>
      </c>
      <c r="F20" s="199"/>
      <c r="G20" s="200"/>
      <c r="H20" s="200"/>
      <c r="I20" s="200"/>
      <c r="J20" s="200"/>
      <c r="K20" s="200">
        <f>+E20</f>
        <v>58424.49</v>
      </c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197">
        <f t="shared" si="0"/>
        <v>58424.49</v>
      </c>
      <c r="AB20" s="198" t="s">
        <v>5</v>
      </c>
      <c r="AC20" s="186">
        <f t="shared" si="1"/>
        <v>0</v>
      </c>
      <c r="AD20" s="190"/>
      <c r="AE20" s="190"/>
      <c r="AF20" s="186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ht="19.5" customHeight="1" x14ac:dyDescent="0.35">
      <c r="A21" s="283">
        <v>46063</v>
      </c>
      <c r="B21" s="237" t="s">
        <v>117</v>
      </c>
      <c r="C21" s="236" t="s">
        <v>118</v>
      </c>
      <c r="D21" s="177"/>
      <c r="E21" s="250">
        <v>7</v>
      </c>
      <c r="F21" s="199"/>
      <c r="G21" s="200"/>
      <c r="H21" s="200"/>
      <c r="I21" s="200">
        <f>+E21</f>
        <v>7</v>
      </c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197">
        <f t="shared" si="0"/>
        <v>7</v>
      </c>
      <c r="AB21" s="198" t="s">
        <v>5</v>
      </c>
      <c r="AC21" s="186">
        <f t="shared" si="1"/>
        <v>0</v>
      </c>
      <c r="AD21" s="190"/>
      <c r="AE21" s="190"/>
      <c r="AF21" s="186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ht="19.5" customHeight="1" x14ac:dyDescent="0.35">
      <c r="A22" s="283">
        <v>46067</v>
      </c>
      <c r="B22" s="237" t="s">
        <v>125</v>
      </c>
      <c r="C22" s="236" t="s">
        <v>126</v>
      </c>
      <c r="D22" s="177"/>
      <c r="E22" s="250">
        <v>4263</v>
      </c>
      <c r="F22" s="199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>
        <f>+E22</f>
        <v>4263</v>
      </c>
      <c r="S22" s="200"/>
      <c r="T22" s="200"/>
      <c r="U22" s="200"/>
      <c r="V22" s="200"/>
      <c r="W22" s="200"/>
      <c r="X22" s="200"/>
      <c r="Y22" s="200"/>
      <c r="Z22" s="200"/>
      <c r="AA22" s="197">
        <f t="shared" si="0"/>
        <v>4263</v>
      </c>
      <c r="AB22" s="198" t="s">
        <v>5</v>
      </c>
      <c r="AC22" s="186">
        <f t="shared" si="1"/>
        <v>0</v>
      </c>
      <c r="AD22" s="190"/>
      <c r="AE22" s="190"/>
      <c r="AF22" s="186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ht="19.5" customHeight="1" x14ac:dyDescent="0.35">
      <c r="A23" s="283">
        <v>46071</v>
      </c>
      <c r="B23" s="237" t="s">
        <v>121</v>
      </c>
      <c r="C23" s="236" t="s">
        <v>116</v>
      </c>
      <c r="D23" s="177"/>
      <c r="E23" s="250">
        <v>500</v>
      </c>
      <c r="F23" s="199"/>
      <c r="G23" s="200"/>
      <c r="H23" s="200">
        <f>+E23</f>
        <v>500</v>
      </c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197">
        <f t="shared" si="0"/>
        <v>500</v>
      </c>
      <c r="AB23" s="198" t="s">
        <v>5</v>
      </c>
      <c r="AC23" s="186">
        <f t="shared" si="1"/>
        <v>0</v>
      </c>
      <c r="AD23" s="190"/>
      <c r="AE23" s="190"/>
      <c r="AF23" s="186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1:90" ht="19.5" customHeight="1" x14ac:dyDescent="0.35">
      <c r="A24" s="283">
        <v>46071</v>
      </c>
      <c r="B24" s="237" t="s">
        <v>117</v>
      </c>
      <c r="C24" s="236" t="s">
        <v>118</v>
      </c>
      <c r="D24" s="177"/>
      <c r="E24" s="250">
        <v>7</v>
      </c>
      <c r="F24" s="199"/>
      <c r="G24" s="200"/>
      <c r="H24" s="200"/>
      <c r="I24" s="200">
        <f>+E24</f>
        <v>7</v>
      </c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197">
        <f t="shared" si="0"/>
        <v>7</v>
      </c>
      <c r="AB24" s="198" t="s">
        <v>5</v>
      </c>
      <c r="AC24" s="186">
        <f t="shared" si="1"/>
        <v>0</v>
      </c>
      <c r="AD24" s="190"/>
      <c r="AE24" s="190"/>
      <c r="AF24" s="186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1:90" ht="19.5" customHeight="1" x14ac:dyDescent="0.35">
      <c r="A25" s="283">
        <v>46071</v>
      </c>
      <c r="B25" s="236" t="s">
        <v>127</v>
      </c>
      <c r="C25" s="236" t="s">
        <v>128</v>
      </c>
      <c r="D25" s="177"/>
      <c r="E25" s="248">
        <v>37386.800000000003</v>
      </c>
      <c r="F25" s="199"/>
      <c r="G25" s="200"/>
      <c r="H25" s="200"/>
      <c r="I25" s="200"/>
      <c r="J25" s="200">
        <f>+E25</f>
        <v>37386.800000000003</v>
      </c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197">
        <f t="shared" si="0"/>
        <v>37386.800000000003</v>
      </c>
      <c r="AB25" s="198" t="s">
        <v>5</v>
      </c>
      <c r="AC25" s="186">
        <f t="shared" si="1"/>
        <v>0</v>
      </c>
      <c r="AD25" s="190"/>
      <c r="AE25" s="190"/>
      <c r="AF25" s="186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ht="19.5" customHeight="1" x14ac:dyDescent="0.35">
      <c r="A26" s="283">
        <v>46071</v>
      </c>
      <c r="B26" s="237" t="s">
        <v>117</v>
      </c>
      <c r="C26" s="236" t="s">
        <v>118</v>
      </c>
      <c r="D26" s="177"/>
      <c r="E26" s="250">
        <v>7</v>
      </c>
      <c r="F26" s="199"/>
      <c r="G26" s="200"/>
      <c r="H26" s="200"/>
      <c r="I26" s="200">
        <f>+E26</f>
        <v>7</v>
      </c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197">
        <f t="shared" si="0"/>
        <v>7</v>
      </c>
      <c r="AB26" s="198" t="s">
        <v>5</v>
      </c>
      <c r="AC26" s="186">
        <f t="shared" si="1"/>
        <v>0</v>
      </c>
      <c r="AD26" s="190"/>
      <c r="AE26" s="190"/>
      <c r="AF26" s="186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1:90" ht="19.5" customHeight="1" x14ac:dyDescent="0.35">
      <c r="A27" s="283">
        <v>46072</v>
      </c>
      <c r="B27" s="236" t="s">
        <v>129</v>
      </c>
      <c r="C27" s="236" t="s">
        <v>130</v>
      </c>
      <c r="D27" s="177"/>
      <c r="E27" s="250">
        <v>146740</v>
      </c>
      <c r="F27" s="199"/>
      <c r="G27" s="200"/>
      <c r="H27" s="200"/>
      <c r="I27" s="200"/>
      <c r="J27" s="200">
        <f>+E27</f>
        <v>146740</v>
      </c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197">
        <f t="shared" si="0"/>
        <v>146740</v>
      </c>
      <c r="AB27" s="198" t="s">
        <v>5</v>
      </c>
      <c r="AC27" s="186">
        <f t="shared" si="1"/>
        <v>0</v>
      </c>
      <c r="AD27" s="190"/>
      <c r="AE27" s="190"/>
      <c r="AF27" s="186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1:90" ht="19.5" customHeight="1" x14ac:dyDescent="0.35">
      <c r="A28" s="283">
        <v>46072</v>
      </c>
      <c r="B28" s="237" t="s">
        <v>117</v>
      </c>
      <c r="C28" s="236" t="s">
        <v>118</v>
      </c>
      <c r="D28" s="177"/>
      <c r="E28" s="250">
        <v>7</v>
      </c>
      <c r="F28" s="199"/>
      <c r="G28" s="200"/>
      <c r="H28" s="200"/>
      <c r="I28" s="200">
        <v>7</v>
      </c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197">
        <f t="shared" si="0"/>
        <v>7</v>
      </c>
      <c r="AB28" s="198" t="s">
        <v>5</v>
      </c>
      <c r="AC28" s="186">
        <f t="shared" si="1"/>
        <v>0</v>
      </c>
      <c r="AD28" s="190"/>
      <c r="AE28" s="190"/>
      <c r="AF28" s="186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1:90" ht="19.5" customHeight="1" x14ac:dyDescent="0.35">
      <c r="A29" s="283">
        <v>46076</v>
      </c>
      <c r="B29" s="236" t="s">
        <v>131</v>
      </c>
      <c r="C29" s="236" t="s">
        <v>124</v>
      </c>
      <c r="D29" s="177"/>
      <c r="E29" s="250">
        <v>4470.6099999999997</v>
      </c>
      <c r="F29" s="199"/>
      <c r="G29" s="200"/>
      <c r="H29" s="200"/>
      <c r="I29" s="200"/>
      <c r="J29" s="200"/>
      <c r="K29" s="200">
        <f>+E29</f>
        <v>4470.6099999999997</v>
      </c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197">
        <f t="shared" si="0"/>
        <v>4470.6099999999997</v>
      </c>
      <c r="AB29" s="198" t="s">
        <v>5</v>
      </c>
      <c r="AC29" s="186">
        <f t="shared" si="1"/>
        <v>0</v>
      </c>
      <c r="AD29" s="190"/>
      <c r="AE29" s="190"/>
      <c r="AF29" s="186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1:90" ht="19.5" customHeight="1" x14ac:dyDescent="0.35">
      <c r="A30" s="283">
        <v>46076</v>
      </c>
      <c r="B30" s="237" t="s">
        <v>117</v>
      </c>
      <c r="C30" s="236" t="s">
        <v>118</v>
      </c>
      <c r="D30" s="177"/>
      <c r="E30" s="250">
        <v>7</v>
      </c>
      <c r="F30" s="199"/>
      <c r="G30" s="200"/>
      <c r="H30" s="200"/>
      <c r="I30" s="200">
        <v>7</v>
      </c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197">
        <f t="shared" si="0"/>
        <v>7</v>
      </c>
      <c r="AB30" s="198" t="s">
        <v>5</v>
      </c>
      <c r="AC30" s="186">
        <f t="shared" si="1"/>
        <v>0</v>
      </c>
      <c r="AD30" s="190"/>
      <c r="AE30" s="190"/>
      <c r="AF30" s="186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1:90" ht="19.5" customHeight="1" x14ac:dyDescent="0.35">
      <c r="A31" s="283">
        <v>46076</v>
      </c>
      <c r="B31" s="237" t="s">
        <v>132</v>
      </c>
      <c r="C31" s="236" t="s">
        <v>133</v>
      </c>
      <c r="D31" s="177"/>
      <c r="E31" s="250">
        <v>20787.2</v>
      </c>
      <c r="F31" s="199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>
        <f>+E31</f>
        <v>20787.2</v>
      </c>
      <c r="Z31" s="200"/>
      <c r="AA31" s="197">
        <f t="shared" si="0"/>
        <v>20787.2</v>
      </c>
      <c r="AB31" s="198" t="s">
        <v>5</v>
      </c>
      <c r="AC31" s="186">
        <f t="shared" si="1"/>
        <v>0</v>
      </c>
      <c r="AD31" s="190"/>
      <c r="AE31" s="269"/>
      <c r="AF31" s="186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ht="19.5" customHeight="1" x14ac:dyDescent="0.35">
      <c r="A32" s="283">
        <v>46076</v>
      </c>
      <c r="B32" s="237" t="s">
        <v>117</v>
      </c>
      <c r="C32" s="236" t="s">
        <v>118</v>
      </c>
      <c r="D32" s="177"/>
      <c r="E32" s="250">
        <v>120</v>
      </c>
      <c r="F32" s="199"/>
      <c r="G32" s="200"/>
      <c r="H32" s="200"/>
      <c r="I32" s="200">
        <v>120</v>
      </c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197">
        <f t="shared" si="0"/>
        <v>120</v>
      </c>
      <c r="AB32" s="198" t="s">
        <v>5</v>
      </c>
      <c r="AC32" s="186">
        <f t="shared" si="1"/>
        <v>0</v>
      </c>
      <c r="AD32" s="190"/>
      <c r="AE32" s="190"/>
      <c r="AF32" s="186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90" ht="19.5" customHeight="1" x14ac:dyDescent="0.35">
      <c r="A33" s="283">
        <v>46076</v>
      </c>
      <c r="B33" s="236" t="s">
        <v>134</v>
      </c>
      <c r="C33" s="236" t="s">
        <v>135</v>
      </c>
      <c r="D33" s="177"/>
      <c r="E33" s="251">
        <v>1409.68</v>
      </c>
      <c r="F33" s="199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>
        <f>+E33</f>
        <v>1409.68</v>
      </c>
      <c r="R33" s="200"/>
      <c r="S33" s="200"/>
      <c r="T33" s="200"/>
      <c r="U33" s="200"/>
      <c r="V33" s="200"/>
      <c r="W33" s="200"/>
      <c r="X33" s="200"/>
      <c r="Y33" s="200"/>
      <c r="Z33" s="200"/>
      <c r="AA33" s="197">
        <f t="shared" si="0"/>
        <v>1409.68</v>
      </c>
      <c r="AB33" s="198" t="s">
        <v>5</v>
      </c>
      <c r="AC33" s="186">
        <f t="shared" si="1"/>
        <v>0</v>
      </c>
      <c r="AD33" s="190"/>
      <c r="AE33" s="190"/>
      <c r="AF33" s="186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1:90" ht="19.5" customHeight="1" x14ac:dyDescent="0.35">
      <c r="A34" s="283">
        <v>46076</v>
      </c>
      <c r="B34" s="237" t="s">
        <v>136</v>
      </c>
      <c r="C34" s="236" t="s">
        <v>137</v>
      </c>
      <c r="D34" s="177"/>
      <c r="E34" s="236">
        <v>21558.6</v>
      </c>
      <c r="F34" s="199"/>
      <c r="G34" s="200"/>
      <c r="H34" s="200"/>
      <c r="I34" s="200"/>
      <c r="J34" s="200"/>
      <c r="K34" s="200"/>
      <c r="L34" s="200">
        <f>+E34</f>
        <v>21558.6</v>
      </c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197">
        <f t="shared" si="0"/>
        <v>21558.6</v>
      </c>
      <c r="AB34" s="198" t="s">
        <v>5</v>
      </c>
      <c r="AC34" s="186">
        <f t="shared" si="1"/>
        <v>0</v>
      </c>
      <c r="AD34" s="190"/>
      <c r="AE34" s="190"/>
      <c r="AF34" s="186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1:90" ht="19.5" customHeight="1" x14ac:dyDescent="0.35">
      <c r="A35" s="283">
        <v>46076</v>
      </c>
      <c r="B35" s="237" t="s">
        <v>117</v>
      </c>
      <c r="C35" s="236" t="s">
        <v>118</v>
      </c>
      <c r="D35" s="177"/>
      <c r="E35" s="236">
        <v>7</v>
      </c>
      <c r="F35" s="199"/>
      <c r="G35" s="200"/>
      <c r="H35" s="200"/>
      <c r="I35" s="200">
        <v>7</v>
      </c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197">
        <f t="shared" si="0"/>
        <v>7</v>
      </c>
      <c r="AB35" s="198" t="s">
        <v>5</v>
      </c>
      <c r="AC35" s="186">
        <f t="shared" si="1"/>
        <v>0</v>
      </c>
      <c r="AD35" s="190"/>
      <c r="AE35" s="190"/>
      <c r="AF35" s="186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:90" ht="19.5" customHeight="1" x14ac:dyDescent="0.35">
      <c r="A36" s="283">
        <v>46078</v>
      </c>
      <c r="B36" s="284" t="s">
        <v>138</v>
      </c>
      <c r="C36" s="265" t="s">
        <v>78</v>
      </c>
      <c r="D36" s="177"/>
      <c r="E36" s="236"/>
      <c r="F36" s="199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197">
        <f t="shared" si="0"/>
        <v>0</v>
      </c>
      <c r="AB36" s="198" t="s">
        <v>5</v>
      </c>
      <c r="AC36" s="186">
        <f t="shared" si="1"/>
        <v>0</v>
      </c>
      <c r="AD36" s="190"/>
      <c r="AE36" s="190"/>
      <c r="AF36" s="186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:90" ht="19.5" customHeight="1" x14ac:dyDescent="0.35">
      <c r="A37" s="283">
        <v>46078</v>
      </c>
      <c r="B37" s="237" t="s">
        <v>139</v>
      </c>
      <c r="C37" s="236" t="s">
        <v>140</v>
      </c>
      <c r="D37" s="177"/>
      <c r="E37" s="236">
        <v>310752.26</v>
      </c>
      <c r="F37" s="199">
        <f>+'[1]Folha de salarios'!$AH$10</f>
        <v>169068.41666666669</v>
      </c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>
        <f>+'[1]Folha de salarios'!$AH$18</f>
        <v>35109.333333333336</v>
      </c>
      <c r="W37" s="200">
        <f>+'[1]Folha de salarios'!$AH$21</f>
        <v>65199.916666666672</v>
      </c>
      <c r="X37" s="200">
        <f>+'[1]Folha de salarios'!$AH$25</f>
        <v>38723.333333333328</v>
      </c>
      <c r="Y37" s="200">
        <f>+'[1]Folha de salarios'!$AH$28</f>
        <v>43125</v>
      </c>
      <c r="Z37" s="200"/>
      <c r="AA37" s="197">
        <f t="shared" si="0"/>
        <v>351226</v>
      </c>
      <c r="AB37" s="198" t="s">
        <v>5</v>
      </c>
      <c r="AC37" s="186">
        <f t="shared" si="1"/>
        <v>-40473.739999999991</v>
      </c>
      <c r="AD37" s="190"/>
      <c r="AE37" s="190"/>
      <c r="AF37" s="186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1:90" ht="19.5" customHeight="1" x14ac:dyDescent="0.35">
      <c r="A38" s="283">
        <v>46078</v>
      </c>
      <c r="B38" s="237" t="s">
        <v>117</v>
      </c>
      <c r="C38" s="236" t="s">
        <v>118</v>
      </c>
      <c r="D38" s="177"/>
      <c r="E38" s="236">
        <v>254</v>
      </c>
      <c r="F38" s="199"/>
      <c r="G38" s="200"/>
      <c r="H38" s="200"/>
      <c r="I38" s="200">
        <f>+E38</f>
        <v>254</v>
      </c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197">
        <f t="shared" si="0"/>
        <v>254</v>
      </c>
      <c r="AB38" s="198" t="s">
        <v>5</v>
      </c>
      <c r="AC38" s="186">
        <f t="shared" si="1"/>
        <v>0</v>
      </c>
      <c r="AD38" s="190"/>
      <c r="AE38" s="190"/>
      <c r="AF38" s="186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1:90" ht="19.5" customHeight="1" x14ac:dyDescent="0.35">
      <c r="A39" s="283">
        <v>46079</v>
      </c>
      <c r="B39" s="264" t="s">
        <v>141</v>
      </c>
      <c r="C39" s="265" t="s">
        <v>64</v>
      </c>
      <c r="D39" s="177"/>
      <c r="E39" s="236">
        <v>755</v>
      </c>
      <c r="F39" s="199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>
        <f>+E39</f>
        <v>755</v>
      </c>
      <c r="T39" s="200"/>
      <c r="U39" s="200"/>
      <c r="V39" s="200"/>
      <c r="W39" s="200"/>
      <c r="X39" s="200"/>
      <c r="Y39" s="200"/>
      <c r="Z39" s="200"/>
      <c r="AA39" s="197">
        <f t="shared" si="0"/>
        <v>755</v>
      </c>
      <c r="AB39" s="198" t="s">
        <v>5</v>
      </c>
      <c r="AC39" s="186">
        <f t="shared" si="1"/>
        <v>0</v>
      </c>
      <c r="AD39" s="190"/>
      <c r="AE39" s="190"/>
      <c r="AF39" s="186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1:90" ht="19.5" customHeight="1" x14ac:dyDescent="0.35">
      <c r="A40" s="283">
        <v>46079</v>
      </c>
      <c r="B40" s="266" t="s">
        <v>142</v>
      </c>
      <c r="C40" s="265" t="s">
        <v>126</v>
      </c>
      <c r="D40" s="177"/>
      <c r="E40" s="236">
        <v>1465</v>
      </c>
      <c r="F40" s="199"/>
      <c r="G40" s="200"/>
      <c r="H40" s="200"/>
      <c r="I40" s="200"/>
      <c r="J40" s="200"/>
      <c r="K40" s="200"/>
      <c r="L40" s="200">
        <f>+E40</f>
        <v>1465</v>
      </c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197">
        <f t="shared" si="0"/>
        <v>1465</v>
      </c>
      <c r="AB40" s="198" t="s">
        <v>5</v>
      </c>
      <c r="AC40" s="186">
        <f t="shared" si="1"/>
        <v>0</v>
      </c>
      <c r="AD40" s="190"/>
      <c r="AE40" s="190"/>
      <c r="AF40" s="186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1:90" ht="19.5" customHeight="1" x14ac:dyDescent="0.35">
      <c r="A41" s="283">
        <v>46080</v>
      </c>
      <c r="B41" s="236" t="s">
        <v>143</v>
      </c>
      <c r="C41" s="236" t="s">
        <v>126</v>
      </c>
      <c r="D41" s="177"/>
      <c r="E41" s="250">
        <v>1250</v>
      </c>
      <c r="F41" s="199"/>
      <c r="G41" s="200"/>
      <c r="H41" s="200"/>
      <c r="I41" s="200"/>
      <c r="J41" s="200"/>
      <c r="K41" s="200"/>
      <c r="L41" s="200">
        <f>+E41</f>
        <v>1250</v>
      </c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197">
        <f t="shared" si="0"/>
        <v>1250</v>
      </c>
      <c r="AB41" s="198" t="s">
        <v>5</v>
      </c>
      <c r="AC41" s="186">
        <f t="shared" si="1"/>
        <v>0</v>
      </c>
      <c r="AD41" s="190"/>
      <c r="AE41" s="190"/>
      <c r="AF41" s="186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1:90" ht="19.5" customHeight="1" x14ac:dyDescent="0.35">
      <c r="A42" s="283"/>
      <c r="B42" s="236"/>
      <c r="C42" s="236" t="s">
        <v>89</v>
      </c>
      <c r="D42" s="177"/>
      <c r="E42" s="250">
        <f>+'[1]Folha de salarios'!$AC$32</f>
        <v>24585.820000000007</v>
      </c>
      <c r="F42" s="199">
        <f>+F37*0.04</f>
        <v>6762.7366666666676</v>
      </c>
      <c r="G42" s="200"/>
      <c r="H42" s="200">
        <f>+'[1]Folha de salarios'!$AC$31</f>
        <v>10536.78</v>
      </c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>
        <f>+V37*0.04</f>
        <v>1404.3733333333334</v>
      </c>
      <c r="W42" s="200">
        <f>+W37*0.04</f>
        <v>2607.9966666666669</v>
      </c>
      <c r="X42" s="200">
        <f>+X37*0.04</f>
        <v>1548.9333333333332</v>
      </c>
      <c r="Y42" s="200">
        <f>+Y37*0.04</f>
        <v>1725</v>
      </c>
      <c r="Z42" s="200"/>
      <c r="AA42" s="197">
        <f t="shared" si="0"/>
        <v>24585.820000000003</v>
      </c>
      <c r="AB42" s="198" t="s">
        <v>5</v>
      </c>
      <c r="AC42" s="186">
        <f t="shared" si="1"/>
        <v>0</v>
      </c>
      <c r="AD42" s="190"/>
      <c r="AE42" s="190"/>
      <c r="AF42" s="186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1:90" ht="19.5" customHeight="1" x14ac:dyDescent="0.35">
      <c r="A43" s="283"/>
      <c r="B43" s="236"/>
      <c r="C43" s="236" t="s">
        <v>88</v>
      </c>
      <c r="D43" s="177"/>
      <c r="E43" s="250">
        <v>10437.5</v>
      </c>
      <c r="F43" s="199"/>
      <c r="G43" s="200"/>
      <c r="H43" s="200">
        <f>+E43</f>
        <v>10437.5</v>
      </c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197">
        <f t="shared" ref="AA43" si="2">SUM(F43:Z43)</f>
        <v>10437.5</v>
      </c>
      <c r="AB43" s="198" t="s">
        <v>5</v>
      </c>
      <c r="AC43" s="186">
        <f t="shared" si="1"/>
        <v>0</v>
      </c>
      <c r="AD43" s="190"/>
      <c r="AE43" s="190"/>
      <c r="AF43" s="186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1:90" ht="19.5" customHeight="1" x14ac:dyDescent="0.35">
      <c r="A44" s="232"/>
      <c r="B44" s="237"/>
      <c r="C44" s="236"/>
      <c r="D44" s="177"/>
      <c r="E44" s="250"/>
      <c r="F44" s="199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197">
        <f t="shared" si="0"/>
        <v>0</v>
      </c>
      <c r="AB44" s="198" t="s">
        <v>5</v>
      </c>
      <c r="AC44" s="186">
        <f t="shared" si="1"/>
        <v>0</v>
      </c>
      <c r="AD44" s="190"/>
      <c r="AE44" s="190"/>
      <c r="AF44" s="186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1:90" ht="19.5" customHeight="1" x14ac:dyDescent="0.35">
      <c r="A45" s="240">
        <v>46058</v>
      </c>
      <c r="B45" s="243" t="s">
        <v>98</v>
      </c>
      <c r="C45" s="245" t="s">
        <v>90</v>
      </c>
      <c r="D45" s="177"/>
      <c r="E45" s="246">
        <v>495</v>
      </c>
      <c r="F45" s="199"/>
      <c r="G45" s="200"/>
      <c r="H45" s="200"/>
      <c r="I45" s="200">
        <f>+E45</f>
        <v>495</v>
      </c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197">
        <f t="shared" si="0"/>
        <v>495</v>
      </c>
      <c r="AB45" s="198" t="s">
        <v>97</v>
      </c>
      <c r="AC45" s="186">
        <f t="shared" si="1"/>
        <v>0</v>
      </c>
      <c r="AD45" s="190"/>
      <c r="AE45" s="190"/>
      <c r="AF45" s="186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1:90" ht="19.5" customHeight="1" x14ac:dyDescent="0.35">
      <c r="A46" s="240">
        <v>46062</v>
      </c>
      <c r="B46" s="244" t="s">
        <v>144</v>
      </c>
      <c r="C46" s="285" t="s">
        <v>145</v>
      </c>
      <c r="D46" s="177"/>
      <c r="E46" s="246">
        <v>10068.799999999999</v>
      </c>
      <c r="F46" s="199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>
        <f>+E46</f>
        <v>10068.799999999999</v>
      </c>
      <c r="Z46" s="200"/>
      <c r="AA46" s="197">
        <f t="shared" si="0"/>
        <v>10068.799999999999</v>
      </c>
      <c r="AB46" s="198" t="s">
        <v>97</v>
      </c>
      <c r="AC46" s="186">
        <f t="shared" si="1"/>
        <v>0</v>
      </c>
      <c r="AD46" s="190"/>
      <c r="AE46" s="190"/>
      <c r="AF46" s="186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1:90" ht="19.5" customHeight="1" x14ac:dyDescent="0.35">
      <c r="A47" s="241">
        <v>46064</v>
      </c>
      <c r="B47" s="243" t="s">
        <v>146</v>
      </c>
      <c r="C47" s="245" t="s">
        <v>64</v>
      </c>
      <c r="D47" s="177"/>
      <c r="E47" s="247">
        <v>910</v>
      </c>
      <c r="F47" s="199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>
        <f>+E47</f>
        <v>910</v>
      </c>
      <c r="T47" s="200"/>
      <c r="U47" s="200"/>
      <c r="V47" s="200"/>
      <c r="W47" s="200"/>
      <c r="X47" s="200"/>
      <c r="Y47" s="200"/>
      <c r="Z47" s="200"/>
      <c r="AA47" s="197">
        <f t="shared" si="0"/>
        <v>910</v>
      </c>
      <c r="AB47" s="198" t="s">
        <v>97</v>
      </c>
      <c r="AC47" s="186">
        <f t="shared" si="1"/>
        <v>0</v>
      </c>
      <c r="AD47" s="190"/>
      <c r="AE47" s="190"/>
      <c r="AF47" s="186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1:90" ht="19.5" customHeight="1" x14ac:dyDescent="0.35">
      <c r="A48" s="241">
        <v>46064</v>
      </c>
      <c r="B48" s="243" t="s">
        <v>147</v>
      </c>
      <c r="C48" s="245" t="s">
        <v>64</v>
      </c>
      <c r="D48" s="177"/>
      <c r="E48" s="247">
        <v>570</v>
      </c>
      <c r="F48" s="199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>
        <f>+E48</f>
        <v>570</v>
      </c>
      <c r="T48" s="200"/>
      <c r="U48" s="200"/>
      <c r="V48" s="200"/>
      <c r="W48" s="200"/>
      <c r="X48" s="200"/>
      <c r="Y48" s="200"/>
      <c r="Z48" s="200"/>
      <c r="AA48" s="197">
        <f t="shared" ref="AA48:AA79" si="3">SUM(F48:Z48)</f>
        <v>570</v>
      </c>
      <c r="AB48" s="198" t="s">
        <v>97</v>
      </c>
      <c r="AC48" s="186">
        <f t="shared" si="1"/>
        <v>0</v>
      </c>
      <c r="AD48" s="190"/>
      <c r="AE48" s="190"/>
      <c r="AF48" s="186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1:90" ht="19.5" customHeight="1" x14ac:dyDescent="0.35">
      <c r="A49" s="241">
        <v>46064</v>
      </c>
      <c r="B49" s="243" t="s">
        <v>148</v>
      </c>
      <c r="C49" s="245" t="s">
        <v>149</v>
      </c>
      <c r="D49" s="178"/>
      <c r="E49" s="247">
        <v>1030</v>
      </c>
      <c r="F49" s="199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>
        <v>1030</v>
      </c>
      <c r="W49" s="200"/>
      <c r="X49" s="200"/>
      <c r="Y49" s="178"/>
      <c r="Z49" s="179"/>
      <c r="AA49" s="197">
        <f t="shared" si="3"/>
        <v>1030</v>
      </c>
      <c r="AB49" s="198" t="s">
        <v>97</v>
      </c>
      <c r="AC49" s="186">
        <f t="shared" si="1"/>
        <v>0</v>
      </c>
      <c r="AD49" s="190"/>
      <c r="AE49" s="190"/>
      <c r="AF49" s="186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1:90" ht="19.5" customHeight="1" x14ac:dyDescent="0.35">
      <c r="A50" s="241">
        <v>46064</v>
      </c>
      <c r="B50" s="243" t="s">
        <v>150</v>
      </c>
      <c r="C50" s="245" t="s">
        <v>151</v>
      </c>
      <c r="D50" s="177"/>
      <c r="E50" s="247">
        <v>2420</v>
      </c>
      <c r="F50" s="199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>
        <f>+E50</f>
        <v>2420</v>
      </c>
      <c r="R50" s="200"/>
      <c r="S50" s="200"/>
      <c r="T50" s="200"/>
      <c r="U50" s="200"/>
      <c r="V50" s="200"/>
      <c r="W50" s="200"/>
      <c r="X50" s="200"/>
      <c r="Y50" s="200"/>
      <c r="Z50" s="200"/>
      <c r="AA50" s="197">
        <f t="shared" si="3"/>
        <v>2420</v>
      </c>
      <c r="AB50" s="198" t="s">
        <v>97</v>
      </c>
      <c r="AC50" s="186">
        <f t="shared" si="1"/>
        <v>0</v>
      </c>
      <c r="AD50" s="190"/>
      <c r="AE50" s="190"/>
      <c r="AF50" s="186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1:90" ht="19.5" customHeight="1" x14ac:dyDescent="0.35">
      <c r="A51" s="241">
        <v>46064</v>
      </c>
      <c r="B51" s="245" t="s">
        <v>152</v>
      </c>
      <c r="C51" s="245" t="s">
        <v>152</v>
      </c>
      <c r="D51" s="177"/>
      <c r="E51" s="247">
        <v>1296</v>
      </c>
      <c r="F51" s="259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>
        <f>+E51</f>
        <v>1296</v>
      </c>
      <c r="R51" s="200"/>
      <c r="S51" s="200"/>
      <c r="T51" s="200"/>
      <c r="U51" s="200"/>
      <c r="V51" s="200"/>
      <c r="W51" s="200"/>
      <c r="X51" s="200"/>
      <c r="Y51" s="200"/>
      <c r="Z51" s="200"/>
      <c r="AA51" s="197">
        <f t="shared" si="3"/>
        <v>1296</v>
      </c>
      <c r="AB51" s="198" t="s">
        <v>97</v>
      </c>
      <c r="AC51" s="186">
        <f t="shared" si="1"/>
        <v>0</v>
      </c>
      <c r="AD51" s="190"/>
      <c r="AE51" s="190"/>
      <c r="AF51" s="186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1:90" ht="19.5" customHeight="1" x14ac:dyDescent="0.35">
      <c r="A52" s="241">
        <v>46065</v>
      </c>
      <c r="B52" s="243" t="s">
        <v>153</v>
      </c>
      <c r="C52" s="245" t="s">
        <v>154</v>
      </c>
      <c r="D52" s="177"/>
      <c r="E52" s="286">
        <v>10500</v>
      </c>
      <c r="F52" s="259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>
        <f>+E52</f>
        <v>10500</v>
      </c>
      <c r="T52" s="200"/>
      <c r="U52" s="200"/>
      <c r="V52" s="200"/>
      <c r="W52" s="200"/>
      <c r="X52" s="200"/>
      <c r="Y52" s="200"/>
      <c r="Z52" s="200"/>
      <c r="AA52" s="197">
        <f t="shared" si="3"/>
        <v>10500</v>
      </c>
      <c r="AB52" s="198" t="s">
        <v>97</v>
      </c>
      <c r="AC52" s="186">
        <f t="shared" si="1"/>
        <v>0</v>
      </c>
      <c r="AD52" s="190"/>
      <c r="AE52" s="190"/>
      <c r="AF52" s="186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1:90" ht="19.5" customHeight="1" x14ac:dyDescent="0.35">
      <c r="A53" s="233"/>
      <c r="B53" s="237"/>
      <c r="C53" s="236"/>
      <c r="D53" s="177"/>
      <c r="E53" s="251"/>
      <c r="F53" s="199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197">
        <f t="shared" si="3"/>
        <v>0</v>
      </c>
      <c r="AB53" s="198" t="s">
        <v>5</v>
      </c>
      <c r="AC53" s="186">
        <f t="shared" si="1"/>
        <v>0</v>
      </c>
      <c r="AD53" s="190"/>
      <c r="AE53" s="190"/>
      <c r="AF53" s="186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1:90" ht="19.5" customHeight="1" x14ac:dyDescent="0.35">
      <c r="A54" s="233"/>
      <c r="B54" s="237"/>
      <c r="C54" s="236"/>
      <c r="D54" s="177"/>
      <c r="E54" s="295"/>
      <c r="F54" s="199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197"/>
      <c r="AB54" s="198"/>
      <c r="AC54" s="186"/>
      <c r="AD54" s="190"/>
      <c r="AE54" s="190"/>
      <c r="AF54" s="186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1:90" ht="19.5" customHeight="1" x14ac:dyDescent="0.35">
      <c r="A55" s="233"/>
      <c r="B55" s="237"/>
      <c r="C55" s="236"/>
      <c r="D55" s="177"/>
      <c r="E55" s="295"/>
      <c r="F55" s="199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197"/>
      <c r="AB55" s="198"/>
      <c r="AC55" s="186"/>
      <c r="AD55" s="190"/>
      <c r="AE55" s="190"/>
      <c r="AF55" s="186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1:90" ht="19.5" customHeight="1" x14ac:dyDescent="0.35">
      <c r="A56" s="233"/>
      <c r="B56" s="237"/>
      <c r="C56" s="236"/>
      <c r="D56" s="177"/>
      <c r="E56" s="295"/>
      <c r="F56" s="199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197"/>
      <c r="AB56" s="198"/>
      <c r="AC56" s="186"/>
      <c r="AD56" s="190"/>
      <c r="AE56" s="190"/>
      <c r="AF56" s="186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1:90" ht="19.5" customHeight="1" x14ac:dyDescent="0.35">
      <c r="A57" s="233"/>
      <c r="B57" s="237"/>
      <c r="C57" s="236"/>
      <c r="D57" s="177"/>
      <c r="E57" s="295"/>
      <c r="F57" s="199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197"/>
      <c r="AB57" s="198"/>
      <c r="AC57" s="186"/>
      <c r="AD57" s="190"/>
      <c r="AE57" s="190"/>
      <c r="AF57" s="186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1:90" ht="19.5" customHeight="1" x14ac:dyDescent="0.35">
      <c r="A58" s="233"/>
      <c r="B58" s="237"/>
      <c r="C58" s="236"/>
      <c r="D58" s="177"/>
      <c r="E58" s="295"/>
      <c r="F58" s="199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197"/>
      <c r="AB58" s="198"/>
      <c r="AC58" s="186"/>
      <c r="AD58" s="190"/>
      <c r="AE58" s="190"/>
      <c r="AF58" s="186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0"/>
      <c r="AV58" s="190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1:90" ht="19.5" customHeight="1" x14ac:dyDescent="0.35">
      <c r="A59" s="233"/>
      <c r="B59" s="237"/>
      <c r="C59" s="288" t="s">
        <v>155</v>
      </c>
      <c r="D59" s="177"/>
      <c r="E59" s="289">
        <v>3000</v>
      </c>
      <c r="F59" s="199"/>
      <c r="G59" s="200"/>
      <c r="H59" s="200"/>
      <c r="I59" s="200">
        <f>+E59</f>
        <v>3000</v>
      </c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197">
        <f t="shared" si="3"/>
        <v>3000</v>
      </c>
      <c r="AB59" s="198" t="s">
        <v>5</v>
      </c>
      <c r="AC59" s="186">
        <f t="shared" si="1"/>
        <v>0</v>
      </c>
      <c r="AD59" s="190"/>
      <c r="AE59" s="190"/>
      <c r="AF59" s="186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1:90" ht="19.5" customHeight="1" x14ac:dyDescent="0.35">
      <c r="A60" s="233"/>
      <c r="B60" s="236"/>
      <c r="C60" s="290" t="s">
        <v>156</v>
      </c>
      <c r="D60" s="177"/>
      <c r="E60" s="291">
        <v>800</v>
      </c>
      <c r="F60" s="199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>
        <v>800</v>
      </c>
      <c r="X60" s="200"/>
      <c r="Y60" s="200"/>
      <c r="Z60" s="200"/>
      <c r="AA60" s="197">
        <f t="shared" si="3"/>
        <v>800</v>
      </c>
      <c r="AB60" s="198" t="s">
        <v>5</v>
      </c>
      <c r="AC60" s="186">
        <f t="shared" si="1"/>
        <v>0</v>
      </c>
      <c r="AD60" s="190"/>
      <c r="AE60" s="190"/>
      <c r="AF60" s="186"/>
      <c r="AG60" s="190"/>
      <c r="AH60" s="190"/>
      <c r="AI60" s="190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190"/>
      <c r="AU60" s="190"/>
      <c r="AV60" s="19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1:90" ht="19.5" customHeight="1" x14ac:dyDescent="0.35">
      <c r="A61" s="233"/>
      <c r="B61" s="237"/>
      <c r="C61" s="263" t="s">
        <v>157</v>
      </c>
      <c r="D61" s="177"/>
      <c r="E61" s="292">
        <v>1600</v>
      </c>
      <c r="F61" s="199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>
        <v>1600</v>
      </c>
      <c r="Y61" s="200"/>
      <c r="Z61" s="200"/>
      <c r="AA61" s="197">
        <f t="shared" si="3"/>
        <v>1600</v>
      </c>
      <c r="AB61" s="198" t="s">
        <v>5</v>
      </c>
      <c r="AC61" s="186">
        <f t="shared" si="1"/>
        <v>0</v>
      </c>
      <c r="AD61" s="190"/>
      <c r="AE61" s="190"/>
      <c r="AF61" s="186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1:90" ht="19.5" customHeight="1" x14ac:dyDescent="0.35">
      <c r="A62" s="233"/>
      <c r="B62" s="236"/>
      <c r="C62" s="290" t="s">
        <v>156</v>
      </c>
      <c r="D62" s="177"/>
      <c r="E62" s="292">
        <v>800</v>
      </c>
      <c r="F62" s="199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>
        <v>400</v>
      </c>
      <c r="W62" s="200"/>
      <c r="X62" s="200"/>
      <c r="Y62" s="200">
        <v>400</v>
      </c>
      <c r="Z62" s="200"/>
      <c r="AA62" s="197">
        <f t="shared" si="3"/>
        <v>800</v>
      </c>
      <c r="AB62" s="198" t="s">
        <v>5</v>
      </c>
      <c r="AC62" s="186">
        <f t="shared" si="1"/>
        <v>0</v>
      </c>
      <c r="AD62" s="190"/>
      <c r="AE62" s="190"/>
      <c r="AF62" s="186"/>
      <c r="AG62" s="190"/>
      <c r="AH62" s="190"/>
      <c r="AI62" s="190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0"/>
      <c r="AU62" s="190"/>
      <c r="AV62" s="190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9.5" customHeight="1" x14ac:dyDescent="0.35">
      <c r="A63" s="233"/>
      <c r="B63" s="237"/>
      <c r="C63" s="263" t="s">
        <v>158</v>
      </c>
      <c r="D63" s="177"/>
      <c r="E63" s="292">
        <v>10000</v>
      </c>
      <c r="F63" s="199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>
        <v>10000</v>
      </c>
      <c r="S63" s="200"/>
      <c r="T63" s="200"/>
      <c r="U63" s="200"/>
      <c r="V63" s="200"/>
      <c r="W63" s="200"/>
      <c r="X63" s="200"/>
      <c r="Y63" s="200"/>
      <c r="Z63" s="200"/>
      <c r="AA63" s="197">
        <f t="shared" si="3"/>
        <v>10000</v>
      </c>
      <c r="AB63" s="198" t="s">
        <v>5</v>
      </c>
      <c r="AC63" s="186">
        <f t="shared" si="1"/>
        <v>0</v>
      </c>
      <c r="AD63" s="190"/>
      <c r="AE63" s="190"/>
      <c r="AF63" s="186"/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9.5" customHeight="1" x14ac:dyDescent="0.35">
      <c r="A64" s="233"/>
      <c r="B64" s="236"/>
      <c r="C64" s="293" t="s">
        <v>159</v>
      </c>
      <c r="D64" s="177"/>
      <c r="E64" s="294">
        <f>26700*4.1</f>
        <v>109469.99999999999</v>
      </c>
      <c r="F64" s="199">
        <f>+E64</f>
        <v>109469.99999999999</v>
      </c>
      <c r="G64" s="200">
        <f>+F64/26700</f>
        <v>4.0999999999999996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197">
        <f t="shared" si="3"/>
        <v>109474.09999999999</v>
      </c>
      <c r="AB64" s="198" t="s">
        <v>5</v>
      </c>
      <c r="AC64" s="186">
        <f t="shared" si="1"/>
        <v>-4.1000000000058208</v>
      </c>
      <c r="AD64" s="190"/>
      <c r="AE64" s="190"/>
      <c r="AF64" s="186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9.5" customHeight="1" x14ac:dyDescent="0.35">
      <c r="A65" s="233"/>
      <c r="B65" s="236"/>
      <c r="C65" s="293" t="s">
        <v>160</v>
      </c>
      <c r="D65" s="177"/>
      <c r="E65" s="291">
        <v>31050</v>
      </c>
      <c r="F65" s="199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>
        <v>3881.25</v>
      </c>
      <c r="W65" s="200">
        <v>7762.5</v>
      </c>
      <c r="X65" s="200">
        <v>15525</v>
      </c>
      <c r="Y65" s="200">
        <f>+W65/2</f>
        <v>3881.25</v>
      </c>
      <c r="Z65" s="200"/>
      <c r="AA65" s="197">
        <f t="shared" si="3"/>
        <v>31050</v>
      </c>
      <c r="AB65" s="198" t="s">
        <v>5</v>
      </c>
      <c r="AC65" s="186">
        <f t="shared" si="1"/>
        <v>0</v>
      </c>
      <c r="AD65" s="190"/>
      <c r="AE65" s="190"/>
      <c r="AF65" s="186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9.5" customHeight="1" x14ac:dyDescent="0.35">
      <c r="A66" s="233"/>
      <c r="B66" s="236"/>
      <c r="C66" s="236" t="s">
        <v>161</v>
      </c>
      <c r="D66" s="177"/>
      <c r="E66" s="252">
        <v>35000</v>
      </c>
      <c r="F66" s="199">
        <f>+E66</f>
        <v>35000</v>
      </c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197">
        <f t="shared" si="3"/>
        <v>35000</v>
      </c>
      <c r="AB66" s="198" t="s">
        <v>5</v>
      </c>
      <c r="AC66" s="186">
        <f t="shared" si="1"/>
        <v>0</v>
      </c>
      <c r="AD66" s="202"/>
      <c r="AE66" s="202"/>
      <c r="AF66" s="201"/>
      <c r="AG66" s="202"/>
      <c r="AH66" s="202"/>
      <c r="AI66" s="202"/>
      <c r="AJ66" s="202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9.5" customHeight="1" x14ac:dyDescent="0.35">
      <c r="A67" s="233"/>
      <c r="B67" s="239"/>
      <c r="C67" s="260" t="s">
        <v>99</v>
      </c>
      <c r="D67" s="177"/>
      <c r="E67" s="249">
        <v>21000</v>
      </c>
      <c r="F67" s="199"/>
      <c r="G67" s="200">
        <v>21000</v>
      </c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197">
        <f t="shared" si="3"/>
        <v>21000</v>
      </c>
      <c r="AB67" s="198" t="s">
        <v>5</v>
      </c>
      <c r="AC67" s="186">
        <f t="shared" si="1"/>
        <v>0</v>
      </c>
      <c r="AD67" s="186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0"/>
      <c r="AR67" s="190"/>
      <c r="AS67" s="190"/>
      <c r="AT67" s="190"/>
      <c r="AU67" s="190"/>
      <c r="AV67" s="190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9.5" customHeight="1" x14ac:dyDescent="0.35">
      <c r="A68" s="234"/>
      <c r="B68" s="239"/>
      <c r="C68" s="239"/>
      <c r="D68" s="177"/>
      <c r="E68" s="253"/>
      <c r="F68" s="199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197">
        <f t="shared" si="3"/>
        <v>0</v>
      </c>
      <c r="AB68" s="198" t="s">
        <v>5</v>
      </c>
      <c r="AC68" s="186">
        <f t="shared" si="1"/>
        <v>0</v>
      </c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9.5" customHeight="1" x14ac:dyDescent="0.35">
      <c r="A69" s="234"/>
      <c r="B69" s="239"/>
      <c r="C69" s="239"/>
      <c r="D69" s="177"/>
      <c r="E69" s="253"/>
      <c r="F69" s="199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197">
        <f t="shared" si="3"/>
        <v>0</v>
      </c>
      <c r="AB69" s="198" t="s">
        <v>5</v>
      </c>
      <c r="AC69" s="186">
        <f t="shared" si="1"/>
        <v>0</v>
      </c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9.5" customHeight="1" x14ac:dyDescent="0.35">
      <c r="A70" s="234"/>
      <c r="B70" s="239"/>
      <c r="C70" s="239"/>
      <c r="D70" s="177"/>
      <c r="E70" s="253"/>
      <c r="F70" s="199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197">
        <f t="shared" si="3"/>
        <v>0</v>
      </c>
      <c r="AB70" s="198" t="s">
        <v>5</v>
      </c>
      <c r="AC70" s="186">
        <f t="shared" si="1"/>
        <v>0</v>
      </c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9.5" customHeight="1" x14ac:dyDescent="0.35">
      <c r="A71" s="234"/>
      <c r="B71" s="239"/>
      <c r="C71" s="239"/>
      <c r="D71" s="177"/>
      <c r="E71" s="253"/>
      <c r="F71" s="199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197">
        <f t="shared" si="3"/>
        <v>0</v>
      </c>
      <c r="AB71" s="198" t="s">
        <v>5</v>
      </c>
      <c r="AC71" s="186">
        <f t="shared" si="1"/>
        <v>0</v>
      </c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9.5" customHeight="1" x14ac:dyDescent="0.35">
      <c r="A72" s="234"/>
      <c r="B72" s="239"/>
      <c r="C72" s="239"/>
      <c r="D72" s="177"/>
      <c r="E72" s="253"/>
      <c r="F72" s="199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197">
        <f t="shared" si="3"/>
        <v>0</v>
      </c>
      <c r="AB72" s="198" t="s">
        <v>5</v>
      </c>
      <c r="AC72" s="186">
        <f t="shared" si="1"/>
        <v>0</v>
      </c>
      <c r="AD72" s="186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1:90" ht="19.5" customHeight="1" x14ac:dyDescent="0.35">
      <c r="A73" s="234"/>
      <c r="B73" s="237"/>
      <c r="C73" s="236"/>
      <c r="D73" s="203"/>
      <c r="E73" s="253"/>
      <c r="F73" s="199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197">
        <f t="shared" si="3"/>
        <v>0</v>
      </c>
      <c r="AB73" s="198" t="s">
        <v>5</v>
      </c>
      <c r="AC73" s="186">
        <f t="shared" si="1"/>
        <v>0</v>
      </c>
      <c r="AD73" s="186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1:90" ht="19.5" customHeight="1" x14ac:dyDescent="0.35">
      <c r="A74" s="234"/>
      <c r="B74" s="239"/>
      <c r="C74" s="239"/>
      <c r="D74" s="203"/>
      <c r="E74" s="253"/>
      <c r="F74" s="199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197">
        <f t="shared" si="3"/>
        <v>0</v>
      </c>
      <c r="AB74" s="198" t="s">
        <v>5</v>
      </c>
      <c r="AC74" s="186">
        <f t="shared" si="1"/>
        <v>0</v>
      </c>
      <c r="AD74" s="186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1:90" ht="19.5" customHeight="1" x14ac:dyDescent="0.35">
      <c r="A75" s="234"/>
      <c r="B75" s="239"/>
      <c r="C75" s="239"/>
      <c r="D75" s="203"/>
      <c r="E75" s="253"/>
      <c r="F75" s="199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197">
        <f t="shared" si="3"/>
        <v>0</v>
      </c>
      <c r="AB75" s="198" t="s">
        <v>5</v>
      </c>
      <c r="AC75" s="186">
        <f t="shared" si="1"/>
        <v>0</v>
      </c>
      <c r="AD75" s="186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1:90" ht="19.5" customHeight="1" x14ac:dyDescent="0.35">
      <c r="A76" s="240"/>
      <c r="B76" s="242"/>
      <c r="C76" s="244"/>
      <c r="D76" s="203"/>
      <c r="E76" s="246"/>
      <c r="F76" s="199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197">
        <f t="shared" si="3"/>
        <v>0</v>
      </c>
      <c r="AB76" s="198" t="s">
        <v>5</v>
      </c>
      <c r="AC76" s="186">
        <f t="shared" si="1"/>
        <v>0</v>
      </c>
      <c r="AD76" s="186"/>
      <c r="AE76" s="190"/>
      <c r="AF76" s="190"/>
      <c r="AG76" s="190"/>
      <c r="AH76" s="190"/>
      <c r="AI76" s="190"/>
      <c r="AJ76" s="190"/>
      <c r="AK76" s="190"/>
      <c r="AL76" s="190"/>
      <c r="AM76" s="190"/>
      <c r="AN76" s="190"/>
      <c r="AO76" s="190"/>
      <c r="AP76" s="190"/>
      <c r="AQ76" s="190"/>
      <c r="AR76" s="190"/>
      <c r="AS76" s="190"/>
      <c r="AT76" s="190"/>
      <c r="AU76" s="190"/>
      <c r="AV76" s="190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1:90" ht="19.5" customHeight="1" x14ac:dyDescent="0.35">
      <c r="A77" s="240"/>
      <c r="B77" s="242"/>
      <c r="C77" s="244"/>
      <c r="D77" s="203"/>
      <c r="E77" s="246"/>
      <c r="F77" s="199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197">
        <f t="shared" si="3"/>
        <v>0</v>
      </c>
      <c r="AB77" s="198" t="s">
        <v>5</v>
      </c>
      <c r="AC77" s="186">
        <f t="shared" ref="AC77:AC79" si="4">+E77-AA77</f>
        <v>0</v>
      </c>
      <c r="AD77" s="186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1:90" ht="19.5" customHeight="1" x14ac:dyDescent="0.35">
      <c r="A78" s="241"/>
      <c r="B78" s="243"/>
      <c r="C78" s="245"/>
      <c r="D78" s="203"/>
      <c r="E78" s="247"/>
      <c r="F78" s="199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197">
        <f t="shared" si="3"/>
        <v>0</v>
      </c>
      <c r="AB78" s="198" t="s">
        <v>5</v>
      </c>
      <c r="AC78" s="186">
        <f t="shared" si="4"/>
        <v>0</v>
      </c>
      <c r="AD78" s="186"/>
      <c r="AE78" s="190"/>
      <c r="AF78" s="190"/>
      <c r="AG78" s="190"/>
      <c r="AH78" s="190"/>
      <c r="AI78" s="190"/>
      <c r="AJ78" s="190"/>
      <c r="AK78" s="190"/>
      <c r="AL78" s="190"/>
      <c r="AM78" s="190"/>
      <c r="AN78" s="190"/>
      <c r="AO78" s="190"/>
      <c r="AP78" s="190"/>
      <c r="AQ78" s="190"/>
      <c r="AR78" s="190"/>
      <c r="AS78" s="190"/>
      <c r="AT78" s="190"/>
      <c r="AU78" s="190"/>
      <c r="AV78" s="190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1:90" ht="19.5" customHeight="1" x14ac:dyDescent="0.35">
      <c r="A79" s="241"/>
      <c r="B79" s="243"/>
      <c r="C79" s="245"/>
      <c r="D79" s="203"/>
      <c r="E79" s="247"/>
      <c r="F79" s="199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197">
        <f t="shared" si="3"/>
        <v>0</v>
      </c>
      <c r="AB79" s="198" t="s">
        <v>5</v>
      </c>
      <c r="AC79" s="186">
        <f t="shared" si="4"/>
        <v>0</v>
      </c>
      <c r="AD79" s="186"/>
      <c r="AE79" s="190"/>
      <c r="AF79" s="190"/>
      <c r="AG79" s="190"/>
      <c r="AH79" s="190"/>
      <c r="AI79" s="190"/>
      <c r="AJ79" s="190"/>
      <c r="AK79" s="190"/>
      <c r="AL79" s="190"/>
      <c r="AM79" s="190"/>
      <c r="AN79" s="190"/>
      <c r="AO79" s="190"/>
      <c r="AP79" s="190"/>
      <c r="AQ79" s="190"/>
      <c r="AR79" s="190"/>
      <c r="AS79" s="190"/>
      <c r="AT79" s="190"/>
      <c r="AU79" s="190"/>
      <c r="AV79" s="190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1:90" ht="19.5" customHeight="1" x14ac:dyDescent="0.35">
      <c r="A80" s="241"/>
      <c r="B80" s="243"/>
      <c r="C80" s="245"/>
      <c r="D80" s="203"/>
      <c r="E80" s="247"/>
      <c r="F80" s="199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197">
        <f t="shared" ref="AA80:AA88" si="5">SUM(F80:Z80)</f>
        <v>0</v>
      </c>
      <c r="AB80" s="198" t="s">
        <v>5</v>
      </c>
      <c r="AC80" s="186">
        <f t="shared" ref="AC80:AC88" si="6">+E80-AA80</f>
        <v>0</v>
      </c>
      <c r="AD80" s="186"/>
      <c r="AE80" s="190"/>
      <c r="AF80" s="190"/>
      <c r="AG80" s="190"/>
      <c r="AH80" s="190"/>
      <c r="AI80" s="190"/>
      <c r="AJ80" s="190"/>
      <c r="AK80" s="190"/>
      <c r="AL80" s="190"/>
      <c r="AM80" s="190"/>
      <c r="AN80" s="190"/>
      <c r="AO80" s="190"/>
      <c r="AP80" s="190"/>
      <c r="AQ80" s="190"/>
      <c r="AR80" s="190"/>
      <c r="AS80" s="190"/>
      <c r="AT80" s="190"/>
      <c r="AU80" s="190"/>
      <c r="AV80" s="19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1:90" ht="19.5" customHeight="1" x14ac:dyDescent="0.35">
      <c r="A81" s="241"/>
      <c r="B81" s="243"/>
      <c r="C81" s="245"/>
      <c r="D81" s="203"/>
      <c r="E81" s="247"/>
      <c r="F81" s="199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197">
        <f t="shared" si="5"/>
        <v>0</v>
      </c>
      <c r="AB81" s="198" t="s">
        <v>5</v>
      </c>
      <c r="AC81" s="186">
        <f t="shared" si="6"/>
        <v>0</v>
      </c>
      <c r="AD81" s="186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0"/>
      <c r="AU81" s="190"/>
      <c r="AV81" s="190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1:90" ht="19.5" customHeight="1" x14ac:dyDescent="0.35">
      <c r="A82" s="241"/>
      <c r="B82" s="243"/>
      <c r="C82" s="245"/>
      <c r="D82" s="203"/>
      <c r="E82" s="247"/>
      <c r="F82" s="199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197">
        <f t="shared" si="5"/>
        <v>0</v>
      </c>
      <c r="AB82" s="198" t="s">
        <v>5</v>
      </c>
      <c r="AC82" s="186">
        <f t="shared" si="6"/>
        <v>0</v>
      </c>
      <c r="AD82" s="186"/>
      <c r="AE82" s="190"/>
      <c r="AF82" s="190"/>
      <c r="AG82" s="190"/>
      <c r="AH82" s="190"/>
      <c r="AI82" s="190"/>
      <c r="AJ82" s="190"/>
      <c r="AK82" s="190"/>
      <c r="AL82" s="190"/>
      <c r="AM82" s="190"/>
      <c r="AN82" s="190"/>
      <c r="AO82" s="190"/>
      <c r="AP82" s="190"/>
      <c r="AQ82" s="190"/>
      <c r="AR82" s="190"/>
      <c r="AS82" s="190"/>
      <c r="AT82" s="190"/>
      <c r="AU82" s="190"/>
      <c r="AV82" s="190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1:90" ht="19.5" customHeight="1" x14ac:dyDescent="0.35">
      <c r="A83" s="254"/>
      <c r="B83" s="255"/>
      <c r="C83" s="256"/>
      <c r="D83" s="203"/>
      <c r="E83" s="259"/>
      <c r="F83" s="199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197">
        <f t="shared" si="5"/>
        <v>0</v>
      </c>
      <c r="AB83" s="198" t="s">
        <v>5</v>
      </c>
      <c r="AC83" s="186">
        <f t="shared" si="6"/>
        <v>0</v>
      </c>
      <c r="AD83" s="186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0"/>
      <c r="AR83" s="190"/>
      <c r="AS83" s="190"/>
      <c r="AT83" s="190"/>
      <c r="AU83" s="190"/>
      <c r="AV83" s="190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1:90" ht="19.5" customHeight="1" x14ac:dyDescent="0.35">
      <c r="A84" s="254"/>
      <c r="B84" s="255"/>
      <c r="C84" s="255"/>
      <c r="D84" s="203"/>
      <c r="E84" s="259"/>
      <c r="F84" s="199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197">
        <f t="shared" si="5"/>
        <v>0</v>
      </c>
      <c r="AB84" s="198" t="s">
        <v>5</v>
      </c>
      <c r="AC84" s="186">
        <f t="shared" si="6"/>
        <v>0</v>
      </c>
      <c r="AD84" s="186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0"/>
      <c r="AU84" s="190"/>
      <c r="AV84" s="190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1:90" ht="19.5" customHeight="1" x14ac:dyDescent="0.35">
      <c r="A85" s="254"/>
      <c r="B85" s="256"/>
      <c r="C85" s="256"/>
      <c r="D85" s="203"/>
      <c r="E85" s="259"/>
      <c r="F85" s="199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197">
        <f t="shared" si="5"/>
        <v>0</v>
      </c>
      <c r="AB85" s="198" t="s">
        <v>5</v>
      </c>
      <c r="AC85" s="186">
        <f t="shared" si="6"/>
        <v>0</v>
      </c>
      <c r="AD85" s="186"/>
      <c r="AE85" s="190"/>
      <c r="AF85" s="190"/>
      <c r="AG85" s="190"/>
      <c r="AH85" s="190"/>
      <c r="AI85" s="190"/>
      <c r="AJ85" s="190"/>
      <c r="AK85" s="190"/>
      <c r="AL85" s="190"/>
      <c r="AM85" s="190"/>
      <c r="AN85" s="190"/>
      <c r="AO85" s="190"/>
      <c r="AP85" s="190"/>
      <c r="AQ85" s="190"/>
      <c r="AR85" s="190"/>
      <c r="AS85" s="190"/>
      <c r="AT85" s="190"/>
      <c r="AU85" s="190"/>
      <c r="AV85" s="190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1:90" ht="19.5" customHeight="1" x14ac:dyDescent="0.35">
      <c r="A86" s="254"/>
      <c r="B86" s="255"/>
      <c r="C86" s="257"/>
      <c r="D86" s="203"/>
      <c r="E86" s="259"/>
      <c r="F86" s="199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197">
        <f t="shared" si="5"/>
        <v>0</v>
      </c>
      <c r="AB86" s="198" t="s">
        <v>5</v>
      </c>
      <c r="AC86" s="186">
        <f t="shared" si="6"/>
        <v>0</v>
      </c>
      <c r="AD86" s="186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1:90" ht="19.5" customHeight="1" x14ac:dyDescent="0.35">
      <c r="A87" s="254"/>
      <c r="B87" s="258"/>
      <c r="C87" s="257"/>
      <c r="D87" s="203"/>
      <c r="E87" s="259"/>
      <c r="F87" s="199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197">
        <f t="shared" si="5"/>
        <v>0</v>
      </c>
      <c r="AB87" s="198" t="s">
        <v>5</v>
      </c>
      <c r="AC87" s="186">
        <f t="shared" si="6"/>
        <v>0</v>
      </c>
      <c r="AD87" s="186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1:90" ht="19.5" customHeight="1" x14ac:dyDescent="0.35">
      <c r="A88" s="234"/>
      <c r="B88" s="239"/>
      <c r="C88" s="239"/>
      <c r="D88" s="203"/>
      <c r="E88" s="204"/>
      <c r="F88" s="199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197">
        <f t="shared" si="5"/>
        <v>0</v>
      </c>
      <c r="AB88" s="198" t="s">
        <v>5</v>
      </c>
      <c r="AC88" s="186">
        <f t="shared" si="6"/>
        <v>0</v>
      </c>
      <c r="AD88" s="186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0"/>
      <c r="AR88" s="190"/>
      <c r="AS88" s="190"/>
      <c r="AT88" s="190"/>
      <c r="AU88" s="190"/>
      <c r="AV88" s="190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1:90" ht="19.5" customHeight="1" x14ac:dyDescent="0.35">
      <c r="A89" s="205"/>
      <c r="B89" s="206"/>
      <c r="C89" s="207"/>
      <c r="D89" s="208"/>
      <c r="E89" s="208"/>
      <c r="F89" s="209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98"/>
      <c r="AC89" s="186">
        <f t="shared" ref="AC89" si="7">+E89-AA89</f>
        <v>0</v>
      </c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0"/>
      <c r="AR89" s="190"/>
      <c r="AS89" s="190"/>
      <c r="AT89" s="190"/>
      <c r="AU89" s="190"/>
      <c r="AV89" s="190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1:90" ht="19.149999999999999" customHeight="1" x14ac:dyDescent="0.35">
      <c r="A90" s="228"/>
      <c r="B90" s="229"/>
      <c r="C90" s="231"/>
      <c r="D90" s="210"/>
      <c r="E90" s="180"/>
      <c r="F90" s="167"/>
      <c r="G90" s="167"/>
      <c r="H90" s="230"/>
      <c r="I90" s="167"/>
      <c r="J90" s="167"/>
      <c r="K90" s="167"/>
      <c r="L90" s="167"/>
      <c r="M90" s="262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197">
        <f t="shared" ref="AA90" si="8">SUM(F90:Z90)</f>
        <v>0</v>
      </c>
      <c r="AB90" s="198" t="s">
        <v>15</v>
      </c>
      <c r="AC90" s="186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1:90" ht="18.600000000000001" customHeight="1" thickBot="1" x14ac:dyDescent="0.4">
      <c r="A91" s="181"/>
      <c r="B91" s="213"/>
      <c r="C91" s="214" t="s">
        <v>48</v>
      </c>
      <c r="D91" s="227"/>
      <c r="E91" s="217">
        <f t="shared" ref="E91:W91" si="9">SUM(E8:E90)</f>
        <v>906670.82000000007</v>
      </c>
      <c r="F91" s="217">
        <f t="shared" si="9"/>
        <v>320301.15333333332</v>
      </c>
      <c r="G91" s="217">
        <f t="shared" si="9"/>
        <v>21004.1</v>
      </c>
      <c r="H91" s="217">
        <f t="shared" si="9"/>
        <v>40473.74</v>
      </c>
      <c r="I91" s="217">
        <f t="shared" si="9"/>
        <v>3946</v>
      </c>
      <c r="J91" s="217">
        <f t="shared" si="9"/>
        <v>184126.8</v>
      </c>
      <c r="K91" s="217">
        <f t="shared" si="9"/>
        <v>62895.1</v>
      </c>
      <c r="L91" s="217">
        <f t="shared" si="9"/>
        <v>24273.599999999999</v>
      </c>
      <c r="M91" s="217">
        <f t="shared" si="9"/>
        <v>2424.6</v>
      </c>
      <c r="N91" s="217">
        <f t="shared" si="9"/>
        <v>0</v>
      </c>
      <c r="O91" s="217">
        <f t="shared" si="9"/>
        <v>0</v>
      </c>
      <c r="P91" s="217">
        <f t="shared" si="9"/>
        <v>0</v>
      </c>
      <c r="Q91" s="217">
        <f t="shared" si="9"/>
        <v>5125.68</v>
      </c>
      <c r="R91" s="217">
        <f t="shared" si="9"/>
        <v>14263</v>
      </c>
      <c r="S91" s="217">
        <f t="shared" si="9"/>
        <v>12735</v>
      </c>
      <c r="T91" s="217">
        <f t="shared" si="9"/>
        <v>0</v>
      </c>
      <c r="U91" s="217">
        <f t="shared" si="9"/>
        <v>0</v>
      </c>
      <c r="V91" s="217">
        <f t="shared" si="9"/>
        <v>41824.956666666672</v>
      </c>
      <c r="W91" s="217">
        <f t="shared" si="9"/>
        <v>76370.413333333345</v>
      </c>
      <c r="X91" s="217">
        <f>SUM(X7:X90)</f>
        <v>57397.266666666663</v>
      </c>
      <c r="Y91" s="217">
        <f>SUM(Y8:Y90)</f>
        <v>79987.25</v>
      </c>
      <c r="Z91" s="217">
        <f>SUM(Z8:Z90)</f>
        <v>0</v>
      </c>
      <c r="AA91" s="267">
        <f>SUM(AA8:AA90)</f>
        <v>947148.65999999992</v>
      </c>
      <c r="AB91" s="168"/>
      <c r="AC91" s="169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1:90" ht="18.600000000000001" customHeight="1" thickTop="1" x14ac:dyDescent="0.35">
      <c r="A92" s="181"/>
      <c r="B92" s="215"/>
      <c r="C92" s="216"/>
      <c r="D92" s="210"/>
      <c r="E92" s="167"/>
      <c r="F92" s="211"/>
      <c r="G92" s="212"/>
      <c r="H92" s="170"/>
      <c r="I92" s="170"/>
      <c r="J92" s="170"/>
      <c r="K92" s="170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>
        <f>+H91</f>
        <v>40473.74</v>
      </c>
      <c r="AB92" s="168"/>
      <c r="AC92" s="169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1:90" ht="18.600000000000001" customHeight="1" x14ac:dyDescent="0.35">
      <c r="A93" s="181"/>
      <c r="B93" s="215"/>
      <c r="C93" s="216"/>
      <c r="D93" s="210"/>
      <c r="E93" s="167"/>
      <c r="F93" s="211"/>
      <c r="G93" s="212"/>
      <c r="H93" s="170"/>
      <c r="I93" s="212"/>
      <c r="J93" s="212"/>
      <c r="K93" s="212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>
        <f>+AA91-AA92</f>
        <v>906674.91999999993</v>
      </c>
      <c r="AB93" s="168"/>
      <c r="AC93" s="169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1:90" ht="29.45" customHeight="1" x14ac:dyDescent="0.35">
      <c r="A94" s="171"/>
      <c r="B94" s="215"/>
      <c r="C94" s="218" t="s">
        <v>49</v>
      </c>
      <c r="D94" s="210"/>
      <c r="E94" s="219"/>
      <c r="F94" s="197"/>
      <c r="G94" s="197"/>
      <c r="H94" s="197"/>
      <c r="I94" s="197"/>
      <c r="J94" s="197"/>
      <c r="K94" s="197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>
        <f>+E91-AA93</f>
        <v>-4.0999999998603016</v>
      </c>
      <c r="AB94" s="168"/>
      <c r="AC94" s="221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0"/>
      <c r="AU94" s="190"/>
      <c r="AV94" s="190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1:90" ht="19.5" customHeight="1" x14ac:dyDescent="0.35">
      <c r="A95" s="171"/>
      <c r="B95" s="215"/>
      <c r="C95" s="210" t="s">
        <v>72</v>
      </c>
      <c r="D95" s="210"/>
      <c r="E95" s="219">
        <f>+F91</f>
        <v>320301.15333333332</v>
      </c>
      <c r="F95" s="197"/>
      <c r="G95" s="197"/>
      <c r="H95" s="222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68"/>
      <c r="AC95" s="223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1:90" ht="19.5" customHeight="1" x14ac:dyDescent="0.35">
      <c r="A96" s="171"/>
      <c r="B96" s="215"/>
      <c r="C96" s="210" t="s">
        <v>53</v>
      </c>
      <c r="D96" s="210"/>
      <c r="E96" s="219">
        <f>+G91</f>
        <v>21004.1</v>
      </c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68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0"/>
      <c r="AU96" s="190"/>
      <c r="AV96" s="190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1:90" ht="19.5" customHeight="1" x14ac:dyDescent="0.35">
      <c r="A97" s="171"/>
      <c r="B97" s="215"/>
      <c r="C97" s="210" t="s">
        <v>55</v>
      </c>
      <c r="D97" s="210"/>
      <c r="E97" s="219">
        <f>+I91</f>
        <v>3946</v>
      </c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68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1:90" ht="19.5" customHeight="1" x14ac:dyDescent="0.35">
      <c r="A98" s="171"/>
      <c r="B98" s="215"/>
      <c r="C98" s="210" t="s">
        <v>73</v>
      </c>
      <c r="D98" s="210"/>
      <c r="E98" s="219">
        <f>+J91</f>
        <v>184126.8</v>
      </c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68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0"/>
      <c r="AU98" s="190"/>
      <c r="AV98" s="190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1:90" ht="19.5" customHeight="1" x14ac:dyDescent="0.35">
      <c r="A99" s="171"/>
      <c r="B99" s="215"/>
      <c r="C99" s="210" t="s">
        <v>57</v>
      </c>
      <c r="D99" s="210"/>
      <c r="E99" s="219">
        <f>+K91</f>
        <v>62895.1</v>
      </c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68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1:90" ht="19.5" customHeight="1" x14ac:dyDescent="0.35">
      <c r="A100" s="171"/>
      <c r="B100" s="215"/>
      <c r="C100" s="224" t="s">
        <v>58</v>
      </c>
      <c r="D100" s="210"/>
      <c r="E100" s="219">
        <f>+L91</f>
        <v>24273.599999999999</v>
      </c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68"/>
      <c r="AC100" s="190"/>
      <c r="AD100" s="190"/>
      <c r="AE100" s="190"/>
      <c r="AF100" s="190"/>
      <c r="AG100" s="190"/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0"/>
      <c r="AR100" s="190"/>
      <c r="AS100" s="190"/>
      <c r="AT100" s="190"/>
      <c r="AU100" s="190"/>
      <c r="AV100" s="19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1:90" ht="19.5" customHeight="1" x14ac:dyDescent="0.35">
      <c r="A101" s="171"/>
      <c r="B101" s="215"/>
      <c r="C101" s="210" t="s">
        <v>59</v>
      </c>
      <c r="D101" s="210"/>
      <c r="E101" s="219">
        <f>+M91</f>
        <v>2424.6</v>
      </c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68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0"/>
      <c r="AU101" s="190"/>
      <c r="AV101" s="190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1:90" ht="19.5" customHeight="1" x14ac:dyDescent="0.35">
      <c r="A102" s="171"/>
      <c r="B102" s="215"/>
      <c r="C102" s="210" t="s">
        <v>60</v>
      </c>
      <c r="D102" s="210"/>
      <c r="E102" s="219">
        <f>+N91</f>
        <v>0</v>
      </c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68"/>
      <c r="AC102" s="190"/>
      <c r="AD102" s="190"/>
      <c r="AE102" s="190"/>
      <c r="AF102" s="190"/>
      <c r="AG102" s="190"/>
      <c r="AH102" s="190"/>
      <c r="AI102" s="190"/>
      <c r="AJ102" s="190"/>
      <c r="AK102" s="190"/>
      <c r="AL102" s="190"/>
      <c r="AM102" s="190"/>
      <c r="AN102" s="190"/>
      <c r="AO102" s="190"/>
      <c r="AP102" s="190"/>
      <c r="AQ102" s="190"/>
      <c r="AR102" s="190"/>
      <c r="AS102" s="190"/>
      <c r="AT102" s="190"/>
      <c r="AU102" s="190"/>
      <c r="AV102" s="190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1:90" ht="19.5" customHeight="1" x14ac:dyDescent="0.35">
      <c r="A103" s="171"/>
      <c r="B103" s="215"/>
      <c r="C103" s="210" t="s">
        <v>91</v>
      </c>
      <c r="D103" s="210"/>
      <c r="E103" s="219">
        <f>+O91</f>
        <v>0</v>
      </c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68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190"/>
      <c r="AT103" s="190"/>
      <c r="AU103" s="190"/>
      <c r="AV103" s="190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1:90" ht="19.5" customHeight="1" x14ac:dyDescent="0.35">
      <c r="A104" s="171"/>
      <c r="B104" s="215"/>
      <c r="C104" s="210" t="s">
        <v>61</v>
      </c>
      <c r="D104" s="210"/>
      <c r="E104" s="219">
        <f>+P91</f>
        <v>0</v>
      </c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68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0"/>
      <c r="AU104" s="190"/>
      <c r="AV104" s="190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1:90" ht="19.5" customHeight="1" x14ac:dyDescent="0.35">
      <c r="A105" s="171"/>
      <c r="B105" s="215"/>
      <c r="C105" s="210" t="s">
        <v>62</v>
      </c>
      <c r="D105" s="210"/>
      <c r="E105" s="219">
        <f>+Q91</f>
        <v>5125.68</v>
      </c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68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1:90" ht="19.5" customHeight="1" x14ac:dyDescent="0.35">
      <c r="A106" s="171"/>
      <c r="B106" s="215"/>
      <c r="C106" s="210" t="s">
        <v>63</v>
      </c>
      <c r="D106" s="210"/>
      <c r="E106" s="219">
        <v>14263</v>
      </c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68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0"/>
      <c r="AU106" s="190"/>
      <c r="AV106" s="190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1:90" ht="19.5" customHeight="1" x14ac:dyDescent="0.35">
      <c r="A107" s="171"/>
      <c r="B107" s="215"/>
      <c r="C107" s="210" t="s">
        <v>64</v>
      </c>
      <c r="D107" s="210"/>
      <c r="E107" s="219">
        <f>+S91</f>
        <v>12735</v>
      </c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68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0"/>
      <c r="AU107" s="190"/>
      <c r="AV107" s="190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1:90" ht="19.5" customHeight="1" x14ac:dyDescent="0.35">
      <c r="A108" s="171"/>
      <c r="B108" s="215"/>
      <c r="C108" s="187" t="s">
        <v>65</v>
      </c>
      <c r="D108" s="210"/>
      <c r="E108" s="219">
        <f>+T91</f>
        <v>0</v>
      </c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68"/>
      <c r="AC108" s="190"/>
      <c r="AD108" s="190"/>
      <c r="AE108" s="190"/>
      <c r="AF108" s="190"/>
      <c r="AG108" s="190"/>
      <c r="AH108" s="190"/>
      <c r="AI108" s="190"/>
      <c r="AJ108" s="190"/>
      <c r="AK108" s="190"/>
      <c r="AL108" s="190"/>
      <c r="AM108" s="190"/>
      <c r="AN108" s="190"/>
      <c r="AO108" s="190"/>
      <c r="AP108" s="190"/>
      <c r="AQ108" s="190"/>
      <c r="AR108" s="190"/>
      <c r="AS108" s="190"/>
      <c r="AT108" s="190"/>
      <c r="AU108" s="190"/>
      <c r="AV108" s="190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1:90" ht="19.5" customHeight="1" x14ac:dyDescent="0.35">
      <c r="A109" s="171"/>
      <c r="B109" s="215"/>
      <c r="C109" s="210" t="s">
        <v>101</v>
      </c>
      <c r="D109" s="210"/>
      <c r="E109" s="219">
        <f>+U91</f>
        <v>0</v>
      </c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68"/>
      <c r="AC109" s="190"/>
      <c r="AD109" s="190"/>
      <c r="AE109" s="190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/>
      <c r="AP109" s="190"/>
      <c r="AQ109" s="190"/>
      <c r="AR109" s="190"/>
      <c r="AS109" s="190"/>
      <c r="AT109" s="190"/>
      <c r="AU109" s="190"/>
      <c r="AV109" s="190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1:90" ht="19.5" customHeight="1" x14ac:dyDescent="0.35">
      <c r="A110" s="171"/>
      <c r="B110" s="215"/>
      <c r="C110" s="210" t="s">
        <v>66</v>
      </c>
      <c r="D110" s="210"/>
      <c r="E110" s="219">
        <f>+V91</f>
        <v>41824.956666666672</v>
      </c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68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1:90" ht="19.5" customHeight="1" x14ac:dyDescent="0.35">
      <c r="A111" s="171"/>
      <c r="B111" s="215"/>
      <c r="C111" s="210" t="s">
        <v>67</v>
      </c>
      <c r="D111" s="210"/>
      <c r="E111" s="219">
        <f>+W91</f>
        <v>76370.413333333345</v>
      </c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68"/>
      <c r="AC111" s="190"/>
      <c r="AD111" s="190"/>
      <c r="AE111" s="190"/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0"/>
      <c r="AU111" s="190"/>
      <c r="AV111" s="190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1:90" ht="19.5" customHeight="1" x14ac:dyDescent="0.35">
      <c r="A112" s="171"/>
      <c r="B112" s="215"/>
      <c r="C112" s="210" t="s">
        <v>68</v>
      </c>
      <c r="D112" s="210"/>
      <c r="E112" s="219">
        <f>+X91</f>
        <v>57397.266666666663</v>
      </c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68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0"/>
      <c r="AR112" s="190"/>
      <c r="AS112" s="190"/>
      <c r="AT112" s="190"/>
      <c r="AU112" s="190"/>
      <c r="AV112" s="190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1:90" ht="19.5" customHeight="1" x14ac:dyDescent="0.35">
      <c r="A113" s="171"/>
      <c r="B113" s="215"/>
      <c r="C113" s="210" t="s">
        <v>69</v>
      </c>
      <c r="D113" s="210"/>
      <c r="E113" s="219">
        <f>+Y91</f>
        <v>79987.25</v>
      </c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68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1:90" ht="19.5" customHeight="1" x14ac:dyDescent="0.35">
      <c r="A114" s="171"/>
      <c r="B114" s="215"/>
      <c r="C114" s="210"/>
      <c r="D114" s="210"/>
      <c r="E114" s="219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68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0"/>
      <c r="AR114" s="190"/>
      <c r="AS114" s="190"/>
      <c r="AT114" s="190"/>
      <c r="AU114" s="190"/>
      <c r="AV114" s="190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1:90" ht="19.5" customHeight="1" x14ac:dyDescent="0.35">
      <c r="A115" s="171"/>
      <c r="B115" s="215"/>
      <c r="C115" s="225"/>
      <c r="D115" s="210"/>
      <c r="E115" s="174">
        <f>SUM(E95:E113)</f>
        <v>906674.91999999993</v>
      </c>
      <c r="F115" s="226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68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1:90" ht="19.5" customHeight="1" x14ac:dyDescent="0.35">
      <c r="A116" s="182"/>
      <c r="B116" s="215"/>
      <c r="C116" s="210"/>
      <c r="D116" s="210"/>
      <c r="E116" s="186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68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</row>
    <row r="117" spans="1:90" ht="19.5" customHeight="1" x14ac:dyDescent="0.35">
      <c r="A117" s="182"/>
      <c r="B117" s="215"/>
      <c r="C117" s="210"/>
      <c r="D117" s="219"/>
      <c r="E117" s="219">
        <f>+E4-E115</f>
        <v>-4.0999999998603016</v>
      </c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68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</row>
    <row r="118" spans="1:90" ht="19.5" customHeight="1" x14ac:dyDescent="0.35">
      <c r="A118" s="182"/>
      <c r="B118" s="215"/>
      <c r="C118" s="210"/>
      <c r="D118" s="210"/>
      <c r="E118" s="219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68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0"/>
      <c r="AR118" s="190"/>
      <c r="AS118" s="190"/>
      <c r="AT118" s="190"/>
      <c r="AU118" s="190"/>
      <c r="AV118" s="190"/>
    </row>
    <row r="119" spans="1:90" ht="19.5" customHeight="1" x14ac:dyDescent="0.35">
      <c r="A119" s="182"/>
      <c r="B119" s="215"/>
      <c r="C119" s="210"/>
      <c r="D119" s="210"/>
      <c r="E119" s="219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68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</row>
    <row r="120" spans="1:90" ht="19.5" customHeight="1" x14ac:dyDescent="0.35">
      <c r="A120" s="182"/>
      <c r="B120" s="215"/>
      <c r="C120" s="210"/>
      <c r="D120" s="210"/>
      <c r="E120" s="219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68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0"/>
      <c r="AR120" s="190"/>
      <c r="AS120" s="190"/>
      <c r="AT120" s="190"/>
      <c r="AU120" s="190"/>
      <c r="AV120" s="190"/>
    </row>
    <row r="121" spans="1:90" ht="19.5" customHeight="1" x14ac:dyDescent="0.35">
      <c r="A121" s="182"/>
      <c r="B121" s="215"/>
      <c r="C121" s="210"/>
      <c r="D121" s="210"/>
      <c r="E121" s="219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68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0"/>
      <c r="AR121" s="190"/>
      <c r="AS121" s="190"/>
      <c r="AT121" s="190"/>
      <c r="AU121" s="190"/>
      <c r="AV121" s="190"/>
    </row>
    <row r="122" spans="1:90" ht="19.5" customHeight="1" x14ac:dyDescent="0.35">
      <c r="A122" s="182"/>
      <c r="B122" s="215"/>
      <c r="C122" s="210"/>
      <c r="D122" s="210"/>
      <c r="E122" s="219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68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/>
      <c r="AP122" s="190"/>
      <c r="AQ122" s="190"/>
      <c r="AR122" s="190"/>
      <c r="AS122" s="190"/>
      <c r="AT122" s="190"/>
      <c r="AU122" s="190"/>
      <c r="AV122" s="190"/>
    </row>
    <row r="123" spans="1:90" ht="19.5" customHeight="1" x14ac:dyDescent="0.35">
      <c r="A123" s="182"/>
      <c r="B123" s="215"/>
      <c r="C123" s="210"/>
      <c r="D123" s="210"/>
      <c r="E123" s="219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68"/>
      <c r="AC123" s="190"/>
      <c r="AD123" s="190"/>
      <c r="AE123" s="190"/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0"/>
      <c r="AR123" s="190"/>
      <c r="AS123" s="190"/>
      <c r="AT123" s="190"/>
      <c r="AU123" s="190"/>
      <c r="AV123" s="190"/>
    </row>
    <row r="124" spans="1:90" ht="19.5" customHeight="1" x14ac:dyDescent="0.35">
      <c r="A124" s="182"/>
      <c r="B124" s="183"/>
      <c r="C124" s="184"/>
      <c r="D124" s="184"/>
      <c r="E124" s="185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3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0"/>
      <c r="AR124" s="190"/>
      <c r="AS124" s="190"/>
      <c r="AT124" s="190"/>
      <c r="AU124" s="190"/>
      <c r="AV124" s="190"/>
    </row>
    <row r="125" spans="1:90" ht="19.5" customHeight="1" x14ac:dyDescent="0.35">
      <c r="A125" s="182"/>
      <c r="B125" s="183"/>
      <c r="C125" s="184"/>
      <c r="D125" s="184"/>
      <c r="E125" s="185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3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</row>
    <row r="126" spans="1:90" ht="19.5" customHeight="1" x14ac:dyDescent="0.35">
      <c r="A126" s="182"/>
      <c r="B126" s="183"/>
      <c r="C126" s="184"/>
      <c r="D126" s="184"/>
      <c r="E126" s="185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3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</row>
    <row r="127" spans="1:90" ht="19.5" customHeight="1" x14ac:dyDescent="0.35">
      <c r="A127" s="182"/>
      <c r="B127" s="183"/>
      <c r="C127" s="184"/>
      <c r="D127" s="184"/>
      <c r="E127" s="185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3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</row>
    <row r="128" spans="1:90" ht="19.5" customHeight="1" x14ac:dyDescent="0.35">
      <c r="A128" s="182"/>
      <c r="B128" s="183"/>
      <c r="C128" s="184"/>
      <c r="D128" s="184"/>
      <c r="E128" s="185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3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</row>
    <row r="129" spans="1:48" ht="19.5" customHeight="1" x14ac:dyDescent="0.35">
      <c r="A129" s="182"/>
      <c r="B129" s="183"/>
      <c r="C129" s="184"/>
      <c r="D129" s="184"/>
      <c r="E129" s="185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3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</row>
    <row r="130" spans="1:48" ht="19.5" customHeight="1" x14ac:dyDescent="0.35">
      <c r="A130" s="182"/>
      <c r="B130" s="183"/>
      <c r="C130" s="184"/>
      <c r="D130" s="184"/>
      <c r="E130" s="185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3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</row>
    <row r="131" spans="1:48" ht="19.5" customHeight="1" x14ac:dyDescent="0.35">
      <c r="A131" s="182"/>
      <c r="B131" s="183"/>
      <c r="C131" s="184"/>
      <c r="D131" s="184"/>
      <c r="E131" s="185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3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</row>
    <row r="132" spans="1:48" ht="19.5" customHeight="1" x14ac:dyDescent="0.35">
      <c r="A132" s="182"/>
      <c r="B132" s="183"/>
      <c r="C132" s="184"/>
      <c r="D132" s="184"/>
      <c r="E132" s="185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3"/>
      <c r="AC132" s="190"/>
      <c r="AD132" s="190"/>
      <c r="AE132" s="190"/>
      <c r="AF132" s="190"/>
      <c r="AG132" s="190"/>
      <c r="AH132" s="190"/>
      <c r="AI132" s="190"/>
      <c r="AJ132" s="190"/>
      <c r="AK132" s="190"/>
      <c r="AL132" s="190"/>
      <c r="AM132" s="190"/>
      <c r="AN132" s="190"/>
      <c r="AO132" s="190"/>
      <c r="AP132" s="190"/>
      <c r="AQ132" s="190"/>
      <c r="AR132" s="190"/>
      <c r="AS132" s="190"/>
      <c r="AT132" s="190"/>
      <c r="AU132" s="190"/>
      <c r="AV132" s="190"/>
    </row>
    <row r="133" spans="1:48" ht="19.5" customHeight="1" x14ac:dyDescent="0.35">
      <c r="A133" s="182"/>
      <c r="B133" s="183"/>
      <c r="C133" s="184"/>
      <c r="D133" s="184"/>
      <c r="E133" s="185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3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  <c r="AN133" s="190"/>
      <c r="AO133" s="190"/>
      <c r="AP133" s="190"/>
      <c r="AQ133" s="190"/>
      <c r="AR133" s="190"/>
      <c r="AS133" s="190"/>
      <c r="AT133" s="190"/>
      <c r="AU133" s="190"/>
      <c r="AV133" s="190"/>
    </row>
    <row r="134" spans="1:48" ht="19.5" customHeight="1" x14ac:dyDescent="0.35">
      <c r="A134" s="182"/>
      <c r="B134" s="183"/>
      <c r="C134" s="184"/>
      <c r="D134" s="184"/>
      <c r="E134" s="185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3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190"/>
      <c r="AR134" s="190"/>
      <c r="AS134" s="190"/>
      <c r="AT134" s="190"/>
      <c r="AU134" s="190"/>
      <c r="AV134" s="190"/>
    </row>
    <row r="135" spans="1:48" ht="19.5" customHeight="1" x14ac:dyDescent="0.35">
      <c r="A135" s="182"/>
      <c r="B135" s="183"/>
      <c r="C135" s="184"/>
      <c r="D135" s="184"/>
      <c r="E135" s="185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3"/>
      <c r="AC135" s="190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/>
      <c r="AV135" s="190"/>
    </row>
    <row r="136" spans="1:48" ht="19.5" customHeight="1" x14ac:dyDescent="0.35">
      <c r="A136" s="182"/>
      <c r="B136" s="183"/>
      <c r="C136" s="184"/>
      <c r="D136" s="184"/>
      <c r="E136" s="185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3"/>
      <c r="AC136" s="190"/>
      <c r="AD136" s="190"/>
      <c r="AE136" s="190"/>
      <c r="AF136" s="190"/>
      <c r="AG136" s="190"/>
      <c r="AH136" s="190"/>
      <c r="AI136" s="190"/>
      <c r="AJ136" s="190"/>
      <c r="AK136" s="190"/>
      <c r="AL136" s="190"/>
      <c r="AM136" s="190"/>
      <c r="AN136" s="190"/>
      <c r="AO136" s="190"/>
      <c r="AP136" s="190"/>
      <c r="AQ136" s="190"/>
      <c r="AR136" s="190"/>
      <c r="AS136" s="190"/>
      <c r="AT136" s="190"/>
      <c r="AU136" s="190"/>
      <c r="AV136" s="190"/>
    </row>
    <row r="137" spans="1:48" ht="19.5" customHeight="1" x14ac:dyDescent="0.35">
      <c r="A137" s="182"/>
      <c r="B137" s="183"/>
      <c r="C137" s="184"/>
      <c r="D137" s="184"/>
      <c r="E137" s="185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3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190"/>
      <c r="AM137" s="190"/>
      <c r="AN137" s="190"/>
      <c r="AO137" s="190"/>
      <c r="AP137" s="190"/>
      <c r="AQ137" s="190"/>
      <c r="AR137" s="190"/>
      <c r="AS137" s="190"/>
      <c r="AT137" s="190"/>
      <c r="AU137" s="190"/>
      <c r="AV137" s="190"/>
    </row>
    <row r="138" spans="1:48" ht="19.5" customHeight="1" x14ac:dyDescent="0.35">
      <c r="A138" s="182"/>
      <c r="B138" s="183"/>
      <c r="C138" s="184"/>
      <c r="D138" s="184"/>
      <c r="E138" s="185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3"/>
      <c r="AC138" s="190"/>
      <c r="AD138" s="190"/>
      <c r="AE138" s="190"/>
      <c r="AF138" s="190"/>
      <c r="AG138" s="190"/>
      <c r="AH138" s="190"/>
      <c r="AI138" s="190"/>
      <c r="AJ138" s="190"/>
      <c r="AK138" s="190"/>
      <c r="AL138" s="190"/>
      <c r="AM138" s="190"/>
      <c r="AN138" s="190"/>
      <c r="AO138" s="190"/>
      <c r="AP138" s="190"/>
      <c r="AQ138" s="190"/>
      <c r="AR138" s="190"/>
      <c r="AS138" s="190"/>
      <c r="AT138" s="190"/>
      <c r="AU138" s="190"/>
      <c r="AV138" s="190"/>
    </row>
    <row r="139" spans="1:48" ht="19.5" customHeight="1" x14ac:dyDescent="0.35">
      <c r="A139" s="182"/>
      <c r="B139" s="183"/>
      <c r="C139" s="184"/>
      <c r="D139" s="184"/>
      <c r="E139" s="185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3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</row>
    <row r="140" spans="1:48" ht="19.5" customHeight="1" x14ac:dyDescent="0.35">
      <c r="A140" s="182"/>
      <c r="B140" s="183"/>
      <c r="C140" s="184"/>
      <c r="D140" s="184"/>
      <c r="E140" s="185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3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</row>
    <row r="141" spans="1:48" ht="19.5" customHeight="1" x14ac:dyDescent="0.35">
      <c r="A141" s="182"/>
      <c r="B141" s="183"/>
      <c r="C141" s="184"/>
      <c r="D141" s="184"/>
      <c r="E141" s="185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3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</row>
    <row r="142" spans="1:48" ht="19.5" customHeight="1" x14ac:dyDescent="0.35">
      <c r="A142" s="182"/>
      <c r="B142" s="183"/>
      <c r="C142" s="184"/>
      <c r="D142" s="184"/>
      <c r="E142" s="185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3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</row>
    <row r="143" spans="1:48" ht="19.5" customHeight="1" x14ac:dyDescent="0.35">
      <c r="A143" s="182"/>
      <c r="B143" s="183"/>
      <c r="C143" s="184"/>
      <c r="D143" s="184"/>
      <c r="E143" s="185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3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</row>
    <row r="144" spans="1:48" ht="19.5" customHeight="1" x14ac:dyDescent="0.35">
      <c r="A144" s="182"/>
      <c r="B144" s="183"/>
      <c r="C144" s="184"/>
      <c r="D144" s="184"/>
      <c r="E144" s="185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3"/>
      <c r="AC144" s="190"/>
      <c r="AD144" s="190"/>
      <c r="AE144" s="190"/>
      <c r="AF144" s="190"/>
      <c r="AG144" s="190"/>
      <c r="AH144" s="190"/>
      <c r="AI144" s="190"/>
      <c r="AJ144" s="190"/>
      <c r="AK144" s="190"/>
      <c r="AL144" s="190"/>
      <c r="AM144" s="190"/>
      <c r="AN144" s="190"/>
      <c r="AO144" s="190"/>
      <c r="AP144" s="190"/>
      <c r="AQ144" s="190"/>
      <c r="AR144" s="190"/>
      <c r="AS144" s="190"/>
      <c r="AT144" s="190"/>
      <c r="AU144" s="190"/>
      <c r="AV144" s="190"/>
    </row>
    <row r="145" spans="1:48" ht="19.5" customHeight="1" x14ac:dyDescent="0.35">
      <c r="A145" s="182"/>
      <c r="B145" s="183"/>
      <c r="C145" s="184"/>
      <c r="D145" s="184"/>
      <c r="E145" s="185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3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190"/>
      <c r="AO145" s="190"/>
      <c r="AP145" s="190"/>
      <c r="AQ145" s="190"/>
      <c r="AR145" s="190"/>
      <c r="AS145" s="190"/>
      <c r="AT145" s="190"/>
      <c r="AU145" s="190"/>
      <c r="AV145" s="190"/>
    </row>
    <row r="146" spans="1:48" ht="19.5" customHeight="1" x14ac:dyDescent="0.35">
      <c r="A146" s="182"/>
      <c r="B146" s="183"/>
      <c r="C146" s="184"/>
      <c r="D146" s="184"/>
      <c r="E146" s="185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3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190"/>
      <c r="AM146" s="190"/>
      <c r="AN146" s="190"/>
      <c r="AO146" s="190"/>
      <c r="AP146" s="190"/>
      <c r="AQ146" s="190"/>
      <c r="AR146" s="190"/>
      <c r="AS146" s="190"/>
      <c r="AT146" s="190"/>
      <c r="AU146" s="190"/>
      <c r="AV146" s="190"/>
    </row>
    <row r="147" spans="1:48" ht="19.5" customHeight="1" x14ac:dyDescent="0.35">
      <c r="A147" s="182"/>
      <c r="B147" s="183"/>
      <c r="C147" s="184"/>
      <c r="D147" s="184"/>
      <c r="E147" s="185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3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190"/>
      <c r="AM147" s="190"/>
      <c r="AN147" s="190"/>
      <c r="AO147" s="190"/>
      <c r="AP147" s="190"/>
      <c r="AQ147" s="190"/>
      <c r="AR147" s="190"/>
      <c r="AS147" s="190"/>
      <c r="AT147" s="190"/>
      <c r="AU147" s="190"/>
      <c r="AV147" s="190"/>
    </row>
    <row r="148" spans="1:48" ht="19.5" customHeight="1" x14ac:dyDescent="0.35">
      <c r="A148" s="182"/>
      <c r="B148" s="183"/>
      <c r="C148" s="184"/>
      <c r="D148" s="184"/>
      <c r="E148" s="185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3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90"/>
    </row>
    <row r="149" spans="1:48" ht="19.5" customHeight="1" x14ac:dyDescent="0.35">
      <c r="A149" s="182"/>
      <c r="B149" s="183"/>
      <c r="C149" s="184"/>
      <c r="D149" s="184"/>
      <c r="E149" s="185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3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</row>
    <row r="150" spans="1:48" ht="19.5" customHeight="1" x14ac:dyDescent="0.35">
      <c r="A150" s="182"/>
      <c r="B150" s="183"/>
      <c r="C150" s="184"/>
      <c r="D150" s="184"/>
      <c r="E150" s="185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3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</row>
    <row r="151" spans="1:48" ht="19.5" customHeight="1" x14ac:dyDescent="0.35">
      <c r="A151" s="182"/>
      <c r="B151" s="183"/>
      <c r="C151" s="184"/>
      <c r="D151" s="184"/>
      <c r="E151" s="185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3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</row>
    <row r="152" spans="1:48" ht="19.5" customHeight="1" x14ac:dyDescent="0.35">
      <c r="A152" s="182"/>
      <c r="B152" s="183"/>
      <c r="C152" s="184"/>
      <c r="D152" s="184"/>
      <c r="E152" s="185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3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</row>
    <row r="153" spans="1:48" ht="19.5" customHeight="1" x14ac:dyDescent="0.35">
      <c r="A153" s="182"/>
      <c r="B153" s="183"/>
      <c r="C153" s="184"/>
      <c r="D153" s="184"/>
      <c r="E153" s="185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3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</row>
    <row r="154" spans="1:48" ht="19.5" customHeight="1" x14ac:dyDescent="0.35">
      <c r="A154" s="182"/>
      <c r="B154" s="183"/>
      <c r="C154" s="184"/>
      <c r="D154" s="184"/>
      <c r="E154" s="185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3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</row>
    <row r="155" spans="1:48" ht="19.5" customHeight="1" x14ac:dyDescent="0.35">
      <c r="A155" s="182"/>
      <c r="B155" s="183"/>
      <c r="C155" s="184"/>
      <c r="D155" s="184"/>
      <c r="E155" s="185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3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190"/>
      <c r="AN155" s="190"/>
      <c r="AO155" s="190"/>
      <c r="AP155" s="190"/>
      <c r="AQ155" s="190"/>
      <c r="AR155" s="190"/>
      <c r="AS155" s="190"/>
      <c r="AT155" s="190"/>
      <c r="AU155" s="190"/>
      <c r="AV155" s="190"/>
    </row>
    <row r="156" spans="1:48" ht="19.5" customHeight="1" x14ac:dyDescent="0.35">
      <c r="A156" s="182"/>
      <c r="B156" s="183"/>
      <c r="C156" s="184"/>
      <c r="D156" s="184"/>
      <c r="E156" s="185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3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190"/>
      <c r="AN156" s="190"/>
      <c r="AO156" s="190"/>
      <c r="AP156" s="190"/>
      <c r="AQ156" s="190"/>
      <c r="AR156" s="190"/>
      <c r="AS156" s="190"/>
      <c r="AT156" s="190"/>
      <c r="AU156" s="190"/>
      <c r="AV156" s="190"/>
    </row>
    <row r="157" spans="1:48" ht="19.5" customHeight="1" x14ac:dyDescent="0.35">
      <c r="A157" s="182"/>
      <c r="B157" s="183"/>
      <c r="C157" s="184"/>
      <c r="D157" s="184"/>
      <c r="E157" s="185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3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190"/>
      <c r="AN157" s="190"/>
      <c r="AO157" s="190"/>
      <c r="AP157" s="190"/>
      <c r="AQ157" s="190"/>
      <c r="AR157" s="190"/>
      <c r="AS157" s="190"/>
      <c r="AT157" s="190"/>
      <c r="AU157" s="190"/>
      <c r="AV157" s="190"/>
    </row>
    <row r="158" spans="1:48" ht="19.5" customHeight="1" x14ac:dyDescent="0.35">
      <c r="A158" s="182"/>
      <c r="B158" s="183"/>
      <c r="C158" s="184"/>
      <c r="D158" s="184"/>
      <c r="E158" s="185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3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190"/>
      <c r="AN158" s="190"/>
      <c r="AO158" s="190"/>
      <c r="AP158" s="190"/>
      <c r="AQ158" s="190"/>
      <c r="AR158" s="190"/>
      <c r="AS158" s="190"/>
      <c r="AT158" s="190"/>
      <c r="AU158" s="190"/>
      <c r="AV158" s="190"/>
    </row>
    <row r="159" spans="1:48" ht="19.5" customHeight="1" x14ac:dyDescent="0.35">
      <c r="A159" s="182"/>
      <c r="B159" s="183"/>
      <c r="C159" s="184"/>
      <c r="D159" s="184"/>
      <c r="E159" s="185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3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  <c r="AU159" s="190"/>
      <c r="AV159" s="190"/>
    </row>
    <row r="160" spans="1:48" ht="19.5" customHeight="1" x14ac:dyDescent="0.35">
      <c r="A160" s="182"/>
      <c r="B160" s="183"/>
      <c r="C160" s="184"/>
      <c r="D160" s="184"/>
      <c r="E160" s="185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3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190"/>
      <c r="AN160" s="190"/>
      <c r="AO160" s="190"/>
      <c r="AP160" s="190"/>
      <c r="AQ160" s="190"/>
      <c r="AR160" s="190"/>
      <c r="AS160" s="190"/>
      <c r="AT160" s="190"/>
      <c r="AU160" s="190"/>
      <c r="AV160" s="190"/>
    </row>
    <row r="161" spans="1:48" ht="19.5" customHeight="1" x14ac:dyDescent="0.35">
      <c r="A161" s="182"/>
      <c r="B161" s="183"/>
      <c r="C161" s="184"/>
      <c r="D161" s="184"/>
      <c r="E161" s="185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3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190"/>
      <c r="AN161" s="190"/>
      <c r="AO161" s="190"/>
      <c r="AP161" s="190"/>
      <c r="AQ161" s="190"/>
      <c r="AR161" s="190"/>
      <c r="AS161" s="190"/>
      <c r="AT161" s="190"/>
      <c r="AU161" s="190"/>
      <c r="AV161" s="190"/>
    </row>
    <row r="162" spans="1:48" ht="15.75" customHeight="1" x14ac:dyDescent="0.35">
      <c r="A162" s="182"/>
      <c r="B162" s="183"/>
      <c r="C162" s="184"/>
      <c r="D162" s="184"/>
      <c r="E162" s="185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3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190"/>
      <c r="AN162" s="190"/>
      <c r="AO162" s="190"/>
      <c r="AP162" s="190"/>
      <c r="AQ162" s="190"/>
      <c r="AR162" s="190"/>
      <c r="AS162" s="190"/>
      <c r="AT162" s="190"/>
      <c r="AU162" s="190"/>
      <c r="AV162" s="190"/>
    </row>
    <row r="163" spans="1:48" ht="15.75" customHeight="1" x14ac:dyDescent="0.35">
      <c r="A163" s="182"/>
      <c r="B163" s="183"/>
      <c r="C163" s="184"/>
      <c r="D163" s="184"/>
      <c r="E163" s="185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3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190"/>
      <c r="AN163" s="190"/>
      <c r="AO163" s="190"/>
      <c r="AP163" s="190"/>
      <c r="AQ163" s="190"/>
      <c r="AR163" s="190"/>
      <c r="AS163" s="190"/>
      <c r="AT163" s="190"/>
      <c r="AU163" s="190"/>
      <c r="AV163" s="190"/>
    </row>
    <row r="164" spans="1:48" ht="15.75" customHeight="1" x14ac:dyDescent="0.35">
      <c r="A164" s="182"/>
      <c r="B164" s="183"/>
      <c r="C164" s="184"/>
      <c r="D164" s="184"/>
      <c r="E164" s="185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3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190"/>
      <c r="AN164" s="190"/>
      <c r="AO164" s="190"/>
      <c r="AP164" s="190"/>
      <c r="AQ164" s="190"/>
      <c r="AR164" s="190"/>
      <c r="AS164" s="190"/>
      <c r="AT164" s="190"/>
      <c r="AU164" s="190"/>
      <c r="AV164" s="190"/>
    </row>
    <row r="165" spans="1:48" ht="15.75" customHeight="1" x14ac:dyDescent="0.35">
      <c r="A165" s="182"/>
      <c r="B165" s="183"/>
      <c r="C165" s="184"/>
      <c r="D165" s="184"/>
      <c r="E165" s="185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3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190"/>
      <c r="AN165" s="190"/>
      <c r="AO165" s="190"/>
      <c r="AP165" s="190"/>
      <c r="AQ165" s="190"/>
      <c r="AR165" s="190"/>
      <c r="AS165" s="190"/>
      <c r="AT165" s="190"/>
      <c r="AU165" s="190"/>
      <c r="AV165" s="190"/>
    </row>
    <row r="166" spans="1:48" ht="15.75" customHeight="1" x14ac:dyDescent="0.35">
      <c r="A166" s="182"/>
      <c r="B166" s="183"/>
      <c r="C166" s="184"/>
      <c r="D166" s="184"/>
      <c r="E166" s="185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3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190"/>
      <c r="AN166" s="190"/>
      <c r="AO166" s="190"/>
      <c r="AP166" s="190"/>
      <c r="AQ166" s="190"/>
      <c r="AR166" s="190"/>
      <c r="AS166" s="190"/>
      <c r="AT166" s="190"/>
      <c r="AU166" s="190"/>
      <c r="AV166" s="190"/>
    </row>
    <row r="167" spans="1:48" ht="15.75" customHeight="1" x14ac:dyDescent="0.35">
      <c r="A167" s="182"/>
      <c r="B167" s="183"/>
      <c r="C167" s="184"/>
      <c r="D167" s="184"/>
      <c r="E167" s="185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3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  <c r="AQ167" s="190"/>
      <c r="AR167" s="190"/>
      <c r="AS167" s="190"/>
      <c r="AT167" s="190"/>
      <c r="AU167" s="190"/>
      <c r="AV167" s="190"/>
    </row>
    <row r="168" spans="1:48" ht="15.75" customHeight="1" x14ac:dyDescent="0.35">
      <c r="A168" s="182"/>
      <c r="B168" s="183"/>
      <c r="C168" s="184"/>
      <c r="D168" s="184"/>
      <c r="E168" s="185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3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0"/>
      <c r="AR168" s="190"/>
      <c r="AS168" s="190"/>
      <c r="AT168" s="190"/>
      <c r="AU168" s="190"/>
      <c r="AV168" s="190"/>
    </row>
    <row r="169" spans="1:48" ht="15.75" customHeight="1" x14ac:dyDescent="0.35">
      <c r="A169" s="182"/>
      <c r="B169" s="183"/>
      <c r="C169" s="184"/>
      <c r="D169" s="184"/>
      <c r="E169" s="185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3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190"/>
      <c r="AN169" s="190"/>
      <c r="AO169" s="190"/>
      <c r="AP169" s="190"/>
      <c r="AQ169" s="190"/>
      <c r="AR169" s="190"/>
      <c r="AS169" s="190"/>
      <c r="AT169" s="190"/>
      <c r="AU169" s="190"/>
      <c r="AV169" s="190"/>
    </row>
    <row r="170" spans="1:48" ht="15.75" customHeight="1" x14ac:dyDescent="0.35">
      <c r="A170" s="182"/>
      <c r="B170" s="183"/>
      <c r="C170" s="184"/>
      <c r="D170" s="184"/>
      <c r="E170" s="185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3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190"/>
      <c r="AN170" s="190"/>
      <c r="AO170" s="190"/>
      <c r="AP170" s="190"/>
      <c r="AQ170" s="190"/>
      <c r="AR170" s="190"/>
      <c r="AS170" s="190"/>
      <c r="AT170" s="190"/>
      <c r="AU170" s="190"/>
      <c r="AV170" s="190"/>
    </row>
    <row r="171" spans="1:48" ht="15.75" customHeight="1" x14ac:dyDescent="0.35">
      <c r="A171" s="182"/>
      <c r="B171" s="183"/>
      <c r="C171" s="184"/>
      <c r="D171" s="184"/>
      <c r="E171" s="185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3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0"/>
      <c r="AR171" s="190"/>
      <c r="AS171" s="190"/>
      <c r="AT171" s="190"/>
      <c r="AU171" s="190"/>
      <c r="AV171" s="190"/>
    </row>
    <row r="172" spans="1:48" ht="15.75" customHeight="1" x14ac:dyDescent="0.35">
      <c r="A172" s="182"/>
      <c r="B172" s="183"/>
      <c r="C172" s="184"/>
      <c r="D172" s="184"/>
      <c r="E172" s="185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3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90"/>
      <c r="AV172" s="190"/>
    </row>
    <row r="173" spans="1:48" ht="15.75" customHeight="1" x14ac:dyDescent="0.35">
      <c r="A173" s="182"/>
      <c r="B173" s="183"/>
      <c r="C173" s="184"/>
      <c r="D173" s="184"/>
      <c r="E173" s="185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3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190"/>
      <c r="AN173" s="190"/>
      <c r="AO173" s="190"/>
      <c r="AP173" s="190"/>
      <c r="AQ173" s="190"/>
      <c r="AR173" s="190"/>
      <c r="AS173" s="190"/>
      <c r="AT173" s="190"/>
      <c r="AU173" s="190"/>
      <c r="AV173" s="190"/>
    </row>
    <row r="174" spans="1:48" ht="15.75" customHeight="1" x14ac:dyDescent="0.35">
      <c r="A174" s="182"/>
      <c r="B174" s="183"/>
      <c r="C174" s="184"/>
      <c r="D174" s="184"/>
      <c r="E174" s="185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3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  <c r="AR174" s="190"/>
      <c r="AS174" s="190"/>
      <c r="AT174" s="190"/>
      <c r="AU174" s="190"/>
      <c r="AV174" s="190"/>
    </row>
    <row r="175" spans="1:48" ht="15.75" customHeight="1" x14ac:dyDescent="0.35">
      <c r="A175" s="182"/>
      <c r="B175" s="183"/>
      <c r="C175" s="184"/>
      <c r="D175" s="184"/>
      <c r="E175" s="185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3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190"/>
      <c r="AN175" s="190"/>
      <c r="AO175" s="190"/>
      <c r="AP175" s="190"/>
      <c r="AQ175" s="190"/>
      <c r="AR175" s="190"/>
      <c r="AS175" s="190"/>
      <c r="AT175" s="190"/>
      <c r="AU175" s="190"/>
      <c r="AV175" s="190"/>
    </row>
    <row r="176" spans="1:48" ht="15.75" customHeight="1" x14ac:dyDescent="0.35">
      <c r="A176" s="182"/>
      <c r="B176" s="183"/>
      <c r="C176" s="184"/>
      <c r="D176" s="184"/>
      <c r="E176" s="185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3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0"/>
      <c r="AR176" s="190"/>
      <c r="AS176" s="190"/>
      <c r="AT176" s="190"/>
      <c r="AU176" s="190"/>
      <c r="AV176" s="190"/>
    </row>
    <row r="177" spans="1:48" ht="15.75" customHeight="1" x14ac:dyDescent="0.35">
      <c r="A177" s="182"/>
      <c r="B177" s="183"/>
      <c r="C177" s="184"/>
      <c r="D177" s="184"/>
      <c r="E177" s="185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3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190"/>
      <c r="AN177" s="190"/>
      <c r="AO177" s="190"/>
      <c r="AP177" s="190"/>
      <c r="AQ177" s="190"/>
      <c r="AR177" s="190"/>
      <c r="AS177" s="190"/>
      <c r="AT177" s="190"/>
      <c r="AU177" s="190"/>
      <c r="AV177" s="190"/>
    </row>
    <row r="178" spans="1:48" ht="15.75" customHeight="1" x14ac:dyDescent="0.35">
      <c r="A178" s="182"/>
      <c r="B178" s="183"/>
      <c r="C178" s="184"/>
      <c r="D178" s="184"/>
      <c r="E178" s="185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3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0"/>
      <c r="AR178" s="190"/>
      <c r="AS178" s="190"/>
      <c r="AT178" s="190"/>
      <c r="AU178" s="190"/>
      <c r="AV178" s="190"/>
    </row>
    <row r="179" spans="1:48" ht="15.75" customHeight="1" x14ac:dyDescent="0.35">
      <c r="A179" s="182"/>
      <c r="B179" s="183"/>
      <c r="C179" s="184"/>
      <c r="D179" s="184"/>
      <c r="E179" s="185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3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  <c r="AT179" s="190"/>
      <c r="AU179" s="190"/>
      <c r="AV179" s="190"/>
    </row>
    <row r="180" spans="1:48" ht="15.75" customHeight="1" x14ac:dyDescent="0.35">
      <c r="A180" s="182"/>
      <c r="B180" s="183"/>
      <c r="C180" s="184"/>
      <c r="D180" s="184"/>
      <c r="E180" s="185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3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  <c r="AT180" s="190"/>
      <c r="AU180" s="190"/>
      <c r="AV180" s="190"/>
    </row>
    <row r="181" spans="1:48" ht="15.75" customHeight="1" x14ac:dyDescent="0.35">
      <c r="A181" s="182"/>
      <c r="B181" s="183"/>
      <c r="C181" s="184"/>
      <c r="D181" s="184"/>
      <c r="E181" s="185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3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0"/>
      <c r="AR181" s="190"/>
      <c r="AS181" s="190"/>
      <c r="AT181" s="190"/>
      <c r="AU181" s="190"/>
      <c r="AV181" s="190"/>
    </row>
    <row r="182" spans="1:48" ht="15.75" customHeight="1" x14ac:dyDescent="0.35">
      <c r="A182" s="182"/>
      <c r="B182" s="183"/>
      <c r="C182" s="184"/>
      <c r="D182" s="184"/>
      <c r="E182" s="185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3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  <c r="AU182" s="190"/>
      <c r="AV182" s="190"/>
    </row>
    <row r="183" spans="1:48" ht="15.75" customHeight="1" x14ac:dyDescent="0.35">
      <c r="A183" s="182"/>
      <c r="B183" s="183"/>
      <c r="C183" s="184"/>
      <c r="D183" s="184"/>
      <c r="E183" s="185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3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  <c r="AU183" s="190"/>
      <c r="AV183" s="190"/>
    </row>
    <row r="184" spans="1:48" ht="15.75" customHeight="1" x14ac:dyDescent="0.35">
      <c r="A184" s="182"/>
      <c r="B184" s="183"/>
      <c r="C184" s="184"/>
      <c r="D184" s="184"/>
      <c r="E184" s="185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3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  <c r="AU184" s="190"/>
      <c r="AV184" s="190"/>
    </row>
    <row r="185" spans="1:48" ht="15.75" customHeight="1" x14ac:dyDescent="0.35">
      <c r="A185" s="182"/>
      <c r="B185" s="183"/>
      <c r="C185" s="184"/>
      <c r="D185" s="184"/>
      <c r="E185" s="185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3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0"/>
      <c r="AR185" s="190"/>
      <c r="AS185" s="190"/>
      <c r="AT185" s="190"/>
      <c r="AU185" s="190"/>
      <c r="AV185" s="190"/>
    </row>
    <row r="186" spans="1:48" ht="15.75" customHeight="1" x14ac:dyDescent="0.35">
      <c r="A186" s="182"/>
      <c r="B186" s="183"/>
      <c r="C186" s="184"/>
      <c r="D186" s="184"/>
      <c r="E186" s="185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3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  <c r="AR186" s="190"/>
      <c r="AS186" s="190"/>
      <c r="AT186" s="190"/>
      <c r="AU186" s="190"/>
      <c r="AV186" s="190"/>
    </row>
    <row r="187" spans="1:48" ht="15.75" customHeight="1" x14ac:dyDescent="0.35">
      <c r="A187" s="182"/>
      <c r="B187" s="183"/>
      <c r="C187" s="184"/>
      <c r="D187" s="184"/>
      <c r="E187" s="185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3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0"/>
      <c r="AV187" s="190"/>
    </row>
    <row r="188" spans="1:48" ht="15.75" customHeight="1" x14ac:dyDescent="0.35">
      <c r="A188" s="182"/>
      <c r="B188" s="183"/>
      <c r="C188" s="184"/>
      <c r="D188" s="184"/>
      <c r="E188" s="185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3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  <c r="AU188" s="190"/>
      <c r="AV188" s="190"/>
    </row>
    <row r="189" spans="1:48" ht="15.75" customHeight="1" x14ac:dyDescent="0.35">
      <c r="A189" s="182"/>
      <c r="B189" s="183"/>
      <c r="C189" s="184"/>
      <c r="D189" s="184"/>
      <c r="E189" s="185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3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0"/>
      <c r="AR189" s="190"/>
      <c r="AS189" s="190"/>
      <c r="AT189" s="190"/>
      <c r="AU189" s="190"/>
      <c r="AV189" s="190"/>
    </row>
    <row r="190" spans="1:48" ht="15.75" customHeight="1" x14ac:dyDescent="0.35">
      <c r="A190" s="182"/>
      <c r="B190" s="183"/>
      <c r="C190" s="184"/>
      <c r="D190" s="184"/>
      <c r="E190" s="185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3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190"/>
      <c r="AN190" s="190"/>
      <c r="AO190" s="190"/>
      <c r="AP190" s="190"/>
      <c r="AQ190" s="190"/>
      <c r="AR190" s="190"/>
      <c r="AS190" s="190"/>
      <c r="AT190" s="190"/>
      <c r="AU190" s="190"/>
      <c r="AV190" s="190"/>
    </row>
    <row r="191" spans="1:48" ht="15.75" customHeight="1" x14ac:dyDescent="0.35">
      <c r="A191" s="182"/>
      <c r="B191" s="183"/>
      <c r="C191" s="184"/>
      <c r="D191" s="184"/>
      <c r="E191" s="185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3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0"/>
      <c r="AR191" s="190"/>
      <c r="AS191" s="190"/>
      <c r="AT191" s="190"/>
      <c r="AU191" s="190"/>
      <c r="AV191" s="190"/>
    </row>
    <row r="192" spans="1:48" ht="15.75" customHeight="1" x14ac:dyDescent="0.35">
      <c r="A192" s="182"/>
      <c r="B192" s="183"/>
      <c r="C192" s="184"/>
      <c r="D192" s="184"/>
      <c r="E192" s="185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3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190"/>
      <c r="AN192" s="190"/>
      <c r="AO192" s="190"/>
      <c r="AP192" s="190"/>
      <c r="AQ192" s="190"/>
      <c r="AR192" s="190"/>
      <c r="AS192" s="190"/>
      <c r="AT192" s="190"/>
      <c r="AU192" s="190"/>
      <c r="AV192" s="190"/>
    </row>
    <row r="193" spans="1:48" ht="15.75" customHeight="1" x14ac:dyDescent="0.35">
      <c r="A193" s="182"/>
      <c r="B193" s="183"/>
      <c r="C193" s="184"/>
      <c r="D193" s="184"/>
      <c r="E193" s="185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3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190"/>
      <c r="AN193" s="190"/>
      <c r="AO193" s="190"/>
      <c r="AP193" s="190"/>
      <c r="AQ193" s="190"/>
      <c r="AR193" s="190"/>
      <c r="AS193" s="190"/>
      <c r="AT193" s="190"/>
      <c r="AU193" s="190"/>
      <c r="AV193" s="190"/>
    </row>
    <row r="194" spans="1:48" ht="15.75" customHeight="1" x14ac:dyDescent="0.35">
      <c r="A194" s="182"/>
      <c r="B194" s="183"/>
      <c r="C194" s="184"/>
      <c r="D194" s="184"/>
      <c r="E194" s="185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3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190"/>
      <c r="AN194" s="190"/>
      <c r="AO194" s="190"/>
      <c r="AP194" s="190"/>
      <c r="AQ194" s="190"/>
      <c r="AR194" s="190"/>
      <c r="AS194" s="190"/>
      <c r="AT194" s="190"/>
      <c r="AU194" s="190"/>
      <c r="AV194" s="190"/>
    </row>
    <row r="195" spans="1:48" ht="15.75" customHeight="1" x14ac:dyDescent="0.35">
      <c r="A195" s="182"/>
      <c r="B195" s="183"/>
      <c r="C195" s="184"/>
      <c r="D195" s="184"/>
      <c r="E195" s="185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3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</row>
    <row r="196" spans="1:48" ht="15.75" customHeight="1" x14ac:dyDescent="0.35">
      <c r="A196" s="182"/>
      <c r="B196" s="183"/>
      <c r="C196" s="184"/>
      <c r="D196" s="184"/>
      <c r="E196" s="185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3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190"/>
      <c r="AN196" s="190"/>
      <c r="AO196" s="190"/>
      <c r="AP196" s="190"/>
      <c r="AQ196" s="190"/>
      <c r="AR196" s="190"/>
      <c r="AS196" s="190"/>
      <c r="AT196" s="190"/>
      <c r="AU196" s="190"/>
      <c r="AV196" s="190"/>
    </row>
    <row r="197" spans="1:48" ht="15.75" customHeight="1" x14ac:dyDescent="0.35">
      <c r="A197" s="182"/>
      <c r="B197" s="183"/>
      <c r="C197" s="184"/>
      <c r="D197" s="184"/>
      <c r="E197" s="185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3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190"/>
      <c r="AN197" s="190"/>
      <c r="AO197" s="190"/>
      <c r="AP197" s="190"/>
      <c r="AQ197" s="190"/>
      <c r="AR197" s="190"/>
      <c r="AS197" s="190"/>
      <c r="AT197" s="190"/>
      <c r="AU197" s="190"/>
      <c r="AV197" s="190"/>
    </row>
    <row r="198" spans="1:48" ht="15.75" customHeight="1" x14ac:dyDescent="0.35">
      <c r="A198" s="182"/>
      <c r="B198" s="183"/>
      <c r="C198" s="184"/>
      <c r="D198" s="184"/>
      <c r="E198" s="185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3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190"/>
      <c r="AN198" s="190"/>
      <c r="AO198" s="190"/>
      <c r="AP198" s="190"/>
      <c r="AQ198" s="190"/>
      <c r="AR198" s="190"/>
      <c r="AS198" s="190"/>
      <c r="AT198" s="190"/>
      <c r="AU198" s="190"/>
      <c r="AV198" s="190"/>
    </row>
    <row r="199" spans="1:48" ht="15.75" customHeight="1" x14ac:dyDescent="0.35">
      <c r="A199" s="182"/>
      <c r="B199" s="183"/>
      <c r="C199" s="184"/>
      <c r="D199" s="184"/>
      <c r="E199" s="185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3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190"/>
      <c r="AN199" s="190"/>
      <c r="AO199" s="190"/>
      <c r="AP199" s="190"/>
      <c r="AQ199" s="190"/>
      <c r="AR199" s="190"/>
      <c r="AS199" s="190"/>
      <c r="AT199" s="190"/>
      <c r="AU199" s="190"/>
      <c r="AV199" s="190"/>
    </row>
    <row r="200" spans="1:48" ht="15.75" customHeight="1" x14ac:dyDescent="0.35">
      <c r="A200" s="182"/>
      <c r="B200" s="183"/>
      <c r="C200" s="184"/>
      <c r="D200" s="184"/>
      <c r="E200" s="185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3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190"/>
      <c r="AN200" s="190"/>
      <c r="AO200" s="190"/>
      <c r="AP200" s="190"/>
      <c r="AQ200" s="190"/>
      <c r="AR200" s="190"/>
      <c r="AS200" s="190"/>
      <c r="AT200" s="190"/>
      <c r="AU200" s="190"/>
      <c r="AV200" s="190"/>
    </row>
    <row r="201" spans="1:48" ht="15.75" customHeight="1" x14ac:dyDescent="0.35">
      <c r="A201" s="182"/>
      <c r="B201" s="183"/>
      <c r="C201" s="184"/>
      <c r="D201" s="184"/>
      <c r="E201" s="185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3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190"/>
      <c r="AN201" s="190"/>
      <c r="AO201" s="190"/>
      <c r="AP201" s="190"/>
      <c r="AQ201" s="190"/>
      <c r="AR201" s="190"/>
      <c r="AS201" s="190"/>
      <c r="AT201" s="190"/>
      <c r="AU201" s="190"/>
      <c r="AV201" s="190"/>
    </row>
    <row r="202" spans="1:48" ht="15.75" customHeight="1" x14ac:dyDescent="0.35">
      <c r="A202" s="182"/>
      <c r="B202" s="183"/>
      <c r="C202" s="184"/>
      <c r="D202" s="184"/>
      <c r="E202" s="185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3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190"/>
      <c r="AN202" s="190"/>
      <c r="AO202" s="190"/>
      <c r="AP202" s="190"/>
      <c r="AQ202" s="190"/>
      <c r="AR202" s="190"/>
      <c r="AS202" s="190"/>
      <c r="AT202" s="190"/>
      <c r="AU202" s="190"/>
      <c r="AV202" s="190"/>
    </row>
    <row r="203" spans="1:48" ht="15.75" customHeight="1" x14ac:dyDescent="0.35">
      <c r="A203" s="182"/>
      <c r="B203" s="183"/>
      <c r="C203" s="184"/>
      <c r="D203" s="184"/>
      <c r="E203" s="185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3"/>
      <c r="AC203" s="190"/>
      <c r="AD203" s="190"/>
      <c r="AE203" s="190"/>
      <c r="AF203" s="190"/>
      <c r="AG203" s="190"/>
      <c r="AH203" s="190"/>
      <c r="AI203" s="190"/>
      <c r="AJ203" s="190"/>
      <c r="AK203" s="190"/>
      <c r="AL203" s="190"/>
      <c r="AM203" s="190"/>
      <c r="AN203" s="190"/>
      <c r="AO203" s="190"/>
      <c r="AP203" s="190"/>
      <c r="AQ203" s="190"/>
      <c r="AR203" s="190"/>
      <c r="AS203" s="190"/>
      <c r="AT203" s="190"/>
      <c r="AU203" s="190"/>
      <c r="AV203" s="190"/>
    </row>
    <row r="204" spans="1:48" ht="15.75" customHeight="1" x14ac:dyDescent="0.35">
      <c r="A204" s="182"/>
      <c r="B204" s="183"/>
      <c r="C204" s="184"/>
      <c r="D204" s="184"/>
      <c r="E204" s="185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3"/>
      <c r="AC204" s="190"/>
      <c r="AD204" s="190"/>
      <c r="AE204" s="190"/>
      <c r="AF204" s="190"/>
      <c r="AG204" s="190"/>
      <c r="AH204" s="190"/>
      <c r="AI204" s="190"/>
      <c r="AJ204" s="190"/>
      <c r="AK204" s="190"/>
      <c r="AL204" s="190"/>
      <c r="AM204" s="190"/>
      <c r="AN204" s="190"/>
      <c r="AO204" s="190"/>
      <c r="AP204" s="190"/>
      <c r="AQ204" s="190"/>
      <c r="AR204" s="190"/>
      <c r="AS204" s="190"/>
      <c r="AT204" s="190"/>
      <c r="AU204" s="190"/>
      <c r="AV204" s="190"/>
    </row>
    <row r="205" spans="1:48" ht="15.75" customHeight="1" x14ac:dyDescent="0.35">
      <c r="A205" s="182"/>
      <c r="B205" s="183"/>
      <c r="C205" s="184"/>
      <c r="D205" s="184"/>
      <c r="E205" s="185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3"/>
      <c r="AC205" s="190"/>
      <c r="AD205" s="190"/>
      <c r="AE205" s="190"/>
      <c r="AF205" s="190"/>
      <c r="AG205" s="190"/>
      <c r="AH205" s="190"/>
      <c r="AI205" s="190"/>
      <c r="AJ205" s="190"/>
      <c r="AK205" s="190"/>
      <c r="AL205" s="190"/>
      <c r="AM205" s="190"/>
      <c r="AN205" s="190"/>
      <c r="AO205" s="190"/>
      <c r="AP205" s="190"/>
      <c r="AQ205" s="190"/>
      <c r="AR205" s="190"/>
      <c r="AS205" s="190"/>
      <c r="AT205" s="190"/>
      <c r="AU205" s="190"/>
      <c r="AV205" s="190"/>
    </row>
    <row r="206" spans="1:48" ht="15.75" customHeight="1" x14ac:dyDescent="0.35">
      <c r="A206" s="182"/>
      <c r="B206" s="183"/>
      <c r="C206" s="184"/>
      <c r="D206" s="184"/>
      <c r="E206" s="185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3"/>
      <c r="AC206" s="190"/>
      <c r="AD206" s="190"/>
      <c r="AE206" s="190"/>
      <c r="AF206" s="190"/>
      <c r="AG206" s="190"/>
      <c r="AH206" s="190"/>
      <c r="AI206" s="190"/>
      <c r="AJ206" s="190"/>
      <c r="AK206" s="190"/>
      <c r="AL206" s="190"/>
      <c r="AM206" s="190"/>
      <c r="AN206" s="190"/>
      <c r="AO206" s="190"/>
      <c r="AP206" s="190"/>
      <c r="AQ206" s="190"/>
      <c r="AR206" s="190"/>
      <c r="AS206" s="190"/>
      <c r="AT206" s="190"/>
      <c r="AU206" s="190"/>
      <c r="AV206" s="190"/>
    </row>
    <row r="207" spans="1:48" ht="15.75" customHeight="1" x14ac:dyDescent="0.35">
      <c r="A207" s="182"/>
      <c r="B207" s="183"/>
      <c r="C207" s="184"/>
      <c r="D207" s="184"/>
      <c r="E207" s="185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3"/>
      <c r="AC207" s="190"/>
      <c r="AD207" s="190"/>
      <c r="AE207" s="190"/>
      <c r="AF207" s="190"/>
      <c r="AG207" s="190"/>
      <c r="AH207" s="190"/>
      <c r="AI207" s="190"/>
      <c r="AJ207" s="190"/>
      <c r="AK207" s="190"/>
      <c r="AL207" s="190"/>
      <c r="AM207" s="190"/>
      <c r="AN207" s="190"/>
      <c r="AO207" s="190"/>
      <c r="AP207" s="190"/>
      <c r="AQ207" s="190"/>
      <c r="AR207" s="190"/>
      <c r="AS207" s="190"/>
      <c r="AT207" s="190"/>
      <c r="AU207" s="190"/>
      <c r="AV207" s="190"/>
    </row>
    <row r="208" spans="1:48" ht="15.75" customHeight="1" x14ac:dyDescent="0.35">
      <c r="A208" s="182"/>
      <c r="B208" s="183"/>
      <c r="C208" s="184"/>
      <c r="D208" s="184"/>
      <c r="E208" s="185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3"/>
      <c r="AC208" s="190"/>
      <c r="AD208" s="190"/>
      <c r="AE208" s="190"/>
      <c r="AF208" s="190"/>
      <c r="AG208" s="190"/>
      <c r="AH208" s="190"/>
      <c r="AI208" s="190"/>
      <c r="AJ208" s="190"/>
      <c r="AK208" s="190"/>
      <c r="AL208" s="190"/>
      <c r="AM208" s="190"/>
      <c r="AN208" s="190"/>
      <c r="AO208" s="190"/>
      <c r="AP208" s="190"/>
      <c r="AQ208" s="190"/>
      <c r="AR208" s="190"/>
      <c r="AS208" s="190"/>
      <c r="AT208" s="190"/>
      <c r="AU208" s="190"/>
      <c r="AV208" s="190"/>
    </row>
    <row r="209" spans="1:48" ht="15.75" customHeight="1" x14ac:dyDescent="0.35">
      <c r="A209" s="182"/>
      <c r="B209" s="183"/>
      <c r="C209" s="184"/>
      <c r="D209" s="184"/>
      <c r="E209" s="185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3"/>
      <c r="AC209" s="190"/>
      <c r="AD209" s="190"/>
      <c r="AE209" s="190"/>
      <c r="AF209" s="190"/>
      <c r="AG209" s="190"/>
      <c r="AH209" s="190"/>
      <c r="AI209" s="190"/>
      <c r="AJ209" s="190"/>
      <c r="AK209" s="190"/>
      <c r="AL209" s="190"/>
      <c r="AM209" s="190"/>
      <c r="AN209" s="190"/>
      <c r="AO209" s="190"/>
      <c r="AP209" s="190"/>
      <c r="AQ209" s="190"/>
      <c r="AR209" s="190"/>
      <c r="AS209" s="190"/>
      <c r="AT209" s="190"/>
      <c r="AU209" s="190"/>
      <c r="AV209" s="190"/>
    </row>
    <row r="210" spans="1:48" ht="15.75" customHeight="1" x14ac:dyDescent="0.35">
      <c r="A210" s="182"/>
      <c r="B210" s="183"/>
      <c r="C210" s="184"/>
      <c r="D210" s="184"/>
      <c r="E210" s="185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3"/>
      <c r="AC210" s="190"/>
      <c r="AD210" s="190"/>
      <c r="AE210" s="190"/>
      <c r="AF210" s="190"/>
      <c r="AG210" s="190"/>
      <c r="AH210" s="190"/>
      <c r="AI210" s="190"/>
      <c r="AJ210" s="190"/>
      <c r="AK210" s="190"/>
      <c r="AL210" s="190"/>
      <c r="AM210" s="190"/>
      <c r="AN210" s="190"/>
      <c r="AO210" s="190"/>
      <c r="AP210" s="190"/>
      <c r="AQ210" s="190"/>
      <c r="AR210" s="190"/>
      <c r="AS210" s="190"/>
      <c r="AT210" s="190"/>
      <c r="AU210" s="190"/>
      <c r="AV210" s="190"/>
    </row>
    <row r="211" spans="1:48" ht="15.75" customHeight="1" x14ac:dyDescent="0.35">
      <c r="A211" s="182"/>
      <c r="B211" s="183"/>
      <c r="C211" s="184"/>
      <c r="D211" s="184"/>
      <c r="E211" s="185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3"/>
      <c r="AC211" s="190"/>
      <c r="AD211" s="190"/>
      <c r="AE211" s="190"/>
      <c r="AF211" s="190"/>
      <c r="AG211" s="190"/>
      <c r="AH211" s="190"/>
      <c r="AI211" s="190"/>
      <c r="AJ211" s="190"/>
      <c r="AK211" s="190"/>
      <c r="AL211" s="190"/>
      <c r="AM211" s="190"/>
      <c r="AN211" s="190"/>
      <c r="AO211" s="190"/>
      <c r="AP211" s="190"/>
      <c r="AQ211" s="190"/>
      <c r="AR211" s="190"/>
      <c r="AS211" s="190"/>
      <c r="AT211" s="190"/>
      <c r="AU211" s="190"/>
      <c r="AV211" s="190"/>
    </row>
    <row r="212" spans="1:48" ht="15.75" customHeight="1" x14ac:dyDescent="0.35">
      <c r="A212" s="182"/>
      <c r="B212" s="183"/>
      <c r="C212" s="184"/>
      <c r="D212" s="184"/>
      <c r="E212" s="185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3"/>
      <c r="AC212" s="190"/>
      <c r="AD212" s="190"/>
      <c r="AE212" s="190"/>
      <c r="AF212" s="190"/>
      <c r="AG212" s="190"/>
      <c r="AH212" s="190"/>
      <c r="AI212" s="190"/>
      <c r="AJ212" s="190"/>
      <c r="AK212" s="190"/>
      <c r="AL212" s="190"/>
      <c r="AM212" s="190"/>
      <c r="AN212" s="190"/>
      <c r="AO212" s="190"/>
      <c r="AP212" s="190"/>
      <c r="AQ212" s="190"/>
      <c r="AR212" s="190"/>
      <c r="AS212" s="190"/>
      <c r="AT212" s="190"/>
      <c r="AU212" s="190"/>
      <c r="AV212" s="190"/>
    </row>
    <row r="213" spans="1:48" ht="15.75" customHeight="1" x14ac:dyDescent="0.35">
      <c r="A213" s="182"/>
      <c r="B213" s="183"/>
      <c r="C213" s="184"/>
      <c r="D213" s="184"/>
      <c r="E213" s="185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3"/>
      <c r="AC213" s="190"/>
      <c r="AD213" s="190"/>
      <c r="AE213" s="190"/>
      <c r="AF213" s="190"/>
      <c r="AG213" s="190"/>
      <c r="AH213" s="190"/>
      <c r="AI213" s="190"/>
      <c r="AJ213" s="190"/>
      <c r="AK213" s="190"/>
      <c r="AL213" s="190"/>
      <c r="AM213" s="190"/>
      <c r="AN213" s="190"/>
      <c r="AO213" s="190"/>
      <c r="AP213" s="190"/>
      <c r="AQ213" s="190"/>
      <c r="AR213" s="190"/>
      <c r="AS213" s="190"/>
      <c r="AT213" s="190"/>
      <c r="AU213" s="190"/>
      <c r="AV213" s="190"/>
    </row>
    <row r="214" spans="1:48" ht="15.75" customHeight="1" x14ac:dyDescent="0.35">
      <c r="A214" s="182"/>
      <c r="B214" s="183"/>
      <c r="C214" s="184"/>
      <c r="D214" s="184"/>
      <c r="E214" s="185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3"/>
      <c r="AC214" s="190"/>
      <c r="AD214" s="190"/>
      <c r="AE214" s="190"/>
      <c r="AF214" s="190"/>
      <c r="AG214" s="190"/>
      <c r="AH214" s="190"/>
      <c r="AI214" s="190"/>
      <c r="AJ214" s="190"/>
      <c r="AK214" s="190"/>
      <c r="AL214" s="190"/>
      <c r="AM214" s="190"/>
      <c r="AN214" s="190"/>
      <c r="AO214" s="190"/>
      <c r="AP214" s="190"/>
      <c r="AQ214" s="190"/>
      <c r="AR214" s="190"/>
      <c r="AS214" s="190"/>
      <c r="AT214" s="190"/>
      <c r="AU214" s="190"/>
      <c r="AV214" s="190"/>
    </row>
    <row r="215" spans="1:48" ht="15.75" customHeight="1" x14ac:dyDescent="0.35">
      <c r="A215" s="182"/>
      <c r="B215" s="183"/>
      <c r="C215" s="184"/>
      <c r="D215" s="184"/>
      <c r="E215" s="185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3"/>
      <c r="AC215" s="190"/>
      <c r="AD215" s="190"/>
      <c r="AE215" s="190"/>
      <c r="AF215" s="190"/>
      <c r="AG215" s="190"/>
      <c r="AH215" s="190"/>
      <c r="AI215" s="190"/>
      <c r="AJ215" s="190"/>
      <c r="AK215" s="190"/>
      <c r="AL215" s="190"/>
      <c r="AM215" s="190"/>
      <c r="AN215" s="190"/>
      <c r="AO215" s="190"/>
      <c r="AP215" s="190"/>
      <c r="AQ215" s="190"/>
      <c r="AR215" s="190"/>
      <c r="AS215" s="190"/>
      <c r="AT215" s="190"/>
      <c r="AU215" s="190"/>
      <c r="AV215" s="190"/>
    </row>
    <row r="216" spans="1:48" ht="15.75" customHeight="1" x14ac:dyDescent="0.35">
      <c r="A216" s="182"/>
      <c r="B216" s="183"/>
      <c r="C216" s="184"/>
      <c r="D216" s="184"/>
      <c r="E216" s="185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3"/>
      <c r="AC216" s="190"/>
      <c r="AD216" s="190"/>
      <c r="AE216" s="190"/>
      <c r="AF216" s="190"/>
      <c r="AG216" s="190"/>
      <c r="AH216" s="190"/>
      <c r="AI216" s="190"/>
      <c r="AJ216" s="190"/>
      <c r="AK216" s="190"/>
      <c r="AL216" s="190"/>
      <c r="AM216" s="190"/>
      <c r="AN216" s="190"/>
      <c r="AO216" s="190"/>
      <c r="AP216" s="190"/>
      <c r="AQ216" s="190"/>
      <c r="AR216" s="190"/>
      <c r="AS216" s="190"/>
      <c r="AT216" s="190"/>
      <c r="AU216" s="190"/>
      <c r="AV216" s="190"/>
    </row>
    <row r="217" spans="1:48" ht="15.75" customHeight="1" x14ac:dyDescent="0.35">
      <c r="A217" s="182"/>
      <c r="B217" s="183"/>
      <c r="C217" s="184"/>
      <c r="D217" s="184"/>
      <c r="E217" s="185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3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0"/>
      <c r="AR217" s="190"/>
      <c r="AS217" s="190"/>
      <c r="AT217" s="190"/>
      <c r="AU217" s="190"/>
      <c r="AV217" s="190"/>
    </row>
    <row r="218" spans="1:48" ht="15.75" customHeight="1" x14ac:dyDescent="0.35">
      <c r="A218" s="182"/>
      <c r="B218" s="183"/>
      <c r="C218" s="184"/>
      <c r="D218" s="184"/>
      <c r="E218" s="185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3"/>
      <c r="AC218" s="190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0"/>
      <c r="AR218" s="190"/>
      <c r="AS218" s="190"/>
      <c r="AT218" s="190"/>
      <c r="AU218" s="190"/>
      <c r="AV218" s="190"/>
    </row>
    <row r="219" spans="1:48" ht="15.75" customHeight="1" x14ac:dyDescent="0.35">
      <c r="A219" s="182"/>
      <c r="B219" s="183"/>
      <c r="C219" s="184"/>
      <c r="D219" s="184"/>
      <c r="E219" s="185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3"/>
      <c r="AC219" s="190"/>
      <c r="AD219" s="190"/>
      <c r="AE219" s="190"/>
      <c r="AF219" s="190"/>
      <c r="AG219" s="190"/>
      <c r="AH219" s="190"/>
      <c r="AI219" s="190"/>
      <c r="AJ219" s="190"/>
      <c r="AK219" s="190"/>
      <c r="AL219" s="190"/>
      <c r="AM219" s="190"/>
      <c r="AN219" s="190"/>
      <c r="AO219" s="190"/>
      <c r="AP219" s="190"/>
      <c r="AQ219" s="190"/>
      <c r="AR219" s="190"/>
      <c r="AS219" s="190"/>
      <c r="AT219" s="190"/>
      <c r="AU219" s="190"/>
      <c r="AV219" s="190"/>
    </row>
    <row r="220" spans="1:48" ht="15.75" customHeight="1" x14ac:dyDescent="0.35">
      <c r="A220" s="182"/>
      <c r="B220" s="183"/>
      <c r="C220" s="184"/>
      <c r="D220" s="184"/>
      <c r="E220" s="185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3"/>
      <c r="AC220" s="190"/>
      <c r="AD220" s="190"/>
      <c r="AE220" s="190"/>
      <c r="AF220" s="190"/>
      <c r="AG220" s="190"/>
      <c r="AH220" s="190"/>
      <c r="AI220" s="190"/>
      <c r="AJ220" s="190"/>
      <c r="AK220" s="190"/>
      <c r="AL220" s="190"/>
      <c r="AM220" s="190"/>
      <c r="AN220" s="190"/>
      <c r="AO220" s="190"/>
      <c r="AP220" s="190"/>
      <c r="AQ220" s="190"/>
      <c r="AR220" s="190"/>
      <c r="AS220" s="190"/>
      <c r="AT220" s="190"/>
      <c r="AU220" s="190"/>
      <c r="AV220" s="190"/>
    </row>
    <row r="221" spans="1:48" ht="15.75" customHeight="1" x14ac:dyDescent="0.35">
      <c r="A221" s="182"/>
      <c r="B221" s="183"/>
      <c r="C221" s="184"/>
      <c r="D221" s="184"/>
      <c r="E221" s="185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3"/>
      <c r="AC221" s="190"/>
      <c r="AD221" s="190"/>
      <c r="AE221" s="190"/>
      <c r="AF221" s="190"/>
      <c r="AG221" s="190"/>
      <c r="AH221" s="190"/>
      <c r="AI221" s="190"/>
      <c r="AJ221" s="190"/>
      <c r="AK221" s="190"/>
      <c r="AL221" s="190"/>
      <c r="AM221" s="190"/>
      <c r="AN221" s="190"/>
      <c r="AO221" s="190"/>
      <c r="AP221" s="190"/>
      <c r="AQ221" s="190"/>
      <c r="AR221" s="190"/>
      <c r="AS221" s="190"/>
      <c r="AT221" s="190"/>
      <c r="AU221" s="190"/>
      <c r="AV221" s="190"/>
    </row>
    <row r="222" spans="1:48" ht="15.75" customHeight="1" x14ac:dyDescent="0.35">
      <c r="A222" s="182"/>
      <c r="B222" s="183"/>
      <c r="C222" s="184"/>
      <c r="D222" s="184"/>
      <c r="E222" s="185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3"/>
      <c r="AC222" s="190"/>
      <c r="AD222" s="190"/>
      <c r="AE222" s="190"/>
      <c r="AF222" s="190"/>
      <c r="AG222" s="190"/>
      <c r="AH222" s="190"/>
      <c r="AI222" s="190"/>
      <c r="AJ222" s="190"/>
      <c r="AK222" s="190"/>
      <c r="AL222" s="190"/>
      <c r="AM222" s="190"/>
      <c r="AN222" s="190"/>
      <c r="AO222" s="190"/>
      <c r="AP222" s="190"/>
      <c r="AQ222" s="190"/>
      <c r="AR222" s="190"/>
      <c r="AS222" s="190"/>
      <c r="AT222" s="190"/>
      <c r="AU222" s="190"/>
      <c r="AV222" s="190"/>
    </row>
    <row r="223" spans="1:48" ht="15.75" customHeight="1" x14ac:dyDescent="0.35">
      <c r="A223" s="182"/>
      <c r="B223" s="183"/>
      <c r="C223" s="184"/>
      <c r="D223" s="184"/>
      <c r="E223" s="185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3"/>
      <c r="AC223" s="190"/>
      <c r="AD223" s="190"/>
      <c r="AE223" s="190"/>
      <c r="AF223" s="190"/>
      <c r="AG223" s="190"/>
      <c r="AH223" s="190"/>
      <c r="AI223" s="190"/>
      <c r="AJ223" s="190"/>
      <c r="AK223" s="190"/>
      <c r="AL223" s="190"/>
      <c r="AM223" s="190"/>
      <c r="AN223" s="190"/>
      <c r="AO223" s="190"/>
      <c r="AP223" s="190"/>
      <c r="AQ223" s="190"/>
      <c r="AR223" s="190"/>
      <c r="AS223" s="190"/>
      <c r="AT223" s="190"/>
      <c r="AU223" s="190"/>
      <c r="AV223" s="190"/>
    </row>
    <row r="224" spans="1:48" ht="15.75" customHeight="1" x14ac:dyDescent="0.35">
      <c r="A224" s="182"/>
      <c r="B224" s="183"/>
      <c r="C224" s="184"/>
      <c r="D224" s="184"/>
      <c r="E224" s="185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3"/>
      <c r="AC224" s="190"/>
      <c r="AD224" s="190"/>
      <c r="AE224" s="190"/>
      <c r="AF224" s="190"/>
      <c r="AG224" s="190"/>
      <c r="AH224" s="190"/>
      <c r="AI224" s="190"/>
      <c r="AJ224" s="190"/>
      <c r="AK224" s="190"/>
      <c r="AL224" s="190"/>
      <c r="AM224" s="190"/>
      <c r="AN224" s="190"/>
      <c r="AO224" s="190"/>
      <c r="AP224" s="190"/>
      <c r="AQ224" s="190"/>
      <c r="AR224" s="190"/>
      <c r="AS224" s="190"/>
      <c r="AT224" s="190"/>
      <c r="AU224" s="190"/>
      <c r="AV224" s="190"/>
    </row>
    <row r="225" spans="1:48" ht="15.75" customHeight="1" x14ac:dyDescent="0.35">
      <c r="A225" s="182"/>
      <c r="B225" s="183"/>
      <c r="C225" s="184"/>
      <c r="D225" s="184"/>
      <c r="E225" s="185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3"/>
      <c r="AC225" s="190"/>
      <c r="AD225" s="190"/>
      <c r="AE225" s="190"/>
      <c r="AF225" s="190"/>
      <c r="AG225" s="190"/>
      <c r="AH225" s="190"/>
      <c r="AI225" s="190"/>
      <c r="AJ225" s="190"/>
      <c r="AK225" s="190"/>
      <c r="AL225" s="190"/>
      <c r="AM225" s="190"/>
      <c r="AN225" s="190"/>
      <c r="AO225" s="190"/>
      <c r="AP225" s="190"/>
      <c r="AQ225" s="190"/>
      <c r="AR225" s="190"/>
      <c r="AS225" s="190"/>
      <c r="AT225" s="190"/>
      <c r="AU225" s="190"/>
      <c r="AV225" s="190"/>
    </row>
    <row r="226" spans="1:48" ht="15.75" customHeight="1" x14ac:dyDescent="0.35">
      <c r="A226" s="182"/>
      <c r="B226" s="183"/>
      <c r="C226" s="184"/>
      <c r="D226" s="184"/>
      <c r="E226" s="185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3"/>
      <c r="AC226" s="190"/>
      <c r="AD226" s="190"/>
      <c r="AE226" s="190"/>
      <c r="AF226" s="190"/>
      <c r="AG226" s="190"/>
      <c r="AH226" s="190"/>
      <c r="AI226" s="190"/>
      <c r="AJ226" s="190"/>
      <c r="AK226" s="190"/>
      <c r="AL226" s="190"/>
      <c r="AM226" s="190"/>
      <c r="AN226" s="190"/>
      <c r="AO226" s="190"/>
      <c r="AP226" s="190"/>
      <c r="AQ226" s="190"/>
      <c r="AR226" s="190"/>
      <c r="AS226" s="190"/>
      <c r="AT226" s="190"/>
      <c r="AU226" s="190"/>
      <c r="AV226" s="190"/>
    </row>
    <row r="227" spans="1:48" ht="15.75" customHeight="1" x14ac:dyDescent="0.35">
      <c r="A227" s="182"/>
      <c r="B227" s="183"/>
      <c r="C227" s="184"/>
      <c r="D227" s="184"/>
      <c r="E227" s="185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3"/>
      <c r="AC227" s="190"/>
      <c r="AD227" s="190"/>
      <c r="AE227" s="190"/>
      <c r="AF227" s="190"/>
      <c r="AG227" s="190"/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0"/>
      <c r="AR227" s="190"/>
      <c r="AS227" s="190"/>
      <c r="AT227" s="190"/>
      <c r="AU227" s="190"/>
      <c r="AV227" s="190"/>
    </row>
    <row r="228" spans="1:48" ht="15.75" customHeight="1" x14ac:dyDescent="0.35">
      <c r="A228" s="182"/>
      <c r="B228" s="183"/>
      <c r="C228" s="184"/>
      <c r="D228" s="184"/>
      <c r="E228" s="185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3"/>
      <c r="AC228" s="190"/>
      <c r="AD228" s="190"/>
      <c r="AE228" s="190"/>
      <c r="AF228" s="190"/>
      <c r="AG228" s="190"/>
      <c r="AH228" s="190"/>
      <c r="AI228" s="190"/>
      <c r="AJ228" s="190"/>
      <c r="AK228" s="190"/>
      <c r="AL228" s="190"/>
      <c r="AM228" s="190"/>
      <c r="AN228" s="190"/>
      <c r="AO228" s="190"/>
      <c r="AP228" s="190"/>
      <c r="AQ228" s="190"/>
      <c r="AR228" s="190"/>
      <c r="AS228" s="190"/>
      <c r="AT228" s="190"/>
      <c r="AU228" s="190"/>
      <c r="AV228" s="190"/>
    </row>
    <row r="229" spans="1:48" ht="15.75" customHeight="1" x14ac:dyDescent="0.35">
      <c r="A229" s="182"/>
      <c r="B229" s="183"/>
      <c r="C229" s="184"/>
      <c r="D229" s="184"/>
      <c r="E229" s="185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3"/>
      <c r="AC229" s="190"/>
      <c r="AD229" s="190"/>
      <c r="AE229" s="190"/>
      <c r="AF229" s="190"/>
      <c r="AG229" s="190"/>
      <c r="AH229" s="190"/>
      <c r="AI229" s="190"/>
      <c r="AJ229" s="190"/>
      <c r="AK229" s="190"/>
      <c r="AL229" s="190"/>
      <c r="AM229" s="190"/>
      <c r="AN229" s="190"/>
      <c r="AO229" s="190"/>
      <c r="AP229" s="190"/>
      <c r="AQ229" s="190"/>
      <c r="AR229" s="190"/>
      <c r="AS229" s="190"/>
      <c r="AT229" s="190"/>
      <c r="AU229" s="190"/>
      <c r="AV229" s="190"/>
    </row>
    <row r="230" spans="1:48" ht="15.75" customHeight="1" x14ac:dyDescent="0.35">
      <c r="A230" s="182"/>
      <c r="B230" s="183"/>
      <c r="C230" s="184"/>
      <c r="D230" s="184"/>
      <c r="E230" s="185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3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0"/>
      <c r="AR230" s="190"/>
      <c r="AS230" s="190"/>
      <c r="AT230" s="190"/>
      <c r="AU230" s="190"/>
      <c r="AV230" s="190"/>
    </row>
    <row r="231" spans="1:48" ht="15.75" customHeight="1" x14ac:dyDescent="0.35">
      <c r="A231" s="182"/>
      <c r="B231" s="183"/>
      <c r="C231" s="184"/>
      <c r="D231" s="184"/>
      <c r="E231" s="185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3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0"/>
      <c r="AR231" s="190"/>
      <c r="AS231" s="190"/>
      <c r="AT231" s="190"/>
      <c r="AU231" s="190"/>
      <c r="AV231" s="190"/>
    </row>
    <row r="232" spans="1:48" ht="15.75" customHeight="1" x14ac:dyDescent="0.35">
      <c r="A232" s="182"/>
      <c r="B232" s="183"/>
      <c r="C232" s="184"/>
      <c r="D232" s="184"/>
      <c r="E232" s="185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3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0"/>
      <c r="AR232" s="190"/>
      <c r="AS232" s="190"/>
      <c r="AT232" s="190"/>
      <c r="AU232" s="190"/>
      <c r="AV232" s="190"/>
    </row>
    <row r="233" spans="1:48" ht="15.75" customHeight="1" x14ac:dyDescent="0.35">
      <c r="A233" s="182"/>
      <c r="B233" s="183"/>
      <c r="C233" s="184"/>
      <c r="D233" s="184"/>
      <c r="E233" s="185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3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0"/>
      <c r="AQ233" s="190"/>
      <c r="AR233" s="190"/>
      <c r="AS233" s="190"/>
      <c r="AT233" s="190"/>
      <c r="AU233" s="190"/>
      <c r="AV233" s="190"/>
    </row>
    <row r="234" spans="1:48" ht="15.75" customHeight="1" x14ac:dyDescent="0.35">
      <c r="A234" s="182"/>
      <c r="B234" s="183"/>
      <c r="C234" s="184"/>
      <c r="D234" s="184"/>
      <c r="E234" s="185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3"/>
      <c r="AC234" s="190"/>
      <c r="AD234" s="190"/>
      <c r="AE234" s="190"/>
      <c r="AF234" s="190"/>
      <c r="AG234" s="190"/>
      <c r="AH234" s="190"/>
      <c r="AI234" s="190"/>
      <c r="AJ234" s="190"/>
      <c r="AK234" s="190"/>
      <c r="AL234" s="190"/>
      <c r="AM234" s="190"/>
      <c r="AN234" s="190"/>
      <c r="AO234" s="190"/>
      <c r="AP234" s="190"/>
      <c r="AQ234" s="190"/>
      <c r="AR234" s="190"/>
      <c r="AS234" s="190"/>
      <c r="AT234" s="190"/>
      <c r="AU234" s="190"/>
      <c r="AV234" s="190"/>
    </row>
    <row r="235" spans="1:48" ht="15.75" customHeight="1" x14ac:dyDescent="0.35">
      <c r="A235" s="182"/>
      <c r="B235" s="183"/>
      <c r="C235" s="184"/>
      <c r="D235" s="184"/>
      <c r="E235" s="185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3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0"/>
      <c r="AR235" s="190"/>
      <c r="AS235" s="190"/>
      <c r="AT235" s="190"/>
      <c r="AU235" s="190"/>
      <c r="AV235" s="190"/>
    </row>
    <row r="236" spans="1:48" ht="15.75" customHeight="1" x14ac:dyDescent="0.35">
      <c r="A236" s="182"/>
      <c r="B236" s="183"/>
      <c r="C236" s="184"/>
      <c r="D236" s="184"/>
      <c r="E236" s="185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3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0"/>
      <c r="AR236" s="190"/>
      <c r="AS236" s="190"/>
      <c r="AT236" s="190"/>
      <c r="AU236" s="190"/>
      <c r="AV236" s="190"/>
    </row>
    <row r="237" spans="1:48" ht="15.75" customHeight="1" x14ac:dyDescent="0.35">
      <c r="A237" s="182"/>
      <c r="B237" s="183"/>
      <c r="C237" s="184"/>
      <c r="D237" s="184"/>
      <c r="E237" s="185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3"/>
      <c r="AC237" s="190"/>
      <c r="AD237" s="190"/>
      <c r="AE237" s="190"/>
      <c r="AF237" s="190"/>
      <c r="AG237" s="190"/>
      <c r="AH237" s="190"/>
      <c r="AI237" s="190"/>
      <c r="AJ237" s="190"/>
      <c r="AK237" s="190"/>
      <c r="AL237" s="190"/>
      <c r="AM237" s="190"/>
      <c r="AN237" s="190"/>
      <c r="AO237" s="190"/>
      <c r="AP237" s="190"/>
      <c r="AQ237" s="190"/>
      <c r="AR237" s="190"/>
      <c r="AS237" s="190"/>
      <c r="AT237" s="190"/>
      <c r="AU237" s="190"/>
      <c r="AV237" s="190"/>
    </row>
    <row r="238" spans="1:48" ht="15.75" customHeight="1" x14ac:dyDescent="0.35">
      <c r="A238" s="182"/>
      <c r="B238" s="183"/>
      <c r="C238" s="184"/>
      <c r="D238" s="184"/>
      <c r="E238" s="185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3"/>
      <c r="AC238" s="190"/>
      <c r="AD238" s="190"/>
      <c r="AE238" s="190"/>
      <c r="AF238" s="190"/>
      <c r="AG238" s="190"/>
      <c r="AH238" s="190"/>
      <c r="AI238" s="190"/>
      <c r="AJ238" s="190"/>
      <c r="AK238" s="190"/>
      <c r="AL238" s="190"/>
      <c r="AM238" s="190"/>
      <c r="AN238" s="190"/>
      <c r="AO238" s="190"/>
      <c r="AP238" s="190"/>
      <c r="AQ238" s="190"/>
      <c r="AR238" s="190"/>
      <c r="AS238" s="190"/>
      <c r="AT238" s="190"/>
      <c r="AU238" s="190"/>
      <c r="AV238" s="190"/>
    </row>
    <row r="239" spans="1:48" ht="15.75" customHeight="1" x14ac:dyDescent="0.35">
      <c r="A239" s="182"/>
      <c r="B239" s="183"/>
      <c r="C239" s="184"/>
      <c r="D239" s="184"/>
      <c r="E239" s="185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3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0"/>
      <c r="AR239" s="190"/>
      <c r="AS239" s="190"/>
      <c r="AT239" s="190"/>
      <c r="AU239" s="190"/>
      <c r="AV239" s="190"/>
    </row>
    <row r="240" spans="1:48" ht="15.75" customHeight="1" x14ac:dyDescent="0.35">
      <c r="A240" s="182"/>
      <c r="B240" s="183"/>
      <c r="C240" s="184"/>
      <c r="D240" s="184"/>
      <c r="E240" s="185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3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0"/>
      <c r="AR240" s="190"/>
      <c r="AS240" s="190"/>
      <c r="AT240" s="190"/>
      <c r="AU240" s="190"/>
      <c r="AV240" s="190"/>
    </row>
    <row r="241" spans="1:48" ht="15.75" customHeight="1" x14ac:dyDescent="0.35">
      <c r="A241" s="182"/>
      <c r="B241" s="183"/>
      <c r="C241" s="184"/>
      <c r="D241" s="184"/>
      <c r="E241" s="185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3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0"/>
      <c r="AU241" s="190"/>
      <c r="AV241" s="190"/>
    </row>
    <row r="242" spans="1:48" ht="15.75" customHeight="1" x14ac:dyDescent="0.35">
      <c r="A242" s="182"/>
      <c r="B242" s="183"/>
      <c r="C242" s="184"/>
      <c r="D242" s="184"/>
      <c r="E242" s="185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3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0"/>
      <c r="AR242" s="190"/>
      <c r="AS242" s="190"/>
      <c r="AT242" s="190"/>
      <c r="AU242" s="190"/>
      <c r="AV242" s="190"/>
    </row>
    <row r="243" spans="1:48" ht="15.75" customHeight="1" x14ac:dyDescent="0.35">
      <c r="A243" s="182"/>
      <c r="B243" s="183"/>
      <c r="C243" s="184"/>
      <c r="D243" s="184"/>
      <c r="E243" s="185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3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s="190"/>
      <c r="AV243" s="190"/>
    </row>
    <row r="244" spans="1:48" ht="15.75" customHeight="1" x14ac:dyDescent="0.35">
      <c r="A244" s="182"/>
      <c r="B244" s="183"/>
      <c r="C244" s="184"/>
      <c r="D244" s="184"/>
      <c r="E244" s="185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3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0"/>
      <c r="AR244" s="190"/>
      <c r="AS244" s="190"/>
      <c r="AT244" s="190"/>
      <c r="AU244" s="190"/>
      <c r="AV244" s="190"/>
    </row>
    <row r="245" spans="1:48" ht="15.75" customHeight="1" x14ac:dyDescent="0.35">
      <c r="A245" s="182"/>
      <c r="B245" s="183"/>
      <c r="C245" s="184"/>
      <c r="D245" s="184"/>
      <c r="E245" s="185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3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0"/>
      <c r="AR245" s="190"/>
      <c r="AS245" s="190"/>
      <c r="AT245" s="190"/>
      <c r="AU245" s="190"/>
      <c r="AV245" s="190"/>
    </row>
    <row r="246" spans="1:48" ht="15.75" customHeight="1" x14ac:dyDescent="0.35">
      <c r="A246" s="182"/>
      <c r="B246" s="183"/>
      <c r="C246" s="184"/>
      <c r="D246" s="184"/>
      <c r="E246" s="185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3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0"/>
      <c r="AR246" s="190"/>
      <c r="AS246" s="190"/>
      <c r="AT246" s="190"/>
      <c r="AU246" s="190"/>
      <c r="AV246" s="190"/>
    </row>
    <row r="247" spans="1:48" ht="15.75" customHeight="1" x14ac:dyDescent="0.35">
      <c r="A247" s="182"/>
      <c r="B247" s="183"/>
      <c r="C247" s="184"/>
      <c r="D247" s="184"/>
      <c r="E247" s="185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3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0"/>
      <c r="AR247" s="190"/>
      <c r="AS247" s="190"/>
      <c r="AT247" s="190"/>
      <c r="AU247" s="190"/>
      <c r="AV247" s="190"/>
    </row>
    <row r="248" spans="1:48" ht="15.75" customHeight="1" x14ac:dyDescent="0.35">
      <c r="A248" s="182"/>
      <c r="B248" s="183"/>
      <c r="C248" s="184"/>
      <c r="D248" s="184"/>
      <c r="E248" s="185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3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0"/>
      <c r="AR248" s="190"/>
      <c r="AS248" s="190"/>
      <c r="AT248" s="190"/>
      <c r="AU248" s="190"/>
      <c r="AV248" s="190"/>
    </row>
    <row r="249" spans="1:48" ht="15.75" customHeight="1" x14ac:dyDescent="0.35">
      <c r="A249" s="182"/>
      <c r="B249" s="183"/>
      <c r="C249" s="184"/>
      <c r="D249" s="184"/>
      <c r="E249" s="185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3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0"/>
      <c r="AR249" s="190"/>
      <c r="AS249" s="190"/>
      <c r="AT249" s="190"/>
      <c r="AU249" s="190"/>
      <c r="AV249" s="190"/>
    </row>
    <row r="250" spans="1:48" ht="15.75" customHeight="1" x14ac:dyDescent="0.35">
      <c r="A250" s="182"/>
      <c r="B250" s="183"/>
      <c r="C250" s="184"/>
      <c r="D250" s="184"/>
      <c r="E250" s="185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3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0"/>
      <c r="AR250" s="190"/>
      <c r="AS250" s="190"/>
      <c r="AT250" s="190"/>
      <c r="AU250" s="190"/>
      <c r="AV250" s="190"/>
    </row>
    <row r="251" spans="1:48" ht="15.75" customHeight="1" x14ac:dyDescent="0.35">
      <c r="A251" s="149"/>
      <c r="B251" s="33"/>
      <c r="C251" s="150"/>
      <c r="D251" s="150"/>
      <c r="E251" s="151"/>
      <c r="F251" s="131"/>
      <c r="G251" s="131"/>
      <c r="M251" s="131"/>
      <c r="N251" s="131"/>
      <c r="O251" s="131"/>
      <c r="P251" s="131"/>
      <c r="Q251" s="131"/>
      <c r="AB251" s="33"/>
    </row>
    <row r="252" spans="1:48" ht="15.75" customHeight="1" x14ac:dyDescent="0.35">
      <c r="A252" s="149"/>
      <c r="B252" s="33"/>
      <c r="C252" s="150"/>
      <c r="D252" s="150"/>
      <c r="E252" s="151"/>
      <c r="F252" s="131"/>
      <c r="G252" s="131"/>
      <c r="M252" s="131"/>
      <c r="N252" s="131"/>
      <c r="O252" s="131"/>
      <c r="P252" s="131"/>
      <c r="Q252" s="131"/>
      <c r="AB252" s="33"/>
    </row>
    <row r="253" spans="1:48" ht="15.75" customHeight="1" x14ac:dyDescent="0.35">
      <c r="A253" s="149"/>
      <c r="B253" s="33"/>
      <c r="C253" s="150"/>
      <c r="D253" s="150"/>
      <c r="E253" s="151"/>
      <c r="F253" s="131"/>
      <c r="G253" s="131"/>
      <c r="M253" s="131"/>
      <c r="N253" s="131"/>
      <c r="O253" s="131"/>
      <c r="P253" s="131"/>
      <c r="Q253" s="131"/>
      <c r="AB253" s="33"/>
    </row>
    <row r="254" spans="1:48" ht="15.75" customHeight="1" x14ac:dyDescent="0.35">
      <c r="A254" s="149"/>
      <c r="B254" s="33"/>
      <c r="C254" s="150"/>
      <c r="D254" s="150"/>
      <c r="E254" s="151"/>
      <c r="F254" s="131"/>
      <c r="G254" s="131"/>
      <c r="M254" s="131"/>
      <c r="N254" s="131"/>
      <c r="O254" s="131"/>
      <c r="P254" s="131"/>
      <c r="Q254" s="131"/>
      <c r="AB254" s="33"/>
    </row>
    <row r="255" spans="1:48" ht="15.75" customHeight="1" x14ac:dyDescent="0.35">
      <c r="A255" s="149"/>
      <c r="B255" s="33"/>
      <c r="C255" s="150"/>
      <c r="D255" s="150"/>
      <c r="E255" s="151"/>
      <c r="F255" s="131"/>
      <c r="G255" s="131"/>
      <c r="M255" s="131"/>
      <c r="N255" s="131"/>
      <c r="O255" s="131"/>
      <c r="P255" s="131"/>
      <c r="Q255" s="131"/>
      <c r="AB255" s="33"/>
    </row>
    <row r="256" spans="1:48" ht="15.75" customHeight="1" x14ac:dyDescent="0.35">
      <c r="A256" s="149"/>
      <c r="B256" s="33"/>
      <c r="C256" s="150"/>
      <c r="D256" s="150"/>
      <c r="E256" s="151"/>
      <c r="F256" s="131"/>
      <c r="G256" s="131"/>
      <c r="M256" s="131"/>
      <c r="N256" s="131"/>
      <c r="O256" s="131"/>
      <c r="P256" s="131"/>
      <c r="Q256" s="131"/>
      <c r="AB256" s="33"/>
    </row>
    <row r="257" spans="1:28" ht="15.75" customHeight="1" x14ac:dyDescent="0.35">
      <c r="A257" s="149"/>
      <c r="B257" s="33"/>
      <c r="C257" s="150"/>
      <c r="D257" s="150"/>
      <c r="E257" s="151"/>
      <c r="F257" s="131"/>
      <c r="G257" s="131"/>
      <c r="M257" s="131"/>
      <c r="N257" s="131"/>
      <c r="O257" s="131"/>
      <c r="P257" s="131"/>
      <c r="Q257" s="131"/>
      <c r="AB257" s="33"/>
    </row>
    <row r="258" spans="1:28" ht="15.75" customHeight="1" x14ac:dyDescent="0.35">
      <c r="A258" s="149"/>
      <c r="B258" s="33"/>
      <c r="C258" s="150"/>
      <c r="D258" s="150"/>
      <c r="E258" s="151"/>
      <c r="F258" s="131"/>
      <c r="G258" s="131"/>
      <c r="M258" s="131"/>
      <c r="N258" s="131"/>
      <c r="O258" s="131"/>
      <c r="P258" s="131"/>
      <c r="Q258" s="131"/>
      <c r="AB258" s="33"/>
    </row>
    <row r="259" spans="1:28" ht="15.75" customHeight="1" x14ac:dyDescent="0.35">
      <c r="A259" s="149"/>
      <c r="B259" s="33"/>
      <c r="C259" s="150"/>
      <c r="D259" s="150"/>
      <c r="E259" s="151"/>
      <c r="F259" s="131"/>
      <c r="G259" s="131"/>
      <c r="M259" s="131"/>
      <c r="N259" s="131"/>
      <c r="O259" s="131"/>
      <c r="P259" s="131"/>
      <c r="Q259" s="131"/>
      <c r="AB259" s="33"/>
    </row>
    <row r="260" spans="1:28" ht="15.75" customHeight="1" x14ac:dyDescent="0.35">
      <c r="A260" s="149"/>
      <c r="B260" s="33"/>
      <c r="C260" s="150"/>
      <c r="D260" s="150"/>
      <c r="E260" s="151"/>
      <c r="F260" s="131"/>
      <c r="G260" s="131"/>
      <c r="M260" s="131"/>
      <c r="N260" s="131"/>
      <c r="O260" s="131"/>
      <c r="P260" s="131"/>
      <c r="Q260" s="131"/>
      <c r="AB260" s="33"/>
    </row>
    <row r="261" spans="1:28" ht="15.75" customHeight="1" x14ac:dyDescent="0.35">
      <c r="A261" s="149"/>
      <c r="B261" s="33"/>
      <c r="C261" s="150"/>
      <c r="D261" s="150"/>
      <c r="E261" s="151"/>
      <c r="F261" s="131"/>
      <c r="G261" s="131"/>
      <c r="M261" s="131"/>
      <c r="N261" s="131"/>
      <c r="O261" s="131"/>
      <c r="P261" s="131"/>
      <c r="Q261" s="131"/>
      <c r="AB261" s="33"/>
    </row>
    <row r="262" spans="1:28" ht="15.75" customHeight="1" x14ac:dyDescent="0.35">
      <c r="A262" s="149"/>
      <c r="B262" s="33"/>
      <c r="C262" s="150"/>
      <c r="D262" s="150"/>
      <c r="E262" s="151"/>
      <c r="F262" s="131"/>
      <c r="G262" s="131"/>
      <c r="M262" s="131"/>
      <c r="N262" s="131"/>
      <c r="O262" s="131"/>
      <c r="P262" s="131"/>
      <c r="Q262" s="131"/>
      <c r="AB262" s="33"/>
    </row>
    <row r="263" spans="1:28" ht="15.75" customHeight="1" x14ac:dyDescent="0.35">
      <c r="A263" s="149"/>
      <c r="B263" s="33"/>
      <c r="C263" s="150"/>
      <c r="D263" s="150"/>
      <c r="E263" s="151"/>
      <c r="F263" s="131"/>
      <c r="G263" s="131"/>
      <c r="M263" s="131"/>
      <c r="N263" s="131"/>
      <c r="O263" s="131"/>
      <c r="P263" s="131"/>
      <c r="Q263" s="131"/>
      <c r="AB263" s="33"/>
    </row>
    <row r="264" spans="1:28" ht="15.75" customHeight="1" x14ac:dyDescent="0.35">
      <c r="A264" s="149"/>
      <c r="B264" s="33"/>
      <c r="C264" s="150"/>
      <c r="D264" s="150"/>
      <c r="E264" s="151"/>
      <c r="F264" s="131"/>
      <c r="G264" s="131"/>
      <c r="M264" s="131"/>
      <c r="N264" s="131"/>
      <c r="O264" s="131"/>
      <c r="P264" s="131"/>
      <c r="Q264" s="131"/>
      <c r="AB264" s="33"/>
    </row>
    <row r="265" spans="1:28" ht="15.75" customHeight="1" x14ac:dyDescent="0.35">
      <c r="A265" s="149"/>
      <c r="B265" s="33"/>
      <c r="C265" s="150"/>
      <c r="D265" s="150"/>
      <c r="E265" s="151"/>
      <c r="F265" s="131"/>
      <c r="G265" s="131"/>
      <c r="M265" s="131"/>
      <c r="N265" s="131"/>
      <c r="O265" s="131"/>
      <c r="P265" s="131"/>
      <c r="Q265" s="131"/>
      <c r="AB265" s="33"/>
    </row>
    <row r="266" spans="1:28" ht="15.75" customHeight="1" x14ac:dyDescent="0.35">
      <c r="A266" s="149"/>
      <c r="B266" s="33"/>
      <c r="C266" s="150"/>
      <c r="D266" s="150"/>
      <c r="E266" s="151"/>
      <c r="F266" s="131"/>
      <c r="G266" s="131"/>
      <c r="M266" s="131"/>
      <c r="N266" s="131"/>
      <c r="O266" s="131"/>
      <c r="P266" s="131"/>
      <c r="Q266" s="131"/>
      <c r="AB266" s="33"/>
    </row>
    <row r="267" spans="1:28" ht="15.75" customHeight="1" x14ac:dyDescent="0.35">
      <c r="A267" s="149"/>
      <c r="B267" s="33"/>
      <c r="C267" s="150"/>
      <c r="D267" s="150"/>
      <c r="E267" s="151"/>
      <c r="F267" s="131"/>
      <c r="G267" s="131"/>
      <c r="M267" s="131"/>
      <c r="N267" s="131"/>
      <c r="O267" s="131"/>
      <c r="P267" s="131"/>
      <c r="Q267" s="131"/>
      <c r="AB267" s="33"/>
    </row>
    <row r="268" spans="1:28" ht="15.75" customHeight="1" x14ac:dyDescent="0.35">
      <c r="A268" s="149"/>
      <c r="B268" s="33"/>
      <c r="C268" s="150"/>
      <c r="D268" s="150"/>
      <c r="E268" s="151"/>
      <c r="F268" s="131"/>
      <c r="G268" s="131"/>
      <c r="M268" s="131"/>
      <c r="N268" s="131"/>
      <c r="O268" s="131"/>
      <c r="P268" s="131"/>
      <c r="Q268" s="131"/>
      <c r="AB268" s="33"/>
    </row>
    <row r="269" spans="1:28" ht="15.75" customHeight="1" x14ac:dyDescent="0.35">
      <c r="A269" s="149"/>
      <c r="B269" s="33"/>
      <c r="C269" s="150"/>
      <c r="D269" s="150"/>
      <c r="E269" s="151"/>
      <c r="F269" s="131"/>
      <c r="G269" s="131"/>
      <c r="M269" s="131"/>
      <c r="N269" s="131"/>
      <c r="O269" s="131"/>
      <c r="P269" s="131"/>
      <c r="Q269" s="131"/>
      <c r="AB269" s="33"/>
    </row>
    <row r="270" spans="1:28" ht="15.75" customHeight="1" x14ac:dyDescent="0.35">
      <c r="A270" s="149"/>
      <c r="B270" s="33"/>
      <c r="C270" s="150"/>
      <c r="D270" s="150"/>
      <c r="E270" s="151"/>
      <c r="F270" s="131"/>
      <c r="G270" s="131"/>
      <c r="M270" s="131"/>
      <c r="N270" s="131"/>
      <c r="O270" s="131"/>
      <c r="P270" s="131"/>
      <c r="Q270" s="131"/>
      <c r="AB270" s="33"/>
    </row>
    <row r="271" spans="1:28" ht="15.75" customHeight="1" x14ac:dyDescent="0.35">
      <c r="A271" s="149"/>
      <c r="B271" s="33"/>
      <c r="C271" s="150"/>
      <c r="D271" s="150"/>
      <c r="E271" s="151"/>
      <c r="F271" s="131"/>
      <c r="G271" s="131"/>
      <c r="M271" s="131"/>
      <c r="N271" s="131"/>
      <c r="O271" s="131"/>
      <c r="P271" s="131"/>
      <c r="Q271" s="131"/>
      <c r="AB271" s="33"/>
    </row>
    <row r="272" spans="1:28" ht="15.75" customHeight="1" x14ac:dyDescent="0.35">
      <c r="A272" s="149"/>
      <c r="B272" s="33"/>
      <c r="C272" s="150"/>
      <c r="D272" s="150"/>
      <c r="E272" s="151"/>
      <c r="F272" s="131"/>
      <c r="G272" s="131"/>
      <c r="M272" s="131"/>
      <c r="N272" s="131"/>
      <c r="O272" s="131"/>
      <c r="P272" s="131"/>
      <c r="Q272" s="131"/>
      <c r="AB272" s="33"/>
    </row>
    <row r="273" spans="1:28" ht="15.75" customHeight="1" x14ac:dyDescent="0.35">
      <c r="A273" s="149"/>
      <c r="B273" s="33"/>
      <c r="C273" s="150"/>
      <c r="D273" s="150"/>
      <c r="E273" s="151"/>
      <c r="F273" s="131"/>
      <c r="G273" s="131"/>
      <c r="M273" s="131"/>
      <c r="N273" s="131"/>
      <c r="O273" s="131"/>
      <c r="P273" s="131"/>
      <c r="Q273" s="131"/>
      <c r="AB273" s="33"/>
    </row>
    <row r="274" spans="1:28" ht="15.75" customHeight="1" x14ac:dyDescent="0.35">
      <c r="A274" s="149"/>
      <c r="B274" s="33"/>
      <c r="C274" s="150"/>
      <c r="D274" s="150"/>
      <c r="E274" s="151"/>
      <c r="F274" s="131"/>
      <c r="G274" s="131"/>
      <c r="M274" s="131"/>
      <c r="N274" s="131"/>
      <c r="O274" s="131"/>
      <c r="P274" s="131"/>
      <c r="Q274" s="131"/>
      <c r="AB274" s="33"/>
    </row>
    <row r="275" spans="1:28" ht="15.75" customHeight="1" x14ac:dyDescent="0.35">
      <c r="A275" s="149"/>
      <c r="B275" s="33"/>
      <c r="C275" s="150"/>
      <c r="D275" s="150"/>
      <c r="E275" s="151"/>
      <c r="F275" s="131"/>
      <c r="G275" s="131"/>
      <c r="M275" s="131"/>
      <c r="N275" s="131"/>
      <c r="O275" s="131"/>
      <c r="P275" s="131"/>
      <c r="Q275" s="131"/>
      <c r="AB275" s="33"/>
    </row>
    <row r="276" spans="1:28" ht="15.75" customHeight="1" x14ac:dyDescent="0.35">
      <c r="A276" s="149"/>
      <c r="B276" s="33"/>
      <c r="C276" s="150"/>
      <c r="D276" s="150"/>
      <c r="E276" s="151"/>
      <c r="F276" s="131"/>
      <c r="G276" s="131"/>
      <c r="M276" s="131"/>
      <c r="N276" s="131"/>
      <c r="O276" s="131"/>
      <c r="P276" s="131"/>
      <c r="Q276" s="131"/>
      <c r="AB276" s="33"/>
    </row>
    <row r="277" spans="1:28" ht="15.75" customHeight="1" x14ac:dyDescent="0.35">
      <c r="A277" s="149"/>
      <c r="B277" s="33"/>
      <c r="C277" s="150"/>
      <c r="D277" s="150"/>
      <c r="E277" s="151"/>
      <c r="F277" s="131"/>
      <c r="G277" s="131"/>
      <c r="M277" s="131"/>
      <c r="N277" s="131"/>
      <c r="O277" s="131"/>
      <c r="P277" s="131"/>
      <c r="Q277" s="131"/>
      <c r="AB277" s="33"/>
    </row>
    <row r="278" spans="1:28" ht="15.75" customHeight="1" x14ac:dyDescent="0.35">
      <c r="A278" s="149"/>
      <c r="B278" s="33"/>
      <c r="C278" s="150"/>
      <c r="D278" s="150"/>
      <c r="E278" s="151"/>
      <c r="F278" s="131"/>
      <c r="G278" s="131"/>
      <c r="M278" s="131"/>
      <c r="N278" s="131"/>
      <c r="O278" s="131"/>
      <c r="P278" s="131"/>
      <c r="Q278" s="131"/>
      <c r="AB278" s="33"/>
    </row>
    <row r="279" spans="1:28" ht="15.75" customHeight="1" x14ac:dyDescent="0.35">
      <c r="A279" s="149"/>
      <c r="B279" s="33"/>
      <c r="C279" s="150"/>
      <c r="D279" s="150"/>
      <c r="E279" s="151"/>
      <c r="F279" s="131"/>
      <c r="G279" s="131"/>
      <c r="M279" s="131"/>
      <c r="N279" s="131"/>
      <c r="O279" s="131"/>
      <c r="P279" s="131"/>
      <c r="Q279" s="131"/>
      <c r="AB279" s="33"/>
    </row>
    <row r="280" spans="1:28" ht="15.75" customHeight="1" x14ac:dyDescent="0.35">
      <c r="A280" s="149"/>
      <c r="B280" s="33"/>
      <c r="C280" s="150"/>
      <c r="D280" s="150"/>
      <c r="E280" s="151"/>
      <c r="F280" s="131"/>
      <c r="G280" s="131"/>
      <c r="M280" s="131"/>
      <c r="N280" s="131"/>
      <c r="O280" s="131"/>
      <c r="P280" s="131"/>
      <c r="Q280" s="131"/>
      <c r="AB280" s="33"/>
    </row>
    <row r="281" spans="1:28" ht="15.75" customHeight="1" x14ac:dyDescent="0.35">
      <c r="A281" s="149"/>
      <c r="B281" s="33"/>
      <c r="C281" s="150"/>
      <c r="D281" s="150"/>
      <c r="E281" s="151"/>
      <c r="F281" s="131"/>
      <c r="G281" s="131"/>
      <c r="M281" s="131"/>
      <c r="N281" s="131"/>
      <c r="O281" s="131"/>
      <c r="P281" s="131"/>
      <c r="Q281" s="131"/>
      <c r="AB281" s="33"/>
    </row>
    <row r="282" spans="1:28" ht="15.75" customHeight="1" x14ac:dyDescent="0.35">
      <c r="A282" s="149"/>
      <c r="B282" s="33"/>
      <c r="C282" s="150"/>
      <c r="D282" s="150"/>
      <c r="E282" s="151"/>
      <c r="F282" s="131"/>
      <c r="G282" s="131"/>
      <c r="M282" s="131"/>
      <c r="N282" s="131"/>
      <c r="O282" s="131"/>
      <c r="P282" s="131"/>
      <c r="Q282" s="131"/>
      <c r="AB282" s="33"/>
    </row>
    <row r="283" spans="1:28" ht="15.75" customHeight="1" x14ac:dyDescent="0.35">
      <c r="A283" s="149"/>
      <c r="B283" s="33"/>
      <c r="C283" s="150"/>
      <c r="D283" s="150"/>
      <c r="E283" s="151"/>
      <c r="F283" s="131"/>
      <c r="G283" s="131"/>
      <c r="M283" s="131"/>
      <c r="N283" s="131"/>
      <c r="O283" s="131"/>
      <c r="P283" s="131"/>
      <c r="Q283" s="131"/>
      <c r="AB283" s="33"/>
    </row>
    <row r="284" spans="1:28" ht="15.75" customHeight="1" x14ac:dyDescent="0.35">
      <c r="A284" s="149"/>
      <c r="B284" s="33"/>
      <c r="C284" s="150"/>
      <c r="D284" s="150"/>
      <c r="E284" s="151"/>
      <c r="F284" s="131"/>
      <c r="G284" s="131"/>
      <c r="M284" s="131"/>
      <c r="N284" s="131"/>
      <c r="O284" s="131"/>
      <c r="P284" s="131"/>
      <c r="Q284" s="131"/>
      <c r="AB284" s="33"/>
    </row>
    <row r="285" spans="1:28" ht="15.75" customHeight="1" x14ac:dyDescent="0.35">
      <c r="A285" s="149"/>
      <c r="B285" s="33"/>
      <c r="C285" s="150"/>
      <c r="D285" s="150"/>
      <c r="E285" s="151"/>
      <c r="F285" s="131"/>
      <c r="G285" s="131"/>
      <c r="M285" s="131"/>
      <c r="N285" s="131"/>
      <c r="O285" s="131"/>
      <c r="P285" s="131"/>
      <c r="Q285" s="131"/>
      <c r="AB285" s="33"/>
    </row>
    <row r="286" spans="1:28" ht="15.75" customHeight="1" x14ac:dyDescent="0.35">
      <c r="A286" s="149"/>
      <c r="B286" s="33"/>
      <c r="C286" s="150"/>
      <c r="D286" s="150"/>
      <c r="E286" s="151"/>
      <c r="F286" s="131"/>
      <c r="G286" s="131"/>
      <c r="M286" s="131"/>
      <c r="N286" s="131"/>
      <c r="O286" s="131"/>
      <c r="P286" s="131"/>
      <c r="Q286" s="131"/>
      <c r="AB286" s="33"/>
    </row>
    <row r="287" spans="1:28" ht="15.75" customHeight="1" x14ac:dyDescent="0.35">
      <c r="A287" s="149"/>
      <c r="B287" s="33"/>
      <c r="C287" s="150"/>
      <c r="D287" s="150"/>
      <c r="E287" s="151"/>
      <c r="F287" s="131"/>
      <c r="G287" s="131"/>
      <c r="M287" s="131"/>
      <c r="N287" s="131"/>
      <c r="O287" s="131"/>
      <c r="P287" s="131"/>
      <c r="Q287" s="131"/>
      <c r="AB287" s="33"/>
    </row>
    <row r="288" spans="1:28" ht="15.75" customHeight="1" x14ac:dyDescent="0.35">
      <c r="A288" s="149"/>
      <c r="B288" s="33"/>
      <c r="C288" s="150"/>
      <c r="D288" s="150"/>
      <c r="E288" s="151"/>
      <c r="F288" s="131"/>
      <c r="G288" s="131"/>
      <c r="M288" s="131"/>
      <c r="N288" s="131"/>
      <c r="O288" s="131"/>
      <c r="P288" s="131"/>
      <c r="Q288" s="131"/>
      <c r="AB288" s="33"/>
    </row>
    <row r="289" spans="1:28" ht="15.75" customHeight="1" x14ac:dyDescent="0.35">
      <c r="A289" s="149"/>
      <c r="B289" s="33"/>
      <c r="C289" s="150"/>
      <c r="D289" s="150"/>
      <c r="E289" s="151"/>
      <c r="F289" s="131"/>
      <c r="G289" s="131"/>
      <c r="M289" s="131"/>
      <c r="N289" s="131"/>
      <c r="O289" s="131"/>
      <c r="P289" s="131"/>
      <c r="Q289" s="131"/>
      <c r="AB289" s="33"/>
    </row>
    <row r="290" spans="1:28" ht="15.75" customHeight="1" x14ac:dyDescent="0.35">
      <c r="A290" s="149"/>
      <c r="B290" s="33"/>
      <c r="C290" s="150"/>
      <c r="D290" s="150"/>
      <c r="E290" s="151"/>
      <c r="F290" s="131"/>
      <c r="G290" s="131"/>
      <c r="M290" s="131"/>
      <c r="N290" s="131"/>
      <c r="O290" s="131"/>
      <c r="P290" s="131"/>
      <c r="Q290" s="131"/>
      <c r="AB290" s="33"/>
    </row>
    <row r="291" spans="1:28" ht="15.75" customHeight="1" x14ac:dyDescent="0.35">
      <c r="A291" s="149"/>
      <c r="B291" s="33"/>
      <c r="C291" s="150"/>
      <c r="D291" s="150"/>
      <c r="E291" s="151"/>
      <c r="F291" s="131"/>
      <c r="G291" s="131"/>
      <c r="M291" s="131"/>
      <c r="N291" s="131"/>
      <c r="O291" s="131"/>
      <c r="P291" s="131"/>
      <c r="Q291" s="131"/>
      <c r="AB291" s="33"/>
    </row>
    <row r="292" spans="1:28" ht="15.75" customHeight="1" x14ac:dyDescent="0.35">
      <c r="A292" s="149"/>
      <c r="B292" s="33"/>
      <c r="C292" s="150"/>
      <c r="D292" s="150"/>
      <c r="E292" s="151"/>
      <c r="F292" s="131"/>
      <c r="G292" s="131"/>
      <c r="M292" s="131"/>
      <c r="N292" s="131"/>
      <c r="O292" s="131"/>
      <c r="P292" s="131"/>
      <c r="Q292" s="131"/>
      <c r="AB292" s="33"/>
    </row>
    <row r="293" spans="1:28" ht="15.75" customHeight="1" x14ac:dyDescent="0.35">
      <c r="A293" s="149"/>
      <c r="B293" s="33"/>
      <c r="C293" s="150"/>
      <c r="D293" s="150"/>
      <c r="E293" s="151"/>
      <c r="F293" s="131"/>
      <c r="G293" s="131"/>
      <c r="M293" s="131"/>
      <c r="N293" s="131"/>
      <c r="O293" s="131"/>
      <c r="P293" s="131"/>
      <c r="Q293" s="131"/>
      <c r="AB293" s="33"/>
    </row>
    <row r="294" spans="1:28" ht="15.75" customHeight="1" x14ac:dyDescent="0.35">
      <c r="A294" s="149"/>
      <c r="B294" s="33"/>
      <c r="C294" s="150"/>
      <c r="D294" s="150"/>
      <c r="E294" s="151"/>
      <c r="F294" s="131"/>
      <c r="G294" s="131"/>
      <c r="M294" s="131"/>
      <c r="N294" s="131"/>
      <c r="O294" s="131"/>
      <c r="P294" s="131"/>
      <c r="Q294" s="131"/>
      <c r="AB294" s="33"/>
    </row>
    <row r="295" spans="1:28" ht="15.75" customHeight="1" x14ac:dyDescent="0.35">
      <c r="A295" s="149"/>
      <c r="B295" s="33"/>
      <c r="C295" s="150"/>
      <c r="D295" s="150"/>
      <c r="E295" s="151"/>
      <c r="F295" s="131"/>
      <c r="G295" s="131"/>
      <c r="M295" s="131"/>
      <c r="N295" s="131"/>
      <c r="O295" s="131"/>
      <c r="P295" s="131"/>
      <c r="Q295" s="131"/>
      <c r="AB295" s="33"/>
    </row>
    <row r="296" spans="1:28" ht="15.75" customHeight="1" x14ac:dyDescent="0.35">
      <c r="A296" s="149"/>
      <c r="B296" s="33"/>
      <c r="C296" s="150"/>
      <c r="D296" s="150"/>
      <c r="E296" s="151"/>
      <c r="F296" s="131"/>
      <c r="G296" s="131"/>
      <c r="M296" s="131"/>
      <c r="N296" s="131"/>
      <c r="O296" s="131"/>
      <c r="P296" s="131"/>
      <c r="Q296" s="131"/>
      <c r="AB296" s="33"/>
    </row>
    <row r="297" spans="1:28" ht="15.75" customHeight="1" x14ac:dyDescent="0.35">
      <c r="A297" s="149"/>
      <c r="B297" s="33"/>
      <c r="C297" s="150"/>
      <c r="D297" s="150"/>
      <c r="E297" s="151"/>
      <c r="F297" s="131"/>
      <c r="G297" s="131"/>
      <c r="M297" s="131"/>
      <c r="N297" s="131"/>
      <c r="O297" s="131"/>
      <c r="P297" s="131"/>
      <c r="Q297" s="131"/>
      <c r="AB297" s="33"/>
    </row>
    <row r="298" spans="1:28" ht="15.75" customHeight="1" x14ac:dyDescent="0.35">
      <c r="A298" s="149"/>
      <c r="B298" s="33"/>
      <c r="C298" s="150"/>
      <c r="D298" s="150"/>
      <c r="E298" s="151"/>
      <c r="F298" s="131"/>
      <c r="G298" s="131"/>
      <c r="M298" s="131"/>
      <c r="N298" s="131"/>
      <c r="O298" s="131"/>
      <c r="P298" s="131"/>
      <c r="Q298" s="131"/>
      <c r="AB298" s="33"/>
    </row>
    <row r="299" spans="1:28" ht="15.75" customHeight="1" x14ac:dyDescent="0.35">
      <c r="A299" s="149"/>
      <c r="B299" s="33"/>
      <c r="C299" s="150"/>
      <c r="D299" s="150"/>
      <c r="E299" s="151"/>
      <c r="F299" s="131"/>
      <c r="G299" s="131"/>
      <c r="M299" s="131"/>
      <c r="N299" s="131"/>
      <c r="O299" s="131"/>
      <c r="P299" s="131"/>
      <c r="Q299" s="131"/>
      <c r="AB299" s="33"/>
    </row>
    <row r="300" spans="1:28" ht="15.75" customHeight="1" x14ac:dyDescent="0.35">
      <c r="A300" s="149"/>
      <c r="B300" s="33"/>
      <c r="C300" s="150"/>
      <c r="D300" s="150"/>
      <c r="E300" s="151"/>
      <c r="F300" s="131"/>
      <c r="G300" s="131"/>
      <c r="M300" s="131"/>
      <c r="N300" s="131"/>
      <c r="O300" s="131"/>
      <c r="P300" s="131"/>
      <c r="Q300" s="131"/>
      <c r="AB300" s="33"/>
    </row>
    <row r="301" spans="1:28" ht="15.75" customHeight="1" x14ac:dyDescent="0.35">
      <c r="A301" s="149"/>
      <c r="B301" s="33"/>
      <c r="C301" s="150"/>
      <c r="D301" s="150"/>
      <c r="E301" s="151"/>
      <c r="F301" s="131"/>
      <c r="G301" s="131"/>
      <c r="M301" s="131"/>
      <c r="N301" s="131"/>
      <c r="O301" s="131"/>
      <c r="P301" s="131"/>
      <c r="Q301" s="131"/>
      <c r="AB301" s="33"/>
    </row>
    <row r="302" spans="1:28" ht="15.75" customHeight="1" x14ac:dyDescent="0.35">
      <c r="A302" s="149"/>
      <c r="B302" s="33"/>
      <c r="C302" s="150"/>
      <c r="D302" s="150"/>
      <c r="E302" s="151"/>
      <c r="F302" s="131"/>
      <c r="G302" s="131"/>
      <c r="M302" s="131"/>
      <c r="N302" s="131"/>
      <c r="O302" s="131"/>
      <c r="P302" s="131"/>
      <c r="Q302" s="131"/>
      <c r="AB302" s="33"/>
    </row>
    <row r="303" spans="1:28" ht="15.75" customHeight="1" x14ac:dyDescent="0.35">
      <c r="A303" s="149"/>
      <c r="B303" s="33"/>
      <c r="C303" s="150"/>
      <c r="D303" s="150"/>
      <c r="E303" s="151"/>
      <c r="F303" s="131"/>
      <c r="G303" s="131"/>
      <c r="M303" s="131"/>
      <c r="N303" s="131"/>
      <c r="O303" s="131"/>
      <c r="P303" s="131"/>
      <c r="Q303" s="131"/>
      <c r="AB303" s="33"/>
    </row>
    <row r="304" spans="1:28" ht="15.75" customHeight="1" x14ac:dyDescent="0.35">
      <c r="A304" s="149"/>
      <c r="B304" s="33"/>
      <c r="C304" s="150"/>
      <c r="D304" s="150"/>
      <c r="E304" s="151"/>
      <c r="F304" s="131"/>
      <c r="G304" s="131"/>
      <c r="M304" s="131"/>
      <c r="N304" s="131"/>
      <c r="O304" s="131"/>
      <c r="P304" s="131"/>
      <c r="Q304" s="131"/>
      <c r="AB304" s="33"/>
    </row>
    <row r="305" spans="1:28" ht="15.75" customHeight="1" x14ac:dyDescent="0.35">
      <c r="A305" s="149"/>
      <c r="B305" s="33"/>
      <c r="C305" s="150"/>
      <c r="D305" s="150"/>
      <c r="E305" s="151"/>
      <c r="F305" s="131"/>
      <c r="G305" s="131"/>
      <c r="M305" s="131"/>
      <c r="N305" s="131"/>
      <c r="O305" s="131"/>
      <c r="P305" s="131"/>
      <c r="Q305" s="131"/>
      <c r="AB305" s="33"/>
    </row>
    <row r="306" spans="1:28" ht="15.75" customHeight="1" x14ac:dyDescent="0.35">
      <c r="A306" s="149"/>
      <c r="B306" s="33"/>
      <c r="C306" s="150"/>
      <c r="D306" s="150"/>
      <c r="E306" s="151"/>
      <c r="F306" s="131"/>
      <c r="G306" s="131"/>
      <c r="M306" s="131"/>
      <c r="N306" s="131"/>
      <c r="O306" s="131"/>
      <c r="P306" s="131"/>
      <c r="Q306" s="131"/>
      <c r="AB306" s="33"/>
    </row>
    <row r="307" spans="1:28" ht="15.75" customHeight="1" x14ac:dyDescent="0.35">
      <c r="A307" s="149"/>
      <c r="B307" s="33"/>
      <c r="C307" s="150"/>
      <c r="D307" s="150"/>
      <c r="E307" s="151"/>
      <c r="F307" s="131"/>
      <c r="G307" s="131"/>
      <c r="M307" s="131"/>
      <c r="N307" s="131"/>
      <c r="O307" s="131"/>
      <c r="P307" s="131"/>
      <c r="Q307" s="131"/>
      <c r="AB307" s="33"/>
    </row>
    <row r="308" spans="1:28" ht="15.75" customHeight="1" x14ac:dyDescent="0.35">
      <c r="A308" s="149"/>
      <c r="B308" s="33"/>
      <c r="C308" s="150"/>
      <c r="D308" s="150"/>
      <c r="E308" s="151"/>
      <c r="F308" s="131"/>
      <c r="G308" s="131"/>
      <c r="M308" s="131"/>
      <c r="N308" s="131"/>
      <c r="O308" s="131"/>
      <c r="P308" s="131"/>
      <c r="Q308" s="131"/>
      <c r="AB308" s="33"/>
    </row>
    <row r="309" spans="1:28" ht="15.75" customHeight="1" x14ac:dyDescent="0.35">
      <c r="A309" s="149"/>
      <c r="B309" s="33"/>
      <c r="C309" s="150"/>
      <c r="D309" s="150"/>
      <c r="E309" s="151"/>
      <c r="F309" s="131"/>
      <c r="G309" s="131"/>
      <c r="M309" s="131"/>
      <c r="N309" s="131"/>
      <c r="O309" s="131"/>
      <c r="P309" s="131"/>
      <c r="Q309" s="131"/>
      <c r="AB309" s="33"/>
    </row>
    <row r="310" spans="1:28" ht="15.75" customHeight="1" x14ac:dyDescent="0.35">
      <c r="A310" s="149"/>
      <c r="B310" s="33"/>
      <c r="C310" s="150"/>
      <c r="D310" s="150"/>
      <c r="E310" s="151"/>
      <c r="F310" s="131"/>
      <c r="G310" s="131"/>
      <c r="M310" s="131"/>
      <c r="N310" s="131"/>
      <c r="O310" s="131"/>
      <c r="P310" s="131"/>
      <c r="Q310" s="131"/>
      <c r="AB310" s="33"/>
    </row>
    <row r="311" spans="1:28" ht="15.75" customHeight="1" x14ac:dyDescent="0.35">
      <c r="A311" s="149"/>
      <c r="B311" s="33"/>
      <c r="C311" s="150"/>
      <c r="D311" s="150"/>
      <c r="E311" s="151"/>
      <c r="F311" s="131"/>
      <c r="G311" s="131"/>
      <c r="M311" s="131"/>
      <c r="N311" s="131"/>
      <c r="O311" s="131"/>
      <c r="P311" s="131"/>
      <c r="Q311" s="131"/>
      <c r="AB311" s="33"/>
    </row>
    <row r="312" spans="1:28" ht="15.75" customHeight="1" x14ac:dyDescent="0.35">
      <c r="A312" s="149"/>
      <c r="B312" s="33"/>
      <c r="C312" s="150"/>
      <c r="D312" s="150"/>
      <c r="E312" s="151"/>
      <c r="F312" s="131"/>
      <c r="G312" s="131"/>
      <c r="M312" s="131"/>
      <c r="N312" s="131"/>
      <c r="O312" s="131"/>
      <c r="P312" s="131"/>
      <c r="Q312" s="131"/>
      <c r="AB312" s="33"/>
    </row>
    <row r="313" spans="1:28" ht="15.75" customHeight="1" x14ac:dyDescent="0.35">
      <c r="A313" s="149"/>
      <c r="B313" s="33"/>
      <c r="C313" s="150"/>
      <c r="D313" s="150"/>
      <c r="E313" s="151"/>
      <c r="F313" s="131"/>
      <c r="G313" s="131"/>
      <c r="M313" s="131"/>
      <c r="N313" s="131"/>
      <c r="O313" s="131"/>
      <c r="P313" s="131"/>
      <c r="Q313" s="131"/>
      <c r="AB313" s="33"/>
    </row>
    <row r="314" spans="1:28" ht="15.75" customHeight="1" x14ac:dyDescent="0.35">
      <c r="A314" s="149"/>
      <c r="B314" s="33"/>
      <c r="C314" s="150"/>
      <c r="D314" s="150"/>
      <c r="E314" s="151"/>
      <c r="F314" s="131"/>
      <c r="G314" s="131"/>
      <c r="M314" s="131"/>
      <c r="N314" s="131"/>
      <c r="O314" s="131"/>
      <c r="P314" s="131"/>
      <c r="Q314" s="131"/>
      <c r="AB314" s="33"/>
    </row>
    <row r="315" spans="1:28" ht="15.75" customHeight="1" x14ac:dyDescent="0.35">
      <c r="A315" s="149"/>
      <c r="B315" s="33"/>
      <c r="C315" s="150"/>
      <c r="D315" s="150"/>
      <c r="E315" s="151"/>
      <c r="F315" s="131"/>
      <c r="G315" s="131"/>
      <c r="M315" s="131"/>
      <c r="N315" s="131"/>
      <c r="O315" s="131"/>
      <c r="P315" s="131"/>
      <c r="Q315" s="131"/>
      <c r="AB315" s="33"/>
    </row>
    <row r="316" spans="1:28" ht="15.75" customHeight="1" x14ac:dyDescent="0.35">
      <c r="A316" s="149"/>
      <c r="B316" s="33"/>
      <c r="C316" s="150"/>
      <c r="D316" s="150"/>
      <c r="E316" s="151"/>
      <c r="F316" s="131"/>
      <c r="G316" s="131"/>
      <c r="M316" s="131"/>
      <c r="N316" s="131"/>
      <c r="O316" s="131"/>
      <c r="P316" s="131"/>
      <c r="Q316" s="131"/>
      <c r="AB316" s="33"/>
    </row>
    <row r="317" spans="1:28" ht="15.75" customHeight="1" x14ac:dyDescent="0.35">
      <c r="A317" s="149"/>
      <c r="B317" s="33"/>
      <c r="C317" s="150"/>
      <c r="D317" s="150"/>
      <c r="E317" s="151"/>
      <c r="F317" s="131"/>
      <c r="G317" s="131"/>
      <c r="M317" s="131"/>
      <c r="N317" s="131"/>
      <c r="O317" s="131"/>
      <c r="P317" s="131"/>
      <c r="Q317" s="131"/>
      <c r="AB317" s="33"/>
    </row>
    <row r="318" spans="1:28" ht="15.75" customHeight="1" x14ac:dyDescent="0.35">
      <c r="A318" s="149"/>
      <c r="B318" s="33"/>
      <c r="C318" s="150"/>
      <c r="D318" s="150"/>
      <c r="E318" s="151"/>
      <c r="F318" s="131"/>
      <c r="G318" s="131"/>
      <c r="M318" s="131"/>
      <c r="N318" s="131"/>
      <c r="O318" s="131"/>
      <c r="P318" s="131"/>
      <c r="Q318" s="131"/>
      <c r="AB318" s="33"/>
    </row>
    <row r="319" spans="1:28" ht="15.75" customHeight="1" x14ac:dyDescent="0.35">
      <c r="A319" s="149"/>
      <c r="B319" s="33"/>
      <c r="C319" s="150"/>
      <c r="D319" s="150"/>
      <c r="E319" s="151"/>
      <c r="F319" s="131"/>
      <c r="G319" s="131"/>
      <c r="M319" s="131"/>
      <c r="N319" s="131"/>
      <c r="O319" s="131"/>
      <c r="P319" s="131"/>
      <c r="Q319" s="131"/>
      <c r="AB319" s="33"/>
    </row>
    <row r="320" spans="1:28" ht="15.75" customHeight="1" x14ac:dyDescent="0.35">
      <c r="A320" s="149"/>
      <c r="B320" s="33"/>
      <c r="C320" s="150"/>
      <c r="D320" s="150"/>
      <c r="E320" s="151"/>
      <c r="F320" s="131"/>
      <c r="G320" s="131"/>
      <c r="M320" s="131"/>
      <c r="N320" s="131"/>
      <c r="O320" s="131"/>
      <c r="P320" s="131"/>
      <c r="Q320" s="131"/>
      <c r="AB320" s="33"/>
    </row>
    <row r="321" spans="1:28" ht="15.75" customHeight="1" x14ac:dyDescent="0.35">
      <c r="A321" s="149"/>
      <c r="B321" s="33"/>
      <c r="C321" s="150"/>
      <c r="D321" s="150"/>
      <c r="E321" s="151"/>
      <c r="F321" s="131"/>
      <c r="G321" s="131"/>
      <c r="M321" s="131"/>
      <c r="N321" s="131"/>
      <c r="O321" s="131"/>
      <c r="P321" s="131"/>
      <c r="Q321" s="131"/>
      <c r="AB321" s="33"/>
    </row>
    <row r="322" spans="1:28" ht="15.75" customHeight="1" x14ac:dyDescent="0.35">
      <c r="A322" s="149"/>
      <c r="B322" s="33"/>
      <c r="C322" s="150"/>
      <c r="D322" s="150"/>
      <c r="E322" s="151"/>
      <c r="F322" s="131"/>
      <c r="G322" s="131"/>
      <c r="M322" s="131"/>
      <c r="N322" s="131"/>
      <c r="O322" s="131"/>
      <c r="P322" s="131"/>
      <c r="Q322" s="131"/>
      <c r="AB322" s="33"/>
    </row>
    <row r="323" spans="1:28" ht="15.75" customHeight="1" x14ac:dyDescent="0.35">
      <c r="A323" s="149"/>
      <c r="B323" s="33"/>
      <c r="C323" s="150"/>
      <c r="D323" s="150"/>
      <c r="E323" s="151"/>
      <c r="F323" s="131"/>
      <c r="G323" s="131"/>
      <c r="M323" s="131"/>
      <c r="N323" s="131"/>
      <c r="O323" s="131"/>
      <c r="P323" s="131"/>
      <c r="Q323" s="131"/>
      <c r="AB323" s="33"/>
    </row>
    <row r="324" spans="1:28" ht="15.75" customHeight="1" x14ac:dyDescent="0.35">
      <c r="A324" s="149"/>
      <c r="B324" s="33"/>
      <c r="C324" s="150"/>
      <c r="D324" s="150"/>
      <c r="E324" s="151"/>
      <c r="F324" s="131"/>
      <c r="G324" s="131"/>
      <c r="M324" s="131"/>
      <c r="N324" s="131"/>
      <c r="O324" s="131"/>
      <c r="P324" s="131"/>
      <c r="Q324" s="131"/>
      <c r="AB324" s="33"/>
    </row>
    <row r="325" spans="1:28" ht="15.75" customHeight="1" x14ac:dyDescent="0.35">
      <c r="A325" s="149"/>
      <c r="B325" s="33"/>
      <c r="C325" s="150"/>
      <c r="D325" s="150"/>
      <c r="E325" s="151"/>
      <c r="F325" s="131"/>
      <c r="G325" s="131"/>
      <c r="M325" s="131"/>
      <c r="N325" s="131"/>
      <c r="O325" s="131"/>
      <c r="P325" s="131"/>
      <c r="Q325" s="131"/>
      <c r="AB325" s="33"/>
    </row>
    <row r="326" spans="1:28" ht="15.75" customHeight="1" x14ac:dyDescent="0.35">
      <c r="A326" s="149"/>
      <c r="B326" s="33"/>
      <c r="C326" s="150"/>
      <c r="D326" s="150"/>
      <c r="E326" s="151"/>
      <c r="F326" s="131"/>
      <c r="G326" s="131"/>
      <c r="M326" s="131"/>
      <c r="N326" s="131"/>
      <c r="O326" s="131"/>
      <c r="P326" s="131"/>
      <c r="Q326" s="131"/>
      <c r="AB326" s="33"/>
    </row>
    <row r="327" spans="1:28" ht="15.75" customHeight="1" x14ac:dyDescent="0.35">
      <c r="A327" s="149"/>
      <c r="B327" s="33"/>
      <c r="C327" s="150"/>
      <c r="D327" s="150"/>
      <c r="E327" s="151"/>
      <c r="F327" s="131"/>
      <c r="G327" s="131"/>
      <c r="M327" s="131"/>
      <c r="N327" s="131"/>
      <c r="O327" s="131"/>
      <c r="P327" s="131"/>
      <c r="Q327" s="131"/>
      <c r="AB327" s="33"/>
    </row>
    <row r="328" spans="1:28" ht="15.75" customHeight="1" x14ac:dyDescent="0.35">
      <c r="A328" s="149"/>
      <c r="B328" s="33"/>
      <c r="C328" s="150"/>
      <c r="D328" s="150"/>
      <c r="E328" s="151"/>
      <c r="F328" s="131"/>
      <c r="G328" s="131"/>
      <c r="M328" s="131"/>
      <c r="N328" s="131"/>
      <c r="O328" s="131"/>
      <c r="P328" s="131"/>
      <c r="Q328" s="131"/>
      <c r="AB328" s="33"/>
    </row>
    <row r="329" spans="1:28" ht="15.75" customHeight="1" x14ac:dyDescent="0.35">
      <c r="A329" s="149"/>
      <c r="B329" s="33"/>
      <c r="C329" s="150"/>
      <c r="D329" s="150"/>
      <c r="E329" s="151"/>
      <c r="F329" s="131"/>
      <c r="G329" s="131"/>
      <c r="M329" s="131"/>
      <c r="N329" s="131"/>
      <c r="O329" s="131"/>
      <c r="P329" s="131"/>
      <c r="Q329" s="131"/>
      <c r="AB329" s="33"/>
    </row>
    <row r="330" spans="1:28" ht="15.75" customHeight="1" x14ac:dyDescent="0.35">
      <c r="A330" s="149"/>
      <c r="B330" s="33"/>
      <c r="C330" s="150"/>
      <c r="D330" s="150"/>
      <c r="E330" s="151"/>
      <c r="F330" s="131"/>
      <c r="G330" s="131"/>
      <c r="M330" s="131"/>
      <c r="N330" s="131"/>
      <c r="O330" s="131"/>
      <c r="P330" s="131"/>
      <c r="Q330" s="131"/>
      <c r="AB330" s="33"/>
    </row>
    <row r="331" spans="1:28" ht="15.75" customHeight="1" x14ac:dyDescent="0.35">
      <c r="A331" s="149"/>
      <c r="B331" s="33"/>
      <c r="C331" s="150"/>
      <c r="D331" s="150"/>
      <c r="E331" s="151"/>
      <c r="F331" s="131"/>
      <c r="G331" s="131"/>
      <c r="M331" s="131"/>
      <c r="N331" s="131"/>
      <c r="O331" s="131"/>
      <c r="P331" s="131"/>
      <c r="Q331" s="131"/>
      <c r="AB331" s="33"/>
    </row>
    <row r="332" spans="1:28" ht="15.75" customHeight="1" x14ac:dyDescent="0.35">
      <c r="A332" s="149"/>
      <c r="B332" s="33"/>
      <c r="C332" s="150"/>
      <c r="D332" s="150"/>
      <c r="E332" s="151"/>
      <c r="F332" s="131"/>
      <c r="G332" s="131"/>
      <c r="M332" s="131"/>
      <c r="N332" s="131"/>
      <c r="O332" s="131"/>
      <c r="P332" s="131"/>
      <c r="Q332" s="131"/>
      <c r="AB332" s="33"/>
    </row>
    <row r="333" spans="1:28" ht="15.75" customHeight="1" x14ac:dyDescent="0.35">
      <c r="A333" s="149"/>
      <c r="B333" s="33"/>
      <c r="C333" s="150"/>
      <c r="D333" s="150"/>
      <c r="E333" s="151"/>
      <c r="F333" s="131"/>
      <c r="G333" s="131"/>
      <c r="M333" s="131"/>
      <c r="N333" s="131"/>
      <c r="O333" s="131"/>
      <c r="P333" s="131"/>
      <c r="Q333" s="131"/>
      <c r="AB333" s="33"/>
    </row>
    <row r="334" spans="1:28" ht="15.75" customHeight="1" x14ac:dyDescent="0.35">
      <c r="A334" s="149"/>
      <c r="B334" s="33"/>
      <c r="C334" s="150"/>
      <c r="D334" s="150"/>
      <c r="E334" s="151"/>
      <c r="F334" s="131"/>
      <c r="G334" s="131"/>
      <c r="M334" s="131"/>
      <c r="N334" s="131"/>
      <c r="O334" s="131"/>
      <c r="P334" s="131"/>
      <c r="Q334" s="131"/>
      <c r="AB334" s="33"/>
    </row>
    <row r="335" spans="1:28" ht="15.75" customHeight="1" x14ac:dyDescent="0.35">
      <c r="A335" s="149"/>
      <c r="B335" s="33"/>
      <c r="C335" s="150"/>
      <c r="D335" s="150"/>
      <c r="E335" s="151"/>
      <c r="F335" s="131"/>
      <c r="G335" s="131"/>
      <c r="M335" s="131"/>
      <c r="N335" s="131"/>
      <c r="O335" s="131"/>
      <c r="P335" s="131"/>
      <c r="Q335" s="131"/>
      <c r="AB335" s="33"/>
    </row>
    <row r="336" spans="1:28" ht="15.75" customHeight="1" x14ac:dyDescent="0.35">
      <c r="A336" s="149"/>
      <c r="B336" s="33"/>
      <c r="C336" s="150"/>
      <c r="D336" s="150"/>
      <c r="E336" s="151"/>
      <c r="F336" s="131"/>
      <c r="G336" s="131"/>
      <c r="M336" s="131"/>
      <c r="N336" s="131"/>
      <c r="O336" s="131"/>
      <c r="P336" s="131"/>
      <c r="Q336" s="131"/>
      <c r="AB336" s="33"/>
    </row>
    <row r="337" spans="1:28" ht="15.75" customHeight="1" x14ac:dyDescent="0.35">
      <c r="A337" s="149"/>
      <c r="B337" s="33"/>
      <c r="C337" s="150"/>
      <c r="D337" s="150"/>
      <c r="E337" s="151"/>
      <c r="F337" s="131"/>
      <c r="G337" s="131"/>
      <c r="M337" s="131"/>
      <c r="N337" s="131"/>
      <c r="O337" s="131"/>
      <c r="P337" s="131"/>
      <c r="Q337" s="131"/>
      <c r="AB337" s="33"/>
    </row>
    <row r="338" spans="1:28" ht="15.75" customHeight="1" x14ac:dyDescent="0.35">
      <c r="A338" s="149"/>
      <c r="B338" s="33"/>
      <c r="C338" s="150"/>
      <c r="D338" s="150"/>
      <c r="E338" s="151"/>
      <c r="F338" s="131"/>
      <c r="G338" s="131"/>
      <c r="M338" s="131"/>
      <c r="N338" s="131"/>
      <c r="O338" s="131"/>
      <c r="P338" s="131"/>
      <c r="Q338" s="131"/>
      <c r="AB338" s="33"/>
    </row>
    <row r="339" spans="1:28" ht="15.75" customHeight="1" x14ac:dyDescent="0.35">
      <c r="A339" s="149"/>
      <c r="B339" s="33"/>
      <c r="C339" s="150"/>
      <c r="D339" s="150"/>
      <c r="E339" s="151"/>
      <c r="F339" s="131"/>
      <c r="G339" s="131"/>
      <c r="M339" s="131"/>
      <c r="N339" s="131"/>
      <c r="O339" s="131"/>
      <c r="P339" s="131"/>
      <c r="Q339" s="131"/>
      <c r="AB339" s="33"/>
    </row>
    <row r="340" spans="1:28" ht="15.75" customHeight="1" x14ac:dyDescent="0.35">
      <c r="A340" s="149"/>
      <c r="B340" s="33"/>
      <c r="C340" s="150"/>
      <c r="D340" s="150"/>
      <c r="E340" s="151"/>
      <c r="F340" s="131"/>
      <c r="G340" s="131"/>
      <c r="M340" s="131"/>
      <c r="N340" s="131"/>
      <c r="O340" s="131"/>
      <c r="P340" s="131"/>
      <c r="Q340" s="131"/>
      <c r="AB340" s="33"/>
    </row>
    <row r="341" spans="1:28" ht="15.75" customHeight="1" x14ac:dyDescent="0.35">
      <c r="A341" s="149"/>
      <c r="B341" s="33"/>
      <c r="C341" s="150"/>
      <c r="D341" s="150"/>
      <c r="E341" s="151"/>
      <c r="F341" s="131"/>
      <c r="G341" s="131"/>
      <c r="M341" s="131"/>
      <c r="N341" s="131"/>
      <c r="O341" s="131"/>
      <c r="P341" s="131"/>
      <c r="Q341" s="131"/>
      <c r="AB341" s="33"/>
    </row>
    <row r="342" spans="1:28" ht="15.75" customHeight="1" x14ac:dyDescent="0.35">
      <c r="A342" s="149"/>
      <c r="B342" s="33"/>
      <c r="C342" s="150"/>
      <c r="D342" s="150"/>
      <c r="E342" s="151"/>
      <c r="F342" s="131"/>
      <c r="G342" s="131"/>
      <c r="M342" s="131"/>
      <c r="N342" s="131"/>
      <c r="O342" s="131"/>
      <c r="P342" s="131"/>
      <c r="Q342" s="131"/>
      <c r="AB342" s="33"/>
    </row>
    <row r="343" spans="1:28" ht="15.75" customHeight="1" x14ac:dyDescent="0.35">
      <c r="A343" s="149"/>
      <c r="B343" s="33"/>
      <c r="C343" s="150"/>
      <c r="D343" s="150"/>
      <c r="E343" s="151"/>
      <c r="F343" s="131"/>
      <c r="G343" s="131"/>
      <c r="M343" s="131"/>
      <c r="N343" s="131"/>
      <c r="O343" s="131"/>
      <c r="P343" s="131"/>
      <c r="Q343" s="131"/>
      <c r="AB343" s="33"/>
    </row>
    <row r="344" spans="1:28" ht="15.75" customHeight="1" x14ac:dyDescent="0.35">
      <c r="A344" s="149"/>
      <c r="B344" s="33"/>
      <c r="C344" s="150"/>
      <c r="D344" s="150"/>
      <c r="E344" s="151"/>
      <c r="F344" s="131"/>
      <c r="G344" s="131"/>
      <c r="M344" s="131"/>
      <c r="N344" s="131"/>
      <c r="O344" s="131"/>
      <c r="P344" s="131"/>
      <c r="Q344" s="131"/>
      <c r="AB344" s="33"/>
    </row>
    <row r="345" spans="1:28" ht="15.75" customHeight="1" x14ac:dyDescent="0.35">
      <c r="A345" s="149"/>
      <c r="B345" s="33"/>
      <c r="C345" s="150"/>
      <c r="D345" s="150"/>
      <c r="E345" s="151"/>
      <c r="F345" s="131"/>
      <c r="G345" s="131"/>
      <c r="M345" s="131"/>
      <c r="N345" s="131"/>
      <c r="O345" s="131"/>
      <c r="P345" s="131"/>
      <c r="Q345" s="131"/>
      <c r="AB345" s="33"/>
    </row>
    <row r="346" spans="1:28" ht="15.75" customHeight="1" x14ac:dyDescent="0.35">
      <c r="A346" s="149"/>
      <c r="B346" s="33"/>
      <c r="C346" s="150"/>
      <c r="D346" s="150"/>
      <c r="E346" s="151"/>
      <c r="F346" s="131"/>
      <c r="G346" s="131"/>
      <c r="M346" s="131"/>
      <c r="N346" s="131"/>
      <c r="O346" s="131"/>
      <c r="P346" s="131"/>
      <c r="Q346" s="131"/>
      <c r="AB346" s="33"/>
    </row>
    <row r="347" spans="1:28" ht="15.75" customHeight="1" x14ac:dyDescent="0.35">
      <c r="A347" s="149"/>
      <c r="B347" s="33"/>
      <c r="C347" s="150"/>
      <c r="D347" s="150"/>
      <c r="E347" s="151"/>
      <c r="F347" s="131"/>
      <c r="G347" s="131"/>
      <c r="M347" s="131"/>
      <c r="N347" s="131"/>
      <c r="O347" s="131"/>
      <c r="P347" s="131"/>
      <c r="Q347" s="131"/>
      <c r="AB347" s="33"/>
    </row>
    <row r="348" spans="1:28" ht="15.75" customHeight="1" x14ac:dyDescent="0.35">
      <c r="A348" s="149"/>
      <c r="B348" s="33"/>
      <c r="C348" s="150"/>
      <c r="D348" s="150"/>
      <c r="E348" s="151"/>
      <c r="F348" s="131"/>
      <c r="G348" s="131"/>
      <c r="M348" s="131"/>
      <c r="N348" s="131"/>
      <c r="O348" s="131"/>
      <c r="P348" s="131"/>
      <c r="Q348" s="131"/>
      <c r="AB348" s="33"/>
    </row>
    <row r="349" spans="1:28" ht="15.75" customHeight="1" x14ac:dyDescent="0.35">
      <c r="A349" s="149"/>
      <c r="B349" s="33"/>
      <c r="C349" s="150"/>
      <c r="D349" s="150"/>
      <c r="E349" s="151"/>
      <c r="F349" s="131"/>
      <c r="G349" s="131"/>
      <c r="M349" s="131"/>
      <c r="N349" s="131"/>
      <c r="O349" s="131"/>
      <c r="P349" s="131"/>
      <c r="Q349" s="131"/>
      <c r="AB349" s="33"/>
    </row>
    <row r="350" spans="1:28" ht="15.75" customHeight="1" x14ac:dyDescent="0.35">
      <c r="A350" s="149"/>
      <c r="B350" s="33"/>
      <c r="C350" s="150"/>
      <c r="D350" s="150"/>
      <c r="E350" s="151"/>
      <c r="F350" s="131"/>
      <c r="G350" s="131"/>
      <c r="M350" s="131"/>
      <c r="N350" s="131"/>
      <c r="O350" s="131"/>
      <c r="P350" s="131"/>
      <c r="Q350" s="131"/>
      <c r="AB350" s="33"/>
    </row>
    <row r="351" spans="1:28" ht="15.75" customHeight="1" x14ac:dyDescent="0.35">
      <c r="A351" s="149"/>
      <c r="B351" s="33"/>
      <c r="C351" s="150"/>
      <c r="D351" s="150"/>
      <c r="E351" s="151"/>
      <c r="F351" s="131"/>
      <c r="G351" s="131"/>
      <c r="M351" s="131"/>
      <c r="N351" s="131"/>
      <c r="O351" s="131"/>
      <c r="P351" s="131"/>
      <c r="Q351" s="131"/>
      <c r="AB351" s="33"/>
    </row>
    <row r="352" spans="1:28" ht="15.75" customHeight="1" x14ac:dyDescent="0.35">
      <c r="A352" s="149"/>
      <c r="B352" s="33"/>
      <c r="C352" s="150"/>
      <c r="D352" s="150"/>
      <c r="E352" s="151"/>
      <c r="F352" s="131"/>
      <c r="G352" s="131"/>
      <c r="M352" s="131"/>
      <c r="N352" s="131"/>
      <c r="O352" s="131"/>
      <c r="P352" s="131"/>
      <c r="Q352" s="131"/>
      <c r="AB352" s="33"/>
    </row>
    <row r="353" spans="1:28" ht="15.75" customHeight="1" x14ac:dyDescent="0.35">
      <c r="A353" s="149"/>
      <c r="B353" s="33"/>
      <c r="C353" s="150"/>
      <c r="D353" s="150"/>
      <c r="E353" s="151"/>
      <c r="F353" s="131"/>
      <c r="G353" s="131"/>
      <c r="M353" s="131"/>
      <c r="N353" s="131"/>
      <c r="O353" s="131"/>
      <c r="P353" s="131"/>
      <c r="Q353" s="131"/>
      <c r="AB353" s="33"/>
    </row>
    <row r="354" spans="1:28" ht="15.75" customHeight="1" x14ac:dyDescent="0.35">
      <c r="A354" s="149"/>
      <c r="B354" s="33"/>
      <c r="C354" s="150"/>
      <c r="D354" s="150"/>
      <c r="E354" s="151"/>
      <c r="F354" s="131"/>
      <c r="G354" s="131"/>
      <c r="M354" s="131"/>
      <c r="N354" s="131"/>
      <c r="O354" s="131"/>
      <c r="P354" s="131"/>
      <c r="Q354" s="131"/>
      <c r="AB354" s="33"/>
    </row>
    <row r="355" spans="1:28" ht="15.75" customHeight="1" x14ac:dyDescent="0.35">
      <c r="A355" s="149"/>
      <c r="B355" s="33"/>
      <c r="C355" s="150"/>
      <c r="D355" s="150"/>
      <c r="E355" s="151"/>
      <c r="F355" s="131"/>
      <c r="G355" s="131"/>
      <c r="M355" s="131"/>
      <c r="N355" s="131"/>
      <c r="O355" s="131"/>
      <c r="P355" s="131"/>
      <c r="Q355" s="131"/>
      <c r="AB355" s="33"/>
    </row>
    <row r="356" spans="1:28" ht="15.75" customHeight="1" x14ac:dyDescent="0.35">
      <c r="A356" s="149"/>
      <c r="B356" s="33"/>
      <c r="C356" s="150"/>
      <c r="D356" s="150"/>
      <c r="E356" s="151"/>
      <c r="F356" s="131"/>
      <c r="G356" s="131"/>
      <c r="M356" s="131"/>
      <c r="N356" s="131"/>
      <c r="O356" s="131"/>
      <c r="P356" s="131"/>
      <c r="Q356" s="131"/>
      <c r="AB356" s="33"/>
    </row>
    <row r="357" spans="1:28" ht="15.75" customHeight="1" x14ac:dyDescent="0.35">
      <c r="A357" s="149"/>
      <c r="B357" s="33"/>
      <c r="C357" s="150"/>
      <c r="D357" s="150"/>
      <c r="E357" s="151"/>
      <c r="F357" s="131"/>
      <c r="G357" s="131"/>
      <c r="M357" s="131"/>
      <c r="N357" s="131"/>
      <c r="O357" s="131"/>
      <c r="P357" s="131"/>
      <c r="Q357" s="131"/>
      <c r="AB357" s="33"/>
    </row>
    <row r="358" spans="1:28" ht="15.75" customHeight="1" x14ac:dyDescent="0.35">
      <c r="A358" s="149"/>
      <c r="B358" s="33"/>
      <c r="C358" s="150"/>
      <c r="D358" s="150"/>
      <c r="E358" s="151"/>
      <c r="F358" s="131"/>
      <c r="G358" s="131"/>
      <c r="M358" s="131"/>
      <c r="N358" s="131"/>
      <c r="O358" s="131"/>
      <c r="P358" s="131"/>
      <c r="Q358" s="131"/>
      <c r="AB358" s="33"/>
    </row>
    <row r="359" spans="1:28" ht="15.75" customHeight="1" x14ac:dyDescent="0.35">
      <c r="A359" s="149"/>
      <c r="B359" s="33"/>
      <c r="C359" s="150"/>
      <c r="D359" s="150"/>
      <c r="E359" s="151"/>
      <c r="F359" s="131"/>
      <c r="G359" s="131"/>
      <c r="M359" s="131"/>
      <c r="N359" s="131"/>
      <c r="O359" s="131"/>
      <c r="P359" s="131"/>
      <c r="Q359" s="131"/>
      <c r="AB359" s="33"/>
    </row>
    <row r="360" spans="1:28" ht="15.75" customHeight="1" x14ac:dyDescent="0.35">
      <c r="A360" s="149"/>
      <c r="B360" s="33"/>
      <c r="C360" s="150"/>
      <c r="D360" s="150"/>
      <c r="E360" s="151"/>
      <c r="F360" s="131"/>
      <c r="G360" s="131"/>
      <c r="M360" s="131"/>
      <c r="N360" s="131"/>
      <c r="O360" s="131"/>
      <c r="P360" s="131"/>
      <c r="Q360" s="131"/>
      <c r="AB360" s="33"/>
    </row>
    <row r="361" spans="1:28" ht="15.75" customHeight="1" x14ac:dyDescent="0.35">
      <c r="A361" s="149"/>
      <c r="B361" s="33"/>
      <c r="C361" s="150"/>
      <c r="D361" s="150"/>
      <c r="E361" s="151"/>
      <c r="F361" s="131"/>
      <c r="G361" s="131"/>
      <c r="M361" s="131"/>
      <c r="N361" s="131"/>
      <c r="O361" s="131"/>
      <c r="P361" s="131"/>
      <c r="Q361" s="131"/>
      <c r="AB361" s="33"/>
    </row>
    <row r="362" spans="1:28" ht="15.75" customHeight="1" x14ac:dyDescent="0.35">
      <c r="A362" s="149"/>
      <c r="B362" s="33"/>
      <c r="C362" s="150"/>
      <c r="D362" s="150"/>
      <c r="E362" s="151"/>
      <c r="F362" s="131"/>
      <c r="G362" s="131"/>
      <c r="M362" s="131"/>
      <c r="N362" s="131"/>
      <c r="O362" s="131"/>
      <c r="P362" s="131"/>
      <c r="Q362" s="131"/>
      <c r="AB362" s="33"/>
    </row>
    <row r="363" spans="1:28" ht="15.75" customHeight="1" x14ac:dyDescent="0.35">
      <c r="A363" s="149"/>
      <c r="B363" s="33"/>
      <c r="C363" s="150"/>
      <c r="D363" s="150"/>
      <c r="E363" s="151"/>
      <c r="F363" s="131"/>
      <c r="G363" s="131"/>
      <c r="M363" s="131"/>
      <c r="N363" s="131"/>
      <c r="O363" s="131"/>
      <c r="P363" s="131"/>
      <c r="Q363" s="131"/>
      <c r="AB363" s="33"/>
    </row>
    <row r="364" spans="1:28" ht="15.75" customHeight="1" x14ac:dyDescent="0.35">
      <c r="A364" s="149"/>
      <c r="B364" s="33"/>
      <c r="C364" s="150"/>
      <c r="D364" s="150"/>
      <c r="E364" s="151"/>
      <c r="F364" s="131"/>
      <c r="G364" s="131"/>
      <c r="M364" s="131"/>
      <c r="N364" s="131"/>
      <c r="O364" s="131"/>
      <c r="P364" s="131"/>
      <c r="Q364" s="131"/>
      <c r="AB364" s="33"/>
    </row>
    <row r="365" spans="1:28" ht="15.75" customHeight="1" x14ac:dyDescent="0.35">
      <c r="A365" s="149"/>
      <c r="B365" s="33"/>
      <c r="C365" s="150"/>
      <c r="D365" s="150"/>
      <c r="E365" s="151"/>
      <c r="F365" s="131"/>
      <c r="G365" s="131"/>
      <c r="M365" s="131"/>
      <c r="N365" s="131"/>
      <c r="O365" s="131"/>
      <c r="P365" s="131"/>
      <c r="Q365" s="131"/>
      <c r="AB365" s="33"/>
    </row>
    <row r="366" spans="1:28" ht="15.75" customHeight="1" x14ac:dyDescent="0.35">
      <c r="A366" s="149"/>
      <c r="B366" s="33"/>
      <c r="C366" s="150"/>
      <c r="D366" s="150"/>
      <c r="E366" s="151"/>
      <c r="F366" s="131"/>
      <c r="G366" s="131"/>
      <c r="M366" s="131"/>
      <c r="N366" s="131"/>
      <c r="O366" s="131"/>
      <c r="P366" s="131"/>
      <c r="Q366" s="131"/>
      <c r="AB366" s="33"/>
    </row>
    <row r="367" spans="1:28" ht="15.75" customHeight="1" x14ac:dyDescent="0.35">
      <c r="A367" s="149"/>
      <c r="B367" s="33"/>
      <c r="C367" s="150"/>
      <c r="D367" s="150"/>
      <c r="E367" s="151"/>
      <c r="F367" s="131"/>
      <c r="G367" s="131"/>
      <c r="M367" s="131"/>
      <c r="N367" s="131"/>
      <c r="O367" s="131"/>
      <c r="P367" s="131"/>
      <c r="Q367" s="131"/>
      <c r="AB367" s="33"/>
    </row>
    <row r="368" spans="1:28" ht="15.75" customHeight="1" x14ac:dyDescent="0.35">
      <c r="A368" s="149"/>
      <c r="B368" s="33"/>
      <c r="C368" s="150"/>
      <c r="D368" s="150"/>
      <c r="E368" s="151"/>
      <c r="F368" s="131"/>
      <c r="G368" s="131"/>
      <c r="M368" s="131"/>
      <c r="N368" s="131"/>
      <c r="O368" s="131"/>
      <c r="P368" s="131"/>
      <c r="Q368" s="131"/>
      <c r="AB368" s="33"/>
    </row>
    <row r="369" spans="1:28" ht="15.75" customHeight="1" x14ac:dyDescent="0.35">
      <c r="A369" s="149"/>
      <c r="B369" s="33"/>
      <c r="C369" s="150"/>
      <c r="D369" s="150"/>
      <c r="E369" s="151"/>
      <c r="F369" s="131"/>
      <c r="G369" s="131"/>
      <c r="M369" s="131"/>
      <c r="N369" s="131"/>
      <c r="O369" s="131"/>
      <c r="P369" s="131"/>
      <c r="Q369" s="131"/>
      <c r="AB369" s="33"/>
    </row>
    <row r="370" spans="1:28" ht="15.75" customHeight="1" x14ac:dyDescent="0.35">
      <c r="A370" s="149"/>
      <c r="B370" s="33"/>
      <c r="C370" s="150"/>
      <c r="D370" s="150"/>
      <c r="E370" s="151"/>
      <c r="F370" s="131"/>
      <c r="G370" s="131"/>
      <c r="M370" s="131"/>
      <c r="N370" s="131"/>
      <c r="O370" s="131"/>
      <c r="P370" s="131"/>
      <c r="Q370" s="131"/>
      <c r="AB370" s="33"/>
    </row>
    <row r="371" spans="1:28" ht="15.75" customHeight="1" x14ac:dyDescent="0.35">
      <c r="A371" s="149"/>
      <c r="B371" s="33"/>
      <c r="C371" s="150"/>
      <c r="D371" s="150"/>
      <c r="E371" s="151"/>
      <c r="F371" s="131"/>
      <c r="G371" s="131"/>
      <c r="M371" s="131"/>
      <c r="N371" s="131"/>
      <c r="O371" s="131"/>
      <c r="P371" s="131"/>
      <c r="Q371" s="131"/>
      <c r="AB371" s="33"/>
    </row>
    <row r="372" spans="1:28" ht="15.75" customHeight="1" x14ac:dyDescent="0.35">
      <c r="A372" s="149"/>
      <c r="B372" s="33"/>
      <c r="C372" s="150"/>
      <c r="D372" s="150"/>
      <c r="E372" s="151"/>
      <c r="F372" s="131"/>
      <c r="G372" s="131"/>
      <c r="M372" s="131"/>
      <c r="N372" s="131"/>
      <c r="O372" s="131"/>
      <c r="P372" s="131"/>
      <c r="Q372" s="131"/>
      <c r="AB372" s="33"/>
    </row>
    <row r="373" spans="1:28" ht="15.75" customHeight="1" x14ac:dyDescent="0.35">
      <c r="A373" s="149"/>
      <c r="B373" s="33"/>
      <c r="C373" s="150"/>
      <c r="D373" s="150"/>
      <c r="E373" s="151"/>
      <c r="F373" s="131"/>
      <c r="G373" s="131"/>
      <c r="M373" s="131"/>
      <c r="N373" s="131"/>
      <c r="O373" s="131"/>
      <c r="P373" s="131"/>
      <c r="Q373" s="131"/>
      <c r="AB373" s="33"/>
    </row>
    <row r="374" spans="1:28" ht="15.75" customHeight="1" x14ac:dyDescent="0.35">
      <c r="A374" s="149"/>
      <c r="B374" s="33"/>
      <c r="C374" s="150"/>
      <c r="D374" s="150"/>
      <c r="E374" s="151"/>
      <c r="F374" s="131"/>
      <c r="G374" s="131"/>
      <c r="M374" s="131"/>
      <c r="N374" s="131"/>
      <c r="O374" s="131"/>
      <c r="P374" s="131"/>
      <c r="Q374" s="131"/>
      <c r="AB374" s="33"/>
    </row>
    <row r="375" spans="1:28" ht="15.75" customHeight="1" x14ac:dyDescent="0.35">
      <c r="A375" s="149"/>
      <c r="B375" s="33"/>
      <c r="C375" s="150"/>
      <c r="D375" s="150"/>
      <c r="E375" s="151"/>
      <c r="F375" s="131"/>
      <c r="G375" s="131"/>
      <c r="M375" s="131"/>
      <c r="N375" s="131"/>
      <c r="O375" s="131"/>
      <c r="P375" s="131"/>
      <c r="Q375" s="131"/>
      <c r="AB375" s="33"/>
    </row>
    <row r="376" spans="1:28" ht="15.75" customHeight="1" x14ac:dyDescent="0.35">
      <c r="A376" s="149"/>
      <c r="B376" s="33"/>
      <c r="C376" s="150"/>
      <c r="D376" s="150"/>
      <c r="E376" s="151"/>
      <c r="F376" s="131"/>
      <c r="G376" s="131"/>
      <c r="M376" s="131"/>
      <c r="N376" s="131"/>
      <c r="O376" s="131"/>
      <c r="P376" s="131"/>
      <c r="Q376" s="131"/>
      <c r="AB376" s="33"/>
    </row>
    <row r="377" spans="1:28" ht="15.75" customHeight="1" x14ac:dyDescent="0.35">
      <c r="A377" s="149"/>
      <c r="B377" s="33"/>
      <c r="C377" s="150"/>
      <c r="D377" s="150"/>
      <c r="E377" s="151"/>
      <c r="F377" s="131"/>
      <c r="G377" s="131"/>
      <c r="M377" s="131"/>
      <c r="N377" s="131"/>
      <c r="O377" s="131"/>
      <c r="P377" s="131"/>
      <c r="Q377" s="131"/>
      <c r="AB377" s="33"/>
    </row>
    <row r="378" spans="1:28" ht="15.75" customHeight="1" x14ac:dyDescent="0.35">
      <c r="A378" s="149"/>
      <c r="B378" s="33"/>
      <c r="C378" s="150"/>
      <c r="D378" s="150"/>
      <c r="E378" s="151"/>
      <c r="F378" s="131"/>
      <c r="G378" s="131"/>
      <c r="M378" s="131"/>
      <c r="N378" s="131"/>
      <c r="O378" s="131"/>
      <c r="P378" s="131"/>
      <c r="Q378" s="131"/>
      <c r="AB378" s="33"/>
    </row>
    <row r="379" spans="1:28" ht="15.75" customHeight="1" x14ac:dyDescent="0.35">
      <c r="A379" s="149"/>
      <c r="B379" s="33"/>
      <c r="C379" s="150"/>
      <c r="D379" s="150"/>
      <c r="E379" s="151"/>
      <c r="F379" s="131"/>
      <c r="G379" s="131"/>
      <c r="M379" s="131"/>
      <c r="N379" s="131"/>
      <c r="O379" s="131"/>
      <c r="P379" s="131"/>
      <c r="Q379" s="131"/>
      <c r="AB379" s="33"/>
    </row>
    <row r="380" spans="1:28" ht="15.75" customHeight="1" x14ac:dyDescent="0.35">
      <c r="A380" s="149"/>
      <c r="B380" s="33"/>
      <c r="C380" s="150"/>
      <c r="D380" s="150"/>
      <c r="E380" s="151"/>
      <c r="F380" s="131"/>
      <c r="G380" s="131"/>
      <c r="M380" s="131"/>
      <c r="N380" s="131"/>
      <c r="O380" s="131"/>
      <c r="P380" s="131"/>
      <c r="Q380" s="131"/>
      <c r="AB380" s="33"/>
    </row>
    <row r="381" spans="1:28" ht="15.75" customHeight="1" x14ac:dyDescent="0.35">
      <c r="A381" s="149"/>
      <c r="B381" s="33"/>
      <c r="C381" s="150"/>
      <c r="D381" s="150"/>
      <c r="E381" s="151"/>
      <c r="F381" s="131"/>
      <c r="G381" s="131"/>
      <c r="M381" s="131"/>
      <c r="N381" s="131"/>
      <c r="O381" s="131"/>
      <c r="P381" s="131"/>
      <c r="Q381" s="131"/>
      <c r="AB381" s="33"/>
    </row>
    <row r="382" spans="1:28" ht="15.75" customHeight="1" x14ac:dyDescent="0.35">
      <c r="A382" s="149"/>
      <c r="B382" s="33"/>
      <c r="C382" s="150"/>
      <c r="D382" s="150"/>
      <c r="E382" s="151"/>
      <c r="F382" s="131"/>
      <c r="G382" s="131"/>
      <c r="M382" s="131"/>
      <c r="N382" s="131"/>
      <c r="O382" s="131"/>
      <c r="P382" s="131"/>
      <c r="Q382" s="131"/>
      <c r="AB382" s="33"/>
    </row>
    <row r="383" spans="1:28" ht="15.75" customHeight="1" x14ac:dyDescent="0.35">
      <c r="A383" s="149"/>
      <c r="B383" s="33"/>
      <c r="C383" s="150"/>
      <c r="D383" s="150"/>
      <c r="E383" s="151"/>
      <c r="F383" s="131"/>
      <c r="G383" s="131"/>
      <c r="M383" s="131"/>
      <c r="N383" s="131"/>
      <c r="O383" s="131"/>
      <c r="P383" s="131"/>
      <c r="Q383" s="131"/>
      <c r="AB383" s="33"/>
    </row>
    <row r="384" spans="1:28" ht="15.75" customHeight="1" x14ac:dyDescent="0.35">
      <c r="A384" s="149"/>
      <c r="B384" s="33"/>
      <c r="C384" s="150"/>
      <c r="D384" s="150"/>
      <c r="E384" s="151"/>
      <c r="F384" s="131"/>
      <c r="G384" s="131"/>
      <c r="M384" s="131"/>
      <c r="N384" s="131"/>
      <c r="O384" s="131"/>
      <c r="P384" s="131"/>
      <c r="Q384" s="131"/>
      <c r="AB384" s="33"/>
    </row>
    <row r="385" spans="1:28" ht="15.75" customHeight="1" x14ac:dyDescent="0.35">
      <c r="A385" s="149"/>
      <c r="B385" s="33"/>
      <c r="C385" s="150"/>
      <c r="D385" s="150"/>
      <c r="E385" s="151"/>
      <c r="F385" s="131"/>
      <c r="G385" s="131"/>
      <c r="M385" s="131"/>
      <c r="N385" s="131"/>
      <c r="O385" s="131"/>
      <c r="P385" s="131"/>
      <c r="Q385" s="131"/>
      <c r="AB385" s="33"/>
    </row>
    <row r="386" spans="1:28" ht="15.75" customHeight="1" x14ac:dyDescent="0.35">
      <c r="A386" s="149"/>
      <c r="B386" s="33"/>
      <c r="C386" s="150"/>
      <c r="D386" s="150"/>
      <c r="E386" s="151"/>
      <c r="F386" s="131"/>
      <c r="G386" s="131"/>
      <c r="M386" s="131"/>
      <c r="N386" s="131"/>
      <c r="O386" s="131"/>
      <c r="P386" s="131"/>
      <c r="Q386" s="131"/>
      <c r="AB386" s="33"/>
    </row>
    <row r="387" spans="1:28" ht="15.75" customHeight="1" x14ac:dyDescent="0.35">
      <c r="A387" s="149"/>
      <c r="B387" s="33"/>
      <c r="C387" s="150"/>
      <c r="D387" s="150"/>
      <c r="E387" s="151"/>
      <c r="F387" s="131"/>
      <c r="G387" s="131"/>
      <c r="M387" s="131"/>
      <c r="N387" s="131"/>
      <c r="O387" s="131"/>
      <c r="P387" s="131"/>
      <c r="Q387" s="131"/>
      <c r="AB387" s="33"/>
    </row>
    <row r="388" spans="1:28" ht="15.75" customHeight="1" x14ac:dyDescent="0.35">
      <c r="A388" s="149"/>
      <c r="B388" s="33"/>
      <c r="C388" s="150"/>
      <c r="D388" s="150"/>
      <c r="E388" s="151"/>
      <c r="F388" s="131"/>
      <c r="G388" s="131"/>
      <c r="M388" s="131"/>
      <c r="N388" s="131"/>
      <c r="O388" s="131"/>
      <c r="P388" s="131"/>
      <c r="Q388" s="131"/>
      <c r="AB388" s="33"/>
    </row>
    <row r="389" spans="1:28" ht="15.75" customHeight="1" x14ac:dyDescent="0.35">
      <c r="A389" s="149"/>
      <c r="B389" s="33"/>
      <c r="C389" s="150"/>
      <c r="D389" s="150"/>
      <c r="E389" s="151"/>
      <c r="F389" s="131"/>
      <c r="G389" s="131"/>
      <c r="M389" s="131"/>
      <c r="N389" s="131"/>
      <c r="O389" s="131"/>
      <c r="P389" s="131"/>
      <c r="Q389" s="131"/>
      <c r="AB389" s="33"/>
    </row>
    <row r="390" spans="1:28" ht="15.75" customHeight="1" x14ac:dyDescent="0.35">
      <c r="A390" s="149"/>
      <c r="B390" s="33"/>
      <c r="C390" s="150"/>
      <c r="D390" s="150"/>
      <c r="E390" s="151"/>
      <c r="F390" s="131"/>
      <c r="G390" s="131"/>
      <c r="M390" s="131"/>
      <c r="N390" s="131"/>
      <c r="O390" s="131"/>
      <c r="P390" s="131"/>
      <c r="Q390" s="131"/>
      <c r="AB390" s="33"/>
    </row>
    <row r="391" spans="1:28" ht="15.75" customHeight="1" x14ac:dyDescent="0.35">
      <c r="A391" s="149"/>
      <c r="B391" s="33"/>
      <c r="C391" s="150"/>
      <c r="D391" s="150"/>
      <c r="E391" s="151"/>
      <c r="F391" s="131"/>
      <c r="G391" s="131"/>
      <c r="M391" s="131"/>
      <c r="N391" s="131"/>
      <c r="O391" s="131"/>
      <c r="P391" s="131"/>
      <c r="Q391" s="131"/>
      <c r="AB391" s="33"/>
    </row>
    <row r="392" spans="1:28" ht="15.75" customHeight="1" x14ac:dyDescent="0.35">
      <c r="A392" s="149"/>
      <c r="B392" s="33"/>
      <c r="C392" s="150"/>
      <c r="D392" s="150"/>
      <c r="E392" s="151"/>
      <c r="F392" s="131"/>
      <c r="G392" s="131"/>
      <c r="M392" s="131"/>
      <c r="N392" s="131"/>
      <c r="O392" s="131"/>
      <c r="P392" s="131"/>
      <c r="Q392" s="131"/>
      <c r="AB392" s="33"/>
    </row>
    <row r="393" spans="1:28" ht="15.75" customHeight="1" x14ac:dyDescent="0.35">
      <c r="A393" s="149"/>
      <c r="B393" s="33"/>
      <c r="C393" s="150"/>
      <c r="D393" s="150"/>
      <c r="E393" s="151"/>
      <c r="F393" s="131"/>
      <c r="G393" s="131"/>
      <c r="M393" s="131"/>
      <c r="N393" s="131"/>
      <c r="O393" s="131"/>
      <c r="P393" s="131"/>
      <c r="Q393" s="131"/>
      <c r="AB393" s="33"/>
    </row>
    <row r="394" spans="1:28" ht="15.75" customHeight="1" x14ac:dyDescent="0.35">
      <c r="A394" s="149"/>
      <c r="B394" s="33"/>
      <c r="C394" s="150"/>
      <c r="D394" s="150"/>
      <c r="E394" s="151"/>
      <c r="F394" s="131"/>
      <c r="G394" s="131"/>
      <c r="M394" s="131"/>
      <c r="N394" s="131"/>
      <c r="O394" s="131"/>
      <c r="P394" s="131"/>
      <c r="Q394" s="131"/>
      <c r="AB394" s="33"/>
    </row>
    <row r="395" spans="1:28" ht="15.75" customHeight="1" x14ac:dyDescent="0.35">
      <c r="A395" s="149"/>
      <c r="B395" s="33"/>
      <c r="C395" s="150"/>
      <c r="D395" s="150"/>
      <c r="E395" s="151"/>
      <c r="F395" s="131"/>
      <c r="G395" s="131"/>
      <c r="M395" s="131"/>
      <c r="N395" s="131"/>
      <c r="O395" s="131"/>
      <c r="P395" s="131"/>
      <c r="Q395" s="131"/>
      <c r="AB395" s="33"/>
    </row>
    <row r="396" spans="1:28" ht="15.75" customHeight="1" x14ac:dyDescent="0.35">
      <c r="A396" s="149"/>
      <c r="B396" s="33"/>
      <c r="C396" s="150"/>
      <c r="D396" s="150"/>
      <c r="E396" s="151"/>
      <c r="F396" s="131"/>
      <c r="G396" s="131"/>
      <c r="M396" s="131"/>
      <c r="N396" s="131"/>
      <c r="O396" s="131"/>
      <c r="P396" s="131"/>
      <c r="Q396" s="131"/>
      <c r="AB396" s="33"/>
    </row>
    <row r="397" spans="1:28" ht="15.75" customHeight="1" x14ac:dyDescent="0.35">
      <c r="A397" s="149"/>
      <c r="B397" s="33"/>
      <c r="C397" s="150"/>
      <c r="D397" s="150"/>
      <c r="E397" s="151"/>
      <c r="F397" s="131"/>
      <c r="G397" s="131"/>
      <c r="M397" s="131"/>
      <c r="N397" s="131"/>
      <c r="O397" s="131"/>
      <c r="P397" s="131"/>
      <c r="Q397" s="131"/>
      <c r="AB397" s="33"/>
    </row>
    <row r="398" spans="1:28" ht="15.75" customHeight="1" x14ac:dyDescent="0.35">
      <c r="A398" s="149"/>
      <c r="B398" s="33"/>
      <c r="C398" s="150"/>
      <c r="D398" s="150"/>
      <c r="E398" s="151"/>
      <c r="F398" s="131"/>
      <c r="G398" s="131"/>
      <c r="M398" s="131"/>
      <c r="N398" s="131"/>
      <c r="O398" s="131"/>
      <c r="P398" s="131"/>
      <c r="Q398" s="131"/>
      <c r="AB398" s="33"/>
    </row>
    <row r="399" spans="1:28" ht="15.75" customHeight="1" x14ac:dyDescent="0.35">
      <c r="A399" s="149"/>
      <c r="B399" s="33"/>
      <c r="C399" s="150"/>
      <c r="D399" s="150"/>
      <c r="E399" s="151"/>
      <c r="F399" s="131"/>
      <c r="G399" s="131"/>
      <c r="M399" s="131"/>
      <c r="N399" s="131"/>
      <c r="O399" s="131"/>
      <c r="P399" s="131"/>
      <c r="Q399" s="131"/>
      <c r="AB399" s="33"/>
    </row>
    <row r="400" spans="1:28" ht="15.75" customHeight="1" x14ac:dyDescent="0.35">
      <c r="A400" s="149"/>
      <c r="B400" s="33"/>
      <c r="C400" s="150"/>
      <c r="D400" s="150"/>
      <c r="E400" s="151"/>
      <c r="F400" s="131"/>
      <c r="G400" s="131"/>
      <c r="M400" s="131"/>
      <c r="N400" s="131"/>
      <c r="O400" s="131"/>
      <c r="P400" s="131"/>
      <c r="Q400" s="131"/>
      <c r="AB400" s="33"/>
    </row>
    <row r="401" spans="1:28" ht="15.75" customHeight="1" x14ac:dyDescent="0.35">
      <c r="A401" s="149"/>
      <c r="B401" s="33"/>
      <c r="C401" s="150"/>
      <c r="D401" s="150"/>
      <c r="E401" s="151"/>
      <c r="F401" s="131"/>
      <c r="G401" s="131"/>
      <c r="M401" s="131"/>
      <c r="N401" s="131"/>
      <c r="O401" s="131"/>
      <c r="P401" s="131"/>
      <c r="Q401" s="131"/>
      <c r="AB401" s="33"/>
    </row>
    <row r="402" spans="1:28" ht="15.75" customHeight="1" x14ac:dyDescent="0.35">
      <c r="A402" s="149"/>
      <c r="B402" s="33"/>
      <c r="C402" s="150"/>
      <c r="D402" s="150"/>
      <c r="E402" s="151"/>
      <c r="F402" s="131"/>
      <c r="G402" s="131"/>
      <c r="M402" s="131"/>
      <c r="N402" s="131"/>
      <c r="O402" s="131"/>
      <c r="P402" s="131"/>
      <c r="Q402" s="131"/>
      <c r="AB402" s="33"/>
    </row>
    <row r="403" spans="1:28" ht="15.75" customHeight="1" x14ac:dyDescent="0.35">
      <c r="A403" s="149"/>
      <c r="B403" s="33"/>
      <c r="C403" s="150"/>
      <c r="D403" s="150"/>
      <c r="E403" s="151"/>
      <c r="F403" s="131"/>
      <c r="G403" s="131"/>
      <c r="M403" s="131"/>
      <c r="N403" s="131"/>
      <c r="O403" s="131"/>
      <c r="P403" s="131"/>
      <c r="Q403" s="131"/>
      <c r="AB403" s="33"/>
    </row>
    <row r="404" spans="1:28" ht="15.75" customHeight="1" x14ac:dyDescent="0.35">
      <c r="A404" s="149"/>
      <c r="B404" s="33"/>
      <c r="C404" s="150"/>
      <c r="D404" s="150"/>
      <c r="E404" s="151"/>
      <c r="F404" s="131"/>
      <c r="G404" s="131"/>
      <c r="M404" s="131"/>
      <c r="N404" s="131"/>
      <c r="O404" s="131"/>
      <c r="P404" s="131"/>
      <c r="Q404" s="131"/>
      <c r="AB404" s="33"/>
    </row>
    <row r="405" spans="1:28" ht="15.75" customHeight="1" x14ac:dyDescent="0.35">
      <c r="A405" s="149"/>
      <c r="B405" s="33"/>
      <c r="C405" s="150"/>
      <c r="D405" s="150"/>
      <c r="E405" s="151"/>
      <c r="F405" s="131"/>
      <c r="G405" s="131"/>
      <c r="M405" s="131"/>
      <c r="N405" s="131"/>
      <c r="O405" s="131"/>
      <c r="P405" s="131"/>
      <c r="Q405" s="131"/>
      <c r="AB405" s="33"/>
    </row>
    <row r="406" spans="1:28" ht="15.75" customHeight="1" x14ac:dyDescent="0.35">
      <c r="A406" s="149"/>
      <c r="B406" s="33"/>
      <c r="C406" s="150"/>
      <c r="D406" s="150"/>
      <c r="E406" s="151"/>
      <c r="F406" s="131"/>
      <c r="G406" s="131"/>
      <c r="M406" s="131"/>
      <c r="N406" s="131"/>
      <c r="O406" s="131"/>
      <c r="P406" s="131"/>
      <c r="Q406" s="131"/>
      <c r="AB406" s="33"/>
    </row>
    <row r="407" spans="1:28" ht="15.75" customHeight="1" x14ac:dyDescent="0.35">
      <c r="A407" s="149"/>
      <c r="B407" s="33"/>
      <c r="C407" s="150"/>
      <c r="D407" s="150"/>
      <c r="E407" s="151"/>
      <c r="F407" s="131"/>
      <c r="G407" s="131"/>
      <c r="M407" s="131"/>
      <c r="N407" s="131"/>
      <c r="O407" s="131"/>
      <c r="P407" s="131"/>
      <c r="Q407" s="131"/>
      <c r="AB407" s="33"/>
    </row>
    <row r="408" spans="1:28" ht="15.75" customHeight="1" x14ac:dyDescent="0.35">
      <c r="A408" s="149"/>
      <c r="B408" s="33"/>
      <c r="C408" s="150"/>
      <c r="D408" s="150"/>
      <c r="E408" s="151"/>
      <c r="F408" s="131"/>
      <c r="G408" s="131"/>
      <c r="M408" s="131"/>
      <c r="N408" s="131"/>
      <c r="O408" s="131"/>
      <c r="P408" s="131"/>
      <c r="Q408" s="131"/>
      <c r="AB408" s="33"/>
    </row>
    <row r="409" spans="1:28" ht="15.75" customHeight="1" x14ac:dyDescent="0.35">
      <c r="A409" s="149"/>
      <c r="B409" s="33"/>
      <c r="C409" s="150"/>
      <c r="D409" s="150"/>
      <c r="E409" s="151"/>
      <c r="F409" s="131"/>
      <c r="G409" s="131"/>
      <c r="M409" s="131"/>
      <c r="N409" s="131"/>
      <c r="O409" s="131"/>
      <c r="P409" s="131"/>
      <c r="Q409" s="131"/>
      <c r="AB409" s="33"/>
    </row>
    <row r="410" spans="1:28" ht="15.75" customHeight="1" x14ac:dyDescent="0.35">
      <c r="A410" s="149"/>
      <c r="B410" s="33"/>
      <c r="C410" s="150"/>
      <c r="D410" s="150"/>
      <c r="E410" s="151"/>
      <c r="F410" s="131"/>
      <c r="G410" s="131"/>
      <c r="M410" s="131"/>
      <c r="N410" s="131"/>
      <c r="O410" s="131"/>
      <c r="P410" s="131"/>
      <c r="Q410" s="131"/>
      <c r="AB410" s="33"/>
    </row>
    <row r="411" spans="1:28" ht="15.75" customHeight="1" x14ac:dyDescent="0.35">
      <c r="A411" s="149"/>
      <c r="B411" s="33"/>
      <c r="C411" s="150"/>
      <c r="D411" s="150"/>
      <c r="E411" s="151"/>
      <c r="F411" s="131"/>
      <c r="G411" s="131"/>
      <c r="M411" s="131"/>
      <c r="N411" s="131"/>
      <c r="O411" s="131"/>
      <c r="P411" s="131"/>
      <c r="Q411" s="131"/>
      <c r="AB411" s="33"/>
    </row>
    <row r="412" spans="1:28" ht="15.75" customHeight="1" x14ac:dyDescent="0.35">
      <c r="A412" s="149"/>
      <c r="B412" s="33"/>
      <c r="C412" s="150"/>
      <c r="D412" s="150"/>
      <c r="E412" s="151"/>
      <c r="F412" s="131"/>
      <c r="G412" s="131"/>
      <c r="M412" s="131"/>
      <c r="N412" s="131"/>
      <c r="O412" s="131"/>
      <c r="P412" s="131"/>
      <c r="Q412" s="131"/>
      <c r="AB412" s="33"/>
    </row>
    <row r="413" spans="1:28" ht="15.75" customHeight="1" x14ac:dyDescent="0.35">
      <c r="A413" s="149"/>
      <c r="B413" s="33"/>
      <c r="C413" s="150"/>
      <c r="D413" s="150"/>
      <c r="E413" s="151"/>
      <c r="F413" s="131"/>
      <c r="G413" s="131"/>
      <c r="M413" s="131"/>
      <c r="N413" s="131"/>
      <c r="O413" s="131"/>
      <c r="P413" s="131"/>
      <c r="Q413" s="131"/>
      <c r="AB413" s="33"/>
    </row>
    <row r="414" spans="1:28" ht="15.75" customHeight="1" x14ac:dyDescent="0.35">
      <c r="A414" s="149"/>
      <c r="B414" s="33"/>
      <c r="C414" s="150"/>
      <c r="D414" s="150"/>
      <c r="E414" s="151"/>
      <c r="F414" s="131"/>
      <c r="G414" s="131"/>
      <c r="M414" s="131"/>
      <c r="N414" s="131"/>
      <c r="O414" s="131"/>
      <c r="P414" s="131"/>
      <c r="Q414" s="131"/>
      <c r="AB414" s="33"/>
    </row>
    <row r="415" spans="1:28" ht="15.75" customHeight="1" x14ac:dyDescent="0.35">
      <c r="A415" s="149"/>
      <c r="B415" s="33"/>
      <c r="C415" s="150"/>
      <c r="D415" s="150"/>
      <c r="E415" s="151"/>
      <c r="F415" s="131"/>
      <c r="G415" s="131"/>
      <c r="M415" s="131"/>
      <c r="N415" s="131"/>
      <c r="O415" s="131"/>
      <c r="P415" s="131"/>
      <c r="Q415" s="131"/>
      <c r="AB415" s="33"/>
    </row>
    <row r="416" spans="1:28" ht="15.75" customHeight="1" x14ac:dyDescent="0.35">
      <c r="A416" s="149"/>
      <c r="B416" s="33"/>
      <c r="C416" s="150"/>
      <c r="D416" s="150"/>
      <c r="E416" s="151"/>
      <c r="F416" s="131"/>
      <c r="G416" s="131"/>
      <c r="M416" s="131"/>
      <c r="N416" s="131"/>
      <c r="O416" s="131"/>
      <c r="P416" s="131"/>
      <c r="Q416" s="131"/>
      <c r="AB416" s="33"/>
    </row>
    <row r="417" spans="1:28" ht="15.75" customHeight="1" x14ac:dyDescent="0.35">
      <c r="A417" s="149"/>
      <c r="B417" s="33"/>
      <c r="C417" s="150"/>
      <c r="D417" s="150"/>
      <c r="E417" s="151"/>
      <c r="F417" s="131"/>
      <c r="G417" s="131"/>
      <c r="M417" s="131"/>
      <c r="N417" s="131"/>
      <c r="O417" s="131"/>
      <c r="P417" s="131"/>
      <c r="Q417" s="131"/>
      <c r="AB417" s="33"/>
    </row>
    <row r="418" spans="1:28" ht="15.75" customHeight="1" x14ac:dyDescent="0.35">
      <c r="A418" s="149"/>
      <c r="B418" s="33"/>
      <c r="C418" s="150"/>
      <c r="D418" s="150"/>
      <c r="E418" s="151"/>
      <c r="F418" s="131"/>
      <c r="G418" s="131"/>
      <c r="M418" s="131"/>
      <c r="N418" s="131"/>
      <c r="O418" s="131"/>
      <c r="P418" s="131"/>
      <c r="Q418" s="131"/>
      <c r="AB418" s="33"/>
    </row>
    <row r="419" spans="1:28" ht="15.75" customHeight="1" x14ac:dyDescent="0.35">
      <c r="A419" s="149"/>
      <c r="B419" s="33"/>
      <c r="C419" s="150"/>
      <c r="D419" s="150"/>
      <c r="E419" s="151"/>
      <c r="F419" s="131"/>
      <c r="G419" s="131"/>
      <c r="M419" s="131"/>
      <c r="N419" s="131"/>
      <c r="O419" s="131"/>
      <c r="P419" s="131"/>
      <c r="Q419" s="131"/>
      <c r="AB419" s="33"/>
    </row>
    <row r="420" spans="1:28" ht="15.75" customHeight="1" x14ac:dyDescent="0.35">
      <c r="A420" s="149"/>
      <c r="B420" s="33"/>
      <c r="C420" s="150"/>
      <c r="D420" s="150"/>
      <c r="E420" s="151"/>
      <c r="F420" s="131"/>
      <c r="G420" s="131"/>
      <c r="M420" s="131"/>
      <c r="N420" s="131"/>
      <c r="O420" s="131"/>
      <c r="P420" s="131"/>
      <c r="Q420" s="131"/>
      <c r="AB420" s="33"/>
    </row>
    <row r="421" spans="1:28" ht="15.75" customHeight="1" x14ac:dyDescent="0.35">
      <c r="A421" s="149"/>
      <c r="B421" s="33"/>
      <c r="C421" s="150"/>
      <c r="D421" s="150"/>
      <c r="E421" s="151"/>
      <c r="F421" s="131"/>
      <c r="G421" s="131"/>
      <c r="M421" s="131"/>
      <c r="N421" s="131"/>
      <c r="O421" s="131"/>
      <c r="P421" s="131"/>
      <c r="Q421" s="131"/>
      <c r="AB421" s="33"/>
    </row>
    <row r="422" spans="1:28" ht="15.75" customHeight="1" x14ac:dyDescent="0.35">
      <c r="A422" s="149"/>
      <c r="B422" s="33"/>
      <c r="C422" s="150"/>
      <c r="D422" s="150"/>
      <c r="E422" s="151"/>
      <c r="F422" s="131"/>
      <c r="G422" s="131"/>
      <c r="M422" s="131"/>
      <c r="N422" s="131"/>
      <c r="O422" s="131"/>
      <c r="P422" s="131"/>
      <c r="Q422" s="131"/>
      <c r="AB422" s="33"/>
    </row>
    <row r="423" spans="1:28" ht="15.75" customHeight="1" x14ac:dyDescent="0.35">
      <c r="A423" s="149"/>
      <c r="B423" s="33"/>
      <c r="C423" s="150"/>
      <c r="D423" s="150"/>
      <c r="E423" s="151"/>
      <c r="F423" s="131"/>
      <c r="G423" s="131"/>
      <c r="M423" s="131"/>
      <c r="N423" s="131"/>
      <c r="O423" s="131"/>
      <c r="P423" s="131"/>
      <c r="Q423" s="131"/>
      <c r="AB423" s="33"/>
    </row>
    <row r="424" spans="1:28" ht="15.75" customHeight="1" x14ac:dyDescent="0.35">
      <c r="A424" s="149"/>
      <c r="B424" s="33"/>
      <c r="C424" s="150"/>
      <c r="D424" s="150"/>
      <c r="E424" s="151"/>
      <c r="F424" s="131"/>
      <c r="G424" s="131"/>
      <c r="M424" s="131"/>
      <c r="N424" s="131"/>
      <c r="O424" s="131"/>
      <c r="P424" s="131"/>
      <c r="Q424" s="131"/>
      <c r="AB424" s="33"/>
    </row>
    <row r="425" spans="1:28" ht="15.75" customHeight="1" x14ac:dyDescent="0.35">
      <c r="A425" s="149"/>
      <c r="B425" s="33"/>
      <c r="C425" s="150"/>
      <c r="D425" s="150"/>
      <c r="E425" s="151"/>
      <c r="F425" s="131"/>
      <c r="G425" s="131"/>
      <c r="M425" s="131"/>
      <c r="N425" s="131"/>
      <c r="O425" s="131"/>
      <c r="P425" s="131"/>
      <c r="Q425" s="131"/>
      <c r="AB425" s="33"/>
    </row>
    <row r="426" spans="1:28" ht="15.75" customHeight="1" x14ac:dyDescent="0.35">
      <c r="A426" s="149"/>
      <c r="B426" s="33"/>
      <c r="C426" s="150"/>
      <c r="D426" s="150"/>
      <c r="E426" s="151"/>
      <c r="F426" s="131"/>
      <c r="G426" s="131"/>
      <c r="M426" s="131"/>
      <c r="N426" s="131"/>
      <c r="O426" s="131"/>
      <c r="P426" s="131"/>
      <c r="Q426" s="131"/>
      <c r="AB426" s="33"/>
    </row>
    <row r="427" spans="1:28" ht="15.75" customHeight="1" x14ac:dyDescent="0.35">
      <c r="A427" s="149"/>
      <c r="B427" s="33"/>
      <c r="C427" s="150"/>
      <c r="D427" s="150"/>
      <c r="E427" s="151"/>
      <c r="F427" s="131"/>
      <c r="G427" s="131"/>
      <c r="M427" s="131"/>
      <c r="N427" s="131"/>
      <c r="O427" s="131"/>
      <c r="P427" s="131"/>
      <c r="Q427" s="131"/>
      <c r="AB427" s="33"/>
    </row>
    <row r="428" spans="1:28" ht="15.75" customHeight="1" x14ac:dyDescent="0.35">
      <c r="A428" s="149"/>
      <c r="B428" s="33"/>
      <c r="C428" s="150"/>
      <c r="D428" s="150"/>
      <c r="E428" s="151"/>
      <c r="F428" s="131"/>
      <c r="G428" s="131"/>
      <c r="M428" s="131"/>
      <c r="N428" s="131"/>
      <c r="O428" s="131"/>
      <c r="P428" s="131"/>
      <c r="Q428" s="131"/>
      <c r="AB428" s="33"/>
    </row>
    <row r="429" spans="1:28" ht="15.75" customHeight="1" x14ac:dyDescent="0.35">
      <c r="A429" s="149"/>
      <c r="B429" s="33"/>
      <c r="C429" s="150"/>
      <c r="D429" s="150"/>
      <c r="E429" s="151"/>
      <c r="F429" s="131"/>
      <c r="G429" s="131"/>
      <c r="M429" s="131"/>
      <c r="N429" s="131"/>
      <c r="O429" s="131"/>
      <c r="P429" s="131"/>
      <c r="Q429" s="131"/>
      <c r="AB429" s="33"/>
    </row>
    <row r="430" spans="1:28" ht="15.75" customHeight="1" x14ac:dyDescent="0.35">
      <c r="A430" s="149"/>
      <c r="B430" s="33"/>
      <c r="C430" s="150"/>
      <c r="D430" s="150"/>
      <c r="E430" s="151"/>
      <c r="F430" s="131"/>
      <c r="G430" s="131"/>
      <c r="M430" s="131"/>
      <c r="N430" s="131"/>
      <c r="O430" s="131"/>
      <c r="P430" s="131"/>
      <c r="Q430" s="131"/>
      <c r="AB430" s="33"/>
    </row>
    <row r="431" spans="1:28" ht="15.75" customHeight="1" x14ac:dyDescent="0.35">
      <c r="A431" s="149"/>
      <c r="B431" s="33"/>
      <c r="C431" s="150"/>
      <c r="D431" s="150"/>
      <c r="E431" s="151"/>
      <c r="F431" s="131"/>
      <c r="G431" s="131"/>
      <c r="M431" s="131"/>
      <c r="N431" s="131"/>
      <c r="O431" s="131"/>
      <c r="P431" s="131"/>
      <c r="Q431" s="131"/>
      <c r="AB431" s="33"/>
    </row>
    <row r="432" spans="1:28" ht="15.75" customHeight="1" x14ac:dyDescent="0.35">
      <c r="A432" s="149"/>
      <c r="B432" s="33"/>
      <c r="C432" s="150"/>
      <c r="D432" s="150"/>
      <c r="E432" s="151"/>
      <c r="F432" s="131"/>
      <c r="G432" s="131"/>
      <c r="M432" s="131"/>
      <c r="N432" s="131"/>
      <c r="O432" s="131"/>
      <c r="P432" s="131"/>
      <c r="Q432" s="131"/>
      <c r="AB432" s="33"/>
    </row>
    <row r="433" spans="1:28" ht="15.75" customHeight="1" x14ac:dyDescent="0.35">
      <c r="A433" s="149"/>
      <c r="B433" s="33"/>
      <c r="C433" s="150"/>
      <c r="D433" s="150"/>
      <c r="E433" s="151"/>
      <c r="F433" s="131"/>
      <c r="G433" s="131"/>
      <c r="M433" s="131"/>
      <c r="N433" s="131"/>
      <c r="O433" s="131"/>
      <c r="P433" s="131"/>
      <c r="Q433" s="131"/>
      <c r="AB433" s="33"/>
    </row>
    <row r="434" spans="1:28" ht="15.75" customHeight="1" x14ac:dyDescent="0.35">
      <c r="A434" s="149"/>
      <c r="B434" s="33"/>
      <c r="C434" s="150"/>
      <c r="D434" s="150"/>
      <c r="E434" s="151"/>
      <c r="F434" s="131"/>
      <c r="G434" s="131"/>
      <c r="M434" s="131"/>
      <c r="N434" s="131"/>
      <c r="O434" s="131"/>
      <c r="P434" s="131"/>
      <c r="Q434" s="131"/>
      <c r="AB434" s="33"/>
    </row>
    <row r="435" spans="1:28" ht="15.75" customHeight="1" x14ac:dyDescent="0.35">
      <c r="A435" s="149"/>
      <c r="B435" s="33"/>
      <c r="C435" s="150"/>
      <c r="D435" s="150"/>
      <c r="E435" s="151"/>
      <c r="F435" s="131"/>
      <c r="G435" s="131"/>
      <c r="M435" s="131"/>
      <c r="N435" s="131"/>
      <c r="O435" s="131"/>
      <c r="P435" s="131"/>
      <c r="Q435" s="131"/>
      <c r="AB435" s="33"/>
    </row>
    <row r="436" spans="1:28" ht="15.75" customHeight="1" x14ac:dyDescent="0.35">
      <c r="A436" s="149"/>
      <c r="B436" s="33"/>
      <c r="C436" s="150"/>
      <c r="D436" s="150"/>
      <c r="E436" s="151"/>
      <c r="F436" s="131"/>
      <c r="G436" s="131"/>
      <c r="M436" s="131"/>
      <c r="N436" s="131"/>
      <c r="O436" s="131"/>
      <c r="P436" s="131"/>
      <c r="Q436" s="131"/>
      <c r="AB436" s="33"/>
    </row>
    <row r="437" spans="1:28" ht="15.75" customHeight="1" x14ac:dyDescent="0.35">
      <c r="A437" s="149"/>
      <c r="B437" s="33"/>
      <c r="C437" s="150"/>
      <c r="D437" s="150"/>
      <c r="E437" s="151"/>
      <c r="F437" s="131"/>
      <c r="G437" s="131"/>
      <c r="M437" s="131"/>
      <c r="N437" s="131"/>
      <c r="O437" s="131"/>
      <c r="P437" s="131"/>
      <c r="Q437" s="131"/>
      <c r="AB437" s="33"/>
    </row>
    <row r="438" spans="1:28" ht="15.75" customHeight="1" x14ac:dyDescent="0.35">
      <c r="A438" s="149"/>
      <c r="B438" s="33"/>
      <c r="C438" s="150"/>
      <c r="D438" s="150"/>
      <c r="E438" s="151"/>
      <c r="F438" s="131"/>
      <c r="G438" s="131"/>
      <c r="M438" s="131"/>
      <c r="N438" s="131"/>
      <c r="O438" s="131"/>
      <c r="P438" s="131"/>
      <c r="Q438" s="131"/>
      <c r="AB438" s="33"/>
    </row>
    <row r="439" spans="1:28" ht="15.75" customHeight="1" x14ac:dyDescent="0.35">
      <c r="A439" s="149"/>
      <c r="B439" s="33"/>
      <c r="C439" s="150"/>
      <c r="D439" s="150"/>
      <c r="E439" s="151"/>
      <c r="F439" s="131"/>
      <c r="G439" s="131"/>
      <c r="M439" s="131"/>
      <c r="N439" s="131"/>
      <c r="O439" s="131"/>
      <c r="P439" s="131"/>
      <c r="Q439" s="131"/>
      <c r="AB439" s="33"/>
    </row>
    <row r="440" spans="1:28" ht="15.75" customHeight="1" x14ac:dyDescent="0.35">
      <c r="A440" s="149"/>
      <c r="B440" s="33"/>
      <c r="C440" s="150"/>
      <c r="D440" s="150"/>
      <c r="E440" s="151"/>
      <c r="F440" s="131"/>
      <c r="G440" s="131"/>
      <c r="M440" s="131"/>
      <c r="N440" s="131"/>
      <c r="O440" s="131"/>
      <c r="P440" s="131"/>
      <c r="Q440" s="131"/>
      <c r="AB440" s="33"/>
    </row>
    <row r="441" spans="1:28" ht="15.75" customHeight="1" x14ac:dyDescent="0.35">
      <c r="A441" s="149"/>
      <c r="B441" s="33"/>
      <c r="C441" s="150"/>
      <c r="D441" s="150"/>
      <c r="E441" s="151"/>
      <c r="F441" s="131"/>
      <c r="G441" s="131"/>
      <c r="M441" s="131"/>
      <c r="N441" s="131"/>
      <c r="O441" s="131"/>
      <c r="P441" s="131"/>
      <c r="Q441" s="131"/>
      <c r="AB441" s="33"/>
    </row>
    <row r="442" spans="1:28" ht="15.75" customHeight="1" x14ac:dyDescent="0.35">
      <c r="A442" s="149"/>
      <c r="B442" s="33"/>
      <c r="C442" s="150"/>
      <c r="D442" s="150"/>
      <c r="E442" s="151"/>
      <c r="F442" s="131"/>
      <c r="G442" s="131"/>
      <c r="M442" s="131"/>
      <c r="N442" s="131"/>
      <c r="O442" s="131"/>
      <c r="P442" s="131"/>
      <c r="Q442" s="131"/>
      <c r="AB442" s="33"/>
    </row>
    <row r="443" spans="1:28" ht="15.75" customHeight="1" x14ac:dyDescent="0.35">
      <c r="A443" s="149"/>
      <c r="B443" s="33"/>
      <c r="C443" s="150"/>
      <c r="D443" s="150"/>
      <c r="E443" s="151"/>
      <c r="F443" s="131"/>
      <c r="G443" s="131"/>
      <c r="M443" s="131"/>
      <c r="N443" s="131"/>
      <c r="O443" s="131"/>
      <c r="P443" s="131"/>
      <c r="Q443" s="131"/>
      <c r="AB443" s="33"/>
    </row>
    <row r="444" spans="1:28" ht="15.75" customHeight="1" x14ac:dyDescent="0.35">
      <c r="A444" s="149"/>
      <c r="B444" s="33"/>
      <c r="C444" s="150"/>
      <c r="D444" s="150"/>
      <c r="E444" s="151"/>
      <c r="F444" s="131"/>
      <c r="G444" s="131"/>
      <c r="M444" s="131"/>
      <c r="N444" s="131"/>
      <c r="O444" s="131"/>
      <c r="P444" s="131"/>
      <c r="Q444" s="131"/>
      <c r="AB444" s="33"/>
    </row>
    <row r="445" spans="1:28" ht="15.75" customHeight="1" x14ac:dyDescent="0.35">
      <c r="A445" s="149"/>
      <c r="B445" s="33"/>
      <c r="C445" s="150"/>
      <c r="D445" s="150"/>
      <c r="E445" s="151"/>
      <c r="F445" s="131"/>
      <c r="G445" s="131"/>
      <c r="M445" s="131"/>
      <c r="N445" s="131"/>
      <c r="O445" s="131"/>
      <c r="P445" s="131"/>
      <c r="Q445" s="131"/>
      <c r="AB445" s="33"/>
    </row>
    <row r="446" spans="1:28" ht="15.75" customHeight="1" x14ac:dyDescent="0.35">
      <c r="A446" s="149"/>
      <c r="B446" s="33"/>
      <c r="C446" s="150"/>
      <c r="D446" s="150"/>
      <c r="E446" s="151"/>
      <c r="F446" s="131"/>
      <c r="G446" s="131"/>
      <c r="M446" s="131"/>
      <c r="N446" s="131"/>
      <c r="O446" s="131"/>
      <c r="P446" s="131"/>
      <c r="Q446" s="131"/>
      <c r="AB446" s="33"/>
    </row>
    <row r="447" spans="1:28" ht="15.75" customHeight="1" x14ac:dyDescent="0.35">
      <c r="A447" s="149"/>
      <c r="B447" s="33"/>
      <c r="C447" s="150"/>
      <c r="D447" s="150"/>
      <c r="E447" s="151"/>
      <c r="F447" s="131"/>
      <c r="G447" s="131"/>
      <c r="M447" s="131"/>
      <c r="N447" s="131"/>
      <c r="O447" s="131"/>
      <c r="P447" s="131"/>
      <c r="Q447" s="131"/>
      <c r="AB447" s="33"/>
    </row>
    <row r="448" spans="1:28" ht="15.75" customHeight="1" x14ac:dyDescent="0.35">
      <c r="A448" s="149"/>
      <c r="B448" s="33"/>
      <c r="C448" s="150"/>
      <c r="D448" s="150"/>
      <c r="E448" s="151"/>
      <c r="F448" s="131"/>
      <c r="G448" s="131"/>
      <c r="M448" s="131"/>
      <c r="N448" s="131"/>
      <c r="O448" s="131"/>
      <c r="P448" s="131"/>
      <c r="Q448" s="131"/>
      <c r="AB448" s="33"/>
    </row>
    <row r="449" spans="1:28" ht="15.75" customHeight="1" x14ac:dyDescent="0.35">
      <c r="A449" s="149"/>
      <c r="B449" s="33"/>
      <c r="C449" s="150"/>
      <c r="D449" s="150"/>
      <c r="E449" s="151"/>
      <c r="F449" s="131"/>
      <c r="G449" s="131"/>
      <c r="M449" s="131"/>
      <c r="N449" s="131"/>
      <c r="O449" s="131"/>
      <c r="P449" s="131"/>
      <c r="Q449" s="131"/>
      <c r="AB449" s="33"/>
    </row>
    <row r="450" spans="1:28" ht="15.75" customHeight="1" x14ac:dyDescent="0.35">
      <c r="A450" s="149"/>
      <c r="B450" s="33"/>
      <c r="C450" s="150"/>
      <c r="D450" s="150"/>
      <c r="E450" s="151"/>
      <c r="F450" s="131"/>
      <c r="G450" s="131"/>
      <c r="M450" s="131"/>
      <c r="N450" s="131"/>
      <c r="O450" s="131"/>
      <c r="P450" s="131"/>
      <c r="Q450" s="131"/>
      <c r="AB450" s="33"/>
    </row>
    <row r="451" spans="1:28" ht="15.75" customHeight="1" x14ac:dyDescent="0.35">
      <c r="A451" s="149"/>
      <c r="B451" s="33"/>
      <c r="C451" s="150"/>
      <c r="D451" s="150"/>
      <c r="E451" s="151"/>
      <c r="F451" s="131"/>
      <c r="G451" s="131"/>
      <c r="M451" s="131"/>
      <c r="N451" s="131"/>
      <c r="O451" s="131"/>
      <c r="P451" s="131"/>
      <c r="Q451" s="131"/>
      <c r="AB451" s="33"/>
    </row>
    <row r="452" spans="1:28" ht="15.75" customHeight="1" x14ac:dyDescent="0.35">
      <c r="A452" s="149"/>
      <c r="B452" s="33"/>
      <c r="C452" s="150"/>
      <c r="D452" s="150"/>
      <c r="E452" s="151"/>
      <c r="F452" s="131"/>
      <c r="G452" s="131"/>
      <c r="M452" s="131"/>
      <c r="N452" s="131"/>
      <c r="O452" s="131"/>
      <c r="P452" s="131"/>
      <c r="Q452" s="131"/>
      <c r="AB452" s="33"/>
    </row>
    <row r="453" spans="1:28" ht="15.75" customHeight="1" x14ac:dyDescent="0.35">
      <c r="A453" s="149"/>
      <c r="B453" s="33"/>
      <c r="C453" s="150"/>
      <c r="D453" s="150"/>
      <c r="E453" s="151"/>
      <c r="F453" s="131"/>
      <c r="G453" s="131"/>
      <c r="M453" s="131"/>
      <c r="N453" s="131"/>
      <c r="O453" s="131"/>
      <c r="P453" s="131"/>
      <c r="Q453" s="131"/>
      <c r="AB453" s="33"/>
    </row>
    <row r="454" spans="1:28" ht="15.75" customHeight="1" x14ac:dyDescent="0.35">
      <c r="A454" s="149"/>
      <c r="B454" s="33"/>
      <c r="C454" s="150"/>
      <c r="D454" s="150"/>
      <c r="E454" s="151"/>
      <c r="F454" s="131"/>
      <c r="G454" s="131"/>
      <c r="M454" s="131"/>
      <c r="N454" s="131"/>
      <c r="O454" s="131"/>
      <c r="P454" s="131"/>
      <c r="Q454" s="131"/>
      <c r="AB454" s="33"/>
    </row>
    <row r="455" spans="1:28" ht="15.75" customHeight="1" x14ac:dyDescent="0.35">
      <c r="A455" s="149"/>
      <c r="B455" s="33"/>
      <c r="C455" s="150"/>
      <c r="D455" s="150"/>
      <c r="E455" s="151"/>
      <c r="F455" s="131"/>
      <c r="G455" s="131"/>
      <c r="M455" s="131"/>
      <c r="N455" s="131"/>
      <c r="O455" s="131"/>
      <c r="P455" s="131"/>
      <c r="Q455" s="131"/>
      <c r="AB455" s="33"/>
    </row>
    <row r="456" spans="1:28" ht="15.75" customHeight="1" x14ac:dyDescent="0.35">
      <c r="A456" s="149"/>
      <c r="B456" s="33"/>
      <c r="C456" s="150"/>
      <c r="D456" s="150"/>
      <c r="E456" s="151"/>
      <c r="F456" s="131"/>
      <c r="G456" s="131"/>
      <c r="M456" s="131"/>
      <c r="N456" s="131"/>
      <c r="O456" s="131"/>
      <c r="P456" s="131"/>
      <c r="Q456" s="131"/>
      <c r="AB456" s="33"/>
    </row>
    <row r="457" spans="1:28" ht="15.75" customHeight="1" x14ac:dyDescent="0.35">
      <c r="A457" s="149"/>
      <c r="B457" s="33"/>
      <c r="C457" s="150"/>
      <c r="D457" s="150"/>
      <c r="E457" s="151"/>
      <c r="F457" s="131"/>
      <c r="G457" s="131"/>
      <c r="M457" s="131"/>
      <c r="N457" s="131"/>
      <c r="O457" s="131"/>
      <c r="P457" s="131"/>
      <c r="Q457" s="131"/>
      <c r="AB457" s="33"/>
    </row>
    <row r="458" spans="1:28" ht="15.75" customHeight="1" x14ac:dyDescent="0.35">
      <c r="A458" s="149"/>
      <c r="B458" s="33"/>
      <c r="C458" s="150"/>
      <c r="D458" s="150"/>
      <c r="E458" s="151"/>
      <c r="F458" s="131"/>
      <c r="G458" s="131"/>
      <c r="M458" s="131"/>
      <c r="N458" s="131"/>
      <c r="O458" s="131"/>
      <c r="P458" s="131"/>
      <c r="Q458" s="131"/>
      <c r="AB458" s="33"/>
    </row>
    <row r="459" spans="1:28" ht="15.75" customHeight="1" x14ac:dyDescent="0.35">
      <c r="A459" s="149"/>
      <c r="B459" s="33"/>
      <c r="C459" s="150"/>
      <c r="D459" s="150"/>
      <c r="E459" s="151"/>
      <c r="F459" s="131"/>
      <c r="G459" s="131"/>
      <c r="M459" s="131"/>
      <c r="N459" s="131"/>
      <c r="O459" s="131"/>
      <c r="P459" s="131"/>
      <c r="Q459" s="131"/>
      <c r="AB459" s="33"/>
    </row>
    <row r="460" spans="1:28" ht="15.75" customHeight="1" x14ac:dyDescent="0.35">
      <c r="A460" s="149"/>
      <c r="B460" s="33"/>
      <c r="C460" s="150"/>
      <c r="D460" s="150"/>
      <c r="E460" s="151"/>
      <c r="F460" s="131"/>
      <c r="G460" s="131"/>
      <c r="M460" s="131"/>
      <c r="N460" s="131"/>
      <c r="O460" s="131"/>
      <c r="P460" s="131"/>
      <c r="Q460" s="131"/>
      <c r="AB460" s="33"/>
    </row>
    <row r="461" spans="1:28" ht="15.75" customHeight="1" x14ac:dyDescent="0.35">
      <c r="A461" s="149"/>
      <c r="B461" s="33"/>
      <c r="C461" s="150"/>
      <c r="D461" s="150"/>
      <c r="E461" s="151"/>
      <c r="F461" s="131"/>
      <c r="G461" s="131"/>
      <c r="M461" s="131"/>
      <c r="N461" s="131"/>
      <c r="O461" s="131"/>
      <c r="P461" s="131"/>
      <c r="Q461" s="131"/>
      <c r="AB461" s="33"/>
    </row>
    <row r="462" spans="1:28" ht="15.75" customHeight="1" x14ac:dyDescent="0.35">
      <c r="A462" s="149"/>
      <c r="B462" s="33"/>
      <c r="C462" s="150"/>
      <c r="D462" s="150"/>
      <c r="E462" s="151"/>
      <c r="F462" s="131"/>
      <c r="G462" s="131"/>
      <c r="M462" s="131"/>
      <c r="N462" s="131"/>
      <c r="O462" s="131"/>
      <c r="P462" s="131"/>
      <c r="Q462" s="131"/>
      <c r="AB462" s="33"/>
    </row>
    <row r="463" spans="1:28" ht="15.75" customHeight="1" x14ac:dyDescent="0.35">
      <c r="A463" s="149"/>
      <c r="B463" s="33"/>
      <c r="C463" s="150"/>
      <c r="D463" s="150"/>
      <c r="E463" s="151"/>
      <c r="F463" s="131"/>
      <c r="G463" s="131"/>
      <c r="M463" s="131"/>
      <c r="N463" s="131"/>
      <c r="O463" s="131"/>
      <c r="P463" s="131"/>
      <c r="Q463" s="131"/>
      <c r="AB463" s="33"/>
    </row>
    <row r="464" spans="1:28" ht="15.75" customHeight="1" x14ac:dyDescent="0.35">
      <c r="A464" s="149"/>
      <c r="B464" s="33"/>
      <c r="C464" s="150"/>
      <c r="D464" s="150"/>
      <c r="E464" s="151"/>
      <c r="F464" s="131"/>
      <c r="G464" s="131"/>
      <c r="M464" s="131"/>
      <c r="N464" s="131"/>
      <c r="O464" s="131"/>
      <c r="P464" s="131"/>
      <c r="Q464" s="131"/>
      <c r="AB464" s="33"/>
    </row>
    <row r="465" spans="1:28" ht="15.75" customHeight="1" x14ac:dyDescent="0.35">
      <c r="A465" s="149"/>
      <c r="B465" s="33"/>
      <c r="C465" s="150"/>
      <c r="D465" s="150"/>
      <c r="E465" s="151"/>
      <c r="F465" s="131"/>
      <c r="G465" s="131"/>
      <c r="M465" s="131"/>
      <c r="N465" s="131"/>
      <c r="O465" s="131"/>
      <c r="P465" s="131"/>
      <c r="Q465" s="131"/>
      <c r="AB465" s="33"/>
    </row>
    <row r="466" spans="1:28" ht="15.75" customHeight="1" x14ac:dyDescent="0.35">
      <c r="A466" s="149"/>
      <c r="B466" s="33"/>
      <c r="C466" s="150"/>
      <c r="D466" s="150"/>
      <c r="E466" s="151"/>
      <c r="F466" s="131"/>
      <c r="G466" s="131"/>
      <c r="M466" s="131"/>
      <c r="N466" s="131"/>
      <c r="O466" s="131"/>
      <c r="P466" s="131"/>
      <c r="Q466" s="131"/>
      <c r="AB466" s="33"/>
    </row>
    <row r="467" spans="1:28" ht="15.75" customHeight="1" x14ac:dyDescent="0.35">
      <c r="A467" s="149"/>
      <c r="B467" s="33"/>
      <c r="C467" s="150"/>
      <c r="D467" s="150"/>
      <c r="E467" s="151"/>
      <c r="F467" s="131"/>
      <c r="G467" s="131"/>
      <c r="M467" s="131"/>
      <c r="N467" s="131"/>
      <c r="O467" s="131"/>
      <c r="P467" s="131"/>
      <c r="Q467" s="131"/>
      <c r="AB467" s="33"/>
    </row>
    <row r="468" spans="1:28" ht="15.75" customHeight="1" x14ac:dyDescent="0.35">
      <c r="A468" s="149"/>
      <c r="B468" s="33"/>
      <c r="C468" s="150"/>
      <c r="D468" s="150"/>
      <c r="E468" s="151"/>
      <c r="F468" s="131"/>
      <c r="G468" s="131"/>
      <c r="M468" s="131"/>
      <c r="N468" s="131"/>
      <c r="O468" s="131"/>
      <c r="P468" s="131"/>
      <c r="Q468" s="131"/>
      <c r="AB468" s="33"/>
    </row>
    <row r="469" spans="1:28" ht="15.75" customHeight="1" x14ac:dyDescent="0.35">
      <c r="A469" s="149"/>
      <c r="B469" s="33"/>
      <c r="C469" s="150"/>
      <c r="D469" s="150"/>
      <c r="E469" s="151"/>
      <c r="F469" s="131"/>
      <c r="G469" s="131"/>
      <c r="M469" s="131"/>
      <c r="N469" s="131"/>
      <c r="O469" s="131"/>
      <c r="P469" s="131"/>
      <c r="Q469" s="131"/>
      <c r="AB469" s="33"/>
    </row>
    <row r="470" spans="1:28" ht="15.75" customHeight="1" x14ac:dyDescent="0.35">
      <c r="A470" s="149"/>
      <c r="B470" s="33"/>
      <c r="C470" s="150"/>
      <c r="D470" s="150"/>
      <c r="E470" s="151"/>
      <c r="F470" s="131"/>
      <c r="G470" s="131"/>
      <c r="M470" s="131"/>
      <c r="N470" s="131"/>
      <c r="O470" s="131"/>
      <c r="P470" s="131"/>
      <c r="Q470" s="131"/>
      <c r="AB470" s="33"/>
    </row>
    <row r="471" spans="1:28" ht="15.75" customHeight="1" x14ac:dyDescent="0.35">
      <c r="A471" s="149"/>
      <c r="B471" s="33"/>
      <c r="C471" s="150"/>
      <c r="D471" s="150"/>
      <c r="E471" s="151"/>
      <c r="F471" s="131"/>
      <c r="G471" s="131"/>
      <c r="M471" s="131"/>
      <c r="N471" s="131"/>
      <c r="O471" s="131"/>
      <c r="P471" s="131"/>
      <c r="Q471" s="131"/>
      <c r="AB471" s="33"/>
    </row>
    <row r="472" spans="1:28" ht="15.75" customHeight="1" x14ac:dyDescent="0.35">
      <c r="A472" s="149"/>
      <c r="B472" s="33"/>
      <c r="C472" s="150"/>
      <c r="D472" s="150"/>
      <c r="E472" s="151"/>
      <c r="F472" s="131"/>
      <c r="G472" s="131"/>
      <c r="M472" s="131"/>
      <c r="N472" s="131"/>
      <c r="O472" s="131"/>
      <c r="P472" s="131"/>
      <c r="Q472" s="131"/>
      <c r="AB472" s="33"/>
    </row>
    <row r="473" spans="1:28" ht="15.75" customHeight="1" x14ac:dyDescent="0.35">
      <c r="A473" s="149"/>
      <c r="B473" s="33"/>
      <c r="C473" s="150"/>
      <c r="D473" s="150"/>
      <c r="E473" s="151"/>
      <c r="F473" s="131"/>
      <c r="G473" s="131"/>
      <c r="M473" s="131"/>
      <c r="N473" s="131"/>
      <c r="O473" s="131"/>
      <c r="P473" s="131"/>
      <c r="Q473" s="131"/>
      <c r="AB473" s="33"/>
    </row>
    <row r="474" spans="1:28" ht="15.75" customHeight="1" x14ac:dyDescent="0.35">
      <c r="A474" s="149"/>
      <c r="B474" s="33"/>
      <c r="C474" s="150"/>
      <c r="D474" s="150"/>
      <c r="E474" s="151"/>
      <c r="F474" s="131"/>
      <c r="G474" s="131"/>
      <c r="M474" s="131"/>
      <c r="N474" s="131"/>
      <c r="O474" s="131"/>
      <c r="P474" s="131"/>
      <c r="Q474" s="131"/>
      <c r="AB474" s="33"/>
    </row>
    <row r="475" spans="1:28" ht="15.75" customHeight="1" x14ac:dyDescent="0.35">
      <c r="A475" s="149"/>
      <c r="B475" s="33"/>
      <c r="C475" s="150"/>
      <c r="D475" s="150"/>
      <c r="E475" s="151"/>
      <c r="F475" s="131"/>
      <c r="G475" s="131"/>
      <c r="M475" s="131"/>
      <c r="N475" s="131"/>
      <c r="O475" s="131"/>
      <c r="P475" s="131"/>
      <c r="Q475" s="131"/>
      <c r="AB475" s="33"/>
    </row>
    <row r="476" spans="1:28" ht="15.75" customHeight="1" x14ac:dyDescent="0.35">
      <c r="A476" s="149"/>
      <c r="B476" s="33"/>
      <c r="C476" s="150"/>
      <c r="D476" s="150"/>
      <c r="E476" s="151"/>
      <c r="F476" s="131"/>
      <c r="G476" s="131"/>
      <c r="M476" s="131"/>
      <c r="N476" s="131"/>
      <c r="O476" s="131"/>
      <c r="P476" s="131"/>
      <c r="Q476" s="131"/>
      <c r="AB476" s="33"/>
    </row>
    <row r="477" spans="1:28" ht="15.75" customHeight="1" x14ac:dyDescent="0.35">
      <c r="A477" s="149"/>
      <c r="B477" s="33"/>
      <c r="C477" s="150"/>
      <c r="D477" s="150"/>
      <c r="E477" s="151"/>
      <c r="F477" s="131"/>
      <c r="G477" s="131"/>
      <c r="M477" s="131"/>
      <c r="N477" s="131"/>
      <c r="O477" s="131"/>
      <c r="P477" s="131"/>
      <c r="Q477" s="131"/>
      <c r="AB477" s="33"/>
    </row>
    <row r="478" spans="1:28" ht="15.75" customHeight="1" x14ac:dyDescent="0.35">
      <c r="A478" s="149"/>
      <c r="B478" s="33"/>
      <c r="C478" s="150"/>
      <c r="D478" s="150"/>
      <c r="E478" s="151"/>
      <c r="F478" s="131"/>
      <c r="G478" s="131"/>
      <c r="M478" s="131"/>
      <c r="N478" s="131"/>
      <c r="O478" s="131"/>
      <c r="P478" s="131"/>
      <c r="Q478" s="131"/>
      <c r="AB478" s="33"/>
    </row>
    <row r="479" spans="1:28" ht="15.75" customHeight="1" x14ac:dyDescent="0.35">
      <c r="A479" s="149"/>
      <c r="B479" s="33"/>
      <c r="C479" s="150"/>
      <c r="D479" s="150"/>
      <c r="E479" s="151"/>
      <c r="F479" s="131"/>
      <c r="G479" s="131"/>
      <c r="M479" s="131"/>
      <c r="N479" s="131"/>
      <c r="O479" s="131"/>
      <c r="P479" s="131"/>
      <c r="Q479" s="131"/>
      <c r="AB479" s="33"/>
    </row>
    <row r="480" spans="1:28" ht="15.75" customHeight="1" x14ac:dyDescent="0.35">
      <c r="A480" s="149"/>
      <c r="B480" s="33"/>
      <c r="C480" s="150"/>
      <c r="D480" s="150"/>
      <c r="E480" s="151"/>
      <c r="F480" s="131"/>
      <c r="G480" s="131"/>
      <c r="M480" s="131"/>
      <c r="N480" s="131"/>
      <c r="O480" s="131"/>
      <c r="P480" s="131"/>
      <c r="Q480" s="131"/>
      <c r="AB480" s="33"/>
    </row>
    <row r="481" spans="1:28" ht="15.75" customHeight="1" x14ac:dyDescent="0.35">
      <c r="A481" s="149"/>
      <c r="B481" s="33"/>
      <c r="C481" s="150"/>
      <c r="D481" s="150"/>
      <c r="E481" s="151"/>
      <c r="F481" s="131"/>
      <c r="G481" s="131"/>
      <c r="M481" s="131"/>
      <c r="N481" s="131"/>
      <c r="O481" s="131"/>
      <c r="P481" s="131"/>
      <c r="Q481" s="131"/>
      <c r="AB481" s="33"/>
    </row>
    <row r="482" spans="1:28" ht="15.75" customHeight="1" x14ac:dyDescent="0.35">
      <c r="A482" s="149"/>
      <c r="B482" s="33"/>
      <c r="C482" s="150"/>
      <c r="D482" s="150"/>
      <c r="E482" s="151"/>
      <c r="F482" s="131"/>
      <c r="G482" s="131"/>
      <c r="M482" s="131"/>
      <c r="N482" s="131"/>
      <c r="O482" s="131"/>
      <c r="P482" s="131"/>
      <c r="Q482" s="131"/>
      <c r="AB482" s="33"/>
    </row>
    <row r="483" spans="1:28" ht="15.75" customHeight="1" x14ac:dyDescent="0.35">
      <c r="A483" s="149"/>
      <c r="B483" s="33"/>
      <c r="C483" s="150"/>
      <c r="D483" s="150"/>
      <c r="E483" s="151"/>
      <c r="F483" s="131"/>
      <c r="G483" s="131"/>
      <c r="M483" s="131"/>
      <c r="N483" s="131"/>
      <c r="O483" s="131"/>
      <c r="P483" s="131"/>
      <c r="Q483" s="131"/>
      <c r="AB483" s="33"/>
    </row>
    <row r="484" spans="1:28" ht="15.75" customHeight="1" x14ac:dyDescent="0.35">
      <c r="A484" s="149"/>
      <c r="B484" s="33"/>
      <c r="C484" s="150"/>
      <c r="D484" s="150"/>
      <c r="E484" s="151"/>
      <c r="F484" s="131"/>
      <c r="G484" s="131"/>
      <c r="M484" s="131"/>
      <c r="N484" s="131"/>
      <c r="O484" s="131"/>
      <c r="P484" s="131"/>
      <c r="Q484" s="131"/>
      <c r="AB484" s="33"/>
    </row>
    <row r="485" spans="1:28" ht="15.75" customHeight="1" x14ac:dyDescent="0.35">
      <c r="A485" s="149"/>
      <c r="B485" s="33"/>
      <c r="C485" s="150"/>
      <c r="D485" s="150"/>
      <c r="E485" s="151"/>
      <c r="F485" s="131"/>
      <c r="G485" s="131"/>
      <c r="M485" s="131"/>
      <c r="N485" s="131"/>
      <c r="O485" s="131"/>
      <c r="P485" s="131"/>
      <c r="Q485" s="131"/>
      <c r="AB485" s="33"/>
    </row>
    <row r="486" spans="1:28" ht="15.75" customHeight="1" x14ac:dyDescent="0.35">
      <c r="A486" s="149"/>
      <c r="B486" s="33"/>
      <c r="C486" s="150"/>
      <c r="D486" s="150"/>
      <c r="E486" s="151"/>
      <c r="F486" s="131"/>
      <c r="G486" s="131"/>
      <c r="M486" s="131"/>
      <c r="N486" s="131"/>
      <c r="O486" s="131"/>
      <c r="P486" s="131"/>
      <c r="Q486" s="131"/>
      <c r="AB486" s="33"/>
    </row>
    <row r="487" spans="1:28" ht="15.75" customHeight="1" x14ac:dyDescent="0.35">
      <c r="A487" s="149"/>
      <c r="B487" s="33"/>
      <c r="C487" s="150"/>
      <c r="D487" s="150"/>
      <c r="E487" s="151"/>
      <c r="F487" s="131"/>
      <c r="G487" s="131"/>
      <c r="M487" s="131"/>
      <c r="N487" s="131"/>
      <c r="O487" s="131"/>
      <c r="P487" s="131"/>
      <c r="Q487" s="131"/>
      <c r="AB487" s="33"/>
    </row>
    <row r="488" spans="1:28" ht="15.75" customHeight="1" x14ac:dyDescent="0.35">
      <c r="A488" s="149"/>
      <c r="B488" s="33"/>
      <c r="C488" s="150"/>
      <c r="D488" s="150"/>
      <c r="E488" s="151"/>
      <c r="F488" s="131"/>
      <c r="G488" s="131"/>
      <c r="M488" s="131"/>
      <c r="N488" s="131"/>
      <c r="O488" s="131"/>
      <c r="P488" s="131"/>
      <c r="Q488" s="131"/>
      <c r="AB488" s="33"/>
    </row>
    <row r="489" spans="1:28" ht="15.75" customHeight="1" x14ac:dyDescent="0.35">
      <c r="A489" s="149"/>
      <c r="B489" s="33"/>
      <c r="C489" s="150"/>
      <c r="D489" s="150"/>
      <c r="E489" s="151"/>
      <c r="F489" s="131"/>
      <c r="G489" s="131"/>
      <c r="M489" s="131"/>
      <c r="N489" s="131"/>
      <c r="O489" s="131"/>
      <c r="P489" s="131"/>
      <c r="Q489" s="131"/>
      <c r="AB489" s="33"/>
    </row>
    <row r="490" spans="1:28" ht="15.75" customHeight="1" x14ac:dyDescent="0.35">
      <c r="A490" s="149"/>
      <c r="B490" s="33"/>
      <c r="C490" s="150"/>
      <c r="D490" s="150"/>
      <c r="E490" s="151"/>
      <c r="F490" s="131"/>
      <c r="G490" s="131"/>
      <c r="M490" s="131"/>
      <c r="N490" s="131"/>
      <c r="O490" s="131"/>
      <c r="P490" s="131"/>
      <c r="Q490" s="131"/>
      <c r="AB490" s="33"/>
    </row>
    <row r="491" spans="1:28" ht="15.75" customHeight="1" x14ac:dyDescent="0.35">
      <c r="A491" s="149"/>
      <c r="B491" s="33"/>
      <c r="C491" s="150"/>
      <c r="D491" s="150"/>
      <c r="E491" s="151"/>
      <c r="F491" s="131"/>
      <c r="G491" s="131"/>
      <c r="M491" s="131"/>
      <c r="N491" s="131"/>
      <c r="O491" s="131"/>
      <c r="P491" s="131"/>
      <c r="Q491" s="131"/>
      <c r="AB491" s="33"/>
    </row>
    <row r="492" spans="1:28" ht="15.75" customHeight="1" x14ac:dyDescent="0.35">
      <c r="A492" s="149"/>
      <c r="B492" s="33"/>
      <c r="C492" s="150"/>
      <c r="D492" s="150"/>
      <c r="E492" s="151"/>
      <c r="F492" s="131"/>
      <c r="G492" s="131"/>
      <c r="M492" s="131"/>
      <c r="N492" s="131"/>
      <c r="O492" s="131"/>
      <c r="P492" s="131"/>
      <c r="Q492" s="131"/>
      <c r="AB492" s="33"/>
    </row>
    <row r="493" spans="1:28" ht="15.75" customHeight="1" x14ac:dyDescent="0.35">
      <c r="A493" s="149"/>
      <c r="B493" s="33"/>
      <c r="C493" s="150"/>
      <c r="D493" s="150"/>
      <c r="E493" s="151"/>
      <c r="F493" s="131"/>
      <c r="G493" s="131"/>
      <c r="M493" s="131"/>
      <c r="N493" s="131"/>
      <c r="O493" s="131"/>
      <c r="P493" s="131"/>
      <c r="Q493" s="131"/>
      <c r="AB493" s="33"/>
    </row>
    <row r="494" spans="1:28" ht="15.75" customHeight="1" x14ac:dyDescent="0.35">
      <c r="A494" s="149"/>
      <c r="B494" s="33"/>
      <c r="C494" s="150"/>
      <c r="D494" s="150"/>
      <c r="E494" s="151"/>
      <c r="F494" s="131"/>
      <c r="G494" s="131"/>
      <c r="M494" s="131"/>
      <c r="N494" s="131"/>
      <c r="O494" s="131"/>
      <c r="P494" s="131"/>
      <c r="Q494" s="131"/>
      <c r="AB494" s="33"/>
    </row>
    <row r="495" spans="1:28" ht="15.75" customHeight="1" x14ac:dyDescent="0.35">
      <c r="A495" s="149"/>
      <c r="B495" s="33"/>
      <c r="C495" s="150"/>
      <c r="D495" s="150"/>
      <c r="E495" s="151"/>
      <c r="F495" s="131"/>
      <c r="G495" s="131"/>
      <c r="M495" s="131"/>
      <c r="N495" s="131"/>
      <c r="O495" s="131"/>
      <c r="P495" s="131"/>
      <c r="Q495" s="131"/>
      <c r="AB495" s="33"/>
    </row>
    <row r="496" spans="1:28" ht="15.75" customHeight="1" x14ac:dyDescent="0.35">
      <c r="A496" s="149"/>
      <c r="B496" s="33"/>
      <c r="C496" s="150"/>
      <c r="D496" s="150"/>
      <c r="E496" s="151"/>
      <c r="F496" s="131"/>
      <c r="G496" s="131"/>
      <c r="M496" s="131"/>
      <c r="N496" s="131"/>
      <c r="O496" s="131"/>
      <c r="P496" s="131"/>
      <c r="Q496" s="131"/>
      <c r="AB496" s="33"/>
    </row>
    <row r="497" spans="1:28" ht="15.75" customHeight="1" x14ac:dyDescent="0.35">
      <c r="A497" s="149"/>
      <c r="B497" s="33"/>
      <c r="C497" s="150"/>
      <c r="D497" s="150"/>
      <c r="E497" s="151"/>
      <c r="F497" s="131"/>
      <c r="G497" s="131"/>
      <c r="M497" s="131"/>
      <c r="N497" s="131"/>
      <c r="O497" s="131"/>
      <c r="P497" s="131"/>
      <c r="Q497" s="131"/>
      <c r="AB497" s="33"/>
    </row>
    <row r="498" spans="1:28" ht="15.75" customHeight="1" x14ac:dyDescent="0.35">
      <c r="A498" s="149"/>
      <c r="B498" s="33"/>
      <c r="C498" s="150"/>
      <c r="D498" s="150"/>
      <c r="E498" s="151"/>
      <c r="F498" s="131"/>
      <c r="G498" s="131"/>
      <c r="M498" s="131"/>
      <c r="N498" s="131"/>
      <c r="O498" s="131"/>
      <c r="P498" s="131"/>
      <c r="Q498" s="131"/>
      <c r="AB498" s="33"/>
    </row>
    <row r="499" spans="1:28" ht="15.75" customHeight="1" x14ac:dyDescent="0.35">
      <c r="A499" s="149"/>
      <c r="B499" s="33"/>
      <c r="C499" s="150"/>
      <c r="D499" s="150"/>
      <c r="E499" s="151"/>
      <c r="F499" s="131"/>
      <c r="G499" s="131"/>
      <c r="M499" s="131"/>
      <c r="N499" s="131"/>
      <c r="O499" s="131"/>
      <c r="P499" s="131"/>
      <c r="Q499" s="131"/>
      <c r="AB499" s="33"/>
    </row>
    <row r="500" spans="1:28" ht="15.75" customHeight="1" x14ac:dyDescent="0.35">
      <c r="A500" s="149"/>
      <c r="B500" s="33"/>
      <c r="C500" s="150"/>
      <c r="D500" s="150"/>
      <c r="E500" s="151"/>
      <c r="F500" s="131"/>
      <c r="G500" s="131"/>
      <c r="M500" s="131"/>
      <c r="N500" s="131"/>
      <c r="O500" s="131"/>
      <c r="P500" s="131"/>
      <c r="Q500" s="131"/>
      <c r="AB500" s="33"/>
    </row>
    <row r="501" spans="1:28" ht="15.75" customHeight="1" x14ac:dyDescent="0.35">
      <c r="A501" s="149"/>
      <c r="B501" s="33"/>
      <c r="C501" s="150"/>
      <c r="D501" s="150"/>
      <c r="E501" s="151"/>
      <c r="F501" s="131"/>
      <c r="G501" s="131"/>
      <c r="M501" s="131"/>
      <c r="N501" s="131"/>
      <c r="O501" s="131"/>
      <c r="P501" s="131"/>
      <c r="Q501" s="131"/>
      <c r="AB501" s="33"/>
    </row>
    <row r="502" spans="1:28" ht="15.75" customHeight="1" x14ac:dyDescent="0.35">
      <c r="A502" s="149"/>
      <c r="B502" s="33"/>
      <c r="C502" s="150"/>
      <c r="D502" s="150"/>
      <c r="E502" s="151"/>
      <c r="F502" s="131"/>
      <c r="G502" s="131"/>
      <c r="M502" s="131"/>
      <c r="N502" s="131"/>
      <c r="O502" s="131"/>
      <c r="P502" s="131"/>
      <c r="Q502" s="131"/>
      <c r="AB502" s="33"/>
    </row>
    <row r="503" spans="1:28" ht="15.75" customHeight="1" x14ac:dyDescent="0.35">
      <c r="A503" s="149"/>
      <c r="B503" s="33"/>
      <c r="C503" s="150"/>
      <c r="D503" s="150"/>
      <c r="E503" s="151"/>
      <c r="F503" s="131"/>
      <c r="G503" s="131"/>
      <c r="M503" s="131"/>
      <c r="N503" s="131"/>
      <c r="O503" s="131"/>
      <c r="P503" s="131"/>
      <c r="Q503" s="131"/>
      <c r="AB503" s="33"/>
    </row>
    <row r="504" spans="1:28" ht="15.75" customHeight="1" x14ac:dyDescent="0.35">
      <c r="A504" s="149"/>
      <c r="B504" s="33"/>
      <c r="C504" s="150"/>
      <c r="D504" s="150"/>
      <c r="E504" s="151"/>
      <c r="F504" s="131"/>
      <c r="G504" s="131"/>
      <c r="M504" s="131"/>
      <c r="N504" s="131"/>
      <c r="O504" s="131"/>
      <c r="P504" s="131"/>
      <c r="Q504" s="131"/>
      <c r="AB504" s="33"/>
    </row>
    <row r="505" spans="1:28" ht="15.75" customHeight="1" x14ac:dyDescent="0.35">
      <c r="A505" s="149"/>
      <c r="B505" s="33"/>
      <c r="C505" s="150"/>
      <c r="D505" s="150"/>
      <c r="E505" s="151"/>
      <c r="F505" s="131"/>
      <c r="G505" s="131"/>
      <c r="M505" s="131"/>
      <c r="N505" s="131"/>
      <c r="O505" s="131"/>
      <c r="P505" s="131"/>
      <c r="Q505" s="131"/>
      <c r="AB505" s="33"/>
    </row>
    <row r="506" spans="1:28" ht="15.75" customHeight="1" x14ac:dyDescent="0.35">
      <c r="A506" s="149"/>
      <c r="B506" s="33"/>
      <c r="C506" s="150"/>
      <c r="D506" s="150"/>
      <c r="E506" s="151"/>
      <c r="F506" s="131"/>
      <c r="G506" s="131"/>
      <c r="M506" s="131"/>
      <c r="N506" s="131"/>
      <c r="O506" s="131"/>
      <c r="P506" s="131"/>
      <c r="Q506" s="131"/>
      <c r="AB506" s="33"/>
    </row>
    <row r="507" spans="1:28" ht="15.75" customHeight="1" x14ac:dyDescent="0.35">
      <c r="A507" s="149"/>
      <c r="B507" s="33"/>
      <c r="C507" s="150"/>
      <c r="D507" s="150"/>
      <c r="E507" s="151"/>
      <c r="F507" s="131"/>
      <c r="G507" s="131"/>
      <c r="M507" s="131"/>
      <c r="N507" s="131"/>
      <c r="O507" s="131"/>
      <c r="P507" s="131"/>
      <c r="Q507" s="131"/>
      <c r="AB507" s="33"/>
    </row>
    <row r="508" spans="1:28" ht="15.75" customHeight="1" x14ac:dyDescent="0.35">
      <c r="A508" s="149"/>
      <c r="B508" s="33"/>
      <c r="C508" s="150"/>
      <c r="D508" s="150"/>
      <c r="E508" s="151"/>
      <c r="F508" s="131"/>
      <c r="G508" s="131"/>
      <c r="M508" s="131"/>
      <c r="N508" s="131"/>
      <c r="O508" s="131"/>
      <c r="P508" s="131"/>
      <c r="Q508" s="131"/>
      <c r="AB508" s="33"/>
    </row>
    <row r="509" spans="1:28" ht="15.75" customHeight="1" x14ac:dyDescent="0.35">
      <c r="A509" s="149"/>
      <c r="B509" s="33"/>
      <c r="C509" s="150"/>
      <c r="D509" s="150"/>
      <c r="E509" s="151"/>
      <c r="F509" s="131"/>
      <c r="G509" s="131"/>
      <c r="M509" s="131"/>
      <c r="N509" s="131"/>
      <c r="O509" s="131"/>
      <c r="P509" s="131"/>
      <c r="Q509" s="131"/>
      <c r="AB509" s="33"/>
    </row>
    <row r="510" spans="1:28" ht="15.75" customHeight="1" x14ac:dyDescent="0.35">
      <c r="A510" s="149"/>
      <c r="B510" s="33"/>
      <c r="C510" s="150"/>
      <c r="D510" s="150"/>
      <c r="E510" s="151"/>
      <c r="F510" s="131"/>
      <c r="G510" s="131"/>
      <c r="M510" s="131"/>
      <c r="N510" s="131"/>
      <c r="O510" s="131"/>
      <c r="P510" s="131"/>
      <c r="Q510" s="131"/>
      <c r="AB510" s="33"/>
    </row>
    <row r="511" spans="1:28" ht="15.75" customHeight="1" x14ac:dyDescent="0.35">
      <c r="A511" s="149"/>
      <c r="B511" s="33"/>
      <c r="C511" s="150"/>
      <c r="D511" s="150"/>
      <c r="E511" s="151"/>
      <c r="F511" s="131"/>
      <c r="G511" s="131"/>
      <c r="M511" s="131"/>
      <c r="N511" s="131"/>
      <c r="O511" s="131"/>
      <c r="P511" s="131"/>
      <c r="Q511" s="131"/>
      <c r="AB511" s="33"/>
    </row>
    <row r="512" spans="1:28" ht="15.75" customHeight="1" x14ac:dyDescent="0.35">
      <c r="A512" s="149"/>
      <c r="B512" s="33"/>
      <c r="C512" s="150"/>
      <c r="D512" s="150"/>
      <c r="E512" s="151"/>
      <c r="F512" s="131"/>
      <c r="G512" s="131"/>
      <c r="M512" s="131"/>
      <c r="N512" s="131"/>
      <c r="O512" s="131"/>
      <c r="P512" s="131"/>
      <c r="Q512" s="131"/>
      <c r="AB512" s="33"/>
    </row>
    <row r="513" spans="1:28" ht="15.75" customHeight="1" x14ac:dyDescent="0.35">
      <c r="A513" s="149"/>
      <c r="B513" s="33"/>
      <c r="C513" s="150"/>
      <c r="D513" s="150"/>
      <c r="E513" s="151"/>
      <c r="F513" s="131"/>
      <c r="G513" s="131"/>
      <c r="M513" s="131"/>
      <c r="N513" s="131"/>
      <c r="O513" s="131"/>
      <c r="P513" s="131"/>
      <c r="Q513" s="131"/>
      <c r="AB513" s="33"/>
    </row>
    <row r="514" spans="1:28" ht="15.75" customHeight="1" x14ac:dyDescent="0.35">
      <c r="A514" s="149"/>
      <c r="B514" s="33"/>
      <c r="C514" s="150"/>
      <c r="D514" s="150"/>
      <c r="E514" s="151"/>
      <c r="F514" s="131"/>
      <c r="G514" s="131"/>
      <c r="M514" s="131"/>
      <c r="N514" s="131"/>
      <c r="O514" s="131"/>
      <c r="P514" s="131"/>
      <c r="Q514" s="131"/>
      <c r="AB514" s="33"/>
    </row>
    <row r="515" spans="1:28" ht="15.75" customHeight="1" x14ac:dyDescent="0.35">
      <c r="A515" s="149"/>
      <c r="B515" s="33"/>
      <c r="C515" s="150"/>
      <c r="D515" s="150"/>
      <c r="E515" s="151"/>
      <c r="F515" s="131"/>
      <c r="G515" s="131"/>
      <c r="M515" s="131"/>
      <c r="N515" s="131"/>
      <c r="O515" s="131"/>
      <c r="P515" s="131"/>
      <c r="Q515" s="131"/>
      <c r="AB515" s="33"/>
    </row>
    <row r="516" spans="1:28" ht="15.75" customHeight="1" x14ac:dyDescent="0.35">
      <c r="A516" s="149"/>
      <c r="B516" s="33"/>
      <c r="C516" s="150"/>
      <c r="D516" s="150"/>
      <c r="E516" s="151"/>
      <c r="F516" s="131"/>
      <c r="G516" s="131"/>
      <c r="M516" s="131"/>
      <c r="N516" s="131"/>
      <c r="O516" s="131"/>
      <c r="P516" s="131"/>
      <c r="Q516" s="131"/>
      <c r="AB516" s="33"/>
    </row>
    <row r="517" spans="1:28" ht="15.75" customHeight="1" x14ac:dyDescent="0.35">
      <c r="A517" s="149"/>
      <c r="B517" s="33"/>
      <c r="C517" s="150"/>
      <c r="D517" s="150"/>
      <c r="E517" s="151"/>
      <c r="F517" s="131"/>
      <c r="G517" s="131"/>
      <c r="M517" s="131"/>
      <c r="N517" s="131"/>
      <c r="O517" s="131"/>
      <c r="P517" s="131"/>
      <c r="Q517" s="131"/>
      <c r="AB517" s="33"/>
    </row>
    <row r="518" spans="1:28" ht="15.75" customHeight="1" x14ac:dyDescent="0.35">
      <c r="A518" s="149"/>
      <c r="B518" s="33"/>
      <c r="C518" s="150"/>
      <c r="D518" s="150"/>
      <c r="E518" s="151"/>
      <c r="F518" s="131"/>
      <c r="G518" s="131"/>
      <c r="M518" s="131"/>
      <c r="N518" s="131"/>
      <c r="O518" s="131"/>
      <c r="P518" s="131"/>
      <c r="Q518" s="131"/>
      <c r="AB518" s="33"/>
    </row>
    <row r="519" spans="1:28" ht="15.75" customHeight="1" x14ac:dyDescent="0.35">
      <c r="A519" s="149"/>
      <c r="B519" s="33"/>
      <c r="C519" s="150"/>
      <c r="D519" s="150"/>
      <c r="E519" s="151"/>
      <c r="F519" s="131"/>
      <c r="G519" s="131"/>
      <c r="M519" s="131"/>
      <c r="N519" s="131"/>
      <c r="O519" s="131"/>
      <c r="P519" s="131"/>
      <c r="Q519" s="131"/>
      <c r="AB519" s="33"/>
    </row>
    <row r="520" spans="1:28" ht="15.75" customHeight="1" x14ac:dyDescent="0.35">
      <c r="A520" s="149"/>
      <c r="B520" s="33"/>
      <c r="C520" s="150"/>
      <c r="D520" s="150"/>
      <c r="E520" s="151"/>
      <c r="F520" s="131"/>
      <c r="G520" s="131"/>
      <c r="M520" s="131"/>
      <c r="N520" s="131"/>
      <c r="O520" s="131"/>
      <c r="P520" s="131"/>
      <c r="Q520" s="131"/>
      <c r="AB520" s="33"/>
    </row>
    <row r="521" spans="1:28" ht="15.75" customHeight="1" x14ac:dyDescent="0.35">
      <c r="A521" s="149"/>
      <c r="B521" s="33"/>
      <c r="C521" s="150"/>
      <c r="D521" s="150"/>
      <c r="E521" s="151"/>
      <c r="F521" s="131"/>
      <c r="G521" s="131"/>
      <c r="M521" s="131"/>
      <c r="N521" s="131"/>
      <c r="O521" s="131"/>
      <c r="P521" s="131"/>
      <c r="Q521" s="131"/>
      <c r="AB521" s="33"/>
    </row>
    <row r="522" spans="1:28" ht="15.75" customHeight="1" x14ac:dyDescent="0.35">
      <c r="A522" s="149"/>
      <c r="B522" s="33"/>
      <c r="C522" s="150"/>
      <c r="D522" s="150"/>
      <c r="E522" s="151"/>
      <c r="F522" s="131"/>
      <c r="G522" s="131"/>
      <c r="M522" s="131"/>
      <c r="N522" s="131"/>
      <c r="O522" s="131"/>
      <c r="P522" s="131"/>
      <c r="Q522" s="131"/>
      <c r="AB522" s="33"/>
    </row>
    <row r="523" spans="1:28" ht="15.75" customHeight="1" x14ac:dyDescent="0.35">
      <c r="A523" s="149"/>
      <c r="B523" s="33"/>
      <c r="C523" s="150"/>
      <c r="D523" s="150"/>
      <c r="E523" s="151"/>
      <c r="F523" s="131"/>
      <c r="G523" s="131"/>
      <c r="M523" s="131"/>
      <c r="N523" s="131"/>
      <c r="O523" s="131"/>
      <c r="P523" s="131"/>
      <c r="Q523" s="131"/>
      <c r="AB523" s="33"/>
    </row>
    <row r="524" spans="1:28" ht="15.75" customHeight="1" x14ac:dyDescent="0.35">
      <c r="A524" s="149"/>
      <c r="B524" s="33"/>
      <c r="C524" s="150"/>
      <c r="D524" s="150"/>
      <c r="E524" s="151"/>
      <c r="F524" s="131"/>
      <c r="G524" s="131"/>
      <c r="M524" s="131"/>
      <c r="N524" s="131"/>
      <c r="O524" s="131"/>
      <c r="P524" s="131"/>
      <c r="Q524" s="131"/>
      <c r="AB524" s="33"/>
    </row>
    <row r="525" spans="1:28" ht="15.75" customHeight="1" x14ac:dyDescent="0.35">
      <c r="A525" s="149"/>
      <c r="B525" s="33"/>
      <c r="C525" s="150"/>
      <c r="D525" s="150"/>
      <c r="E525" s="151"/>
      <c r="F525" s="131"/>
      <c r="G525" s="131"/>
      <c r="M525" s="131"/>
      <c r="N525" s="131"/>
      <c r="O525" s="131"/>
      <c r="P525" s="131"/>
      <c r="Q525" s="131"/>
      <c r="AB525" s="33"/>
    </row>
    <row r="526" spans="1:28" ht="15.75" customHeight="1" x14ac:dyDescent="0.35">
      <c r="A526" s="149"/>
      <c r="B526" s="33"/>
      <c r="C526" s="150"/>
      <c r="D526" s="150"/>
      <c r="E526" s="151"/>
      <c r="F526" s="131"/>
      <c r="G526" s="131"/>
      <c r="M526" s="131"/>
      <c r="N526" s="131"/>
      <c r="O526" s="131"/>
      <c r="P526" s="131"/>
      <c r="Q526" s="131"/>
      <c r="AB526" s="33"/>
    </row>
    <row r="527" spans="1:28" ht="15.75" customHeight="1" x14ac:dyDescent="0.35">
      <c r="A527" s="149"/>
      <c r="B527" s="33"/>
      <c r="C527" s="150"/>
      <c r="D527" s="150"/>
      <c r="E527" s="151"/>
      <c r="F527" s="131"/>
      <c r="G527" s="131"/>
      <c r="M527" s="131"/>
      <c r="N527" s="131"/>
      <c r="O527" s="131"/>
      <c r="P527" s="131"/>
      <c r="Q527" s="131"/>
      <c r="AB527" s="33"/>
    </row>
    <row r="528" spans="1:28" ht="15.75" customHeight="1" x14ac:dyDescent="0.35">
      <c r="A528" s="149"/>
      <c r="B528" s="33"/>
      <c r="C528" s="150"/>
      <c r="D528" s="150"/>
      <c r="E528" s="151"/>
      <c r="F528" s="131"/>
      <c r="G528" s="131"/>
      <c r="M528" s="131"/>
      <c r="N528" s="131"/>
      <c r="O528" s="131"/>
      <c r="P528" s="131"/>
      <c r="Q528" s="131"/>
      <c r="AB528" s="33"/>
    </row>
    <row r="529" spans="1:28" ht="15.75" customHeight="1" x14ac:dyDescent="0.35">
      <c r="A529" s="149"/>
      <c r="B529" s="33"/>
      <c r="C529" s="150"/>
      <c r="D529" s="150"/>
      <c r="E529" s="151"/>
      <c r="F529" s="131"/>
      <c r="G529" s="131"/>
      <c r="M529" s="131"/>
      <c r="N529" s="131"/>
      <c r="O529" s="131"/>
      <c r="P529" s="131"/>
      <c r="Q529" s="131"/>
      <c r="AB529" s="33"/>
    </row>
    <row r="530" spans="1:28" ht="15.75" customHeight="1" x14ac:dyDescent="0.35">
      <c r="A530" s="149"/>
      <c r="B530" s="33"/>
      <c r="C530" s="150"/>
      <c r="D530" s="150"/>
      <c r="E530" s="151"/>
      <c r="F530" s="131"/>
      <c r="G530" s="131"/>
      <c r="M530" s="131"/>
      <c r="N530" s="131"/>
      <c r="O530" s="131"/>
      <c r="P530" s="131"/>
      <c r="Q530" s="131"/>
      <c r="AB530" s="33"/>
    </row>
    <row r="531" spans="1:28" ht="15.75" customHeight="1" x14ac:dyDescent="0.35">
      <c r="A531" s="149"/>
      <c r="B531" s="33"/>
      <c r="C531" s="150"/>
      <c r="D531" s="150"/>
      <c r="E531" s="151"/>
      <c r="F531" s="131"/>
      <c r="G531" s="131"/>
      <c r="M531" s="131"/>
      <c r="N531" s="131"/>
      <c r="O531" s="131"/>
      <c r="P531" s="131"/>
      <c r="Q531" s="131"/>
      <c r="AB531" s="33"/>
    </row>
    <row r="532" spans="1:28" ht="15.75" customHeight="1" x14ac:dyDescent="0.35">
      <c r="A532" s="149"/>
      <c r="B532" s="33"/>
      <c r="C532" s="150"/>
      <c r="D532" s="150"/>
      <c r="E532" s="151"/>
      <c r="F532" s="131"/>
      <c r="G532" s="131"/>
      <c r="M532" s="131"/>
      <c r="N532" s="131"/>
      <c r="O532" s="131"/>
      <c r="P532" s="131"/>
      <c r="Q532" s="131"/>
      <c r="AB532" s="33"/>
    </row>
    <row r="533" spans="1:28" ht="15.75" customHeight="1" x14ac:dyDescent="0.35">
      <c r="A533" s="149"/>
      <c r="B533" s="33"/>
      <c r="C533" s="150"/>
      <c r="D533" s="150"/>
      <c r="E533" s="151"/>
      <c r="F533" s="131"/>
      <c r="G533" s="131"/>
      <c r="M533" s="131"/>
      <c r="N533" s="131"/>
      <c r="O533" s="131"/>
      <c r="P533" s="131"/>
      <c r="Q533" s="131"/>
      <c r="AB533" s="33"/>
    </row>
    <row r="534" spans="1:28" ht="15.75" customHeight="1" x14ac:dyDescent="0.35">
      <c r="A534" s="149"/>
      <c r="B534" s="33"/>
      <c r="C534" s="150"/>
      <c r="D534" s="150"/>
      <c r="E534" s="151"/>
      <c r="F534" s="131"/>
      <c r="G534" s="131"/>
      <c r="M534" s="131"/>
      <c r="N534" s="131"/>
      <c r="O534" s="131"/>
      <c r="P534" s="131"/>
      <c r="Q534" s="131"/>
      <c r="AB534" s="33"/>
    </row>
    <row r="535" spans="1:28" ht="15.75" customHeight="1" x14ac:dyDescent="0.35">
      <c r="A535" s="149"/>
      <c r="B535" s="33"/>
      <c r="C535" s="150"/>
      <c r="D535" s="150"/>
      <c r="E535" s="151"/>
      <c r="F535" s="131"/>
      <c r="G535" s="131"/>
      <c r="M535" s="131"/>
      <c r="N535" s="131"/>
      <c r="O535" s="131"/>
      <c r="P535" s="131"/>
      <c r="Q535" s="131"/>
      <c r="AB535" s="33"/>
    </row>
    <row r="536" spans="1:28" ht="15.75" customHeight="1" x14ac:dyDescent="0.35">
      <c r="A536" s="149"/>
      <c r="B536" s="33"/>
      <c r="C536" s="150"/>
      <c r="D536" s="150"/>
      <c r="E536" s="151"/>
      <c r="F536" s="131"/>
      <c r="G536" s="131"/>
      <c r="M536" s="131"/>
      <c r="N536" s="131"/>
      <c r="O536" s="131"/>
      <c r="P536" s="131"/>
      <c r="Q536" s="131"/>
      <c r="AB536" s="33"/>
    </row>
    <row r="537" spans="1:28" ht="15.75" customHeight="1" x14ac:dyDescent="0.35">
      <c r="A537" s="149"/>
      <c r="B537" s="33"/>
      <c r="C537" s="150"/>
      <c r="D537" s="150"/>
      <c r="E537" s="151"/>
      <c r="F537" s="131"/>
      <c r="G537" s="131"/>
      <c r="M537" s="131"/>
      <c r="N537" s="131"/>
      <c r="O537" s="131"/>
      <c r="P537" s="131"/>
      <c r="Q537" s="131"/>
      <c r="AB537" s="33"/>
    </row>
    <row r="538" spans="1:28" ht="15.75" customHeight="1" x14ac:dyDescent="0.35">
      <c r="A538" s="149"/>
      <c r="B538" s="33"/>
      <c r="C538" s="150"/>
      <c r="D538" s="150"/>
      <c r="E538" s="151"/>
      <c r="F538" s="131"/>
      <c r="G538" s="131"/>
      <c r="M538" s="131"/>
      <c r="N538" s="131"/>
      <c r="O538" s="131"/>
      <c r="P538" s="131"/>
      <c r="Q538" s="131"/>
      <c r="AB538" s="33"/>
    </row>
    <row r="539" spans="1:28" ht="15.75" customHeight="1" x14ac:dyDescent="0.35">
      <c r="A539" s="149"/>
      <c r="B539" s="33"/>
      <c r="C539" s="150"/>
      <c r="D539" s="150"/>
      <c r="E539" s="151"/>
      <c r="F539" s="131"/>
      <c r="G539" s="131"/>
      <c r="M539" s="131"/>
      <c r="N539" s="131"/>
      <c r="O539" s="131"/>
      <c r="P539" s="131"/>
      <c r="Q539" s="131"/>
      <c r="AB539" s="33"/>
    </row>
    <row r="540" spans="1:28" ht="15.75" customHeight="1" x14ac:dyDescent="0.35">
      <c r="A540" s="149"/>
      <c r="B540" s="33"/>
      <c r="C540" s="150"/>
      <c r="D540" s="150"/>
      <c r="E540" s="151"/>
      <c r="F540" s="131"/>
      <c r="G540" s="131"/>
      <c r="M540" s="131"/>
      <c r="N540" s="131"/>
      <c r="O540" s="131"/>
      <c r="P540" s="131"/>
      <c r="Q540" s="131"/>
      <c r="AB540" s="33"/>
    </row>
    <row r="541" spans="1:28" ht="15.75" customHeight="1" x14ac:dyDescent="0.35">
      <c r="A541" s="149"/>
      <c r="B541" s="33"/>
      <c r="C541" s="150"/>
      <c r="D541" s="150"/>
      <c r="E541" s="151"/>
      <c r="F541" s="131"/>
      <c r="G541" s="131"/>
      <c r="M541" s="131"/>
      <c r="N541" s="131"/>
      <c r="O541" s="131"/>
      <c r="P541" s="131"/>
      <c r="Q541" s="131"/>
      <c r="AB541" s="33"/>
    </row>
    <row r="542" spans="1:28" ht="15.75" customHeight="1" x14ac:dyDescent="0.35">
      <c r="A542" s="149"/>
      <c r="B542" s="33"/>
      <c r="C542" s="150"/>
      <c r="D542" s="150"/>
      <c r="E542" s="151"/>
      <c r="F542" s="131"/>
      <c r="G542" s="131"/>
      <c r="M542" s="131"/>
      <c r="N542" s="131"/>
      <c r="O542" s="131"/>
      <c r="P542" s="131"/>
      <c r="Q542" s="131"/>
      <c r="AB542" s="33"/>
    </row>
    <row r="543" spans="1:28" ht="15.75" customHeight="1" x14ac:dyDescent="0.35">
      <c r="A543" s="149"/>
      <c r="B543" s="33"/>
      <c r="C543" s="150"/>
      <c r="D543" s="150"/>
      <c r="E543" s="151"/>
      <c r="F543" s="131"/>
      <c r="G543" s="131"/>
      <c r="M543" s="131"/>
      <c r="N543" s="131"/>
      <c r="O543" s="131"/>
      <c r="P543" s="131"/>
      <c r="Q543" s="131"/>
      <c r="AB543" s="33"/>
    </row>
    <row r="544" spans="1:28" ht="15.75" customHeight="1" x14ac:dyDescent="0.35">
      <c r="A544" s="149"/>
      <c r="B544" s="33"/>
      <c r="C544" s="150"/>
      <c r="D544" s="150"/>
      <c r="E544" s="151"/>
      <c r="F544" s="131"/>
      <c r="G544" s="131"/>
      <c r="M544" s="131"/>
      <c r="N544" s="131"/>
      <c r="O544" s="131"/>
      <c r="P544" s="131"/>
      <c r="Q544" s="131"/>
      <c r="AB544" s="33"/>
    </row>
    <row r="545" spans="1:28" ht="15.75" customHeight="1" x14ac:dyDescent="0.35">
      <c r="A545" s="149"/>
      <c r="B545" s="33"/>
      <c r="C545" s="150"/>
      <c r="D545" s="150"/>
      <c r="E545" s="151"/>
      <c r="F545" s="131"/>
      <c r="G545" s="131"/>
      <c r="M545" s="131"/>
      <c r="N545" s="131"/>
      <c r="O545" s="131"/>
      <c r="P545" s="131"/>
      <c r="Q545" s="131"/>
      <c r="AB545" s="33"/>
    </row>
    <row r="546" spans="1:28" ht="15.75" customHeight="1" x14ac:dyDescent="0.35">
      <c r="A546" s="149"/>
      <c r="B546" s="33"/>
      <c r="C546" s="150"/>
      <c r="D546" s="150"/>
      <c r="E546" s="151"/>
      <c r="F546" s="131"/>
      <c r="G546" s="131"/>
      <c r="M546" s="131"/>
      <c r="N546" s="131"/>
      <c r="O546" s="131"/>
      <c r="P546" s="131"/>
      <c r="Q546" s="131"/>
      <c r="AB546" s="33"/>
    </row>
    <row r="547" spans="1:28" ht="15.75" customHeight="1" x14ac:dyDescent="0.35">
      <c r="A547" s="149"/>
      <c r="B547" s="33"/>
      <c r="C547" s="150"/>
      <c r="D547" s="150"/>
      <c r="E547" s="151"/>
      <c r="F547" s="131"/>
      <c r="G547" s="131"/>
      <c r="M547" s="131"/>
      <c r="N547" s="131"/>
      <c r="O547" s="131"/>
      <c r="P547" s="131"/>
      <c r="Q547" s="131"/>
      <c r="AB547" s="33"/>
    </row>
    <row r="548" spans="1:28" ht="15.75" customHeight="1" x14ac:dyDescent="0.35">
      <c r="A548" s="149"/>
      <c r="B548" s="33"/>
      <c r="C548" s="150"/>
      <c r="D548" s="150"/>
      <c r="E548" s="151"/>
      <c r="F548" s="131"/>
      <c r="G548" s="131"/>
      <c r="M548" s="131"/>
      <c r="N548" s="131"/>
      <c r="O548" s="131"/>
      <c r="P548" s="131"/>
      <c r="Q548" s="131"/>
      <c r="AB548" s="33"/>
    </row>
    <row r="549" spans="1:28" ht="15.75" customHeight="1" x14ac:dyDescent="0.35">
      <c r="A549" s="149"/>
      <c r="B549" s="33"/>
      <c r="C549" s="150"/>
      <c r="D549" s="150"/>
      <c r="E549" s="151"/>
      <c r="F549" s="131"/>
      <c r="G549" s="131"/>
      <c r="M549" s="131"/>
      <c r="N549" s="131"/>
      <c r="O549" s="131"/>
      <c r="P549" s="131"/>
      <c r="Q549" s="131"/>
      <c r="AB549" s="33"/>
    </row>
    <row r="550" spans="1:28" ht="15.75" customHeight="1" x14ac:dyDescent="0.35">
      <c r="A550" s="149"/>
      <c r="B550" s="33"/>
      <c r="C550" s="150"/>
      <c r="D550" s="150"/>
      <c r="E550" s="151"/>
      <c r="F550" s="131"/>
      <c r="G550" s="131"/>
      <c r="M550" s="131"/>
      <c r="N550" s="131"/>
      <c r="O550" s="131"/>
      <c r="P550" s="131"/>
      <c r="Q550" s="131"/>
      <c r="AB550" s="33"/>
    </row>
    <row r="551" spans="1:28" ht="15.75" customHeight="1" x14ac:dyDescent="0.35">
      <c r="A551" s="149"/>
      <c r="B551" s="33"/>
      <c r="C551" s="150"/>
      <c r="D551" s="150"/>
      <c r="E551" s="151"/>
      <c r="F551" s="131"/>
      <c r="G551" s="131"/>
      <c r="M551" s="131"/>
      <c r="N551" s="131"/>
      <c r="O551" s="131"/>
      <c r="P551" s="131"/>
      <c r="Q551" s="131"/>
      <c r="AB551" s="33"/>
    </row>
    <row r="552" spans="1:28" ht="15.75" customHeight="1" x14ac:dyDescent="0.35">
      <c r="A552" s="149"/>
      <c r="B552" s="33"/>
      <c r="C552" s="150"/>
      <c r="D552" s="150"/>
      <c r="E552" s="151"/>
      <c r="F552" s="131"/>
      <c r="G552" s="131"/>
      <c r="M552" s="131"/>
      <c r="N552" s="131"/>
      <c r="O552" s="131"/>
      <c r="P552" s="131"/>
      <c r="Q552" s="131"/>
      <c r="AB552" s="33"/>
    </row>
    <row r="553" spans="1:28" ht="15.75" customHeight="1" x14ac:dyDescent="0.35">
      <c r="A553" s="149"/>
      <c r="B553" s="33"/>
      <c r="C553" s="150"/>
      <c r="D553" s="150"/>
      <c r="E553" s="151"/>
      <c r="F553" s="131"/>
      <c r="G553" s="131"/>
      <c r="M553" s="131"/>
      <c r="N553" s="131"/>
      <c r="O553" s="131"/>
      <c r="P553" s="131"/>
      <c r="Q553" s="131"/>
      <c r="AB553" s="33"/>
    </row>
    <row r="554" spans="1:28" ht="15.75" customHeight="1" x14ac:dyDescent="0.35">
      <c r="A554" s="149"/>
      <c r="B554" s="33"/>
      <c r="C554" s="150"/>
      <c r="D554" s="150"/>
      <c r="E554" s="151"/>
      <c r="F554" s="131"/>
      <c r="G554" s="131"/>
      <c r="M554" s="131"/>
      <c r="N554" s="131"/>
      <c r="O554" s="131"/>
      <c r="P554" s="131"/>
      <c r="Q554" s="131"/>
      <c r="AB554" s="33"/>
    </row>
    <row r="555" spans="1:28" ht="15.75" customHeight="1" x14ac:dyDescent="0.35">
      <c r="A555" s="149"/>
      <c r="B555" s="33"/>
      <c r="C555" s="150"/>
      <c r="D555" s="150"/>
      <c r="E555" s="151"/>
      <c r="F555" s="131"/>
      <c r="G555" s="131"/>
      <c r="M555" s="131"/>
      <c r="N555" s="131"/>
      <c r="O555" s="131"/>
      <c r="P555" s="131"/>
      <c r="Q555" s="131"/>
      <c r="AB555" s="33"/>
    </row>
    <row r="556" spans="1:28" ht="15.75" customHeight="1" x14ac:dyDescent="0.35">
      <c r="A556" s="149"/>
      <c r="B556" s="33"/>
      <c r="C556" s="150"/>
      <c r="D556" s="150"/>
      <c r="E556" s="151"/>
      <c r="F556" s="131"/>
      <c r="G556" s="131"/>
      <c r="M556" s="131"/>
      <c r="N556" s="131"/>
      <c r="O556" s="131"/>
      <c r="P556" s="131"/>
      <c r="Q556" s="131"/>
      <c r="AB556" s="33"/>
    </row>
    <row r="557" spans="1:28" ht="15.75" customHeight="1" x14ac:dyDescent="0.35">
      <c r="A557" s="149"/>
      <c r="B557" s="33"/>
      <c r="C557" s="150"/>
      <c r="D557" s="150"/>
      <c r="E557" s="151"/>
      <c r="F557" s="131"/>
      <c r="G557" s="131"/>
      <c r="M557" s="131"/>
      <c r="N557" s="131"/>
      <c r="O557" s="131"/>
      <c r="P557" s="131"/>
      <c r="Q557" s="131"/>
      <c r="AB557" s="33"/>
    </row>
    <row r="558" spans="1:28" ht="15.75" customHeight="1" x14ac:dyDescent="0.35">
      <c r="A558" s="149"/>
      <c r="B558" s="33"/>
      <c r="C558" s="150"/>
      <c r="D558" s="150"/>
      <c r="E558" s="151"/>
      <c r="F558" s="131"/>
      <c r="G558" s="131"/>
      <c r="M558" s="131"/>
      <c r="N558" s="131"/>
      <c r="O558" s="131"/>
      <c r="P558" s="131"/>
      <c r="Q558" s="131"/>
      <c r="AB558" s="33"/>
    </row>
    <row r="559" spans="1:28" ht="15.75" customHeight="1" x14ac:dyDescent="0.35">
      <c r="A559" s="149"/>
      <c r="B559" s="33"/>
      <c r="C559" s="150"/>
      <c r="D559" s="150"/>
      <c r="E559" s="151"/>
      <c r="F559" s="131"/>
      <c r="G559" s="131"/>
      <c r="M559" s="131"/>
      <c r="N559" s="131"/>
      <c r="O559" s="131"/>
      <c r="P559" s="131"/>
      <c r="Q559" s="131"/>
      <c r="AB559" s="33"/>
    </row>
    <row r="560" spans="1:28" ht="15.75" customHeight="1" x14ac:dyDescent="0.35">
      <c r="A560" s="149"/>
      <c r="B560" s="33"/>
      <c r="C560" s="150"/>
      <c r="D560" s="150"/>
      <c r="E560" s="151"/>
      <c r="F560" s="131"/>
      <c r="G560" s="131"/>
      <c r="M560" s="131"/>
      <c r="N560" s="131"/>
      <c r="O560" s="131"/>
      <c r="P560" s="131"/>
      <c r="Q560" s="131"/>
      <c r="AB560" s="33"/>
    </row>
    <row r="561" spans="1:28" ht="15.75" customHeight="1" x14ac:dyDescent="0.35">
      <c r="A561" s="149"/>
      <c r="B561" s="33"/>
      <c r="C561" s="150"/>
      <c r="D561" s="150"/>
      <c r="E561" s="151"/>
      <c r="F561" s="131"/>
      <c r="G561" s="131"/>
      <c r="M561" s="131"/>
      <c r="N561" s="131"/>
      <c r="O561" s="131"/>
      <c r="P561" s="131"/>
      <c r="Q561" s="131"/>
      <c r="AB561" s="33"/>
    </row>
    <row r="562" spans="1:28" ht="15.75" customHeight="1" x14ac:dyDescent="0.35">
      <c r="A562" s="149"/>
      <c r="B562" s="33"/>
      <c r="C562" s="150"/>
      <c r="D562" s="150"/>
      <c r="E562" s="151"/>
      <c r="F562" s="131"/>
      <c r="G562" s="131"/>
      <c r="M562" s="131"/>
      <c r="N562" s="131"/>
      <c r="O562" s="131"/>
      <c r="P562" s="131"/>
      <c r="Q562" s="131"/>
      <c r="AB562" s="33"/>
    </row>
    <row r="563" spans="1:28" ht="15.75" customHeight="1" x14ac:dyDescent="0.35">
      <c r="A563" s="149"/>
      <c r="B563" s="33"/>
      <c r="C563" s="150"/>
      <c r="D563" s="150"/>
      <c r="E563" s="151"/>
      <c r="F563" s="131"/>
      <c r="G563" s="131"/>
      <c r="M563" s="131"/>
      <c r="N563" s="131"/>
      <c r="O563" s="131"/>
      <c r="P563" s="131"/>
      <c r="Q563" s="131"/>
      <c r="AB563" s="33"/>
    </row>
    <row r="564" spans="1:28" ht="15.75" customHeight="1" x14ac:dyDescent="0.35">
      <c r="A564" s="149"/>
      <c r="B564" s="33"/>
      <c r="C564" s="150"/>
      <c r="D564" s="150"/>
      <c r="E564" s="151"/>
      <c r="F564" s="131"/>
      <c r="G564" s="131"/>
      <c r="M564" s="131"/>
      <c r="N564" s="131"/>
      <c r="O564" s="131"/>
      <c r="P564" s="131"/>
      <c r="Q564" s="131"/>
      <c r="AB564" s="33"/>
    </row>
    <row r="565" spans="1:28" ht="15.75" customHeight="1" x14ac:dyDescent="0.35">
      <c r="A565" s="149"/>
      <c r="B565" s="33"/>
      <c r="C565" s="150"/>
      <c r="D565" s="150"/>
      <c r="E565" s="151"/>
      <c r="F565" s="131"/>
      <c r="G565" s="131"/>
      <c r="M565" s="131"/>
      <c r="N565" s="131"/>
      <c r="O565" s="131"/>
      <c r="P565" s="131"/>
      <c r="Q565" s="131"/>
      <c r="AB565" s="33"/>
    </row>
    <row r="566" spans="1:28" ht="15.75" customHeight="1" x14ac:dyDescent="0.35">
      <c r="A566" s="149"/>
      <c r="B566" s="33"/>
      <c r="C566" s="150"/>
      <c r="D566" s="150"/>
      <c r="E566" s="151"/>
      <c r="F566" s="131"/>
      <c r="G566" s="131"/>
      <c r="M566" s="131"/>
      <c r="N566" s="131"/>
      <c r="O566" s="131"/>
      <c r="P566" s="131"/>
      <c r="Q566" s="131"/>
      <c r="AB566" s="33"/>
    </row>
    <row r="567" spans="1:28" ht="15.75" customHeight="1" x14ac:dyDescent="0.35">
      <c r="A567" s="149"/>
      <c r="B567" s="33"/>
      <c r="C567" s="150"/>
      <c r="D567" s="150"/>
      <c r="E567" s="151"/>
      <c r="F567" s="131"/>
      <c r="G567" s="131"/>
      <c r="M567" s="131"/>
      <c r="N567" s="131"/>
      <c r="O567" s="131"/>
      <c r="P567" s="131"/>
      <c r="Q567" s="131"/>
      <c r="AB567" s="33"/>
    </row>
    <row r="568" spans="1:28" ht="15.75" customHeight="1" x14ac:dyDescent="0.35">
      <c r="A568" s="149"/>
      <c r="B568" s="33"/>
      <c r="C568" s="150"/>
      <c r="D568" s="150"/>
      <c r="E568" s="151"/>
      <c r="F568" s="131"/>
      <c r="G568" s="131"/>
      <c r="M568" s="131"/>
      <c r="N568" s="131"/>
      <c r="O568" s="131"/>
      <c r="P568" s="131"/>
      <c r="Q568" s="131"/>
      <c r="AB568" s="33"/>
    </row>
    <row r="569" spans="1:28" ht="15.75" customHeight="1" x14ac:dyDescent="0.35">
      <c r="A569" s="149"/>
      <c r="B569" s="33"/>
      <c r="C569" s="150"/>
      <c r="D569" s="150"/>
      <c r="E569" s="151"/>
      <c r="F569" s="131"/>
      <c r="G569" s="131"/>
      <c r="M569" s="131"/>
      <c r="N569" s="131"/>
      <c r="O569" s="131"/>
      <c r="P569" s="131"/>
      <c r="Q569" s="131"/>
      <c r="AB569" s="33"/>
    </row>
    <row r="570" spans="1:28" ht="15.75" customHeight="1" x14ac:dyDescent="0.35">
      <c r="A570" s="149"/>
      <c r="B570" s="33"/>
      <c r="C570" s="150"/>
      <c r="D570" s="150"/>
      <c r="E570" s="151"/>
      <c r="F570" s="131"/>
      <c r="G570" s="131"/>
      <c r="M570" s="131"/>
      <c r="N570" s="131"/>
      <c r="O570" s="131"/>
      <c r="P570" s="131"/>
      <c r="Q570" s="131"/>
      <c r="AB570" s="33"/>
    </row>
    <row r="571" spans="1:28" ht="15.75" customHeight="1" x14ac:dyDescent="0.35">
      <c r="A571" s="149"/>
      <c r="B571" s="33"/>
      <c r="C571" s="150"/>
      <c r="D571" s="150"/>
      <c r="E571" s="151"/>
      <c r="F571" s="131"/>
      <c r="G571" s="131"/>
      <c r="M571" s="131"/>
      <c r="N571" s="131"/>
      <c r="O571" s="131"/>
      <c r="P571" s="131"/>
      <c r="Q571" s="131"/>
      <c r="AB571" s="33"/>
    </row>
    <row r="572" spans="1:28" ht="15.75" customHeight="1" x14ac:dyDescent="0.35">
      <c r="A572" s="149"/>
      <c r="B572" s="33"/>
      <c r="C572" s="150"/>
      <c r="D572" s="150"/>
      <c r="E572" s="151"/>
      <c r="F572" s="131"/>
      <c r="G572" s="131"/>
      <c r="M572" s="131"/>
      <c r="N572" s="131"/>
      <c r="O572" s="131"/>
      <c r="P572" s="131"/>
      <c r="Q572" s="131"/>
      <c r="AB572" s="33"/>
    </row>
    <row r="573" spans="1:28" ht="15.75" customHeight="1" x14ac:dyDescent="0.35">
      <c r="A573" s="149"/>
      <c r="B573" s="33"/>
      <c r="C573" s="150"/>
      <c r="D573" s="150"/>
      <c r="E573" s="151"/>
      <c r="F573" s="131"/>
      <c r="G573" s="131"/>
      <c r="M573" s="131"/>
      <c r="N573" s="131"/>
      <c r="O573" s="131"/>
      <c r="P573" s="131"/>
      <c r="Q573" s="131"/>
      <c r="AB573" s="33"/>
    </row>
    <row r="574" spans="1:28" ht="15.75" customHeight="1" x14ac:dyDescent="0.35">
      <c r="A574" s="149"/>
      <c r="B574" s="33"/>
      <c r="C574" s="150"/>
      <c r="D574" s="150"/>
      <c r="E574" s="151"/>
      <c r="F574" s="131"/>
      <c r="G574" s="131"/>
      <c r="M574" s="131"/>
      <c r="N574" s="131"/>
      <c r="O574" s="131"/>
      <c r="P574" s="131"/>
      <c r="Q574" s="131"/>
      <c r="AB574" s="33"/>
    </row>
    <row r="575" spans="1:28" ht="15.75" customHeight="1" x14ac:dyDescent="0.35">
      <c r="A575" s="149"/>
      <c r="B575" s="33"/>
      <c r="C575" s="150"/>
      <c r="D575" s="150"/>
      <c r="E575" s="151"/>
      <c r="F575" s="131"/>
      <c r="G575" s="131"/>
      <c r="M575" s="131"/>
      <c r="N575" s="131"/>
      <c r="O575" s="131"/>
      <c r="P575" s="131"/>
      <c r="Q575" s="131"/>
      <c r="AB575" s="33"/>
    </row>
    <row r="576" spans="1:28" ht="15.75" customHeight="1" x14ac:dyDescent="0.35">
      <c r="A576" s="149"/>
      <c r="B576" s="33"/>
      <c r="C576" s="150"/>
      <c r="D576" s="150"/>
      <c r="E576" s="151"/>
      <c r="F576" s="131"/>
      <c r="G576" s="131"/>
      <c r="M576" s="131"/>
      <c r="N576" s="131"/>
      <c r="O576" s="131"/>
      <c r="P576" s="131"/>
      <c r="Q576" s="131"/>
      <c r="AB576" s="33"/>
    </row>
    <row r="577" spans="1:28" ht="15.75" customHeight="1" x14ac:dyDescent="0.35">
      <c r="A577" s="149"/>
      <c r="B577" s="33"/>
      <c r="C577" s="150"/>
      <c r="D577" s="150"/>
      <c r="E577" s="151"/>
      <c r="F577" s="131"/>
      <c r="G577" s="131"/>
      <c r="M577" s="131"/>
      <c r="N577" s="131"/>
      <c r="O577" s="131"/>
      <c r="P577" s="131"/>
      <c r="Q577" s="131"/>
      <c r="AB577" s="33"/>
    </row>
    <row r="578" spans="1:28" ht="15.75" customHeight="1" x14ac:dyDescent="0.35">
      <c r="A578" s="149"/>
      <c r="B578" s="33"/>
      <c r="C578" s="150"/>
      <c r="D578" s="150"/>
      <c r="E578" s="151"/>
      <c r="F578" s="131"/>
      <c r="G578" s="131"/>
      <c r="M578" s="131"/>
      <c r="N578" s="131"/>
      <c r="O578" s="131"/>
      <c r="P578" s="131"/>
      <c r="Q578" s="131"/>
      <c r="AB578" s="33"/>
    </row>
    <row r="579" spans="1:28" ht="15.75" customHeight="1" x14ac:dyDescent="0.35">
      <c r="A579" s="149"/>
      <c r="B579" s="33"/>
      <c r="C579" s="150"/>
      <c r="D579" s="150"/>
      <c r="E579" s="151"/>
      <c r="F579" s="131"/>
      <c r="G579" s="131"/>
      <c r="M579" s="131"/>
      <c r="N579" s="131"/>
      <c r="O579" s="131"/>
      <c r="P579" s="131"/>
      <c r="Q579" s="131"/>
      <c r="AB579" s="33"/>
    </row>
    <row r="580" spans="1:28" ht="15.75" customHeight="1" x14ac:dyDescent="0.35">
      <c r="A580" s="149"/>
      <c r="B580" s="33"/>
      <c r="C580" s="150"/>
      <c r="D580" s="150"/>
      <c r="E580" s="151"/>
      <c r="F580" s="131"/>
      <c r="G580" s="131"/>
      <c r="M580" s="131"/>
      <c r="N580" s="131"/>
      <c r="O580" s="131"/>
      <c r="P580" s="131"/>
      <c r="Q580" s="131"/>
      <c r="AB580" s="33"/>
    </row>
    <row r="581" spans="1:28" ht="15.75" customHeight="1" x14ac:dyDescent="0.35">
      <c r="A581" s="149"/>
      <c r="B581" s="33"/>
      <c r="C581" s="150"/>
      <c r="D581" s="150"/>
      <c r="E581" s="151"/>
      <c r="F581" s="131"/>
      <c r="G581" s="131"/>
      <c r="M581" s="131"/>
      <c r="N581" s="131"/>
      <c r="O581" s="131"/>
      <c r="P581" s="131"/>
      <c r="Q581" s="131"/>
      <c r="AB581" s="33"/>
    </row>
    <row r="582" spans="1:28" ht="15.75" customHeight="1" x14ac:dyDescent="0.35">
      <c r="A582" s="149"/>
      <c r="B582" s="33"/>
      <c r="C582" s="150"/>
      <c r="D582" s="150"/>
      <c r="E582" s="151"/>
      <c r="F582" s="131"/>
      <c r="G582" s="131"/>
      <c r="M582" s="131"/>
      <c r="N582" s="131"/>
      <c r="O582" s="131"/>
      <c r="P582" s="131"/>
      <c r="Q582" s="131"/>
      <c r="AB582" s="33"/>
    </row>
    <row r="583" spans="1:28" ht="15.75" customHeight="1" x14ac:dyDescent="0.35">
      <c r="A583" s="149"/>
      <c r="B583" s="33"/>
      <c r="C583" s="150"/>
      <c r="D583" s="150"/>
      <c r="E583" s="151"/>
      <c r="F583" s="131"/>
      <c r="G583" s="131"/>
      <c r="M583" s="131"/>
      <c r="N583" s="131"/>
      <c r="O583" s="131"/>
      <c r="P583" s="131"/>
      <c r="Q583" s="131"/>
      <c r="AB583" s="33"/>
    </row>
    <row r="584" spans="1:28" ht="15.75" customHeight="1" x14ac:dyDescent="0.35">
      <c r="A584" s="149"/>
      <c r="B584" s="33"/>
      <c r="C584" s="150"/>
      <c r="D584" s="150"/>
      <c r="E584" s="151"/>
      <c r="F584" s="131"/>
      <c r="G584" s="131"/>
      <c r="M584" s="131"/>
      <c r="N584" s="131"/>
      <c r="O584" s="131"/>
      <c r="P584" s="131"/>
      <c r="Q584" s="131"/>
      <c r="AB584" s="33"/>
    </row>
    <row r="585" spans="1:28" ht="15.75" customHeight="1" x14ac:dyDescent="0.35">
      <c r="A585" s="149"/>
      <c r="B585" s="33"/>
      <c r="C585" s="150"/>
      <c r="D585" s="150"/>
      <c r="E585" s="151"/>
      <c r="F585" s="131"/>
      <c r="G585" s="131"/>
      <c r="M585" s="131"/>
      <c r="N585" s="131"/>
      <c r="O585" s="131"/>
      <c r="P585" s="131"/>
      <c r="Q585" s="131"/>
      <c r="AB585" s="33"/>
    </row>
    <row r="586" spans="1:28" ht="15.75" customHeight="1" x14ac:dyDescent="0.35">
      <c r="A586" s="149"/>
      <c r="B586" s="33"/>
      <c r="C586" s="150"/>
      <c r="D586" s="150"/>
      <c r="E586" s="151"/>
      <c r="F586" s="131"/>
      <c r="G586" s="131"/>
      <c r="M586" s="131"/>
      <c r="N586" s="131"/>
      <c r="O586" s="131"/>
      <c r="P586" s="131"/>
      <c r="Q586" s="131"/>
      <c r="AB586" s="33"/>
    </row>
    <row r="587" spans="1:28" ht="15.75" customHeight="1" x14ac:dyDescent="0.35">
      <c r="A587" s="149"/>
      <c r="B587" s="33"/>
      <c r="C587" s="150"/>
      <c r="D587" s="150"/>
      <c r="E587" s="151"/>
      <c r="F587" s="131"/>
      <c r="G587" s="131"/>
      <c r="M587" s="131"/>
      <c r="N587" s="131"/>
      <c r="O587" s="131"/>
      <c r="P587" s="131"/>
      <c r="Q587" s="131"/>
      <c r="AB587" s="33"/>
    </row>
    <row r="588" spans="1:28" ht="15.75" customHeight="1" x14ac:dyDescent="0.35">
      <c r="A588" s="149"/>
      <c r="B588" s="33"/>
      <c r="C588" s="150"/>
      <c r="D588" s="150"/>
      <c r="E588" s="151"/>
      <c r="F588" s="131"/>
      <c r="G588" s="131"/>
      <c r="M588" s="131"/>
      <c r="N588" s="131"/>
      <c r="O588" s="131"/>
      <c r="P588" s="131"/>
      <c r="Q588" s="131"/>
      <c r="AB588" s="33"/>
    </row>
    <row r="589" spans="1:28" ht="15.75" customHeight="1" x14ac:dyDescent="0.35">
      <c r="A589" s="149"/>
      <c r="B589" s="33"/>
      <c r="C589" s="150"/>
      <c r="D589" s="150"/>
      <c r="E589" s="151"/>
      <c r="F589" s="131"/>
      <c r="G589" s="131"/>
      <c r="M589" s="131"/>
      <c r="N589" s="131"/>
      <c r="O589" s="131"/>
      <c r="P589" s="131"/>
      <c r="Q589" s="131"/>
      <c r="AB589" s="33"/>
    </row>
    <row r="590" spans="1:28" ht="15.75" customHeight="1" x14ac:dyDescent="0.35">
      <c r="A590" s="149"/>
      <c r="B590" s="33"/>
      <c r="C590" s="150"/>
      <c r="D590" s="150"/>
      <c r="E590" s="151"/>
      <c r="F590" s="131"/>
      <c r="G590" s="131"/>
      <c r="M590" s="131"/>
      <c r="N590" s="131"/>
      <c r="O590" s="131"/>
      <c r="P590" s="131"/>
      <c r="Q590" s="131"/>
      <c r="AB590" s="33"/>
    </row>
    <row r="591" spans="1:28" ht="15.75" customHeight="1" x14ac:dyDescent="0.35">
      <c r="A591" s="149"/>
      <c r="B591" s="33"/>
      <c r="C591" s="150"/>
      <c r="D591" s="150"/>
      <c r="E591" s="151"/>
      <c r="F591" s="131"/>
      <c r="G591" s="131"/>
      <c r="M591" s="131"/>
      <c r="N591" s="131"/>
      <c r="O591" s="131"/>
      <c r="P591" s="131"/>
      <c r="Q591" s="131"/>
      <c r="AB591" s="33"/>
    </row>
    <row r="592" spans="1:28" ht="15.75" customHeight="1" x14ac:dyDescent="0.35">
      <c r="A592" s="149"/>
      <c r="B592" s="33"/>
      <c r="C592" s="150"/>
      <c r="D592" s="150"/>
      <c r="E592" s="151"/>
      <c r="F592" s="131"/>
      <c r="G592" s="131"/>
      <c r="M592" s="131"/>
      <c r="N592" s="131"/>
      <c r="O592" s="131"/>
      <c r="P592" s="131"/>
      <c r="Q592" s="131"/>
      <c r="AB592" s="33"/>
    </row>
    <row r="593" spans="1:28" ht="15.75" customHeight="1" x14ac:dyDescent="0.35">
      <c r="A593" s="149"/>
      <c r="B593" s="33"/>
      <c r="C593" s="150"/>
      <c r="D593" s="150"/>
      <c r="E593" s="151"/>
      <c r="F593" s="131"/>
      <c r="G593" s="131"/>
      <c r="M593" s="131"/>
      <c r="N593" s="131"/>
      <c r="O593" s="131"/>
      <c r="P593" s="131"/>
      <c r="Q593" s="131"/>
      <c r="AB593" s="33"/>
    </row>
    <row r="594" spans="1:28" ht="15.75" customHeight="1" x14ac:dyDescent="0.35">
      <c r="A594" s="149"/>
      <c r="B594" s="33"/>
      <c r="C594" s="150"/>
      <c r="D594" s="150"/>
      <c r="E594" s="151"/>
      <c r="F594" s="131"/>
      <c r="G594" s="131"/>
      <c r="M594" s="131"/>
      <c r="N594" s="131"/>
      <c r="O594" s="131"/>
      <c r="P594" s="131"/>
      <c r="Q594" s="131"/>
      <c r="AB594" s="33"/>
    </row>
    <row r="595" spans="1:28" ht="15.75" customHeight="1" x14ac:dyDescent="0.35">
      <c r="A595" s="149"/>
      <c r="B595" s="33"/>
      <c r="C595" s="150"/>
      <c r="D595" s="150"/>
      <c r="E595" s="151"/>
      <c r="F595" s="131"/>
      <c r="G595" s="131"/>
      <c r="M595" s="131"/>
      <c r="N595" s="131"/>
      <c r="O595" s="131"/>
      <c r="P595" s="131"/>
      <c r="Q595" s="131"/>
      <c r="AB595" s="33"/>
    </row>
    <row r="596" spans="1:28" ht="15.75" customHeight="1" x14ac:dyDescent="0.35">
      <c r="A596" s="149"/>
      <c r="B596" s="33"/>
      <c r="C596" s="150"/>
      <c r="D596" s="150"/>
      <c r="E596" s="151"/>
      <c r="F596" s="131"/>
      <c r="G596" s="131"/>
      <c r="M596" s="131"/>
      <c r="N596" s="131"/>
      <c r="O596" s="131"/>
      <c r="P596" s="131"/>
      <c r="Q596" s="131"/>
      <c r="AB596" s="33"/>
    </row>
    <row r="597" spans="1:28" ht="15.75" customHeight="1" x14ac:dyDescent="0.35">
      <c r="A597" s="149"/>
      <c r="B597" s="33"/>
      <c r="C597" s="150"/>
      <c r="D597" s="150"/>
      <c r="E597" s="151"/>
      <c r="F597" s="131"/>
      <c r="G597" s="131"/>
      <c r="M597" s="131"/>
      <c r="N597" s="131"/>
      <c r="O597" s="131"/>
      <c r="P597" s="131"/>
      <c r="Q597" s="131"/>
      <c r="AB597" s="33"/>
    </row>
    <row r="598" spans="1:28" ht="15.75" customHeight="1" x14ac:dyDescent="0.35">
      <c r="A598" s="149"/>
      <c r="B598" s="33"/>
      <c r="C598" s="150"/>
      <c r="D598" s="150"/>
      <c r="E598" s="151"/>
      <c r="F598" s="131"/>
      <c r="G598" s="131"/>
      <c r="M598" s="131"/>
      <c r="N598" s="131"/>
      <c r="O598" s="131"/>
      <c r="P598" s="131"/>
      <c r="Q598" s="131"/>
      <c r="AB598" s="33"/>
    </row>
    <row r="599" spans="1:28" ht="15.75" customHeight="1" x14ac:dyDescent="0.35">
      <c r="A599" s="149"/>
      <c r="B599" s="33"/>
      <c r="C599" s="150"/>
      <c r="D599" s="150"/>
      <c r="E599" s="151"/>
      <c r="F599" s="131"/>
      <c r="G599" s="131"/>
      <c r="M599" s="131"/>
      <c r="N599" s="131"/>
      <c r="O599" s="131"/>
      <c r="P599" s="131"/>
      <c r="Q599" s="131"/>
      <c r="AB599" s="33"/>
    </row>
    <row r="600" spans="1:28" ht="15.75" customHeight="1" x14ac:dyDescent="0.35">
      <c r="A600" s="149"/>
      <c r="B600" s="33"/>
      <c r="C600" s="150"/>
      <c r="D600" s="150"/>
      <c r="E600" s="151"/>
      <c r="F600" s="131"/>
      <c r="G600" s="131"/>
      <c r="M600" s="131"/>
      <c r="N600" s="131"/>
      <c r="O600" s="131"/>
      <c r="P600" s="131"/>
      <c r="Q600" s="131"/>
      <c r="AB600" s="33"/>
    </row>
    <row r="601" spans="1:28" ht="15.75" customHeight="1" x14ac:dyDescent="0.35">
      <c r="A601" s="149"/>
      <c r="B601" s="33"/>
      <c r="C601" s="150"/>
      <c r="D601" s="150"/>
      <c r="E601" s="151"/>
      <c r="F601" s="131"/>
      <c r="G601" s="131"/>
      <c r="M601" s="131"/>
      <c r="N601" s="131"/>
      <c r="O601" s="131"/>
      <c r="P601" s="131"/>
      <c r="Q601" s="131"/>
      <c r="AB601" s="33"/>
    </row>
    <row r="602" spans="1:28" ht="15.75" customHeight="1" x14ac:dyDescent="0.35">
      <c r="A602" s="149"/>
      <c r="B602" s="33"/>
      <c r="C602" s="150"/>
      <c r="D602" s="150"/>
      <c r="E602" s="151"/>
      <c r="F602" s="131"/>
      <c r="G602" s="131"/>
      <c r="M602" s="131"/>
      <c r="N602" s="131"/>
      <c r="O602" s="131"/>
      <c r="P602" s="131"/>
      <c r="Q602" s="131"/>
      <c r="AB602" s="33"/>
    </row>
    <row r="603" spans="1:28" ht="15.75" customHeight="1" x14ac:dyDescent="0.35">
      <c r="A603" s="149"/>
      <c r="B603" s="33"/>
      <c r="C603" s="150"/>
      <c r="D603" s="150"/>
      <c r="E603" s="151"/>
      <c r="F603" s="131"/>
      <c r="G603" s="131"/>
      <c r="M603" s="131"/>
      <c r="N603" s="131"/>
      <c r="O603" s="131"/>
      <c r="P603" s="131"/>
      <c r="Q603" s="131"/>
      <c r="AB603" s="33"/>
    </row>
    <row r="604" spans="1:28" ht="15.75" customHeight="1" x14ac:dyDescent="0.35">
      <c r="A604" s="149"/>
      <c r="B604" s="33"/>
      <c r="C604" s="150"/>
      <c r="D604" s="150"/>
      <c r="E604" s="151"/>
      <c r="F604" s="131"/>
      <c r="G604" s="131"/>
      <c r="M604" s="131"/>
      <c r="N604" s="131"/>
      <c r="O604" s="131"/>
      <c r="P604" s="131"/>
      <c r="Q604" s="131"/>
      <c r="AB604" s="33"/>
    </row>
    <row r="605" spans="1:28" ht="15.75" customHeight="1" x14ac:dyDescent="0.35">
      <c r="A605" s="149"/>
      <c r="B605" s="33"/>
      <c r="C605" s="150"/>
      <c r="D605" s="150"/>
      <c r="E605" s="151"/>
      <c r="F605" s="131"/>
      <c r="G605" s="131"/>
      <c r="M605" s="131"/>
      <c r="N605" s="131"/>
      <c r="O605" s="131"/>
      <c r="P605" s="131"/>
      <c r="Q605" s="131"/>
      <c r="AB605" s="33"/>
    </row>
    <row r="606" spans="1:28" ht="15.75" customHeight="1" x14ac:dyDescent="0.35">
      <c r="A606" s="149"/>
      <c r="B606" s="33"/>
      <c r="C606" s="150"/>
      <c r="D606" s="150"/>
      <c r="E606" s="151"/>
      <c r="F606" s="131"/>
      <c r="G606" s="131"/>
      <c r="M606" s="131"/>
      <c r="N606" s="131"/>
      <c r="O606" s="131"/>
      <c r="P606" s="131"/>
      <c r="Q606" s="131"/>
      <c r="AB606" s="33"/>
    </row>
    <row r="607" spans="1:28" ht="15.75" customHeight="1" x14ac:dyDescent="0.35">
      <c r="A607" s="149"/>
      <c r="B607" s="33"/>
      <c r="C607" s="150"/>
      <c r="D607" s="150"/>
      <c r="E607" s="151"/>
      <c r="F607" s="131"/>
      <c r="G607" s="131"/>
      <c r="M607" s="131"/>
      <c r="N607" s="131"/>
      <c r="O607" s="131"/>
      <c r="P607" s="131"/>
      <c r="Q607" s="131"/>
      <c r="AB607" s="33"/>
    </row>
    <row r="608" spans="1:28" ht="15.75" customHeight="1" x14ac:dyDescent="0.35">
      <c r="A608" s="149"/>
      <c r="B608" s="33"/>
      <c r="C608" s="150"/>
      <c r="D608" s="150"/>
      <c r="E608" s="151"/>
      <c r="F608" s="131"/>
      <c r="G608" s="131"/>
      <c r="M608" s="131"/>
      <c r="N608" s="131"/>
      <c r="O608" s="131"/>
      <c r="P608" s="131"/>
      <c r="Q608" s="131"/>
      <c r="AB608" s="33"/>
    </row>
    <row r="609" spans="1:28" ht="15.75" customHeight="1" x14ac:dyDescent="0.35">
      <c r="A609" s="149"/>
      <c r="B609" s="33"/>
      <c r="C609" s="150"/>
      <c r="D609" s="150"/>
      <c r="E609" s="151"/>
      <c r="F609" s="131"/>
      <c r="G609" s="131"/>
      <c r="M609" s="131"/>
      <c r="N609" s="131"/>
      <c r="O609" s="131"/>
      <c r="P609" s="131"/>
      <c r="Q609" s="131"/>
      <c r="AB609" s="33"/>
    </row>
    <row r="610" spans="1:28" ht="15.75" customHeight="1" x14ac:dyDescent="0.35">
      <c r="A610" s="149"/>
      <c r="B610" s="33"/>
      <c r="C610" s="150"/>
      <c r="D610" s="150"/>
      <c r="E610" s="151"/>
      <c r="F610" s="131"/>
      <c r="G610" s="131"/>
      <c r="M610" s="131"/>
      <c r="N610" s="131"/>
      <c r="O610" s="131"/>
      <c r="P610" s="131"/>
      <c r="Q610" s="131"/>
      <c r="AB610" s="33"/>
    </row>
    <row r="611" spans="1:28" ht="15.75" customHeight="1" x14ac:dyDescent="0.35">
      <c r="A611" s="149"/>
      <c r="B611" s="33"/>
      <c r="C611" s="150"/>
      <c r="D611" s="150"/>
      <c r="E611" s="151"/>
      <c r="F611" s="131"/>
      <c r="G611" s="131"/>
      <c r="M611" s="131"/>
      <c r="N611" s="131"/>
      <c r="O611" s="131"/>
      <c r="P611" s="131"/>
      <c r="Q611" s="131"/>
      <c r="AB611" s="33"/>
    </row>
    <row r="612" spans="1:28" ht="15.75" customHeight="1" x14ac:dyDescent="0.35">
      <c r="A612" s="149"/>
      <c r="B612" s="33"/>
      <c r="C612" s="150"/>
      <c r="D612" s="150"/>
      <c r="E612" s="151"/>
      <c r="F612" s="131"/>
      <c r="G612" s="131"/>
      <c r="M612" s="131"/>
      <c r="N612" s="131"/>
      <c r="O612" s="131"/>
      <c r="P612" s="131"/>
      <c r="Q612" s="131"/>
      <c r="AB612" s="33"/>
    </row>
    <row r="613" spans="1:28" ht="15.75" customHeight="1" x14ac:dyDescent="0.35">
      <c r="A613" s="149"/>
      <c r="B613" s="33"/>
      <c r="C613" s="150"/>
      <c r="D613" s="150"/>
      <c r="E613" s="151"/>
      <c r="F613" s="131"/>
      <c r="G613" s="131"/>
      <c r="M613" s="131"/>
      <c r="N613" s="131"/>
      <c r="O613" s="131"/>
      <c r="P613" s="131"/>
      <c r="Q613" s="131"/>
      <c r="AB613" s="33"/>
    </row>
    <row r="614" spans="1:28" ht="15.75" customHeight="1" x14ac:dyDescent="0.35">
      <c r="A614" s="149"/>
      <c r="B614" s="33"/>
      <c r="C614" s="150"/>
      <c r="D614" s="150"/>
      <c r="E614" s="151"/>
      <c r="F614" s="131"/>
      <c r="G614" s="131"/>
      <c r="M614" s="131"/>
      <c r="N614" s="131"/>
      <c r="O614" s="131"/>
      <c r="P614" s="131"/>
      <c r="Q614" s="131"/>
      <c r="AB614" s="33"/>
    </row>
    <row r="615" spans="1:28" ht="15.75" customHeight="1" x14ac:dyDescent="0.35">
      <c r="A615" s="149"/>
      <c r="B615" s="33"/>
      <c r="C615" s="150"/>
      <c r="D615" s="150"/>
      <c r="E615" s="151"/>
      <c r="F615" s="131"/>
      <c r="G615" s="131"/>
      <c r="M615" s="131"/>
      <c r="N615" s="131"/>
      <c r="O615" s="131"/>
      <c r="P615" s="131"/>
      <c r="Q615" s="131"/>
      <c r="AB615" s="33"/>
    </row>
    <row r="616" spans="1:28" ht="15.75" customHeight="1" x14ac:dyDescent="0.35">
      <c r="A616" s="149"/>
      <c r="B616" s="33"/>
      <c r="C616" s="150"/>
      <c r="D616" s="150"/>
      <c r="E616" s="151"/>
      <c r="F616" s="131"/>
      <c r="G616" s="131"/>
      <c r="M616" s="131"/>
      <c r="N616" s="131"/>
      <c r="O616" s="131"/>
      <c r="P616" s="131"/>
      <c r="Q616" s="131"/>
      <c r="AB616" s="33"/>
    </row>
    <row r="617" spans="1:28" ht="15.75" customHeight="1" x14ac:dyDescent="0.35">
      <c r="A617" s="149"/>
      <c r="B617" s="33"/>
      <c r="C617" s="150"/>
      <c r="D617" s="150"/>
      <c r="E617" s="151"/>
      <c r="F617" s="131"/>
      <c r="G617" s="131"/>
      <c r="M617" s="131"/>
      <c r="N617" s="131"/>
      <c r="O617" s="131"/>
      <c r="P617" s="131"/>
      <c r="Q617" s="131"/>
      <c r="AB617" s="33"/>
    </row>
    <row r="618" spans="1:28" ht="15.75" customHeight="1" x14ac:dyDescent="0.35">
      <c r="A618" s="149"/>
      <c r="B618" s="33"/>
      <c r="C618" s="150"/>
      <c r="D618" s="150"/>
      <c r="E618" s="151"/>
      <c r="F618" s="131"/>
      <c r="G618" s="131"/>
      <c r="M618" s="131"/>
      <c r="N618" s="131"/>
      <c r="O618" s="131"/>
      <c r="P618" s="131"/>
      <c r="Q618" s="131"/>
      <c r="AB618" s="33"/>
    </row>
    <row r="619" spans="1:28" ht="15.75" customHeight="1" x14ac:dyDescent="0.35">
      <c r="A619" s="149"/>
      <c r="B619" s="33"/>
      <c r="C619" s="150"/>
      <c r="D619" s="150"/>
      <c r="E619" s="151"/>
      <c r="F619" s="131"/>
      <c r="G619" s="131"/>
      <c r="M619" s="131"/>
      <c r="N619" s="131"/>
      <c r="O619" s="131"/>
      <c r="P619" s="131"/>
      <c r="Q619" s="131"/>
      <c r="AB619" s="33"/>
    </row>
    <row r="620" spans="1:28" ht="15.75" customHeight="1" x14ac:dyDescent="0.35">
      <c r="A620" s="149"/>
      <c r="B620" s="33"/>
      <c r="C620" s="150"/>
      <c r="D620" s="150"/>
      <c r="E620" s="151"/>
      <c r="F620" s="131"/>
      <c r="G620" s="131"/>
      <c r="M620" s="131"/>
      <c r="N620" s="131"/>
      <c r="O620" s="131"/>
      <c r="P620" s="131"/>
      <c r="Q620" s="131"/>
      <c r="AB620" s="33"/>
    </row>
    <row r="621" spans="1:28" ht="15.75" customHeight="1" x14ac:dyDescent="0.35">
      <c r="A621" s="149"/>
      <c r="B621" s="33"/>
      <c r="C621" s="150"/>
      <c r="D621" s="150"/>
      <c r="E621" s="151"/>
      <c r="F621" s="131"/>
      <c r="G621" s="131"/>
      <c r="M621" s="131"/>
      <c r="N621" s="131"/>
      <c r="O621" s="131"/>
      <c r="P621" s="131"/>
      <c r="Q621" s="131"/>
      <c r="AB621" s="33"/>
    </row>
    <row r="622" spans="1:28" ht="15.75" customHeight="1" x14ac:dyDescent="0.35">
      <c r="A622" s="149"/>
      <c r="B622" s="33"/>
      <c r="C622" s="150"/>
      <c r="D622" s="150"/>
      <c r="E622" s="151"/>
      <c r="F622" s="131"/>
      <c r="G622" s="131"/>
      <c r="M622" s="131"/>
      <c r="N622" s="131"/>
      <c r="O622" s="131"/>
      <c r="P622" s="131"/>
      <c r="Q622" s="131"/>
      <c r="AB622" s="33"/>
    </row>
    <row r="623" spans="1:28" ht="15.75" customHeight="1" x14ac:dyDescent="0.35">
      <c r="A623" s="149"/>
      <c r="B623" s="33"/>
      <c r="C623" s="150"/>
      <c r="D623" s="150"/>
      <c r="E623" s="151"/>
      <c r="F623" s="131"/>
      <c r="G623" s="131"/>
      <c r="M623" s="131"/>
      <c r="N623" s="131"/>
      <c r="O623" s="131"/>
      <c r="P623" s="131"/>
      <c r="Q623" s="131"/>
      <c r="AB623" s="33"/>
    </row>
    <row r="624" spans="1:28" ht="15.75" customHeight="1" x14ac:dyDescent="0.35">
      <c r="A624" s="149"/>
      <c r="B624" s="33"/>
      <c r="C624" s="150"/>
      <c r="D624" s="150"/>
      <c r="E624" s="151"/>
      <c r="F624" s="131"/>
      <c r="G624" s="131"/>
      <c r="M624" s="131"/>
      <c r="N624" s="131"/>
      <c r="O624" s="131"/>
      <c r="P624" s="131"/>
      <c r="Q624" s="131"/>
      <c r="AB624" s="33"/>
    </row>
    <row r="625" spans="1:28" ht="15.75" customHeight="1" x14ac:dyDescent="0.35">
      <c r="A625" s="149"/>
      <c r="B625" s="33"/>
      <c r="C625" s="150"/>
      <c r="D625" s="150"/>
      <c r="E625" s="151"/>
      <c r="F625" s="131"/>
      <c r="G625" s="131"/>
      <c r="M625" s="131"/>
      <c r="N625" s="131"/>
      <c r="O625" s="131"/>
      <c r="P625" s="131"/>
      <c r="Q625" s="131"/>
      <c r="AB625" s="33"/>
    </row>
    <row r="626" spans="1:28" ht="15.75" customHeight="1" x14ac:dyDescent="0.35">
      <c r="A626" s="149"/>
      <c r="B626" s="33"/>
      <c r="C626" s="150"/>
      <c r="D626" s="150"/>
      <c r="E626" s="151"/>
      <c r="F626" s="131"/>
      <c r="G626" s="131"/>
      <c r="M626" s="131"/>
      <c r="N626" s="131"/>
      <c r="O626" s="131"/>
      <c r="P626" s="131"/>
      <c r="Q626" s="131"/>
      <c r="AB626" s="33"/>
    </row>
    <row r="627" spans="1:28" ht="15.75" customHeight="1" x14ac:dyDescent="0.35">
      <c r="A627" s="149"/>
      <c r="B627" s="33"/>
      <c r="C627" s="150"/>
      <c r="D627" s="150"/>
      <c r="E627" s="151"/>
      <c r="F627" s="131"/>
      <c r="G627" s="131"/>
      <c r="M627" s="131"/>
      <c r="N627" s="131"/>
      <c r="O627" s="131"/>
      <c r="P627" s="131"/>
      <c r="Q627" s="131"/>
      <c r="AB627" s="33"/>
    </row>
    <row r="628" spans="1:28" ht="15.75" customHeight="1" x14ac:dyDescent="0.35">
      <c r="A628" s="149"/>
      <c r="B628" s="33"/>
      <c r="C628" s="150"/>
      <c r="D628" s="150"/>
      <c r="E628" s="151"/>
      <c r="F628" s="131"/>
      <c r="G628" s="131"/>
      <c r="M628" s="131"/>
      <c r="N628" s="131"/>
      <c r="O628" s="131"/>
      <c r="P628" s="131"/>
      <c r="Q628" s="131"/>
      <c r="AB628" s="33"/>
    </row>
    <row r="629" spans="1:28" ht="15.75" customHeight="1" x14ac:dyDescent="0.35">
      <c r="A629" s="149"/>
      <c r="B629" s="33"/>
      <c r="C629" s="150"/>
      <c r="D629" s="150"/>
      <c r="E629" s="151"/>
      <c r="F629" s="131"/>
      <c r="G629" s="131"/>
      <c r="M629" s="131"/>
      <c r="N629" s="131"/>
      <c r="O629" s="131"/>
      <c r="P629" s="131"/>
      <c r="Q629" s="131"/>
      <c r="AB629" s="33"/>
    </row>
    <row r="630" spans="1:28" ht="15.75" customHeight="1" x14ac:dyDescent="0.35">
      <c r="A630" s="149"/>
      <c r="B630" s="33"/>
      <c r="C630" s="150"/>
      <c r="D630" s="150"/>
      <c r="E630" s="151"/>
      <c r="F630" s="131"/>
      <c r="G630" s="131"/>
      <c r="M630" s="131"/>
      <c r="N630" s="131"/>
      <c r="O630" s="131"/>
      <c r="P630" s="131"/>
      <c r="Q630" s="131"/>
      <c r="AB630" s="33"/>
    </row>
    <row r="631" spans="1:28" ht="15.75" customHeight="1" x14ac:dyDescent="0.35">
      <c r="A631" s="149"/>
      <c r="B631" s="33"/>
      <c r="C631" s="150"/>
      <c r="D631" s="150"/>
      <c r="E631" s="151"/>
      <c r="F631" s="131"/>
      <c r="G631" s="131"/>
      <c r="M631" s="131"/>
      <c r="N631" s="131"/>
      <c r="O631" s="131"/>
      <c r="P631" s="131"/>
      <c r="Q631" s="131"/>
      <c r="AB631" s="33"/>
    </row>
    <row r="632" spans="1:28" ht="15.75" customHeight="1" x14ac:dyDescent="0.35">
      <c r="A632" s="149"/>
      <c r="B632" s="33"/>
      <c r="C632" s="150"/>
      <c r="D632" s="150"/>
      <c r="E632" s="151"/>
      <c r="F632" s="131"/>
      <c r="G632" s="131"/>
      <c r="M632" s="131"/>
      <c r="N632" s="131"/>
      <c r="O632" s="131"/>
      <c r="P632" s="131"/>
      <c r="Q632" s="131"/>
      <c r="AB632" s="33"/>
    </row>
    <row r="633" spans="1:28" ht="15.75" customHeight="1" x14ac:dyDescent="0.35">
      <c r="A633" s="149"/>
      <c r="B633" s="33"/>
      <c r="C633" s="150"/>
      <c r="D633" s="150"/>
      <c r="E633" s="151"/>
      <c r="F633" s="131"/>
      <c r="G633" s="131"/>
      <c r="M633" s="131"/>
      <c r="N633" s="131"/>
      <c r="O633" s="131"/>
      <c r="P633" s="131"/>
      <c r="Q633" s="131"/>
      <c r="AB633" s="33"/>
    </row>
    <row r="634" spans="1:28" ht="15.75" customHeight="1" x14ac:dyDescent="0.35">
      <c r="A634" s="149"/>
      <c r="B634" s="33"/>
      <c r="C634" s="150"/>
      <c r="D634" s="150"/>
      <c r="E634" s="151"/>
      <c r="F634" s="131"/>
      <c r="G634" s="131"/>
      <c r="M634" s="131"/>
      <c r="N634" s="131"/>
      <c r="O634" s="131"/>
      <c r="P634" s="131"/>
      <c r="Q634" s="131"/>
      <c r="AB634" s="33"/>
    </row>
    <row r="635" spans="1:28" ht="15.75" customHeight="1" x14ac:dyDescent="0.35">
      <c r="A635" s="149"/>
      <c r="B635" s="33"/>
      <c r="C635" s="150"/>
      <c r="D635" s="150"/>
      <c r="E635" s="151"/>
      <c r="F635" s="131"/>
      <c r="G635" s="131"/>
      <c r="M635" s="131"/>
      <c r="N635" s="131"/>
      <c r="O635" s="131"/>
      <c r="P635" s="131"/>
      <c r="Q635" s="131"/>
      <c r="AB635" s="33"/>
    </row>
    <row r="636" spans="1:28" ht="15.75" customHeight="1" x14ac:dyDescent="0.35">
      <c r="A636" s="149"/>
      <c r="B636" s="33"/>
      <c r="C636" s="150"/>
      <c r="D636" s="150"/>
      <c r="E636" s="151"/>
      <c r="F636" s="131"/>
      <c r="G636" s="131"/>
      <c r="M636" s="131"/>
      <c r="N636" s="131"/>
      <c r="O636" s="131"/>
      <c r="P636" s="131"/>
      <c r="Q636" s="131"/>
      <c r="AB636" s="33"/>
    </row>
    <row r="637" spans="1:28" ht="15.75" customHeight="1" x14ac:dyDescent="0.35">
      <c r="A637" s="149"/>
      <c r="B637" s="33"/>
      <c r="C637" s="150"/>
      <c r="D637" s="150"/>
      <c r="E637" s="151"/>
      <c r="F637" s="131"/>
      <c r="G637" s="131"/>
      <c r="M637" s="131"/>
      <c r="N637" s="131"/>
      <c r="O637" s="131"/>
      <c r="P637" s="131"/>
      <c r="Q637" s="131"/>
      <c r="AB637" s="33"/>
    </row>
    <row r="638" spans="1:28" ht="15.75" customHeight="1" x14ac:dyDescent="0.35">
      <c r="A638" s="149"/>
      <c r="B638" s="33"/>
      <c r="C638" s="150"/>
      <c r="D638" s="150"/>
      <c r="E638" s="151"/>
      <c r="F638" s="131"/>
      <c r="G638" s="131"/>
      <c r="M638" s="131"/>
      <c r="N638" s="131"/>
      <c r="O638" s="131"/>
      <c r="P638" s="131"/>
      <c r="Q638" s="131"/>
      <c r="AB638" s="33"/>
    </row>
    <row r="639" spans="1:28" ht="15.75" customHeight="1" x14ac:dyDescent="0.35">
      <c r="A639" s="149"/>
      <c r="B639" s="33"/>
      <c r="C639" s="150"/>
      <c r="D639" s="150"/>
      <c r="E639" s="151"/>
      <c r="F639" s="131"/>
      <c r="G639" s="131"/>
      <c r="M639" s="131"/>
      <c r="N639" s="131"/>
      <c r="O639" s="131"/>
      <c r="P639" s="131"/>
      <c r="Q639" s="131"/>
      <c r="AB639" s="33"/>
    </row>
    <row r="640" spans="1:28" ht="15.75" customHeight="1" x14ac:dyDescent="0.35">
      <c r="A640" s="149"/>
      <c r="B640" s="33"/>
      <c r="C640" s="150"/>
      <c r="D640" s="150"/>
      <c r="E640" s="151"/>
      <c r="F640" s="131"/>
      <c r="G640" s="131"/>
      <c r="M640" s="131"/>
      <c r="N640" s="131"/>
      <c r="O640" s="131"/>
      <c r="P640" s="131"/>
      <c r="Q640" s="131"/>
      <c r="AB640" s="33"/>
    </row>
    <row r="641" spans="1:28" ht="15.75" customHeight="1" x14ac:dyDescent="0.35">
      <c r="A641" s="149"/>
      <c r="B641" s="33"/>
      <c r="C641" s="150"/>
      <c r="D641" s="150"/>
      <c r="E641" s="151"/>
      <c r="F641" s="131"/>
      <c r="G641" s="131"/>
      <c r="M641" s="131"/>
      <c r="N641" s="131"/>
      <c r="O641" s="131"/>
      <c r="P641" s="131"/>
      <c r="Q641" s="131"/>
      <c r="AB641" s="33"/>
    </row>
    <row r="642" spans="1:28" ht="15.75" customHeight="1" x14ac:dyDescent="0.35">
      <c r="A642" s="149"/>
      <c r="B642" s="33"/>
      <c r="C642" s="150"/>
      <c r="D642" s="150"/>
      <c r="E642" s="151"/>
      <c r="F642" s="131"/>
      <c r="G642" s="131"/>
      <c r="M642" s="131"/>
      <c r="N642" s="131"/>
      <c r="O642" s="131"/>
      <c r="P642" s="131"/>
      <c r="Q642" s="131"/>
      <c r="AB642" s="33"/>
    </row>
    <row r="643" spans="1:28" ht="15.75" customHeight="1" x14ac:dyDescent="0.35">
      <c r="A643" s="149"/>
      <c r="B643" s="33"/>
      <c r="C643" s="150"/>
      <c r="D643" s="150"/>
      <c r="E643" s="151"/>
      <c r="F643" s="131"/>
      <c r="G643" s="131"/>
      <c r="M643" s="131"/>
      <c r="N643" s="131"/>
      <c r="O643" s="131"/>
      <c r="P643" s="131"/>
      <c r="Q643" s="131"/>
      <c r="AB643" s="33"/>
    </row>
    <row r="644" spans="1:28" ht="15.75" customHeight="1" x14ac:dyDescent="0.35">
      <c r="A644" s="149"/>
      <c r="B644" s="33"/>
      <c r="C644" s="150"/>
      <c r="D644" s="150"/>
      <c r="E644" s="151"/>
      <c r="F644" s="131"/>
      <c r="G644" s="131"/>
      <c r="M644" s="131"/>
      <c r="N644" s="131"/>
      <c r="O644" s="131"/>
      <c r="P644" s="131"/>
      <c r="Q644" s="131"/>
      <c r="AB644" s="33"/>
    </row>
    <row r="645" spans="1:28" ht="15.75" customHeight="1" x14ac:dyDescent="0.35">
      <c r="A645" s="149"/>
      <c r="B645" s="33"/>
      <c r="C645" s="150"/>
      <c r="D645" s="150"/>
      <c r="E645" s="151"/>
      <c r="F645" s="131"/>
      <c r="G645" s="131"/>
      <c r="M645" s="131"/>
      <c r="N645" s="131"/>
      <c r="O645" s="131"/>
      <c r="P645" s="131"/>
      <c r="Q645" s="131"/>
      <c r="AB645" s="33"/>
    </row>
    <row r="646" spans="1:28" ht="15.75" customHeight="1" x14ac:dyDescent="0.35">
      <c r="A646" s="149"/>
      <c r="B646" s="33"/>
      <c r="C646" s="150"/>
      <c r="D646" s="150"/>
      <c r="E646" s="151"/>
      <c r="F646" s="131"/>
      <c r="G646" s="131"/>
      <c r="M646" s="131"/>
      <c r="N646" s="131"/>
      <c r="O646" s="131"/>
      <c r="P646" s="131"/>
      <c r="Q646" s="131"/>
      <c r="AB646" s="33"/>
    </row>
    <row r="647" spans="1:28" ht="15.75" customHeight="1" x14ac:dyDescent="0.35">
      <c r="A647" s="149"/>
      <c r="B647" s="33"/>
      <c r="C647" s="150"/>
      <c r="D647" s="150"/>
      <c r="E647" s="151"/>
      <c r="F647" s="131"/>
      <c r="G647" s="131"/>
      <c r="M647" s="131"/>
      <c r="N647" s="131"/>
      <c r="O647" s="131"/>
      <c r="P647" s="131"/>
      <c r="Q647" s="131"/>
      <c r="AB647" s="33"/>
    </row>
    <row r="648" spans="1:28" ht="15.75" customHeight="1" x14ac:dyDescent="0.35">
      <c r="A648" s="149"/>
      <c r="B648" s="33"/>
      <c r="C648" s="150"/>
      <c r="D648" s="150"/>
      <c r="E648" s="151"/>
      <c r="F648" s="131"/>
      <c r="G648" s="131"/>
      <c r="M648" s="131"/>
      <c r="N648" s="131"/>
      <c r="O648" s="131"/>
      <c r="P648" s="131"/>
      <c r="Q648" s="131"/>
      <c r="AB648" s="33"/>
    </row>
    <row r="649" spans="1:28" ht="15.75" customHeight="1" x14ac:dyDescent="0.35">
      <c r="A649" s="149"/>
      <c r="B649" s="33"/>
      <c r="C649" s="150"/>
      <c r="D649" s="150"/>
      <c r="E649" s="151"/>
      <c r="F649" s="131"/>
      <c r="G649" s="131"/>
      <c r="M649" s="131"/>
      <c r="N649" s="131"/>
      <c r="O649" s="131"/>
      <c r="P649" s="131"/>
      <c r="Q649" s="131"/>
      <c r="AB649" s="33"/>
    </row>
    <row r="650" spans="1:28" ht="15.75" customHeight="1" x14ac:dyDescent="0.35">
      <c r="A650" s="149"/>
      <c r="B650" s="33"/>
      <c r="C650" s="150"/>
      <c r="D650" s="150"/>
      <c r="E650" s="151"/>
      <c r="F650" s="131"/>
      <c r="G650" s="131"/>
      <c r="M650" s="131"/>
      <c r="N650" s="131"/>
      <c r="O650" s="131"/>
      <c r="P650" s="131"/>
      <c r="Q650" s="131"/>
      <c r="AB650" s="33"/>
    </row>
    <row r="651" spans="1:28" ht="15.75" customHeight="1" x14ac:dyDescent="0.35">
      <c r="A651" s="149"/>
      <c r="B651" s="33"/>
      <c r="C651" s="150"/>
      <c r="D651" s="150"/>
      <c r="E651" s="151"/>
      <c r="F651" s="131"/>
      <c r="G651" s="131"/>
      <c r="M651" s="131"/>
      <c r="N651" s="131"/>
      <c r="O651" s="131"/>
      <c r="P651" s="131"/>
      <c r="Q651" s="131"/>
      <c r="AB651" s="33"/>
    </row>
    <row r="652" spans="1:28" ht="15.75" customHeight="1" x14ac:dyDescent="0.35">
      <c r="A652" s="149"/>
      <c r="B652" s="33"/>
      <c r="C652" s="150"/>
      <c r="D652" s="150"/>
      <c r="E652" s="151"/>
      <c r="F652" s="131"/>
      <c r="G652" s="131"/>
      <c r="M652" s="131"/>
      <c r="N652" s="131"/>
      <c r="O652" s="131"/>
      <c r="P652" s="131"/>
      <c r="Q652" s="131"/>
      <c r="AB652" s="33"/>
    </row>
    <row r="653" spans="1:28" ht="15.75" customHeight="1" x14ac:dyDescent="0.35">
      <c r="A653" s="149"/>
      <c r="B653" s="33"/>
      <c r="C653" s="150"/>
      <c r="D653" s="150"/>
      <c r="E653" s="151"/>
      <c r="F653" s="131"/>
      <c r="G653" s="131"/>
      <c r="M653" s="131"/>
      <c r="N653" s="131"/>
      <c r="O653" s="131"/>
      <c r="P653" s="131"/>
      <c r="Q653" s="131"/>
      <c r="AB653" s="33"/>
    </row>
    <row r="654" spans="1:28" ht="15.75" customHeight="1" x14ac:dyDescent="0.35">
      <c r="A654" s="149"/>
      <c r="B654" s="33"/>
      <c r="C654" s="150"/>
      <c r="D654" s="150"/>
      <c r="E654" s="151"/>
      <c r="F654" s="131"/>
      <c r="G654" s="131"/>
      <c r="M654" s="131"/>
      <c r="N654" s="131"/>
      <c r="O654" s="131"/>
      <c r="P654" s="131"/>
      <c r="Q654" s="131"/>
      <c r="AB654" s="33"/>
    </row>
    <row r="655" spans="1:28" ht="15.75" customHeight="1" x14ac:dyDescent="0.35">
      <c r="A655" s="149"/>
      <c r="B655" s="33"/>
      <c r="C655" s="150"/>
      <c r="D655" s="150"/>
      <c r="E655" s="151"/>
      <c r="F655" s="131"/>
      <c r="G655" s="131"/>
      <c r="M655" s="131"/>
      <c r="N655" s="131"/>
      <c r="O655" s="131"/>
      <c r="P655" s="131"/>
      <c r="Q655" s="131"/>
      <c r="AB655" s="33"/>
    </row>
    <row r="656" spans="1:28" ht="15.75" customHeight="1" x14ac:dyDescent="0.35">
      <c r="A656" s="149"/>
      <c r="B656" s="33"/>
      <c r="C656" s="150"/>
      <c r="D656" s="150"/>
      <c r="E656" s="151"/>
      <c r="F656" s="131"/>
      <c r="G656" s="131"/>
      <c r="M656" s="131"/>
      <c r="N656" s="131"/>
      <c r="O656" s="131"/>
      <c r="P656" s="131"/>
      <c r="Q656" s="131"/>
      <c r="AB656" s="33"/>
    </row>
    <row r="657" spans="1:28" ht="15.75" customHeight="1" x14ac:dyDescent="0.35">
      <c r="A657" s="149"/>
      <c r="B657" s="33"/>
      <c r="C657" s="150"/>
      <c r="D657" s="150"/>
      <c r="E657" s="151"/>
      <c r="F657" s="131"/>
      <c r="G657" s="131"/>
      <c r="M657" s="131"/>
      <c r="N657" s="131"/>
      <c r="O657" s="131"/>
      <c r="P657" s="131"/>
      <c r="Q657" s="131"/>
      <c r="AB657" s="33"/>
    </row>
    <row r="658" spans="1:28" ht="15.75" customHeight="1" x14ac:dyDescent="0.35">
      <c r="A658" s="149"/>
      <c r="B658" s="33"/>
      <c r="C658" s="150"/>
      <c r="D658" s="150"/>
      <c r="E658" s="151"/>
      <c r="F658" s="131"/>
      <c r="G658" s="131"/>
      <c r="M658" s="131"/>
      <c r="N658" s="131"/>
      <c r="O658" s="131"/>
      <c r="P658" s="131"/>
      <c r="Q658" s="131"/>
      <c r="AB658" s="33"/>
    </row>
    <row r="659" spans="1:28" ht="15.75" customHeight="1" x14ac:dyDescent="0.35">
      <c r="A659" s="149"/>
      <c r="B659" s="33"/>
      <c r="C659" s="150"/>
      <c r="D659" s="150"/>
      <c r="E659" s="151"/>
      <c r="F659" s="131"/>
      <c r="G659" s="131"/>
      <c r="M659" s="131"/>
      <c r="N659" s="131"/>
      <c r="O659" s="131"/>
      <c r="P659" s="131"/>
      <c r="Q659" s="131"/>
      <c r="AB659" s="33"/>
    </row>
    <row r="660" spans="1:28" ht="15.75" customHeight="1" x14ac:dyDescent="0.35">
      <c r="A660" s="149"/>
      <c r="B660" s="33"/>
      <c r="C660" s="150"/>
      <c r="D660" s="150"/>
      <c r="E660" s="151"/>
      <c r="F660" s="131"/>
      <c r="G660" s="131"/>
      <c r="M660" s="131"/>
      <c r="N660" s="131"/>
      <c r="O660" s="131"/>
      <c r="P660" s="131"/>
      <c r="Q660" s="131"/>
      <c r="AB660" s="33"/>
    </row>
    <row r="661" spans="1:28" ht="15.75" customHeight="1" x14ac:dyDescent="0.35">
      <c r="A661" s="149"/>
      <c r="B661" s="33"/>
      <c r="C661" s="150"/>
      <c r="D661" s="150"/>
      <c r="E661" s="151"/>
      <c r="F661" s="131"/>
      <c r="G661" s="131"/>
      <c r="M661" s="131"/>
      <c r="N661" s="131"/>
      <c r="O661" s="131"/>
      <c r="P661" s="131"/>
      <c r="Q661" s="131"/>
      <c r="AB661" s="33"/>
    </row>
    <row r="662" spans="1:28" ht="15.75" customHeight="1" x14ac:dyDescent="0.35">
      <c r="A662" s="149"/>
      <c r="B662" s="33"/>
      <c r="C662" s="150"/>
      <c r="D662" s="150"/>
      <c r="E662" s="151"/>
      <c r="F662" s="131"/>
      <c r="G662" s="131"/>
      <c r="M662" s="131"/>
      <c r="N662" s="131"/>
      <c r="O662" s="131"/>
      <c r="P662" s="131"/>
      <c r="Q662" s="131"/>
      <c r="AB662" s="33"/>
    </row>
    <row r="663" spans="1:28" ht="15.75" customHeight="1" x14ac:dyDescent="0.35">
      <c r="A663" s="149"/>
      <c r="B663" s="33"/>
      <c r="C663" s="150"/>
      <c r="D663" s="150"/>
      <c r="E663" s="151"/>
      <c r="F663" s="131"/>
      <c r="G663" s="131"/>
      <c r="M663" s="131"/>
      <c r="N663" s="131"/>
      <c r="O663" s="131"/>
      <c r="P663" s="131"/>
      <c r="Q663" s="131"/>
      <c r="AB663" s="33"/>
    </row>
    <row r="664" spans="1:28" ht="15.75" customHeight="1" x14ac:dyDescent="0.35">
      <c r="A664" s="149"/>
      <c r="B664" s="33"/>
      <c r="C664" s="150"/>
      <c r="D664" s="150"/>
      <c r="E664" s="151"/>
      <c r="F664" s="131"/>
      <c r="G664" s="131"/>
      <c r="M664" s="131"/>
      <c r="N664" s="131"/>
      <c r="O664" s="131"/>
      <c r="P664" s="131"/>
      <c r="Q664" s="131"/>
      <c r="AB664" s="33"/>
    </row>
    <row r="665" spans="1:28" ht="15.75" customHeight="1" x14ac:dyDescent="0.35">
      <c r="A665" s="149"/>
      <c r="B665" s="33"/>
      <c r="C665" s="150"/>
      <c r="D665" s="150"/>
      <c r="E665" s="151"/>
      <c r="F665" s="131"/>
      <c r="G665" s="131"/>
      <c r="M665" s="131"/>
      <c r="N665" s="131"/>
      <c r="O665" s="131"/>
      <c r="P665" s="131"/>
      <c r="Q665" s="131"/>
      <c r="AB665" s="33"/>
    </row>
    <row r="666" spans="1:28" ht="15.75" customHeight="1" x14ac:dyDescent="0.35">
      <c r="A666" s="149"/>
      <c r="B666" s="33"/>
      <c r="C666" s="150"/>
      <c r="D666" s="150"/>
      <c r="E666" s="151"/>
      <c r="F666" s="131"/>
      <c r="G666" s="131"/>
      <c r="M666" s="131"/>
      <c r="N666" s="131"/>
      <c r="O666" s="131"/>
      <c r="P666" s="131"/>
      <c r="Q666" s="131"/>
      <c r="AB666" s="33"/>
    </row>
    <row r="667" spans="1:28" ht="15.75" customHeight="1" x14ac:dyDescent="0.35">
      <c r="A667" s="149"/>
      <c r="B667" s="33"/>
      <c r="C667" s="150"/>
      <c r="D667" s="150"/>
      <c r="E667" s="151"/>
      <c r="F667" s="131"/>
      <c r="G667" s="131"/>
      <c r="M667" s="131"/>
      <c r="N667" s="131"/>
      <c r="O667" s="131"/>
      <c r="P667" s="131"/>
      <c r="Q667" s="131"/>
      <c r="AB667" s="33"/>
    </row>
    <row r="668" spans="1:28" ht="15.75" customHeight="1" x14ac:dyDescent="0.35">
      <c r="A668" s="149"/>
      <c r="B668" s="33"/>
      <c r="C668" s="150"/>
      <c r="D668" s="150"/>
      <c r="E668" s="151"/>
      <c r="F668" s="131"/>
      <c r="G668" s="131"/>
      <c r="M668" s="131"/>
      <c r="N668" s="131"/>
      <c r="O668" s="131"/>
      <c r="P668" s="131"/>
      <c r="Q668" s="131"/>
      <c r="AB668" s="33"/>
    </row>
    <row r="669" spans="1:28" ht="15.75" customHeight="1" x14ac:dyDescent="0.35">
      <c r="A669" s="149"/>
      <c r="B669" s="33"/>
      <c r="C669" s="150"/>
      <c r="D669" s="150"/>
      <c r="E669" s="151"/>
      <c r="F669" s="131"/>
      <c r="G669" s="131"/>
      <c r="M669" s="131"/>
      <c r="N669" s="131"/>
      <c r="O669" s="131"/>
      <c r="P669" s="131"/>
      <c r="Q669" s="131"/>
      <c r="AB669" s="33"/>
    </row>
    <row r="670" spans="1:28" ht="15.75" customHeight="1" x14ac:dyDescent="0.35">
      <c r="A670" s="149"/>
      <c r="B670" s="33"/>
      <c r="C670" s="150"/>
      <c r="D670" s="150"/>
      <c r="E670" s="151"/>
      <c r="F670" s="131"/>
      <c r="G670" s="131"/>
      <c r="M670" s="131"/>
      <c r="N670" s="131"/>
      <c r="O670" s="131"/>
      <c r="P670" s="131"/>
      <c r="Q670" s="131"/>
      <c r="AB670" s="33"/>
    </row>
    <row r="671" spans="1:28" ht="15.75" customHeight="1" x14ac:dyDescent="0.35">
      <c r="A671" s="149"/>
      <c r="B671" s="33"/>
      <c r="C671" s="150"/>
      <c r="D671" s="150"/>
      <c r="E671" s="151"/>
      <c r="F671" s="131"/>
      <c r="G671" s="131"/>
      <c r="M671" s="131"/>
      <c r="N671" s="131"/>
      <c r="O671" s="131"/>
      <c r="P671" s="131"/>
      <c r="Q671" s="131"/>
      <c r="AB671" s="33"/>
    </row>
    <row r="672" spans="1:28" ht="15.75" customHeight="1" x14ac:dyDescent="0.35">
      <c r="A672" s="149"/>
      <c r="B672" s="33"/>
      <c r="C672" s="150"/>
      <c r="D672" s="150"/>
      <c r="E672" s="151"/>
      <c r="F672" s="131"/>
      <c r="G672" s="131"/>
      <c r="M672" s="131"/>
      <c r="N672" s="131"/>
      <c r="O672" s="131"/>
      <c r="P672" s="131"/>
      <c r="Q672" s="131"/>
      <c r="AB672" s="33"/>
    </row>
    <row r="673" spans="1:28" ht="15.75" customHeight="1" x14ac:dyDescent="0.35">
      <c r="A673" s="149"/>
      <c r="B673" s="33"/>
      <c r="C673" s="150"/>
      <c r="D673" s="150"/>
      <c r="E673" s="151"/>
      <c r="F673" s="131"/>
      <c r="G673" s="131"/>
      <c r="M673" s="131"/>
      <c r="N673" s="131"/>
      <c r="O673" s="131"/>
      <c r="P673" s="131"/>
      <c r="Q673" s="131"/>
      <c r="AB673" s="33"/>
    </row>
    <row r="674" spans="1:28" ht="15.75" customHeight="1" x14ac:dyDescent="0.35">
      <c r="A674" s="149"/>
      <c r="B674" s="33"/>
      <c r="C674" s="150"/>
      <c r="D674" s="150"/>
      <c r="E674" s="151"/>
      <c r="F674" s="131"/>
      <c r="G674" s="131"/>
      <c r="M674" s="131"/>
      <c r="N674" s="131"/>
      <c r="O674" s="131"/>
      <c r="P674" s="131"/>
      <c r="Q674" s="131"/>
      <c r="AB674" s="33"/>
    </row>
    <row r="675" spans="1:28" ht="15.75" customHeight="1" x14ac:dyDescent="0.35">
      <c r="A675" s="149"/>
      <c r="B675" s="33"/>
      <c r="C675" s="150"/>
      <c r="D675" s="150"/>
      <c r="E675" s="151"/>
      <c r="F675" s="131"/>
      <c r="G675" s="131"/>
      <c r="M675" s="131"/>
      <c r="N675" s="131"/>
      <c r="O675" s="131"/>
      <c r="P675" s="131"/>
      <c r="Q675" s="131"/>
      <c r="AB675" s="33"/>
    </row>
    <row r="676" spans="1:28" ht="15.75" customHeight="1" x14ac:dyDescent="0.35">
      <c r="A676" s="149"/>
      <c r="B676" s="33"/>
      <c r="C676" s="150"/>
      <c r="D676" s="150"/>
      <c r="E676" s="151"/>
      <c r="F676" s="131"/>
      <c r="G676" s="131"/>
      <c r="M676" s="131"/>
      <c r="N676" s="131"/>
      <c r="O676" s="131"/>
      <c r="P676" s="131"/>
      <c r="Q676" s="131"/>
      <c r="AB676" s="33"/>
    </row>
    <row r="677" spans="1:28" ht="15.75" customHeight="1" x14ac:dyDescent="0.35">
      <c r="A677" s="149"/>
      <c r="B677" s="33"/>
      <c r="C677" s="150"/>
      <c r="D677" s="150"/>
      <c r="E677" s="151"/>
      <c r="F677" s="131"/>
      <c r="G677" s="131"/>
      <c r="M677" s="131"/>
      <c r="N677" s="131"/>
      <c r="O677" s="131"/>
      <c r="P677" s="131"/>
      <c r="Q677" s="131"/>
      <c r="AB677" s="33"/>
    </row>
    <row r="678" spans="1:28" ht="15.75" customHeight="1" x14ac:dyDescent="0.35">
      <c r="A678" s="149"/>
      <c r="B678" s="33"/>
      <c r="C678" s="150"/>
      <c r="D678" s="150"/>
      <c r="E678" s="151"/>
      <c r="F678" s="131"/>
      <c r="G678" s="131"/>
      <c r="M678" s="131"/>
      <c r="N678" s="131"/>
      <c r="O678" s="131"/>
      <c r="P678" s="131"/>
      <c r="Q678" s="131"/>
      <c r="AB678" s="33"/>
    </row>
    <row r="679" spans="1:28" ht="15.75" customHeight="1" x14ac:dyDescent="0.35">
      <c r="A679" s="149"/>
      <c r="B679" s="33"/>
      <c r="C679" s="150"/>
      <c r="D679" s="150"/>
      <c r="E679" s="151"/>
      <c r="F679" s="131"/>
      <c r="G679" s="131"/>
      <c r="M679" s="131"/>
      <c r="N679" s="131"/>
      <c r="O679" s="131"/>
      <c r="P679" s="131"/>
      <c r="Q679" s="131"/>
      <c r="AB679" s="33"/>
    </row>
    <row r="680" spans="1:28" ht="15.75" customHeight="1" x14ac:dyDescent="0.35">
      <c r="A680" s="149"/>
      <c r="B680" s="33"/>
      <c r="C680" s="150"/>
      <c r="D680" s="150"/>
      <c r="E680" s="151"/>
      <c r="F680" s="131"/>
      <c r="G680" s="131"/>
      <c r="M680" s="131"/>
      <c r="N680" s="131"/>
      <c r="O680" s="131"/>
      <c r="P680" s="131"/>
      <c r="Q680" s="131"/>
      <c r="AB680" s="33"/>
    </row>
    <row r="681" spans="1:28" ht="15.75" customHeight="1" x14ac:dyDescent="0.35">
      <c r="A681" s="149"/>
      <c r="B681" s="33"/>
      <c r="C681" s="150"/>
      <c r="D681" s="150"/>
      <c r="E681" s="151"/>
      <c r="F681" s="131"/>
      <c r="G681" s="131"/>
      <c r="M681" s="131"/>
      <c r="N681" s="131"/>
      <c r="O681" s="131"/>
      <c r="P681" s="131"/>
      <c r="Q681" s="131"/>
      <c r="AB681" s="33"/>
    </row>
    <row r="682" spans="1:28" ht="15.75" customHeight="1" x14ac:dyDescent="0.35">
      <c r="A682" s="149"/>
      <c r="B682" s="33"/>
      <c r="C682" s="150"/>
      <c r="D682" s="150"/>
      <c r="E682" s="151"/>
      <c r="F682" s="131"/>
      <c r="G682" s="131"/>
      <c r="M682" s="131"/>
      <c r="N682" s="131"/>
      <c r="O682" s="131"/>
      <c r="P682" s="131"/>
      <c r="Q682" s="131"/>
      <c r="AB682" s="33"/>
    </row>
    <row r="683" spans="1:28" ht="15.75" customHeight="1" x14ac:dyDescent="0.35">
      <c r="A683" s="149"/>
      <c r="B683" s="33"/>
      <c r="C683" s="150"/>
      <c r="D683" s="150"/>
      <c r="E683" s="151"/>
      <c r="F683" s="131"/>
      <c r="G683" s="131"/>
      <c r="M683" s="131"/>
      <c r="N683" s="131"/>
      <c r="O683" s="131"/>
      <c r="P683" s="131"/>
      <c r="Q683" s="131"/>
      <c r="AB683" s="33"/>
    </row>
    <row r="684" spans="1:28" ht="15.75" customHeight="1" x14ac:dyDescent="0.35">
      <c r="A684" s="149"/>
      <c r="B684" s="33"/>
      <c r="C684" s="150"/>
      <c r="D684" s="150"/>
      <c r="E684" s="151"/>
      <c r="F684" s="131"/>
      <c r="G684" s="131"/>
      <c r="M684" s="131"/>
      <c r="N684" s="131"/>
      <c r="O684" s="131"/>
      <c r="P684" s="131"/>
      <c r="Q684" s="131"/>
      <c r="AB684" s="33"/>
    </row>
    <row r="685" spans="1:28" ht="15.75" customHeight="1" x14ac:dyDescent="0.35">
      <c r="A685" s="149"/>
      <c r="B685" s="33"/>
      <c r="C685" s="150"/>
      <c r="D685" s="150"/>
      <c r="E685" s="151"/>
      <c r="F685" s="131"/>
      <c r="G685" s="131"/>
      <c r="M685" s="131"/>
      <c r="N685" s="131"/>
      <c r="O685" s="131"/>
      <c r="P685" s="131"/>
      <c r="Q685" s="131"/>
      <c r="AB685" s="33"/>
    </row>
    <row r="686" spans="1:28" ht="15.75" customHeight="1" x14ac:dyDescent="0.35">
      <c r="A686" s="149"/>
      <c r="B686" s="33"/>
      <c r="C686" s="150"/>
      <c r="D686" s="150"/>
      <c r="E686" s="151"/>
      <c r="F686" s="131"/>
      <c r="G686" s="131"/>
      <c r="M686" s="131"/>
      <c r="N686" s="131"/>
      <c r="O686" s="131"/>
      <c r="P686" s="131"/>
      <c r="Q686" s="131"/>
      <c r="AB686" s="33"/>
    </row>
    <row r="687" spans="1:28" ht="15.75" customHeight="1" x14ac:dyDescent="0.35">
      <c r="A687" s="149"/>
      <c r="B687" s="33"/>
      <c r="C687" s="150"/>
      <c r="D687" s="150"/>
      <c r="E687" s="151"/>
      <c r="F687" s="131"/>
      <c r="G687" s="131"/>
      <c r="M687" s="131"/>
      <c r="N687" s="131"/>
      <c r="O687" s="131"/>
      <c r="P687" s="131"/>
      <c r="Q687" s="131"/>
      <c r="AB687" s="33"/>
    </row>
    <row r="688" spans="1:28" ht="15.75" customHeight="1" x14ac:dyDescent="0.35">
      <c r="A688" s="149"/>
      <c r="B688" s="33"/>
      <c r="C688" s="150"/>
      <c r="D688" s="150"/>
      <c r="E688" s="151"/>
      <c r="F688" s="131"/>
      <c r="G688" s="131"/>
      <c r="M688" s="131"/>
      <c r="N688" s="131"/>
      <c r="O688" s="131"/>
      <c r="P688" s="131"/>
      <c r="Q688" s="131"/>
      <c r="AB688" s="33"/>
    </row>
    <row r="689" spans="1:28" ht="15.75" customHeight="1" x14ac:dyDescent="0.35">
      <c r="A689" s="149"/>
      <c r="B689" s="33"/>
      <c r="C689" s="150"/>
      <c r="D689" s="150"/>
      <c r="E689" s="151"/>
      <c r="F689" s="131"/>
      <c r="G689" s="131"/>
      <c r="M689" s="131"/>
      <c r="N689" s="131"/>
      <c r="O689" s="131"/>
      <c r="P689" s="131"/>
      <c r="Q689" s="131"/>
      <c r="AB689" s="33"/>
    </row>
    <row r="690" spans="1:28" ht="15.75" customHeight="1" x14ac:dyDescent="0.35">
      <c r="A690" s="149"/>
      <c r="B690" s="33"/>
      <c r="C690" s="150"/>
      <c r="D690" s="150"/>
      <c r="E690" s="151"/>
      <c r="F690" s="131"/>
      <c r="G690" s="131"/>
      <c r="M690" s="131"/>
      <c r="N690" s="131"/>
      <c r="O690" s="131"/>
      <c r="P690" s="131"/>
      <c r="Q690" s="131"/>
      <c r="AB690" s="33"/>
    </row>
    <row r="691" spans="1:28" ht="15.75" customHeight="1" x14ac:dyDescent="0.35">
      <c r="A691" s="149"/>
      <c r="B691" s="33"/>
      <c r="C691" s="150"/>
      <c r="D691" s="150"/>
      <c r="E691" s="151"/>
      <c r="F691" s="131"/>
      <c r="G691" s="131"/>
      <c r="M691" s="131"/>
      <c r="N691" s="131"/>
      <c r="O691" s="131"/>
      <c r="P691" s="131"/>
      <c r="Q691" s="131"/>
      <c r="AB691" s="33"/>
    </row>
    <row r="692" spans="1:28" ht="15.75" customHeight="1" x14ac:dyDescent="0.35">
      <c r="A692" s="149"/>
      <c r="B692" s="33"/>
      <c r="C692" s="150"/>
      <c r="D692" s="150"/>
      <c r="E692" s="151"/>
      <c r="F692" s="131"/>
      <c r="G692" s="131"/>
      <c r="M692" s="131"/>
      <c r="N692" s="131"/>
      <c r="O692" s="131"/>
      <c r="P692" s="131"/>
      <c r="Q692" s="131"/>
      <c r="AB692" s="33"/>
    </row>
    <row r="693" spans="1:28" ht="15.75" customHeight="1" x14ac:dyDescent="0.35">
      <c r="A693" s="149"/>
      <c r="B693" s="33"/>
      <c r="C693" s="150"/>
      <c r="D693" s="150"/>
      <c r="E693" s="151"/>
      <c r="F693" s="131"/>
      <c r="G693" s="131"/>
      <c r="M693" s="131"/>
      <c r="N693" s="131"/>
      <c r="O693" s="131"/>
      <c r="P693" s="131"/>
      <c r="Q693" s="131"/>
      <c r="AB693" s="33"/>
    </row>
    <row r="694" spans="1:28" ht="15.75" customHeight="1" x14ac:dyDescent="0.35">
      <c r="A694" s="149"/>
      <c r="B694" s="33"/>
      <c r="C694" s="150"/>
      <c r="D694" s="150"/>
      <c r="E694" s="151"/>
      <c r="F694" s="131"/>
      <c r="G694" s="131"/>
      <c r="M694" s="131"/>
      <c r="N694" s="131"/>
      <c r="O694" s="131"/>
      <c r="P694" s="131"/>
      <c r="Q694" s="131"/>
      <c r="AB694" s="33"/>
    </row>
    <row r="695" spans="1:28" ht="15.75" customHeight="1" x14ac:dyDescent="0.35">
      <c r="A695" s="149"/>
      <c r="B695" s="33"/>
      <c r="C695" s="150"/>
      <c r="D695" s="150"/>
      <c r="E695" s="151"/>
      <c r="F695" s="131"/>
      <c r="G695" s="131"/>
      <c r="M695" s="131"/>
      <c r="N695" s="131"/>
      <c r="O695" s="131"/>
      <c r="P695" s="131"/>
      <c r="Q695" s="131"/>
      <c r="AB695" s="33"/>
    </row>
    <row r="696" spans="1:28" ht="15.75" customHeight="1" x14ac:dyDescent="0.35">
      <c r="A696" s="149"/>
      <c r="B696" s="33"/>
      <c r="C696" s="150"/>
      <c r="D696" s="150"/>
      <c r="E696" s="151"/>
      <c r="F696" s="131"/>
      <c r="G696" s="131"/>
      <c r="M696" s="131"/>
      <c r="N696" s="131"/>
      <c r="O696" s="131"/>
      <c r="P696" s="131"/>
      <c r="Q696" s="131"/>
      <c r="AB696" s="33"/>
    </row>
    <row r="697" spans="1:28" ht="15.75" customHeight="1" x14ac:dyDescent="0.35">
      <c r="A697" s="149"/>
      <c r="B697" s="33"/>
      <c r="C697" s="150"/>
      <c r="D697" s="150"/>
      <c r="E697" s="151"/>
      <c r="F697" s="131"/>
      <c r="G697" s="131"/>
      <c r="M697" s="131"/>
      <c r="N697" s="131"/>
      <c r="O697" s="131"/>
      <c r="P697" s="131"/>
      <c r="Q697" s="131"/>
      <c r="AB697" s="33"/>
    </row>
    <row r="698" spans="1:28" ht="15.75" customHeight="1" x14ac:dyDescent="0.35">
      <c r="A698" s="149"/>
      <c r="B698" s="33"/>
      <c r="C698" s="150"/>
      <c r="D698" s="150"/>
      <c r="E698" s="151"/>
      <c r="F698" s="131"/>
      <c r="G698" s="131"/>
      <c r="M698" s="131"/>
      <c r="N698" s="131"/>
      <c r="O698" s="131"/>
      <c r="P698" s="131"/>
      <c r="Q698" s="131"/>
      <c r="AB698" s="33"/>
    </row>
    <row r="699" spans="1:28" ht="15.75" customHeight="1" x14ac:dyDescent="0.35">
      <c r="A699" s="149"/>
      <c r="B699" s="33"/>
      <c r="C699" s="150"/>
      <c r="D699" s="150"/>
      <c r="E699" s="151"/>
      <c r="F699" s="131"/>
      <c r="G699" s="131"/>
      <c r="M699" s="131"/>
      <c r="N699" s="131"/>
      <c r="O699" s="131"/>
      <c r="P699" s="131"/>
      <c r="Q699" s="131"/>
      <c r="AB699" s="33"/>
    </row>
    <row r="700" spans="1:28" ht="15.75" customHeight="1" x14ac:dyDescent="0.35">
      <c r="A700" s="149"/>
      <c r="B700" s="33"/>
      <c r="C700" s="150"/>
      <c r="D700" s="150"/>
      <c r="E700" s="151"/>
      <c r="F700" s="131"/>
      <c r="G700" s="131"/>
      <c r="M700" s="131"/>
      <c r="N700" s="131"/>
      <c r="O700" s="131"/>
      <c r="P700" s="131"/>
      <c r="Q700" s="131"/>
      <c r="AB700" s="33"/>
    </row>
    <row r="701" spans="1:28" ht="15.75" customHeight="1" x14ac:dyDescent="0.35">
      <c r="A701" s="149"/>
      <c r="B701" s="33"/>
      <c r="C701" s="150"/>
      <c r="D701" s="150"/>
      <c r="E701" s="151"/>
      <c r="F701" s="131"/>
      <c r="G701" s="131"/>
      <c r="M701" s="131"/>
      <c r="N701" s="131"/>
      <c r="O701" s="131"/>
      <c r="P701" s="131"/>
      <c r="Q701" s="131"/>
      <c r="AB701" s="33"/>
    </row>
    <row r="702" spans="1:28" ht="15.75" customHeight="1" x14ac:dyDescent="0.35">
      <c r="A702" s="149"/>
      <c r="B702" s="33"/>
      <c r="C702" s="150"/>
      <c r="D702" s="150"/>
      <c r="E702" s="151"/>
      <c r="F702" s="131"/>
      <c r="G702" s="131"/>
      <c r="M702" s="131"/>
      <c r="N702" s="131"/>
      <c r="O702" s="131"/>
      <c r="P702" s="131"/>
      <c r="Q702" s="131"/>
      <c r="AB702" s="33"/>
    </row>
    <row r="703" spans="1:28" ht="15.75" customHeight="1" x14ac:dyDescent="0.35">
      <c r="A703" s="149"/>
      <c r="B703" s="33"/>
      <c r="C703" s="150"/>
      <c r="D703" s="150"/>
      <c r="E703" s="151"/>
      <c r="F703" s="131"/>
      <c r="G703" s="131"/>
      <c r="M703" s="131"/>
      <c r="N703" s="131"/>
      <c r="O703" s="131"/>
      <c r="P703" s="131"/>
      <c r="Q703" s="131"/>
      <c r="AB703" s="33"/>
    </row>
    <row r="704" spans="1:28" ht="15.75" customHeight="1" x14ac:dyDescent="0.35">
      <c r="A704" s="149"/>
      <c r="B704" s="33"/>
      <c r="C704" s="150"/>
      <c r="D704" s="150"/>
      <c r="E704" s="151"/>
      <c r="F704" s="131"/>
      <c r="G704" s="131"/>
      <c r="M704" s="131"/>
      <c r="N704" s="131"/>
      <c r="O704" s="131"/>
      <c r="P704" s="131"/>
      <c r="Q704" s="131"/>
      <c r="AB704" s="33"/>
    </row>
    <row r="705" spans="1:28" ht="15.75" customHeight="1" x14ac:dyDescent="0.35">
      <c r="A705" s="149"/>
      <c r="B705" s="33"/>
      <c r="C705" s="150"/>
      <c r="D705" s="150"/>
      <c r="E705" s="151"/>
      <c r="F705" s="131"/>
      <c r="G705" s="131"/>
      <c r="M705" s="131"/>
      <c r="N705" s="131"/>
      <c r="O705" s="131"/>
      <c r="P705" s="131"/>
      <c r="Q705" s="131"/>
      <c r="AB705" s="33"/>
    </row>
    <row r="706" spans="1:28" ht="15.75" customHeight="1" x14ac:dyDescent="0.35">
      <c r="A706" s="149"/>
      <c r="B706" s="33"/>
      <c r="C706" s="150"/>
      <c r="D706" s="150"/>
      <c r="E706" s="151"/>
      <c r="F706" s="131"/>
      <c r="G706" s="131"/>
      <c r="M706" s="131"/>
      <c r="N706" s="131"/>
      <c r="O706" s="131"/>
      <c r="P706" s="131"/>
      <c r="Q706" s="131"/>
      <c r="AB706" s="33"/>
    </row>
    <row r="707" spans="1:28" ht="15.75" customHeight="1" x14ac:dyDescent="0.35">
      <c r="A707" s="149"/>
      <c r="B707" s="33"/>
      <c r="C707" s="150"/>
      <c r="D707" s="150"/>
      <c r="E707" s="151"/>
      <c r="F707" s="131"/>
      <c r="G707" s="131"/>
      <c r="M707" s="131"/>
      <c r="N707" s="131"/>
      <c r="O707" s="131"/>
      <c r="P707" s="131"/>
      <c r="Q707" s="131"/>
      <c r="AB707" s="33"/>
    </row>
    <row r="708" spans="1:28" ht="15.75" customHeight="1" x14ac:dyDescent="0.35">
      <c r="A708" s="149"/>
      <c r="B708" s="33"/>
      <c r="C708" s="150"/>
      <c r="D708" s="150"/>
      <c r="E708" s="151"/>
      <c r="F708" s="131"/>
      <c r="G708" s="131"/>
      <c r="M708" s="131"/>
      <c r="N708" s="131"/>
      <c r="O708" s="131"/>
      <c r="P708" s="131"/>
      <c r="Q708" s="131"/>
      <c r="AB708" s="33"/>
    </row>
    <row r="709" spans="1:28" ht="15.75" customHeight="1" x14ac:dyDescent="0.35">
      <c r="A709" s="149"/>
      <c r="B709" s="33"/>
      <c r="C709" s="150"/>
      <c r="D709" s="150"/>
      <c r="E709" s="151"/>
      <c r="F709" s="131"/>
      <c r="G709" s="131"/>
      <c r="M709" s="131"/>
      <c r="N709" s="131"/>
      <c r="O709" s="131"/>
      <c r="P709" s="131"/>
      <c r="Q709" s="131"/>
      <c r="AB709" s="33"/>
    </row>
    <row r="710" spans="1:28" ht="15.75" customHeight="1" x14ac:dyDescent="0.35">
      <c r="A710" s="149"/>
      <c r="B710" s="33"/>
      <c r="C710" s="150"/>
      <c r="D710" s="150"/>
      <c r="E710" s="151"/>
      <c r="F710" s="131"/>
      <c r="G710" s="131"/>
      <c r="M710" s="131"/>
      <c r="N710" s="131"/>
      <c r="O710" s="131"/>
      <c r="P710" s="131"/>
      <c r="Q710" s="131"/>
      <c r="AB710" s="33"/>
    </row>
    <row r="711" spans="1:28" ht="15.75" customHeight="1" x14ac:dyDescent="0.35">
      <c r="A711" s="149"/>
      <c r="B711" s="33"/>
      <c r="C711" s="150"/>
      <c r="D711" s="150"/>
      <c r="E711" s="151"/>
      <c r="F711" s="131"/>
      <c r="G711" s="131"/>
      <c r="M711" s="131"/>
      <c r="N711" s="131"/>
      <c r="O711" s="131"/>
      <c r="P711" s="131"/>
      <c r="Q711" s="131"/>
      <c r="AB711" s="33"/>
    </row>
    <row r="712" spans="1:28" ht="15.75" customHeight="1" x14ac:dyDescent="0.35">
      <c r="A712" s="149"/>
      <c r="B712" s="33"/>
      <c r="C712" s="150"/>
      <c r="D712" s="150"/>
      <c r="E712" s="151"/>
      <c r="F712" s="131"/>
      <c r="G712" s="131"/>
      <c r="M712" s="131"/>
      <c r="N712" s="131"/>
      <c r="O712" s="131"/>
      <c r="P712" s="131"/>
      <c r="Q712" s="131"/>
      <c r="AB712" s="33"/>
    </row>
    <row r="713" spans="1:28" ht="15.75" customHeight="1" x14ac:dyDescent="0.35">
      <c r="A713" s="149"/>
      <c r="B713" s="33"/>
      <c r="C713" s="150"/>
      <c r="D713" s="150"/>
      <c r="E713" s="151"/>
      <c r="F713" s="131"/>
      <c r="G713" s="131"/>
      <c r="M713" s="131"/>
      <c r="N713" s="131"/>
      <c r="O713" s="131"/>
      <c r="P713" s="131"/>
      <c r="Q713" s="131"/>
      <c r="AB713" s="33"/>
    </row>
    <row r="714" spans="1:28" ht="15.75" customHeight="1" x14ac:dyDescent="0.35">
      <c r="A714" s="149"/>
      <c r="B714" s="33"/>
      <c r="C714" s="150"/>
      <c r="D714" s="150"/>
      <c r="E714" s="151"/>
      <c r="F714" s="131"/>
      <c r="G714" s="131"/>
      <c r="M714" s="131"/>
      <c r="N714" s="131"/>
      <c r="O714" s="131"/>
      <c r="P714" s="131"/>
      <c r="Q714" s="131"/>
      <c r="AB714" s="33"/>
    </row>
    <row r="715" spans="1:28" ht="15.75" customHeight="1" x14ac:dyDescent="0.35">
      <c r="A715" s="149"/>
      <c r="B715" s="33"/>
      <c r="C715" s="150"/>
      <c r="D715" s="150"/>
      <c r="E715" s="151"/>
      <c r="F715" s="131"/>
      <c r="G715" s="131"/>
      <c r="M715" s="131"/>
      <c r="N715" s="131"/>
      <c r="O715" s="131"/>
      <c r="P715" s="131"/>
      <c r="Q715" s="131"/>
      <c r="AB715" s="33"/>
    </row>
    <row r="716" spans="1:28" ht="15.75" customHeight="1" x14ac:dyDescent="0.35">
      <c r="A716" s="149"/>
      <c r="B716" s="33"/>
      <c r="C716" s="150"/>
      <c r="D716" s="150"/>
      <c r="E716" s="151"/>
      <c r="F716" s="131"/>
      <c r="G716" s="131"/>
      <c r="M716" s="131"/>
      <c r="N716" s="131"/>
      <c r="O716" s="131"/>
      <c r="P716" s="131"/>
      <c r="Q716" s="131"/>
      <c r="AB716" s="33"/>
    </row>
    <row r="717" spans="1:28" ht="15.75" customHeight="1" x14ac:dyDescent="0.35">
      <c r="A717" s="149"/>
      <c r="B717" s="33"/>
      <c r="C717" s="150"/>
      <c r="D717" s="150"/>
      <c r="E717" s="151"/>
      <c r="F717" s="131"/>
      <c r="G717" s="131"/>
      <c r="M717" s="131"/>
      <c r="N717" s="131"/>
      <c r="O717" s="131"/>
      <c r="P717" s="131"/>
      <c r="Q717" s="131"/>
      <c r="AB717" s="33"/>
    </row>
    <row r="718" spans="1:28" ht="15.75" customHeight="1" x14ac:dyDescent="0.35">
      <c r="A718" s="149"/>
      <c r="B718" s="33"/>
      <c r="C718" s="150"/>
      <c r="D718" s="150"/>
      <c r="E718" s="151"/>
      <c r="F718" s="131"/>
      <c r="G718" s="131"/>
      <c r="M718" s="131"/>
      <c r="N718" s="131"/>
      <c r="O718" s="131"/>
      <c r="P718" s="131"/>
      <c r="Q718" s="131"/>
      <c r="AB718" s="33"/>
    </row>
    <row r="719" spans="1:28" ht="15.75" customHeight="1" x14ac:dyDescent="0.35">
      <c r="A719" s="149"/>
      <c r="B719" s="33"/>
      <c r="C719" s="150"/>
      <c r="D719" s="150"/>
      <c r="E719" s="151"/>
      <c r="F719" s="131"/>
      <c r="G719" s="131"/>
      <c r="M719" s="131"/>
      <c r="N719" s="131"/>
      <c r="O719" s="131"/>
      <c r="P719" s="131"/>
      <c r="Q719" s="131"/>
      <c r="AB719" s="33"/>
    </row>
    <row r="720" spans="1:28" ht="15.75" customHeight="1" x14ac:dyDescent="0.35">
      <c r="A720" s="149"/>
      <c r="B720" s="33"/>
      <c r="C720" s="150"/>
      <c r="D720" s="150"/>
      <c r="E720" s="151"/>
      <c r="F720" s="131"/>
      <c r="G720" s="131"/>
      <c r="M720" s="131"/>
      <c r="N720" s="131"/>
      <c r="O720" s="131"/>
      <c r="P720" s="131"/>
      <c r="Q720" s="131"/>
      <c r="AB720" s="33"/>
    </row>
    <row r="721" spans="1:28" ht="15.75" customHeight="1" x14ac:dyDescent="0.35">
      <c r="A721" s="149"/>
      <c r="B721" s="33"/>
      <c r="C721" s="150"/>
      <c r="D721" s="150"/>
      <c r="E721" s="151"/>
      <c r="F721" s="131"/>
      <c r="G721" s="131"/>
      <c r="M721" s="131"/>
      <c r="N721" s="131"/>
      <c r="O721" s="131"/>
      <c r="P721" s="131"/>
      <c r="Q721" s="131"/>
      <c r="AB721" s="33"/>
    </row>
    <row r="722" spans="1:28" ht="15.75" customHeight="1" x14ac:dyDescent="0.35">
      <c r="A722" s="149"/>
      <c r="B722" s="33"/>
      <c r="C722" s="150"/>
      <c r="D722" s="150"/>
      <c r="E722" s="151"/>
      <c r="F722" s="131"/>
      <c r="G722" s="131"/>
      <c r="M722" s="131"/>
      <c r="N722" s="131"/>
      <c r="O722" s="131"/>
      <c r="P722" s="131"/>
      <c r="Q722" s="131"/>
      <c r="AB722" s="33"/>
    </row>
    <row r="723" spans="1:28" ht="15.75" customHeight="1" x14ac:dyDescent="0.35">
      <c r="A723" s="149"/>
      <c r="B723" s="33"/>
      <c r="C723" s="150"/>
      <c r="D723" s="150"/>
      <c r="E723" s="151"/>
      <c r="F723" s="131"/>
      <c r="G723" s="131"/>
      <c r="M723" s="131"/>
      <c r="N723" s="131"/>
      <c r="O723" s="131"/>
      <c r="P723" s="131"/>
      <c r="Q723" s="131"/>
      <c r="AB723" s="33"/>
    </row>
    <row r="724" spans="1:28" ht="15.75" customHeight="1" x14ac:dyDescent="0.35">
      <c r="A724" s="149"/>
      <c r="B724" s="33"/>
      <c r="C724" s="150"/>
      <c r="D724" s="150"/>
      <c r="E724" s="151"/>
      <c r="F724" s="131"/>
      <c r="G724" s="131"/>
      <c r="M724" s="131"/>
      <c r="N724" s="131"/>
      <c r="O724" s="131"/>
      <c r="P724" s="131"/>
      <c r="Q724" s="131"/>
      <c r="AB724" s="33"/>
    </row>
    <row r="725" spans="1:28" ht="15.75" customHeight="1" x14ac:dyDescent="0.35">
      <c r="A725" s="149"/>
      <c r="B725" s="33"/>
      <c r="C725" s="150"/>
      <c r="D725" s="150"/>
      <c r="E725" s="151"/>
      <c r="F725" s="131"/>
      <c r="G725" s="131"/>
      <c r="M725" s="131"/>
      <c r="N725" s="131"/>
      <c r="O725" s="131"/>
      <c r="P725" s="131"/>
      <c r="Q725" s="131"/>
      <c r="AB725" s="33"/>
    </row>
  </sheetData>
  <mergeCells count="1">
    <mergeCell ref="F5:U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O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L13" sqref="L13"/>
    </sheetView>
  </sheetViews>
  <sheetFormatPr defaultColWidth="14.42578125" defaultRowHeight="17.25" x14ac:dyDescent="0.35"/>
  <cols>
    <col min="1" max="1" width="4.42578125" style="152" customWidth="1"/>
    <col min="2" max="2" width="15.7109375" style="29" customWidth="1"/>
    <col min="3" max="3" width="15.7109375" style="156" customWidth="1"/>
    <col min="4" max="5" width="15.7109375" style="132" customWidth="1"/>
    <col min="6" max="11" width="14.42578125" style="132"/>
    <col min="12" max="12" width="15.7109375" style="132" customWidth="1"/>
    <col min="13" max="13" width="42.140625" style="29" customWidth="1"/>
    <col min="14" max="14" width="14.42578125" style="29"/>
    <col min="15" max="15" width="14.42578125" style="132"/>
    <col min="16" max="16384" width="14.42578125" style="29"/>
  </cols>
  <sheetData>
    <row r="1" spans="1:15" ht="23.25" x14ac:dyDescent="0.35">
      <c r="A1" s="309" t="s">
        <v>74</v>
      </c>
      <c r="B1" s="302"/>
      <c r="C1" s="302"/>
      <c r="D1" s="302"/>
      <c r="E1"/>
    </row>
    <row r="2" spans="1:15" ht="19.5" customHeight="1" x14ac:dyDescent="0.35">
      <c r="A2" s="149"/>
      <c r="B2" s="33"/>
      <c r="C2" s="155"/>
    </row>
    <row r="3" spans="1:15" ht="49.5" customHeight="1" x14ac:dyDescent="0.35">
      <c r="A3" s="149"/>
      <c r="B3" s="33"/>
      <c r="C3" s="155" t="s">
        <v>75</v>
      </c>
      <c r="D3" s="164" t="s">
        <v>80</v>
      </c>
      <c r="E3" s="164" t="s">
        <v>96</v>
      </c>
      <c r="F3" s="164" t="s">
        <v>169</v>
      </c>
      <c r="G3" s="164" t="s">
        <v>164</v>
      </c>
      <c r="H3" s="164" t="s">
        <v>64</v>
      </c>
      <c r="I3" s="164" t="s">
        <v>81</v>
      </c>
      <c r="J3" s="164" t="s">
        <v>93</v>
      </c>
      <c r="K3" s="164" t="s">
        <v>92</v>
      </c>
      <c r="L3" s="132" t="s">
        <v>48</v>
      </c>
      <c r="M3" s="162" t="s">
        <v>49</v>
      </c>
      <c r="N3" s="163"/>
      <c r="O3" s="132" t="s">
        <v>75</v>
      </c>
    </row>
    <row r="4" spans="1:15" ht="19.5" customHeight="1" x14ac:dyDescent="0.35">
      <c r="A4" s="149"/>
      <c r="B4" s="33" t="s">
        <v>34</v>
      </c>
      <c r="C4" s="155">
        <f>+O19</f>
        <v>162772.73333333334</v>
      </c>
      <c r="D4" s="132">
        <f>+' EXPENSES'!V37+' EXPENSES'!V42</f>
        <v>36513.706666666672</v>
      </c>
      <c r="F4" s="132">
        <v>400</v>
      </c>
      <c r="G4" s="132">
        <f>+' EXPENSES'!V65</f>
        <v>3881.25</v>
      </c>
      <c r="H4" s="132">
        <f>+' EXPENSES'!V49</f>
        <v>1030</v>
      </c>
      <c r="K4" s="132">
        <f>SUM(D4:J4)</f>
        <v>41824.956666666672</v>
      </c>
      <c r="L4" s="132">
        <f>+C4+K4</f>
        <v>204597.69</v>
      </c>
      <c r="M4" s="210" t="s">
        <v>72</v>
      </c>
      <c r="N4" s="219">
        <v>320301.15333333332</v>
      </c>
      <c r="O4" s="148">
        <f t="shared" ref="O4:O18" si="0">+N4/4</f>
        <v>80075.28833333333</v>
      </c>
    </row>
    <row r="5" spans="1:15" ht="19.5" customHeight="1" x14ac:dyDescent="0.35">
      <c r="A5" s="149"/>
      <c r="B5" s="33" t="s">
        <v>41</v>
      </c>
      <c r="C5" s="155">
        <f>+C4</f>
        <v>162772.73333333334</v>
      </c>
      <c r="D5" s="132">
        <f>+' EXPENSES'!W37+' EXPENSES'!W42</f>
        <v>67807.913333333345</v>
      </c>
      <c r="F5" s="132">
        <v>800</v>
      </c>
      <c r="G5" s="132">
        <f>+' EXPENSES'!W65</f>
        <v>7762.5</v>
      </c>
      <c r="I5" s="132">
        <f>+' EXPENSES'!W87</f>
        <v>0</v>
      </c>
      <c r="K5" s="132">
        <f t="shared" ref="K5:K7" si="1">SUM(D5:J5)</f>
        <v>76370.413333333345</v>
      </c>
      <c r="L5" s="132">
        <f>+C5+K5</f>
        <v>239143.14666666667</v>
      </c>
      <c r="M5" s="210" t="s">
        <v>53</v>
      </c>
      <c r="N5" s="219">
        <v>21000</v>
      </c>
      <c r="O5" s="148">
        <f t="shared" si="0"/>
        <v>5250</v>
      </c>
    </row>
    <row r="6" spans="1:15" ht="19.5" customHeight="1" x14ac:dyDescent="0.35">
      <c r="A6" s="149"/>
      <c r="B6" s="33" t="s">
        <v>35</v>
      </c>
      <c r="C6" s="155">
        <f>+C5</f>
        <v>162772.73333333334</v>
      </c>
      <c r="D6" s="132">
        <f>+' EXPENSES'!X37+' EXPENSES'!X42</f>
        <v>40272.266666666663</v>
      </c>
      <c r="F6" s="132">
        <v>1600</v>
      </c>
      <c r="G6" s="132">
        <f>+' EXPENSES'!X65</f>
        <v>15525</v>
      </c>
      <c r="H6" s="132">
        <f>+' EXPENSES'!X52</f>
        <v>0</v>
      </c>
      <c r="J6" s="132">
        <f>+' EXPENSES'!X47+' EXPENSES'!X75</f>
        <v>0</v>
      </c>
      <c r="K6" s="132">
        <f t="shared" si="1"/>
        <v>57397.266666666663</v>
      </c>
      <c r="L6" s="132">
        <f t="shared" ref="L6:L7" si="2">+C6+K6</f>
        <v>220170</v>
      </c>
      <c r="M6" s="210" t="s">
        <v>55</v>
      </c>
      <c r="N6" s="219">
        <v>3946</v>
      </c>
      <c r="O6" s="148">
        <f t="shared" si="0"/>
        <v>986.5</v>
      </c>
    </row>
    <row r="7" spans="1:15" ht="19.5" customHeight="1" x14ac:dyDescent="0.35">
      <c r="A7" s="149"/>
      <c r="B7" s="33" t="s">
        <v>36</v>
      </c>
      <c r="C7" s="155">
        <f>+C6</f>
        <v>162772.73333333334</v>
      </c>
      <c r="D7" s="132">
        <f>+' EXPENSES'!Y37+' EXPENSES'!Y42</f>
        <v>44850</v>
      </c>
      <c r="F7" s="132">
        <v>400</v>
      </c>
      <c r="G7" s="132">
        <f>+' EXPENSES'!Y65</f>
        <v>3881.25</v>
      </c>
      <c r="I7" s="132">
        <f>+' EXPENSES'!Y46+' EXPENSES'!Y31</f>
        <v>30856</v>
      </c>
      <c r="K7" s="132">
        <f t="shared" si="1"/>
        <v>79987.25</v>
      </c>
      <c r="L7" s="132">
        <f t="shared" si="2"/>
        <v>242759.98333333334</v>
      </c>
      <c r="M7" s="210" t="s">
        <v>73</v>
      </c>
      <c r="N7" s="219">
        <v>184126.8</v>
      </c>
      <c r="O7" s="148">
        <f t="shared" si="0"/>
        <v>46031.7</v>
      </c>
    </row>
    <row r="8" spans="1:15" ht="19.5" customHeight="1" x14ac:dyDescent="0.35">
      <c r="A8" s="149"/>
      <c r="B8" s="33"/>
      <c r="C8" s="155"/>
      <c r="L8" s="132">
        <f>SUM(L4:L7)</f>
        <v>906670.82000000007</v>
      </c>
      <c r="M8" s="210" t="s">
        <v>57</v>
      </c>
      <c r="N8" s="219">
        <v>62895.1</v>
      </c>
      <c r="O8" s="148">
        <f t="shared" si="0"/>
        <v>15723.775</v>
      </c>
    </row>
    <row r="9" spans="1:15" ht="19.5" customHeight="1" x14ac:dyDescent="0.35">
      <c r="A9" s="149"/>
      <c r="B9" s="33"/>
      <c r="C9" s="155"/>
      <c r="L9" s="132">
        <f>+' EXPENSES'!E4</f>
        <v>906670.82000000007</v>
      </c>
      <c r="M9" s="224" t="s">
        <v>58</v>
      </c>
      <c r="N9" s="219">
        <v>24273.599999999999</v>
      </c>
      <c r="O9" s="148">
        <f t="shared" si="0"/>
        <v>6068.4</v>
      </c>
    </row>
    <row r="10" spans="1:15" ht="19.5" customHeight="1" x14ac:dyDescent="0.35">
      <c r="A10" s="149"/>
      <c r="B10" s="33"/>
      <c r="C10" s="155"/>
      <c r="L10" s="132">
        <f>+L8-L9</f>
        <v>0</v>
      </c>
      <c r="M10" s="210" t="s">
        <v>59</v>
      </c>
      <c r="N10" s="219">
        <v>2424.6</v>
      </c>
      <c r="O10" s="148">
        <f t="shared" si="0"/>
        <v>606.15</v>
      </c>
    </row>
    <row r="11" spans="1:15" ht="19.5" customHeight="1" x14ac:dyDescent="0.35">
      <c r="A11" s="149"/>
      <c r="B11" s="33"/>
      <c r="C11" s="155"/>
      <c r="M11" s="210" t="s">
        <v>60</v>
      </c>
      <c r="N11" s="219">
        <v>0</v>
      </c>
      <c r="O11" s="148">
        <f t="shared" si="0"/>
        <v>0</v>
      </c>
    </row>
    <row r="12" spans="1:15" ht="19.5" customHeight="1" x14ac:dyDescent="0.35">
      <c r="A12" s="149"/>
      <c r="B12" s="33"/>
      <c r="C12" s="155"/>
      <c r="L12" s="132">
        <f>+L9/63.25/4</f>
        <v>3583.679130434783</v>
      </c>
      <c r="M12" s="210" t="s">
        <v>91</v>
      </c>
      <c r="N12" s="219">
        <v>0</v>
      </c>
      <c r="O12" s="148">
        <f t="shared" si="0"/>
        <v>0</v>
      </c>
    </row>
    <row r="13" spans="1:15" ht="19.5" customHeight="1" x14ac:dyDescent="0.35">
      <c r="A13" s="149"/>
      <c r="B13" s="33"/>
      <c r="C13" s="155"/>
      <c r="M13" s="210" t="s">
        <v>61</v>
      </c>
      <c r="N13" s="219">
        <v>0</v>
      </c>
      <c r="O13" s="148">
        <f t="shared" si="0"/>
        <v>0</v>
      </c>
    </row>
    <row r="14" spans="1:15" ht="19.5" customHeight="1" x14ac:dyDescent="0.35">
      <c r="A14" s="149"/>
      <c r="B14" s="33"/>
      <c r="C14" s="155"/>
      <c r="M14" s="210" t="s">
        <v>62</v>
      </c>
      <c r="N14" s="219">
        <v>5125.68</v>
      </c>
      <c r="O14" s="148">
        <f t="shared" si="0"/>
        <v>1281.42</v>
      </c>
    </row>
    <row r="15" spans="1:15" ht="19.5" customHeight="1" x14ac:dyDescent="0.35">
      <c r="A15" s="149"/>
      <c r="B15" s="33"/>
      <c r="C15" s="155"/>
      <c r="M15" s="210" t="s">
        <v>63</v>
      </c>
      <c r="N15" s="219">
        <v>14263</v>
      </c>
      <c r="O15" s="148">
        <f t="shared" si="0"/>
        <v>3565.75</v>
      </c>
    </row>
    <row r="16" spans="1:15" ht="19.5" customHeight="1" x14ac:dyDescent="0.35">
      <c r="A16" s="149"/>
      <c r="B16" s="33"/>
      <c r="C16" s="155"/>
      <c r="M16" s="210" t="s">
        <v>64</v>
      </c>
      <c r="N16" s="219">
        <v>12735</v>
      </c>
      <c r="O16" s="148">
        <f t="shared" si="0"/>
        <v>3183.75</v>
      </c>
    </row>
    <row r="17" spans="1:15" ht="19.5" customHeight="1" x14ac:dyDescent="0.35">
      <c r="A17" s="149"/>
      <c r="B17" s="33"/>
      <c r="C17" s="155"/>
      <c r="M17" s="187" t="s">
        <v>65</v>
      </c>
      <c r="N17" s="219">
        <v>0</v>
      </c>
      <c r="O17" s="148">
        <f t="shared" si="0"/>
        <v>0</v>
      </c>
    </row>
    <row r="18" spans="1:15" ht="19.5" customHeight="1" x14ac:dyDescent="0.35">
      <c r="A18" s="149"/>
      <c r="B18" s="33"/>
      <c r="C18" s="155"/>
      <c r="M18" s="210" t="s">
        <v>101</v>
      </c>
      <c r="N18" s="219">
        <v>0</v>
      </c>
      <c r="O18" s="148">
        <f t="shared" si="0"/>
        <v>0</v>
      </c>
    </row>
    <row r="19" spans="1:15" ht="19.5" customHeight="1" x14ac:dyDescent="0.35">
      <c r="A19" s="149"/>
      <c r="B19" s="33"/>
      <c r="C19" s="155"/>
      <c r="M19" s="210"/>
      <c r="N19" s="219">
        <f>SUM(N4:N18)</f>
        <v>651090.93333333335</v>
      </c>
      <c r="O19" s="148">
        <f>SUM(O4:O18)</f>
        <v>162772.73333333334</v>
      </c>
    </row>
    <row r="20" spans="1:15" ht="19.5" customHeight="1" x14ac:dyDescent="0.35">
      <c r="A20" s="149"/>
      <c r="B20" s="33"/>
      <c r="C20" s="155"/>
      <c r="M20" s="210"/>
      <c r="N20" s="219"/>
      <c r="O20" s="148"/>
    </row>
    <row r="21" spans="1:15" ht="19.5" customHeight="1" x14ac:dyDescent="0.35">
      <c r="A21" s="149"/>
      <c r="B21" s="33"/>
      <c r="C21" s="155"/>
      <c r="M21" s="210"/>
      <c r="N21" s="219"/>
      <c r="O21" s="148"/>
    </row>
    <row r="22" spans="1:15" ht="19.5" customHeight="1" x14ac:dyDescent="0.35">
      <c r="A22" s="149"/>
      <c r="B22" s="33"/>
      <c r="C22" s="155"/>
      <c r="M22" s="210"/>
      <c r="N22" s="219"/>
      <c r="O22" s="148"/>
    </row>
    <row r="23" spans="1:15" ht="19.5" customHeight="1" x14ac:dyDescent="0.35">
      <c r="A23" s="149"/>
      <c r="B23" s="33"/>
      <c r="C23" s="155"/>
      <c r="M23" s="210"/>
      <c r="N23" s="163"/>
      <c r="O23" s="148"/>
    </row>
    <row r="24" spans="1:15" ht="19.5" customHeight="1" x14ac:dyDescent="0.35">
      <c r="A24" s="149"/>
      <c r="B24" s="33"/>
      <c r="C24" s="155"/>
      <c r="M24" s="210" t="s">
        <v>66</v>
      </c>
      <c r="N24" s="148">
        <f>+' EXPENSES'!V91</f>
        <v>41824.956666666672</v>
      </c>
      <c r="O24" s="148">
        <f>+N24</f>
        <v>41824.956666666672</v>
      </c>
    </row>
    <row r="25" spans="1:15" ht="19.5" customHeight="1" x14ac:dyDescent="0.35">
      <c r="A25" s="149"/>
      <c r="B25" s="33"/>
      <c r="C25" s="155"/>
      <c r="M25" s="210" t="s">
        <v>67</v>
      </c>
      <c r="N25" s="148">
        <f>+' EXPENSES'!E111</f>
        <v>76370.413333333345</v>
      </c>
      <c r="O25" s="148">
        <f>+N25</f>
        <v>76370.413333333345</v>
      </c>
    </row>
    <row r="26" spans="1:15" ht="19.5" customHeight="1" x14ac:dyDescent="0.35">
      <c r="A26" s="149"/>
      <c r="B26" s="33"/>
      <c r="C26" s="155"/>
      <c r="M26" s="210" t="s">
        <v>68</v>
      </c>
      <c r="N26" s="148">
        <f>+' EXPENSES'!E112</f>
        <v>57397.266666666663</v>
      </c>
      <c r="O26" s="148">
        <f>+N26</f>
        <v>57397.266666666663</v>
      </c>
    </row>
    <row r="27" spans="1:15" ht="19.5" customHeight="1" x14ac:dyDescent="0.35">
      <c r="A27" s="149"/>
      <c r="B27" s="33"/>
      <c r="C27" s="155"/>
      <c r="M27" s="210" t="s">
        <v>69</v>
      </c>
      <c r="N27" s="148">
        <f>+' EXPENSES'!Y91</f>
        <v>79987.25</v>
      </c>
      <c r="O27" s="148">
        <f>+N27</f>
        <v>79987.25</v>
      </c>
    </row>
    <row r="28" spans="1:15" ht="19.5" customHeight="1" x14ac:dyDescent="0.35">
      <c r="A28" s="149"/>
      <c r="B28" s="33"/>
      <c r="C28" s="155"/>
      <c r="N28" s="132">
        <f>+N19+N24+N25+N26+N27</f>
        <v>906670.82000000007</v>
      </c>
    </row>
    <row r="29" spans="1:15" ht="19.5" customHeight="1" x14ac:dyDescent="0.35">
      <c r="A29" s="149"/>
      <c r="B29" s="33"/>
      <c r="C29" s="155"/>
    </row>
    <row r="30" spans="1:15" ht="19.5" customHeight="1" x14ac:dyDescent="0.35">
      <c r="A30" s="149"/>
      <c r="B30" s="33"/>
      <c r="C30" s="155"/>
      <c r="N30" s="132">
        <f>+' EXPENSES'!E115</f>
        <v>906674.91999999993</v>
      </c>
    </row>
    <row r="31" spans="1:15" ht="19.5" customHeight="1" x14ac:dyDescent="0.35">
      <c r="A31" s="149"/>
      <c r="B31" s="33"/>
      <c r="C31" s="155"/>
      <c r="N31" s="132">
        <f>+N28-N30</f>
        <v>-4.0999999998603016</v>
      </c>
    </row>
    <row r="32" spans="1:15" ht="19.5" customHeight="1" x14ac:dyDescent="0.35">
      <c r="A32" s="149"/>
      <c r="B32" s="33"/>
      <c r="C32" s="155"/>
    </row>
    <row r="33" spans="1:3" ht="19.5" customHeight="1" x14ac:dyDescent="0.35">
      <c r="A33" s="149"/>
      <c r="B33" s="33"/>
      <c r="C33" s="155"/>
    </row>
    <row r="34" spans="1:3" ht="19.5" customHeight="1" x14ac:dyDescent="0.35">
      <c r="A34" s="149"/>
      <c r="B34" s="33"/>
      <c r="C34" s="155"/>
    </row>
    <row r="35" spans="1:3" ht="19.5" customHeight="1" x14ac:dyDescent="0.35">
      <c r="A35" s="149"/>
      <c r="B35" s="33"/>
      <c r="C35" s="155"/>
    </row>
    <row r="36" spans="1:3" ht="19.5" customHeight="1" x14ac:dyDescent="0.35">
      <c r="A36" s="149"/>
      <c r="B36" s="33"/>
      <c r="C36" s="155"/>
    </row>
    <row r="37" spans="1:3" ht="19.5" customHeight="1" x14ac:dyDescent="0.35">
      <c r="A37" s="149"/>
      <c r="B37" s="33"/>
      <c r="C37" s="155"/>
    </row>
    <row r="38" spans="1:3" ht="19.5" customHeight="1" x14ac:dyDescent="0.35">
      <c r="A38" s="149"/>
      <c r="B38" s="33"/>
      <c r="C38" s="155"/>
    </row>
    <row r="39" spans="1:3" ht="19.5" customHeight="1" x14ac:dyDescent="0.35">
      <c r="A39" s="149"/>
      <c r="B39" s="33"/>
      <c r="C39" s="155"/>
    </row>
    <row r="40" spans="1:3" ht="19.5" customHeight="1" x14ac:dyDescent="0.35">
      <c r="A40" s="149"/>
      <c r="B40" s="33"/>
      <c r="C40" s="155"/>
    </row>
    <row r="41" spans="1:3" ht="19.5" customHeight="1" x14ac:dyDescent="0.35">
      <c r="A41" s="149"/>
      <c r="B41" s="33"/>
      <c r="C41" s="155"/>
    </row>
    <row r="42" spans="1:3" ht="19.5" customHeight="1" x14ac:dyDescent="0.35">
      <c r="A42" s="149"/>
      <c r="B42" s="33"/>
      <c r="C42" s="155"/>
    </row>
    <row r="43" spans="1:3" ht="19.5" customHeight="1" x14ac:dyDescent="0.35">
      <c r="A43" s="149"/>
      <c r="B43" s="33"/>
      <c r="C43" s="155"/>
    </row>
    <row r="44" spans="1:3" ht="15.75" customHeight="1" x14ac:dyDescent="0.35">
      <c r="A44" s="149"/>
      <c r="B44" s="33"/>
      <c r="C44" s="155"/>
    </row>
    <row r="45" spans="1:3" ht="15.75" customHeight="1" x14ac:dyDescent="0.35">
      <c r="A45" s="149"/>
      <c r="B45" s="33"/>
      <c r="C45" s="155"/>
    </row>
    <row r="46" spans="1:3" ht="15.75" customHeight="1" x14ac:dyDescent="0.35">
      <c r="A46" s="149"/>
      <c r="B46" s="33"/>
      <c r="C46" s="155"/>
    </row>
    <row r="47" spans="1:3" ht="15.75" customHeight="1" x14ac:dyDescent="0.35">
      <c r="A47" s="149"/>
      <c r="B47" s="33"/>
      <c r="C47" s="155"/>
    </row>
    <row r="48" spans="1:3" ht="15.75" customHeight="1" x14ac:dyDescent="0.35">
      <c r="A48" s="149"/>
      <c r="B48" s="33"/>
      <c r="C48" s="155"/>
    </row>
    <row r="49" spans="1:3" ht="15.75" customHeight="1" x14ac:dyDescent="0.35">
      <c r="A49" s="149"/>
      <c r="B49" s="33"/>
      <c r="C49" s="155"/>
    </row>
    <row r="50" spans="1:3" ht="15.75" customHeight="1" x14ac:dyDescent="0.35">
      <c r="A50" s="149"/>
      <c r="B50" s="33"/>
      <c r="C50" s="155"/>
    </row>
    <row r="51" spans="1:3" ht="15.75" customHeight="1" x14ac:dyDescent="0.35">
      <c r="A51" s="149"/>
      <c r="B51" s="33"/>
      <c r="C51" s="155"/>
    </row>
    <row r="52" spans="1:3" ht="15.75" customHeight="1" x14ac:dyDescent="0.35">
      <c r="A52" s="149"/>
      <c r="B52" s="33"/>
      <c r="C52" s="155"/>
    </row>
    <row r="53" spans="1:3" ht="15.75" customHeight="1" x14ac:dyDescent="0.35">
      <c r="A53" s="149"/>
      <c r="B53" s="33"/>
      <c r="C53" s="155"/>
    </row>
    <row r="54" spans="1:3" ht="15.75" customHeight="1" x14ac:dyDescent="0.35">
      <c r="A54" s="149"/>
      <c r="B54" s="33"/>
      <c r="C54" s="155"/>
    </row>
    <row r="55" spans="1:3" ht="15.75" customHeight="1" x14ac:dyDescent="0.35">
      <c r="A55" s="149"/>
      <c r="B55" s="33"/>
      <c r="C55" s="155"/>
    </row>
    <row r="56" spans="1:3" ht="15.75" customHeight="1" x14ac:dyDescent="0.35">
      <c r="A56" s="149"/>
      <c r="B56" s="33"/>
      <c r="C56" s="155"/>
    </row>
    <row r="57" spans="1:3" ht="15.75" customHeight="1" x14ac:dyDescent="0.35">
      <c r="A57" s="149"/>
      <c r="B57" s="33"/>
      <c r="C57" s="155"/>
    </row>
    <row r="58" spans="1:3" ht="15.75" customHeight="1" x14ac:dyDescent="0.35">
      <c r="A58" s="149"/>
      <c r="B58" s="33"/>
      <c r="C58" s="155"/>
    </row>
    <row r="59" spans="1:3" ht="15.75" customHeight="1" x14ac:dyDescent="0.35">
      <c r="A59" s="149"/>
      <c r="B59" s="33"/>
      <c r="C59" s="155"/>
    </row>
    <row r="60" spans="1:3" ht="15.75" customHeight="1" x14ac:dyDescent="0.35">
      <c r="A60" s="149"/>
      <c r="B60" s="33"/>
      <c r="C60" s="155"/>
    </row>
    <row r="61" spans="1:3" ht="15.75" customHeight="1" x14ac:dyDescent="0.35">
      <c r="A61" s="149"/>
      <c r="B61" s="33"/>
      <c r="C61" s="155"/>
    </row>
    <row r="62" spans="1:3" ht="15.75" customHeight="1" x14ac:dyDescent="0.35">
      <c r="A62" s="149"/>
      <c r="B62" s="33"/>
      <c r="C62" s="155"/>
    </row>
    <row r="63" spans="1:3" ht="15.75" customHeight="1" x14ac:dyDescent="0.35">
      <c r="A63" s="149"/>
      <c r="B63" s="33"/>
      <c r="C63" s="155"/>
    </row>
    <row r="64" spans="1:3" ht="15.75" customHeight="1" x14ac:dyDescent="0.35">
      <c r="A64" s="149"/>
      <c r="B64" s="33"/>
      <c r="C64" s="155"/>
    </row>
    <row r="65" spans="1:3" ht="15.75" customHeight="1" x14ac:dyDescent="0.35">
      <c r="A65" s="149"/>
      <c r="B65" s="33"/>
      <c r="C65" s="155"/>
    </row>
    <row r="66" spans="1:3" ht="15.75" customHeight="1" x14ac:dyDescent="0.35">
      <c r="A66" s="149"/>
      <c r="B66" s="33"/>
      <c r="C66" s="155"/>
    </row>
    <row r="67" spans="1:3" ht="15.75" customHeight="1" x14ac:dyDescent="0.35">
      <c r="A67" s="149"/>
      <c r="B67" s="33"/>
      <c r="C67" s="155"/>
    </row>
    <row r="68" spans="1:3" ht="15.75" customHeight="1" x14ac:dyDescent="0.35">
      <c r="A68" s="149"/>
      <c r="B68" s="33"/>
      <c r="C68" s="155"/>
    </row>
    <row r="69" spans="1:3" ht="15.75" customHeight="1" x14ac:dyDescent="0.35">
      <c r="A69" s="149"/>
      <c r="B69" s="33"/>
      <c r="C69" s="155"/>
    </row>
    <row r="70" spans="1:3" ht="15.75" customHeight="1" x14ac:dyDescent="0.35">
      <c r="A70" s="149"/>
      <c r="B70" s="33"/>
      <c r="C70" s="155"/>
    </row>
    <row r="71" spans="1:3" ht="15.75" customHeight="1" x14ac:dyDescent="0.35">
      <c r="A71" s="149"/>
      <c r="B71" s="33"/>
      <c r="C71" s="155"/>
    </row>
    <row r="72" spans="1:3" ht="15.75" customHeight="1" x14ac:dyDescent="0.35">
      <c r="A72" s="149"/>
      <c r="B72" s="33"/>
      <c r="C72" s="155"/>
    </row>
    <row r="73" spans="1:3" ht="15.75" customHeight="1" x14ac:dyDescent="0.35">
      <c r="A73" s="149"/>
      <c r="B73" s="33"/>
      <c r="C73" s="155"/>
    </row>
    <row r="74" spans="1:3" ht="15.75" customHeight="1" x14ac:dyDescent="0.35">
      <c r="A74" s="149"/>
      <c r="B74" s="33"/>
      <c r="C74" s="155"/>
    </row>
    <row r="75" spans="1:3" ht="15.75" customHeight="1" x14ac:dyDescent="0.35">
      <c r="A75" s="149"/>
      <c r="B75" s="33"/>
      <c r="C75" s="155"/>
    </row>
    <row r="76" spans="1:3" ht="15.75" customHeight="1" x14ac:dyDescent="0.35">
      <c r="A76" s="149"/>
      <c r="B76" s="33"/>
      <c r="C76" s="155"/>
    </row>
    <row r="77" spans="1:3" ht="15.75" customHeight="1" x14ac:dyDescent="0.35">
      <c r="A77" s="149"/>
      <c r="B77" s="33"/>
      <c r="C77" s="155"/>
    </row>
    <row r="78" spans="1:3" ht="15.75" customHeight="1" x14ac:dyDescent="0.35">
      <c r="A78" s="149"/>
      <c r="B78" s="33"/>
      <c r="C78" s="155"/>
    </row>
    <row r="79" spans="1:3" ht="15.75" customHeight="1" x14ac:dyDescent="0.35">
      <c r="A79" s="149"/>
      <c r="B79" s="33"/>
      <c r="C79" s="155"/>
    </row>
    <row r="80" spans="1:3" ht="15.75" customHeight="1" x14ac:dyDescent="0.35">
      <c r="A80" s="149"/>
      <c r="B80" s="33"/>
      <c r="C80" s="155"/>
    </row>
    <row r="81" spans="1:3" ht="15.75" customHeight="1" x14ac:dyDescent="0.35">
      <c r="A81" s="149"/>
      <c r="B81" s="33"/>
      <c r="C81" s="155"/>
    </row>
    <row r="82" spans="1:3" ht="15.75" customHeight="1" x14ac:dyDescent="0.35">
      <c r="A82" s="149"/>
      <c r="B82" s="33"/>
      <c r="C82" s="155"/>
    </row>
    <row r="83" spans="1:3" ht="15.75" customHeight="1" x14ac:dyDescent="0.35">
      <c r="A83" s="149"/>
      <c r="B83" s="33"/>
      <c r="C83" s="155"/>
    </row>
    <row r="84" spans="1:3" ht="15.75" customHeight="1" x14ac:dyDescent="0.35">
      <c r="A84" s="149"/>
      <c r="B84" s="33"/>
      <c r="C84" s="155"/>
    </row>
    <row r="85" spans="1:3" ht="15.75" customHeight="1" x14ac:dyDescent="0.35">
      <c r="A85" s="149"/>
      <c r="B85" s="33"/>
      <c r="C85" s="155"/>
    </row>
    <row r="86" spans="1:3" ht="15.75" customHeight="1" x14ac:dyDescent="0.35">
      <c r="A86" s="149"/>
      <c r="B86" s="33"/>
      <c r="C86" s="155"/>
    </row>
    <row r="87" spans="1:3" ht="15.75" customHeight="1" x14ac:dyDescent="0.35">
      <c r="A87" s="149"/>
      <c r="B87" s="33"/>
      <c r="C87" s="155"/>
    </row>
    <row r="88" spans="1:3" ht="15.75" customHeight="1" x14ac:dyDescent="0.35">
      <c r="A88" s="149"/>
      <c r="B88" s="33"/>
      <c r="C88" s="155"/>
    </row>
    <row r="89" spans="1:3" ht="15.75" customHeight="1" x14ac:dyDescent="0.35">
      <c r="A89" s="149"/>
      <c r="B89" s="33"/>
      <c r="C89" s="155"/>
    </row>
    <row r="90" spans="1:3" ht="15.75" customHeight="1" x14ac:dyDescent="0.35">
      <c r="A90" s="149"/>
      <c r="B90" s="33"/>
      <c r="C90" s="155"/>
    </row>
    <row r="91" spans="1:3" ht="15.75" customHeight="1" x14ac:dyDescent="0.35">
      <c r="A91" s="149"/>
      <c r="B91" s="33"/>
      <c r="C91" s="155"/>
    </row>
    <row r="92" spans="1:3" ht="15.75" customHeight="1" x14ac:dyDescent="0.35">
      <c r="A92" s="149"/>
      <c r="B92" s="33"/>
      <c r="C92" s="155"/>
    </row>
    <row r="93" spans="1:3" ht="15.75" customHeight="1" x14ac:dyDescent="0.35">
      <c r="A93" s="149"/>
      <c r="B93" s="33"/>
      <c r="C93" s="155"/>
    </row>
    <row r="94" spans="1:3" ht="15.75" customHeight="1" x14ac:dyDescent="0.35">
      <c r="A94" s="149"/>
      <c r="B94" s="33"/>
      <c r="C94" s="155"/>
    </row>
    <row r="95" spans="1:3" ht="15.75" customHeight="1" x14ac:dyDescent="0.35">
      <c r="A95" s="149"/>
      <c r="B95" s="33"/>
      <c r="C95" s="155"/>
    </row>
    <row r="96" spans="1:3" ht="15.75" customHeight="1" x14ac:dyDescent="0.35">
      <c r="A96" s="149"/>
      <c r="B96" s="33"/>
      <c r="C96" s="155"/>
    </row>
    <row r="97" spans="1:3" ht="15.75" customHeight="1" x14ac:dyDescent="0.35">
      <c r="A97" s="149"/>
      <c r="B97" s="33"/>
      <c r="C97" s="155"/>
    </row>
    <row r="98" spans="1:3" ht="15.75" customHeight="1" x14ac:dyDescent="0.35">
      <c r="A98" s="149"/>
      <c r="B98" s="33"/>
      <c r="C98" s="155"/>
    </row>
    <row r="99" spans="1:3" ht="15.75" customHeight="1" x14ac:dyDescent="0.35">
      <c r="A99" s="149"/>
      <c r="B99" s="33"/>
      <c r="C99" s="155"/>
    </row>
    <row r="100" spans="1:3" ht="15.75" customHeight="1" x14ac:dyDescent="0.35">
      <c r="A100" s="149"/>
      <c r="B100" s="33"/>
      <c r="C100" s="155"/>
    </row>
    <row r="101" spans="1:3" ht="15.75" customHeight="1" x14ac:dyDescent="0.35">
      <c r="A101" s="149"/>
      <c r="B101" s="33"/>
      <c r="C101" s="155"/>
    </row>
    <row r="102" spans="1:3" ht="15.75" customHeight="1" x14ac:dyDescent="0.35">
      <c r="A102" s="149"/>
      <c r="B102" s="33"/>
      <c r="C102" s="155"/>
    </row>
    <row r="103" spans="1:3" ht="15.75" customHeight="1" x14ac:dyDescent="0.35">
      <c r="A103" s="149"/>
      <c r="B103" s="33"/>
      <c r="C103" s="155"/>
    </row>
    <row r="104" spans="1:3" ht="15.75" customHeight="1" x14ac:dyDescent="0.35">
      <c r="A104" s="149"/>
      <c r="B104" s="33"/>
      <c r="C104" s="155"/>
    </row>
    <row r="105" spans="1:3" ht="15.75" customHeight="1" x14ac:dyDescent="0.35">
      <c r="A105" s="149"/>
      <c r="B105" s="33"/>
      <c r="C105" s="155"/>
    </row>
    <row r="106" spans="1:3" ht="15.75" customHeight="1" x14ac:dyDescent="0.35">
      <c r="A106" s="149"/>
      <c r="B106" s="33"/>
      <c r="C106" s="155"/>
    </row>
    <row r="107" spans="1:3" ht="15.75" customHeight="1" x14ac:dyDescent="0.35">
      <c r="A107" s="149"/>
      <c r="B107" s="33"/>
      <c r="C107" s="155"/>
    </row>
    <row r="108" spans="1:3" ht="15.75" customHeight="1" x14ac:dyDescent="0.35">
      <c r="A108" s="149"/>
      <c r="B108" s="33"/>
      <c r="C108" s="155"/>
    </row>
    <row r="109" spans="1:3" ht="15.75" customHeight="1" x14ac:dyDescent="0.35">
      <c r="A109" s="149"/>
      <c r="B109" s="33"/>
      <c r="C109" s="155"/>
    </row>
    <row r="110" spans="1:3" ht="15.75" customHeight="1" x14ac:dyDescent="0.35">
      <c r="A110" s="149"/>
      <c r="B110" s="33"/>
      <c r="C110" s="155"/>
    </row>
    <row r="111" spans="1:3" ht="15.75" customHeight="1" x14ac:dyDescent="0.35">
      <c r="A111" s="149"/>
      <c r="B111" s="33"/>
      <c r="C111" s="155"/>
    </row>
    <row r="112" spans="1:3" ht="15.75" customHeight="1" x14ac:dyDescent="0.35">
      <c r="A112" s="149"/>
      <c r="B112" s="33"/>
      <c r="C112" s="155"/>
    </row>
    <row r="113" spans="1:3" ht="15.75" customHeight="1" x14ac:dyDescent="0.35">
      <c r="A113" s="149"/>
      <c r="B113" s="33"/>
      <c r="C113" s="155"/>
    </row>
    <row r="114" spans="1:3" ht="15.75" customHeight="1" x14ac:dyDescent="0.35">
      <c r="A114" s="149"/>
      <c r="B114" s="33"/>
      <c r="C114" s="155"/>
    </row>
    <row r="115" spans="1:3" ht="15.75" customHeight="1" x14ac:dyDescent="0.35">
      <c r="A115" s="149"/>
      <c r="B115" s="33"/>
      <c r="C115" s="155"/>
    </row>
    <row r="116" spans="1:3" ht="15.75" customHeight="1" x14ac:dyDescent="0.35">
      <c r="A116" s="149"/>
      <c r="B116" s="33"/>
      <c r="C116" s="155"/>
    </row>
    <row r="117" spans="1:3" ht="15.75" customHeight="1" x14ac:dyDescent="0.35">
      <c r="A117" s="149"/>
      <c r="B117" s="33"/>
      <c r="C117" s="155"/>
    </row>
    <row r="118" spans="1:3" ht="15.75" customHeight="1" x14ac:dyDescent="0.35">
      <c r="A118" s="149"/>
      <c r="B118" s="33"/>
      <c r="C118" s="155"/>
    </row>
    <row r="119" spans="1:3" ht="15.75" customHeight="1" x14ac:dyDescent="0.35">
      <c r="A119" s="149"/>
      <c r="B119" s="33"/>
      <c r="C119" s="155"/>
    </row>
    <row r="120" spans="1:3" ht="15.75" customHeight="1" x14ac:dyDescent="0.35">
      <c r="A120" s="149"/>
      <c r="B120" s="33"/>
      <c r="C120" s="155"/>
    </row>
    <row r="121" spans="1:3" ht="15.75" customHeight="1" x14ac:dyDescent="0.35">
      <c r="A121" s="149"/>
      <c r="B121" s="33"/>
      <c r="C121" s="155"/>
    </row>
    <row r="122" spans="1:3" ht="15.75" customHeight="1" x14ac:dyDescent="0.35">
      <c r="A122" s="149"/>
      <c r="B122" s="33"/>
      <c r="C122" s="155"/>
    </row>
    <row r="123" spans="1:3" ht="15.75" customHeight="1" x14ac:dyDescent="0.35">
      <c r="A123" s="149"/>
      <c r="B123" s="33"/>
      <c r="C123" s="155"/>
    </row>
    <row r="124" spans="1:3" ht="15.75" customHeight="1" x14ac:dyDescent="0.35">
      <c r="A124" s="149"/>
      <c r="B124" s="33"/>
      <c r="C124" s="155"/>
    </row>
    <row r="125" spans="1:3" ht="15.75" customHeight="1" x14ac:dyDescent="0.35">
      <c r="A125" s="149"/>
      <c r="B125" s="33"/>
      <c r="C125" s="155"/>
    </row>
    <row r="126" spans="1:3" ht="15.75" customHeight="1" x14ac:dyDescent="0.35">
      <c r="A126" s="149"/>
      <c r="B126" s="33"/>
      <c r="C126" s="155"/>
    </row>
    <row r="127" spans="1:3" ht="15.75" customHeight="1" x14ac:dyDescent="0.35">
      <c r="A127" s="149"/>
      <c r="B127" s="33"/>
      <c r="C127" s="155"/>
    </row>
    <row r="128" spans="1:3" ht="15.75" customHeight="1" x14ac:dyDescent="0.35">
      <c r="A128" s="149"/>
      <c r="B128" s="33"/>
      <c r="C128" s="155"/>
    </row>
    <row r="129" spans="1:3" ht="15.75" customHeight="1" x14ac:dyDescent="0.35">
      <c r="A129" s="149"/>
      <c r="B129" s="33"/>
      <c r="C129" s="155"/>
    </row>
    <row r="130" spans="1:3" ht="15.75" customHeight="1" x14ac:dyDescent="0.35">
      <c r="A130" s="149"/>
      <c r="B130" s="33"/>
      <c r="C130" s="155"/>
    </row>
    <row r="131" spans="1:3" ht="15.75" customHeight="1" x14ac:dyDescent="0.35">
      <c r="A131" s="149"/>
      <c r="B131" s="33"/>
      <c r="C131" s="155"/>
    </row>
    <row r="132" spans="1:3" ht="15.75" customHeight="1" x14ac:dyDescent="0.35">
      <c r="A132" s="149"/>
      <c r="B132" s="33"/>
      <c r="C132" s="155"/>
    </row>
    <row r="133" spans="1:3" ht="15.75" customHeight="1" x14ac:dyDescent="0.35">
      <c r="A133" s="149"/>
      <c r="B133" s="33"/>
      <c r="C133" s="155"/>
    </row>
    <row r="134" spans="1:3" ht="15.75" customHeight="1" x14ac:dyDescent="0.35">
      <c r="A134" s="149"/>
      <c r="B134" s="33"/>
      <c r="C134" s="155"/>
    </row>
    <row r="135" spans="1:3" ht="15.75" customHeight="1" x14ac:dyDescent="0.35">
      <c r="A135" s="149"/>
      <c r="B135" s="33"/>
      <c r="C135" s="155"/>
    </row>
    <row r="136" spans="1:3" ht="15.75" customHeight="1" x14ac:dyDescent="0.35">
      <c r="A136" s="149"/>
      <c r="B136" s="33"/>
      <c r="C136" s="155"/>
    </row>
    <row r="137" spans="1:3" ht="15.75" customHeight="1" x14ac:dyDescent="0.35">
      <c r="A137" s="149"/>
      <c r="B137" s="33"/>
      <c r="C137" s="155"/>
    </row>
    <row r="138" spans="1:3" ht="15.75" customHeight="1" x14ac:dyDescent="0.35">
      <c r="A138" s="149"/>
      <c r="B138" s="33"/>
      <c r="C138" s="155"/>
    </row>
    <row r="139" spans="1:3" ht="15.75" customHeight="1" x14ac:dyDescent="0.35">
      <c r="A139" s="149"/>
      <c r="B139" s="33"/>
      <c r="C139" s="155"/>
    </row>
    <row r="140" spans="1:3" ht="15.75" customHeight="1" x14ac:dyDescent="0.35">
      <c r="A140" s="149"/>
      <c r="B140" s="33"/>
      <c r="C140" s="155"/>
    </row>
    <row r="141" spans="1:3" ht="15.75" customHeight="1" x14ac:dyDescent="0.35">
      <c r="A141" s="149"/>
      <c r="B141" s="33"/>
      <c r="C141" s="155"/>
    </row>
    <row r="142" spans="1:3" ht="15.75" customHeight="1" x14ac:dyDescent="0.35">
      <c r="A142" s="149"/>
      <c r="B142" s="33"/>
      <c r="C142" s="155"/>
    </row>
    <row r="143" spans="1:3" ht="15.75" customHeight="1" x14ac:dyDescent="0.35">
      <c r="A143" s="149"/>
      <c r="B143" s="33"/>
      <c r="C143" s="155"/>
    </row>
    <row r="144" spans="1:3" ht="15.75" customHeight="1" x14ac:dyDescent="0.35">
      <c r="A144" s="149"/>
      <c r="B144" s="33"/>
      <c r="C144" s="155"/>
    </row>
    <row r="145" spans="1:3" ht="15.75" customHeight="1" x14ac:dyDescent="0.35">
      <c r="A145" s="149"/>
      <c r="B145" s="33"/>
      <c r="C145" s="155"/>
    </row>
    <row r="146" spans="1:3" ht="15.75" customHeight="1" x14ac:dyDescent="0.35">
      <c r="A146" s="149"/>
      <c r="B146" s="33"/>
      <c r="C146" s="155"/>
    </row>
    <row r="147" spans="1:3" ht="15.75" customHeight="1" x14ac:dyDescent="0.35">
      <c r="A147" s="149"/>
      <c r="B147" s="33"/>
      <c r="C147" s="155"/>
    </row>
    <row r="148" spans="1:3" ht="15.75" customHeight="1" x14ac:dyDescent="0.35">
      <c r="A148" s="149"/>
      <c r="B148" s="33"/>
      <c r="C148" s="155"/>
    </row>
    <row r="149" spans="1:3" ht="15.75" customHeight="1" x14ac:dyDescent="0.35">
      <c r="A149" s="149"/>
      <c r="B149" s="33"/>
      <c r="C149" s="155"/>
    </row>
    <row r="150" spans="1:3" ht="15.75" customHeight="1" x14ac:dyDescent="0.35">
      <c r="A150" s="149"/>
      <c r="B150" s="33"/>
      <c r="C150" s="155"/>
    </row>
    <row r="151" spans="1:3" ht="15.75" customHeight="1" x14ac:dyDescent="0.35">
      <c r="A151" s="149"/>
      <c r="B151" s="33"/>
      <c r="C151" s="155"/>
    </row>
    <row r="152" spans="1:3" ht="15.75" customHeight="1" x14ac:dyDescent="0.35">
      <c r="A152" s="149"/>
      <c r="B152" s="33"/>
      <c r="C152" s="155"/>
    </row>
    <row r="153" spans="1:3" ht="15.75" customHeight="1" x14ac:dyDescent="0.35">
      <c r="A153" s="149"/>
      <c r="B153" s="33"/>
      <c r="C153" s="155"/>
    </row>
    <row r="154" spans="1:3" ht="15.75" customHeight="1" x14ac:dyDescent="0.35">
      <c r="A154" s="149"/>
      <c r="B154" s="33"/>
      <c r="C154" s="155"/>
    </row>
    <row r="155" spans="1:3" ht="15.75" customHeight="1" x14ac:dyDescent="0.35">
      <c r="A155" s="149"/>
      <c r="B155" s="33"/>
      <c r="C155" s="155"/>
    </row>
    <row r="156" spans="1:3" ht="15.75" customHeight="1" x14ac:dyDescent="0.35">
      <c r="A156" s="149"/>
      <c r="B156" s="33"/>
      <c r="C156" s="155"/>
    </row>
    <row r="157" spans="1:3" ht="15.75" customHeight="1" x14ac:dyDescent="0.35">
      <c r="A157" s="149"/>
      <c r="B157" s="33"/>
      <c r="C157" s="155"/>
    </row>
    <row r="158" spans="1:3" ht="15.75" customHeight="1" x14ac:dyDescent="0.35">
      <c r="A158" s="149"/>
      <c r="B158" s="33"/>
      <c r="C158" s="155"/>
    </row>
    <row r="159" spans="1:3" ht="15.75" customHeight="1" x14ac:dyDescent="0.35">
      <c r="A159" s="149"/>
      <c r="B159" s="33"/>
      <c r="C159" s="155"/>
    </row>
    <row r="160" spans="1:3" ht="15.75" customHeight="1" x14ac:dyDescent="0.35">
      <c r="A160" s="149"/>
      <c r="B160" s="33"/>
      <c r="C160" s="155"/>
    </row>
    <row r="161" spans="1:3" ht="15.75" customHeight="1" x14ac:dyDescent="0.35">
      <c r="A161" s="149"/>
      <c r="B161" s="33"/>
      <c r="C161" s="155"/>
    </row>
    <row r="162" spans="1:3" ht="15.75" customHeight="1" x14ac:dyDescent="0.35">
      <c r="A162" s="149"/>
      <c r="B162" s="33"/>
      <c r="C162" s="155"/>
    </row>
    <row r="163" spans="1:3" ht="15.75" customHeight="1" x14ac:dyDescent="0.35">
      <c r="A163" s="149"/>
      <c r="B163" s="33"/>
      <c r="C163" s="155"/>
    </row>
    <row r="164" spans="1:3" ht="15.75" customHeight="1" x14ac:dyDescent="0.35">
      <c r="A164" s="149"/>
      <c r="B164" s="33"/>
      <c r="C164" s="155"/>
    </row>
    <row r="165" spans="1:3" ht="15.75" customHeight="1" x14ac:dyDescent="0.35">
      <c r="A165" s="149"/>
      <c r="B165" s="33"/>
      <c r="C165" s="155"/>
    </row>
    <row r="166" spans="1:3" ht="15.75" customHeight="1" x14ac:dyDescent="0.35">
      <c r="A166" s="149"/>
      <c r="B166" s="33"/>
      <c r="C166" s="155"/>
    </row>
    <row r="167" spans="1:3" ht="15.75" customHeight="1" x14ac:dyDescent="0.35">
      <c r="A167" s="149"/>
      <c r="B167" s="33"/>
      <c r="C167" s="155"/>
    </row>
    <row r="168" spans="1:3" ht="15.75" customHeight="1" x14ac:dyDescent="0.35">
      <c r="A168" s="149"/>
      <c r="B168" s="33"/>
      <c r="C168" s="155"/>
    </row>
    <row r="169" spans="1:3" ht="15.75" customHeight="1" x14ac:dyDescent="0.35">
      <c r="A169" s="149"/>
      <c r="B169" s="33"/>
      <c r="C169" s="155"/>
    </row>
    <row r="170" spans="1:3" ht="15.75" customHeight="1" x14ac:dyDescent="0.35">
      <c r="A170" s="149"/>
      <c r="B170" s="33"/>
      <c r="C170" s="155"/>
    </row>
    <row r="171" spans="1:3" ht="15.75" customHeight="1" x14ac:dyDescent="0.35">
      <c r="A171" s="149"/>
      <c r="B171" s="33"/>
      <c r="C171" s="155"/>
    </row>
    <row r="172" spans="1:3" ht="15.75" customHeight="1" x14ac:dyDescent="0.35">
      <c r="A172" s="149"/>
      <c r="B172" s="33"/>
      <c r="C172" s="155"/>
    </row>
    <row r="173" spans="1:3" ht="15.75" customHeight="1" x14ac:dyDescent="0.35">
      <c r="A173" s="149"/>
      <c r="B173" s="33"/>
      <c r="C173" s="155"/>
    </row>
    <row r="174" spans="1:3" ht="15.75" customHeight="1" x14ac:dyDescent="0.35">
      <c r="A174" s="149"/>
      <c r="B174" s="33"/>
      <c r="C174" s="155"/>
    </row>
    <row r="175" spans="1:3" ht="15.75" customHeight="1" x14ac:dyDescent="0.35">
      <c r="A175" s="149"/>
      <c r="B175" s="33"/>
      <c r="C175" s="155"/>
    </row>
    <row r="176" spans="1:3" ht="15.75" customHeight="1" x14ac:dyDescent="0.35">
      <c r="A176" s="149"/>
      <c r="B176" s="33"/>
      <c r="C176" s="155"/>
    </row>
    <row r="177" spans="1:3" ht="15.75" customHeight="1" x14ac:dyDescent="0.35">
      <c r="A177" s="149"/>
      <c r="B177" s="33"/>
      <c r="C177" s="155"/>
    </row>
    <row r="178" spans="1:3" ht="15.75" customHeight="1" x14ac:dyDescent="0.35">
      <c r="A178" s="149"/>
      <c r="B178" s="33"/>
      <c r="C178" s="155"/>
    </row>
    <row r="179" spans="1:3" ht="15.75" customHeight="1" x14ac:dyDescent="0.35">
      <c r="A179" s="149"/>
      <c r="B179" s="33"/>
      <c r="C179" s="155"/>
    </row>
    <row r="180" spans="1:3" ht="15.75" customHeight="1" x14ac:dyDescent="0.35">
      <c r="A180" s="149"/>
      <c r="B180" s="33"/>
      <c r="C180" s="155"/>
    </row>
    <row r="181" spans="1:3" ht="15.75" customHeight="1" x14ac:dyDescent="0.35">
      <c r="A181" s="149"/>
      <c r="B181" s="33"/>
      <c r="C181" s="155"/>
    </row>
    <row r="182" spans="1:3" ht="15.75" customHeight="1" x14ac:dyDescent="0.35">
      <c r="A182" s="149"/>
      <c r="B182" s="33"/>
      <c r="C182" s="155"/>
    </row>
    <row r="183" spans="1:3" ht="15.75" customHeight="1" x14ac:dyDescent="0.35">
      <c r="A183" s="149"/>
      <c r="B183" s="33"/>
      <c r="C183" s="155"/>
    </row>
    <row r="184" spans="1:3" ht="15.75" customHeight="1" x14ac:dyDescent="0.35">
      <c r="A184" s="149"/>
      <c r="B184" s="33"/>
      <c r="C184" s="155"/>
    </row>
    <row r="185" spans="1:3" ht="15.75" customHeight="1" x14ac:dyDescent="0.35">
      <c r="A185" s="149"/>
      <c r="B185" s="33"/>
      <c r="C185" s="155"/>
    </row>
    <row r="186" spans="1:3" ht="15.75" customHeight="1" x14ac:dyDescent="0.35">
      <c r="A186" s="149"/>
      <c r="B186" s="33"/>
      <c r="C186" s="155"/>
    </row>
    <row r="187" spans="1:3" ht="15.75" customHeight="1" x14ac:dyDescent="0.35">
      <c r="A187" s="149"/>
      <c r="B187" s="33"/>
      <c r="C187" s="155"/>
    </row>
    <row r="188" spans="1:3" ht="15.75" customHeight="1" x14ac:dyDescent="0.35">
      <c r="A188" s="149"/>
      <c r="B188" s="33"/>
      <c r="C188" s="155"/>
    </row>
    <row r="189" spans="1:3" ht="15.75" customHeight="1" x14ac:dyDescent="0.35">
      <c r="A189" s="149"/>
      <c r="B189" s="33"/>
      <c r="C189" s="155"/>
    </row>
    <row r="190" spans="1:3" ht="15.75" customHeight="1" x14ac:dyDescent="0.35">
      <c r="A190" s="149"/>
      <c r="B190" s="33"/>
      <c r="C190" s="155"/>
    </row>
    <row r="191" spans="1:3" ht="15.75" customHeight="1" x14ac:dyDescent="0.35">
      <c r="A191" s="149"/>
      <c r="B191" s="33"/>
      <c r="C191" s="155"/>
    </row>
    <row r="192" spans="1:3" ht="15.75" customHeight="1" x14ac:dyDescent="0.35">
      <c r="A192" s="149"/>
      <c r="B192" s="33"/>
      <c r="C192" s="155"/>
    </row>
    <row r="193" spans="1:3" ht="15.75" customHeight="1" x14ac:dyDescent="0.35">
      <c r="A193" s="149"/>
      <c r="B193" s="33"/>
      <c r="C193" s="155"/>
    </row>
    <row r="194" spans="1:3" ht="15.75" customHeight="1" x14ac:dyDescent="0.35">
      <c r="A194" s="149"/>
      <c r="B194" s="33"/>
      <c r="C194" s="155"/>
    </row>
    <row r="195" spans="1:3" ht="15.75" customHeight="1" x14ac:dyDescent="0.35">
      <c r="A195" s="149"/>
      <c r="B195" s="33"/>
      <c r="C195" s="155"/>
    </row>
    <row r="196" spans="1:3" ht="15.75" customHeight="1" x14ac:dyDescent="0.35">
      <c r="A196" s="149"/>
      <c r="B196" s="33"/>
      <c r="C196" s="155"/>
    </row>
    <row r="197" spans="1:3" ht="15.75" customHeight="1" x14ac:dyDescent="0.35">
      <c r="A197" s="149"/>
      <c r="B197" s="33"/>
      <c r="C197" s="155"/>
    </row>
    <row r="198" spans="1:3" ht="15.75" customHeight="1" x14ac:dyDescent="0.35">
      <c r="A198" s="149"/>
      <c r="B198" s="33"/>
      <c r="C198" s="155"/>
    </row>
    <row r="199" spans="1:3" ht="15.75" customHeight="1" x14ac:dyDescent="0.35">
      <c r="A199" s="149"/>
      <c r="B199" s="33"/>
      <c r="C199" s="155"/>
    </row>
    <row r="200" spans="1:3" ht="15.75" customHeight="1" x14ac:dyDescent="0.35">
      <c r="A200" s="149"/>
      <c r="B200" s="33"/>
      <c r="C200" s="155"/>
    </row>
    <row r="201" spans="1:3" ht="15.75" customHeight="1" x14ac:dyDescent="0.35">
      <c r="A201" s="149"/>
      <c r="B201" s="33"/>
      <c r="C201" s="155"/>
    </row>
    <row r="202" spans="1:3" ht="15.75" customHeight="1" x14ac:dyDescent="0.35">
      <c r="A202" s="149"/>
      <c r="B202" s="33"/>
      <c r="C202" s="155"/>
    </row>
    <row r="203" spans="1:3" ht="15.75" customHeight="1" x14ac:dyDescent="0.35">
      <c r="A203" s="149"/>
      <c r="B203" s="33"/>
      <c r="C203" s="155"/>
    </row>
    <row r="204" spans="1:3" ht="15.75" customHeight="1" x14ac:dyDescent="0.35">
      <c r="A204" s="149"/>
      <c r="B204" s="33"/>
      <c r="C204" s="155"/>
    </row>
    <row r="205" spans="1:3" ht="15.75" customHeight="1" x14ac:dyDescent="0.35">
      <c r="A205" s="149"/>
      <c r="B205" s="33"/>
      <c r="C205" s="155"/>
    </row>
    <row r="206" spans="1:3" ht="15.75" customHeight="1" x14ac:dyDescent="0.35">
      <c r="A206" s="149"/>
      <c r="B206" s="33"/>
      <c r="C206" s="155"/>
    </row>
    <row r="207" spans="1:3" ht="15.75" customHeight="1" x14ac:dyDescent="0.35">
      <c r="A207" s="149"/>
      <c r="B207" s="33"/>
      <c r="C207" s="155"/>
    </row>
    <row r="208" spans="1:3" ht="15.75" customHeight="1" x14ac:dyDescent="0.35">
      <c r="A208" s="149"/>
      <c r="B208" s="33"/>
      <c r="C208" s="155"/>
    </row>
    <row r="209" spans="1:3" ht="15.75" customHeight="1" x14ac:dyDescent="0.35">
      <c r="A209" s="149"/>
      <c r="B209" s="33"/>
      <c r="C209" s="155"/>
    </row>
    <row r="210" spans="1:3" ht="15.75" customHeight="1" x14ac:dyDescent="0.35">
      <c r="A210" s="149"/>
      <c r="B210" s="33"/>
      <c r="C210" s="155"/>
    </row>
    <row r="211" spans="1:3" ht="15.75" customHeight="1" x14ac:dyDescent="0.35">
      <c r="A211" s="149"/>
      <c r="B211" s="33"/>
      <c r="C211" s="155"/>
    </row>
    <row r="212" spans="1:3" ht="15.75" customHeight="1" x14ac:dyDescent="0.35">
      <c r="A212" s="149"/>
      <c r="B212" s="33"/>
      <c r="C212" s="155"/>
    </row>
    <row r="213" spans="1:3" ht="15.75" customHeight="1" x14ac:dyDescent="0.35">
      <c r="A213" s="149"/>
      <c r="B213" s="33"/>
      <c r="C213" s="155"/>
    </row>
    <row r="214" spans="1:3" ht="15.75" customHeight="1" x14ac:dyDescent="0.35">
      <c r="A214" s="149"/>
      <c r="B214" s="33"/>
      <c r="C214" s="155"/>
    </row>
    <row r="215" spans="1:3" ht="15.75" customHeight="1" x14ac:dyDescent="0.35">
      <c r="A215" s="149"/>
      <c r="B215" s="33"/>
      <c r="C215" s="155"/>
    </row>
    <row r="216" spans="1:3" ht="15.75" customHeight="1" x14ac:dyDescent="0.35">
      <c r="A216" s="149"/>
      <c r="B216" s="33"/>
      <c r="C216" s="155"/>
    </row>
    <row r="217" spans="1:3" ht="15.75" customHeight="1" x14ac:dyDescent="0.35">
      <c r="A217" s="149"/>
      <c r="B217" s="33"/>
      <c r="C217" s="155"/>
    </row>
    <row r="218" spans="1:3" ht="15.75" customHeight="1" x14ac:dyDescent="0.35">
      <c r="A218" s="149"/>
      <c r="B218" s="33"/>
      <c r="C218" s="155"/>
    </row>
    <row r="219" spans="1:3" ht="15.75" customHeight="1" x14ac:dyDescent="0.35">
      <c r="A219" s="149"/>
      <c r="B219" s="33"/>
      <c r="C219" s="155"/>
    </row>
    <row r="220" spans="1:3" ht="15.75" customHeight="1" x14ac:dyDescent="0.35">
      <c r="A220" s="149"/>
      <c r="B220" s="33"/>
      <c r="C220" s="155"/>
    </row>
    <row r="221" spans="1:3" ht="15.75" customHeight="1" x14ac:dyDescent="0.35">
      <c r="A221" s="149"/>
      <c r="B221" s="33"/>
      <c r="C221" s="155"/>
    </row>
    <row r="222" spans="1:3" ht="15.75" customHeight="1" x14ac:dyDescent="0.35">
      <c r="A222" s="149"/>
      <c r="B222" s="33"/>
      <c r="C222" s="155"/>
    </row>
    <row r="223" spans="1:3" ht="15.75" customHeight="1" x14ac:dyDescent="0.35">
      <c r="A223" s="149"/>
      <c r="B223" s="33"/>
      <c r="C223" s="155"/>
    </row>
    <row r="224" spans="1:3" ht="15.75" customHeight="1" x14ac:dyDescent="0.35">
      <c r="A224" s="149"/>
      <c r="B224" s="33"/>
      <c r="C224" s="155"/>
    </row>
    <row r="225" spans="1:3" ht="15.75" customHeight="1" x14ac:dyDescent="0.35">
      <c r="A225" s="149"/>
      <c r="B225" s="33"/>
      <c r="C225" s="155"/>
    </row>
    <row r="226" spans="1:3" ht="15.75" customHeight="1" x14ac:dyDescent="0.35">
      <c r="A226" s="149"/>
      <c r="B226" s="33"/>
      <c r="C226" s="155"/>
    </row>
    <row r="227" spans="1:3" ht="15.75" customHeight="1" x14ac:dyDescent="0.35">
      <c r="A227" s="149"/>
      <c r="B227" s="33"/>
      <c r="C227" s="155"/>
    </row>
    <row r="228" spans="1:3" ht="15.75" customHeight="1" x14ac:dyDescent="0.35">
      <c r="A228" s="149"/>
      <c r="B228" s="33"/>
      <c r="C228" s="155"/>
    </row>
    <row r="229" spans="1:3" ht="15.75" customHeight="1" x14ac:dyDescent="0.35">
      <c r="A229" s="149"/>
      <c r="B229" s="33"/>
      <c r="C229" s="155"/>
    </row>
    <row r="230" spans="1:3" ht="15.75" customHeight="1" x14ac:dyDescent="0.35">
      <c r="A230" s="149"/>
      <c r="B230" s="33"/>
      <c r="C230" s="155"/>
    </row>
    <row r="231" spans="1:3" ht="15.75" customHeight="1" x14ac:dyDescent="0.35">
      <c r="A231" s="149"/>
      <c r="B231" s="33"/>
      <c r="C231" s="155"/>
    </row>
    <row r="232" spans="1:3" ht="15.75" customHeight="1" x14ac:dyDescent="0.35">
      <c r="A232" s="149"/>
      <c r="B232" s="33"/>
      <c r="C232" s="155"/>
    </row>
    <row r="233" spans="1:3" ht="15.75" customHeight="1" x14ac:dyDescent="0.35">
      <c r="A233" s="149"/>
      <c r="B233" s="33"/>
      <c r="C233" s="155"/>
    </row>
    <row r="234" spans="1:3" ht="15.75" customHeight="1" x14ac:dyDescent="0.35">
      <c r="A234" s="149"/>
      <c r="B234" s="33"/>
      <c r="C234" s="155"/>
    </row>
    <row r="235" spans="1:3" ht="15.75" customHeight="1" x14ac:dyDescent="0.35">
      <c r="A235" s="149"/>
      <c r="B235" s="33"/>
      <c r="C235" s="155"/>
    </row>
    <row r="236" spans="1:3" ht="15.75" customHeight="1" x14ac:dyDescent="0.35">
      <c r="A236" s="149"/>
      <c r="B236" s="33"/>
      <c r="C236" s="155"/>
    </row>
    <row r="237" spans="1:3" ht="15.75" customHeight="1" x14ac:dyDescent="0.35">
      <c r="A237" s="149"/>
      <c r="B237" s="33"/>
      <c r="C237" s="155"/>
    </row>
    <row r="238" spans="1:3" ht="15.75" customHeight="1" x14ac:dyDescent="0.35">
      <c r="A238" s="149"/>
      <c r="B238" s="33"/>
      <c r="C238" s="155"/>
    </row>
    <row r="239" spans="1:3" ht="15.75" customHeight="1" x14ac:dyDescent="0.35">
      <c r="A239" s="149"/>
      <c r="B239" s="33"/>
      <c r="C239" s="155"/>
    </row>
    <row r="240" spans="1:3" ht="15.75" customHeight="1" x14ac:dyDescent="0.35">
      <c r="A240" s="149"/>
      <c r="B240" s="33"/>
      <c r="C240" s="155"/>
    </row>
    <row r="241" spans="1:3" ht="15.75" customHeight="1" x14ac:dyDescent="0.35">
      <c r="A241" s="149"/>
      <c r="B241" s="33"/>
      <c r="C241" s="155"/>
    </row>
    <row r="242" spans="1:3" ht="15.75" customHeight="1" x14ac:dyDescent="0.35">
      <c r="A242" s="149"/>
      <c r="B242" s="33"/>
      <c r="C242" s="155"/>
    </row>
    <row r="243" spans="1:3" ht="15.75" customHeight="1" x14ac:dyDescent="0.35">
      <c r="A243" s="149"/>
      <c r="B243" s="33"/>
      <c r="C243" s="155"/>
    </row>
    <row r="244" spans="1:3" ht="15.75" customHeight="1" x14ac:dyDescent="0.35">
      <c r="A244" s="149"/>
      <c r="B244" s="33"/>
      <c r="C244" s="155"/>
    </row>
    <row r="245" spans="1:3" ht="15.75" customHeight="1" x14ac:dyDescent="0.35">
      <c r="A245" s="149"/>
      <c r="B245" s="33"/>
      <c r="C245" s="155"/>
    </row>
    <row r="246" spans="1:3" ht="15.75" customHeight="1" x14ac:dyDescent="0.35">
      <c r="A246" s="149"/>
      <c r="B246" s="33"/>
      <c r="C246" s="155"/>
    </row>
    <row r="247" spans="1:3" ht="15.75" customHeight="1" x14ac:dyDescent="0.35">
      <c r="A247" s="149"/>
      <c r="B247" s="33"/>
      <c r="C247" s="155"/>
    </row>
    <row r="248" spans="1:3" ht="15.75" customHeight="1" x14ac:dyDescent="0.35">
      <c r="A248" s="149"/>
      <c r="B248" s="33"/>
      <c r="C248" s="155"/>
    </row>
    <row r="249" spans="1:3" ht="15.75" customHeight="1" x14ac:dyDescent="0.35">
      <c r="A249" s="149"/>
      <c r="B249" s="33"/>
      <c r="C249" s="155"/>
    </row>
    <row r="250" spans="1:3" ht="15.75" customHeight="1" x14ac:dyDescent="0.35">
      <c r="A250" s="149"/>
      <c r="B250" s="33"/>
      <c r="C250" s="155"/>
    </row>
    <row r="251" spans="1:3" ht="15.75" customHeight="1" x14ac:dyDescent="0.35">
      <c r="A251" s="149"/>
      <c r="B251" s="33"/>
      <c r="C251" s="155"/>
    </row>
    <row r="252" spans="1:3" ht="15.75" customHeight="1" x14ac:dyDescent="0.35">
      <c r="A252" s="149"/>
      <c r="B252" s="33"/>
      <c r="C252" s="155"/>
    </row>
    <row r="253" spans="1:3" ht="15.75" customHeight="1" x14ac:dyDescent="0.35">
      <c r="A253" s="149"/>
      <c r="B253" s="33"/>
      <c r="C253" s="155"/>
    </row>
    <row r="254" spans="1:3" ht="15.75" customHeight="1" x14ac:dyDescent="0.35">
      <c r="A254" s="149"/>
      <c r="B254" s="33"/>
      <c r="C254" s="155"/>
    </row>
    <row r="255" spans="1:3" ht="15.75" customHeight="1" x14ac:dyDescent="0.35">
      <c r="A255" s="149"/>
      <c r="B255" s="33"/>
      <c r="C255" s="155"/>
    </row>
    <row r="256" spans="1:3" ht="15.75" customHeight="1" x14ac:dyDescent="0.35">
      <c r="A256" s="149"/>
      <c r="B256" s="33"/>
      <c r="C256" s="155"/>
    </row>
    <row r="257" spans="1:3" ht="15.75" customHeight="1" x14ac:dyDescent="0.35">
      <c r="A257" s="149"/>
      <c r="B257" s="33"/>
      <c r="C257" s="155"/>
    </row>
    <row r="258" spans="1:3" ht="15.75" customHeight="1" x14ac:dyDescent="0.35">
      <c r="A258" s="149"/>
      <c r="B258" s="33"/>
      <c r="C258" s="155"/>
    </row>
    <row r="259" spans="1:3" ht="15.75" customHeight="1" x14ac:dyDescent="0.35">
      <c r="A259" s="149"/>
      <c r="B259" s="33"/>
      <c r="C259" s="155"/>
    </row>
    <row r="260" spans="1:3" ht="15.75" customHeight="1" x14ac:dyDescent="0.35">
      <c r="A260" s="149"/>
      <c r="B260" s="33"/>
      <c r="C260" s="155"/>
    </row>
    <row r="261" spans="1:3" ht="15.75" customHeight="1" x14ac:dyDescent="0.35">
      <c r="A261" s="149"/>
      <c r="B261" s="33"/>
      <c r="C261" s="155"/>
    </row>
    <row r="262" spans="1:3" ht="15.75" customHeight="1" x14ac:dyDescent="0.35">
      <c r="A262" s="149"/>
      <c r="B262" s="33"/>
      <c r="C262" s="155"/>
    </row>
    <row r="263" spans="1:3" ht="15.75" customHeight="1" x14ac:dyDescent="0.35">
      <c r="A263" s="149"/>
      <c r="B263" s="33"/>
      <c r="C263" s="155"/>
    </row>
    <row r="264" spans="1:3" ht="15.75" customHeight="1" x14ac:dyDescent="0.35">
      <c r="A264" s="149"/>
      <c r="B264" s="33"/>
      <c r="C264" s="155"/>
    </row>
    <row r="265" spans="1:3" ht="15.75" customHeight="1" x14ac:dyDescent="0.35">
      <c r="A265" s="149"/>
      <c r="B265" s="33"/>
      <c r="C265" s="155"/>
    </row>
    <row r="266" spans="1:3" ht="15.75" customHeight="1" x14ac:dyDescent="0.35">
      <c r="A266" s="149"/>
      <c r="B266" s="33"/>
      <c r="C266" s="155"/>
    </row>
    <row r="267" spans="1:3" ht="15.75" customHeight="1" x14ac:dyDescent="0.35">
      <c r="A267" s="149"/>
      <c r="B267" s="33"/>
      <c r="C267" s="155"/>
    </row>
    <row r="268" spans="1:3" ht="15.75" customHeight="1" x14ac:dyDescent="0.35">
      <c r="A268" s="149"/>
      <c r="B268" s="33"/>
      <c r="C268" s="155"/>
    </row>
    <row r="269" spans="1:3" ht="15.75" customHeight="1" x14ac:dyDescent="0.35">
      <c r="A269" s="149"/>
      <c r="B269" s="33"/>
      <c r="C269" s="155"/>
    </row>
    <row r="270" spans="1:3" ht="15.75" customHeight="1" x14ac:dyDescent="0.35">
      <c r="A270" s="149"/>
      <c r="B270" s="33"/>
      <c r="C270" s="155"/>
    </row>
    <row r="271" spans="1:3" ht="15.75" customHeight="1" x14ac:dyDescent="0.35">
      <c r="A271" s="149"/>
      <c r="B271" s="33"/>
      <c r="C271" s="155"/>
    </row>
    <row r="272" spans="1:3" ht="15.75" customHeight="1" x14ac:dyDescent="0.35">
      <c r="A272" s="149"/>
      <c r="B272" s="33"/>
      <c r="C272" s="155"/>
    </row>
    <row r="273" spans="1:3" ht="15.75" customHeight="1" x14ac:dyDescent="0.35">
      <c r="A273" s="149"/>
      <c r="B273" s="33"/>
      <c r="C273" s="155"/>
    </row>
    <row r="274" spans="1:3" ht="15.75" customHeight="1" x14ac:dyDescent="0.35">
      <c r="A274" s="149"/>
      <c r="B274" s="33"/>
      <c r="C274" s="155"/>
    </row>
    <row r="275" spans="1:3" ht="15.75" customHeight="1" x14ac:dyDescent="0.35">
      <c r="A275" s="149"/>
      <c r="B275" s="33"/>
      <c r="C275" s="155"/>
    </row>
    <row r="276" spans="1:3" ht="15.75" customHeight="1" x14ac:dyDescent="0.35">
      <c r="A276" s="149"/>
      <c r="B276" s="33"/>
      <c r="C276" s="155"/>
    </row>
    <row r="277" spans="1:3" ht="15.75" customHeight="1" x14ac:dyDescent="0.35">
      <c r="A277" s="149"/>
      <c r="B277" s="33"/>
      <c r="C277" s="155"/>
    </row>
    <row r="278" spans="1:3" ht="15.75" customHeight="1" x14ac:dyDescent="0.35">
      <c r="A278" s="149"/>
      <c r="B278" s="33"/>
      <c r="C278" s="155"/>
    </row>
    <row r="279" spans="1:3" ht="15.75" customHeight="1" x14ac:dyDescent="0.35">
      <c r="A279" s="149"/>
      <c r="B279" s="33"/>
      <c r="C279" s="155"/>
    </row>
    <row r="280" spans="1:3" ht="15.75" customHeight="1" x14ac:dyDescent="0.35">
      <c r="A280" s="149"/>
      <c r="B280" s="33"/>
      <c r="C280" s="155"/>
    </row>
    <row r="281" spans="1:3" ht="15.75" customHeight="1" x14ac:dyDescent="0.35">
      <c r="A281" s="149"/>
      <c r="B281" s="33"/>
      <c r="C281" s="155"/>
    </row>
    <row r="282" spans="1:3" ht="15.75" customHeight="1" x14ac:dyDescent="0.35">
      <c r="A282" s="149"/>
      <c r="B282" s="33"/>
      <c r="C282" s="155"/>
    </row>
    <row r="283" spans="1:3" ht="15.75" customHeight="1" x14ac:dyDescent="0.35">
      <c r="A283" s="149"/>
      <c r="B283" s="33"/>
      <c r="C283" s="155"/>
    </row>
    <row r="284" spans="1:3" ht="15.75" customHeight="1" x14ac:dyDescent="0.35">
      <c r="A284" s="149"/>
      <c r="B284" s="33"/>
      <c r="C284" s="155"/>
    </row>
    <row r="285" spans="1:3" ht="15.75" customHeight="1" x14ac:dyDescent="0.35">
      <c r="A285" s="149"/>
      <c r="B285" s="33"/>
      <c r="C285" s="155"/>
    </row>
    <row r="286" spans="1:3" ht="15.75" customHeight="1" x14ac:dyDescent="0.35">
      <c r="A286" s="149"/>
      <c r="B286" s="33"/>
      <c r="C286" s="155"/>
    </row>
    <row r="287" spans="1:3" ht="15.75" customHeight="1" x14ac:dyDescent="0.35">
      <c r="A287" s="149"/>
      <c r="B287" s="33"/>
      <c r="C287" s="155"/>
    </row>
    <row r="288" spans="1:3" ht="15.75" customHeight="1" x14ac:dyDescent="0.35">
      <c r="A288" s="149"/>
      <c r="B288" s="33"/>
      <c r="C288" s="155"/>
    </row>
    <row r="289" spans="1:3" ht="15.75" customHeight="1" x14ac:dyDescent="0.35">
      <c r="A289" s="149"/>
      <c r="B289" s="33"/>
      <c r="C289" s="155"/>
    </row>
    <row r="290" spans="1:3" ht="15.75" customHeight="1" x14ac:dyDescent="0.35">
      <c r="A290" s="149"/>
      <c r="B290" s="33"/>
      <c r="C290" s="155"/>
    </row>
    <row r="291" spans="1:3" ht="15.75" customHeight="1" x14ac:dyDescent="0.35">
      <c r="A291" s="149"/>
      <c r="B291" s="33"/>
      <c r="C291" s="155"/>
    </row>
    <row r="292" spans="1:3" ht="15.75" customHeight="1" x14ac:dyDescent="0.35">
      <c r="A292" s="149"/>
      <c r="B292" s="33"/>
      <c r="C292" s="155"/>
    </row>
    <row r="293" spans="1:3" ht="15.75" customHeight="1" x14ac:dyDescent="0.35">
      <c r="A293" s="149"/>
      <c r="B293" s="33"/>
      <c r="C293" s="155"/>
    </row>
    <row r="294" spans="1:3" ht="15.75" customHeight="1" x14ac:dyDescent="0.35">
      <c r="A294" s="149"/>
      <c r="B294" s="33"/>
      <c r="C294" s="155"/>
    </row>
    <row r="295" spans="1:3" ht="15.75" customHeight="1" x14ac:dyDescent="0.35">
      <c r="A295" s="149"/>
      <c r="B295" s="33"/>
      <c r="C295" s="155"/>
    </row>
    <row r="296" spans="1:3" ht="15.75" customHeight="1" x14ac:dyDescent="0.35">
      <c r="A296" s="149"/>
      <c r="B296" s="33"/>
      <c r="C296" s="155"/>
    </row>
    <row r="297" spans="1:3" ht="15.75" customHeight="1" x14ac:dyDescent="0.35">
      <c r="A297" s="149"/>
      <c r="B297" s="33"/>
      <c r="C297" s="155"/>
    </row>
    <row r="298" spans="1:3" ht="15.75" customHeight="1" x14ac:dyDescent="0.35">
      <c r="A298" s="149"/>
      <c r="B298" s="33"/>
      <c r="C298" s="155"/>
    </row>
    <row r="299" spans="1:3" ht="15.75" customHeight="1" x14ac:dyDescent="0.35">
      <c r="A299" s="149"/>
      <c r="B299" s="33"/>
      <c r="C299" s="155"/>
    </row>
    <row r="300" spans="1:3" ht="15.75" customHeight="1" x14ac:dyDescent="0.35">
      <c r="A300" s="149"/>
      <c r="B300" s="33"/>
      <c r="C300" s="155"/>
    </row>
    <row r="301" spans="1:3" ht="15.75" customHeight="1" x14ac:dyDescent="0.35">
      <c r="A301" s="149"/>
      <c r="B301" s="33"/>
      <c r="C301" s="155"/>
    </row>
    <row r="302" spans="1:3" ht="15.75" customHeight="1" x14ac:dyDescent="0.35">
      <c r="A302" s="149"/>
      <c r="B302" s="33"/>
      <c r="C302" s="155"/>
    </row>
    <row r="303" spans="1:3" ht="15.75" customHeight="1" x14ac:dyDescent="0.35">
      <c r="A303" s="149"/>
      <c r="B303" s="33"/>
      <c r="C303" s="155"/>
    </row>
    <row r="304" spans="1:3" ht="15.75" customHeight="1" x14ac:dyDescent="0.35">
      <c r="A304" s="149"/>
      <c r="B304" s="33"/>
      <c r="C304" s="155"/>
    </row>
    <row r="305" spans="1:3" ht="15.75" customHeight="1" x14ac:dyDescent="0.35">
      <c r="A305" s="149"/>
      <c r="B305" s="33"/>
      <c r="C305" s="155"/>
    </row>
    <row r="306" spans="1:3" ht="15.75" customHeight="1" x14ac:dyDescent="0.35">
      <c r="A306" s="149"/>
      <c r="B306" s="33"/>
      <c r="C306" s="155"/>
    </row>
    <row r="307" spans="1:3" ht="15.75" customHeight="1" x14ac:dyDescent="0.35">
      <c r="A307" s="149"/>
      <c r="B307" s="33"/>
      <c r="C307" s="155"/>
    </row>
    <row r="308" spans="1:3" ht="15.75" customHeight="1" x14ac:dyDescent="0.35">
      <c r="A308" s="149"/>
      <c r="B308" s="33"/>
      <c r="C308" s="155"/>
    </row>
    <row r="309" spans="1:3" ht="15.75" customHeight="1" x14ac:dyDescent="0.35">
      <c r="A309" s="149"/>
      <c r="B309" s="33"/>
      <c r="C309" s="155"/>
    </row>
    <row r="310" spans="1:3" ht="15.75" customHeight="1" x14ac:dyDescent="0.35">
      <c r="A310" s="149"/>
      <c r="B310" s="33"/>
      <c r="C310" s="155"/>
    </row>
    <row r="311" spans="1:3" ht="15.75" customHeight="1" x14ac:dyDescent="0.35">
      <c r="A311" s="149"/>
      <c r="B311" s="33"/>
      <c r="C311" s="155"/>
    </row>
    <row r="312" spans="1:3" ht="15.75" customHeight="1" x14ac:dyDescent="0.35">
      <c r="A312" s="149"/>
      <c r="B312" s="33"/>
      <c r="C312" s="155"/>
    </row>
    <row r="313" spans="1:3" ht="15.75" customHeight="1" x14ac:dyDescent="0.35">
      <c r="A313" s="149"/>
      <c r="B313" s="33"/>
      <c r="C313" s="155"/>
    </row>
    <row r="314" spans="1:3" ht="15.75" customHeight="1" x14ac:dyDescent="0.35">
      <c r="A314" s="149"/>
      <c r="B314" s="33"/>
      <c r="C314" s="155"/>
    </row>
    <row r="315" spans="1:3" ht="15.75" customHeight="1" x14ac:dyDescent="0.35">
      <c r="A315" s="149"/>
      <c r="B315" s="33"/>
      <c r="C315" s="155"/>
    </row>
    <row r="316" spans="1:3" ht="15.75" customHeight="1" x14ac:dyDescent="0.35">
      <c r="A316" s="149"/>
      <c r="B316" s="33"/>
      <c r="C316" s="155"/>
    </row>
    <row r="317" spans="1:3" ht="15.75" customHeight="1" x14ac:dyDescent="0.35">
      <c r="A317" s="149"/>
      <c r="B317" s="33"/>
      <c r="C317" s="155"/>
    </row>
    <row r="318" spans="1:3" ht="15.75" customHeight="1" x14ac:dyDescent="0.35">
      <c r="A318" s="149"/>
      <c r="B318" s="33"/>
      <c r="C318" s="155"/>
    </row>
    <row r="319" spans="1:3" ht="15.75" customHeight="1" x14ac:dyDescent="0.35">
      <c r="A319" s="149"/>
      <c r="B319" s="33"/>
      <c r="C319" s="155"/>
    </row>
    <row r="320" spans="1:3" ht="15.75" customHeight="1" x14ac:dyDescent="0.35">
      <c r="A320" s="149"/>
      <c r="B320" s="33"/>
      <c r="C320" s="155"/>
    </row>
    <row r="321" spans="1:3" ht="15.75" customHeight="1" x14ac:dyDescent="0.35">
      <c r="A321" s="149"/>
      <c r="B321" s="33"/>
      <c r="C321" s="155"/>
    </row>
    <row r="322" spans="1:3" ht="15.75" customHeight="1" x14ac:dyDescent="0.35">
      <c r="A322" s="149"/>
      <c r="B322" s="33"/>
      <c r="C322" s="155"/>
    </row>
    <row r="323" spans="1:3" ht="15.75" customHeight="1" x14ac:dyDescent="0.35">
      <c r="A323" s="149"/>
      <c r="B323" s="33"/>
      <c r="C323" s="155"/>
    </row>
    <row r="324" spans="1:3" ht="15.75" customHeight="1" x14ac:dyDescent="0.35">
      <c r="A324" s="149"/>
      <c r="B324" s="33"/>
      <c r="C324" s="155"/>
    </row>
    <row r="325" spans="1:3" ht="15.75" customHeight="1" x14ac:dyDescent="0.35">
      <c r="A325" s="149"/>
      <c r="B325" s="33"/>
      <c r="C325" s="155"/>
    </row>
    <row r="326" spans="1:3" ht="15.75" customHeight="1" x14ac:dyDescent="0.35">
      <c r="A326" s="149"/>
      <c r="B326" s="33"/>
      <c r="C326" s="155"/>
    </row>
    <row r="327" spans="1:3" ht="15.75" customHeight="1" x14ac:dyDescent="0.35">
      <c r="A327" s="149"/>
      <c r="B327" s="33"/>
      <c r="C327" s="155"/>
    </row>
    <row r="328" spans="1:3" ht="15.75" customHeight="1" x14ac:dyDescent="0.35">
      <c r="A328" s="149"/>
      <c r="B328" s="33"/>
      <c r="C328" s="155"/>
    </row>
    <row r="329" spans="1:3" ht="15.75" customHeight="1" x14ac:dyDescent="0.35">
      <c r="A329" s="149"/>
      <c r="B329" s="33"/>
      <c r="C329" s="155"/>
    </row>
    <row r="330" spans="1:3" ht="15.75" customHeight="1" x14ac:dyDescent="0.35">
      <c r="A330" s="149"/>
      <c r="B330" s="33"/>
      <c r="C330" s="155"/>
    </row>
    <row r="331" spans="1:3" ht="15.75" customHeight="1" x14ac:dyDescent="0.35">
      <c r="A331" s="149"/>
      <c r="B331" s="33"/>
      <c r="C331" s="155"/>
    </row>
    <row r="332" spans="1:3" ht="15.75" customHeight="1" x14ac:dyDescent="0.35">
      <c r="A332" s="149"/>
      <c r="B332" s="33"/>
      <c r="C332" s="155"/>
    </row>
    <row r="333" spans="1:3" ht="15.75" customHeight="1" x14ac:dyDescent="0.35">
      <c r="A333" s="149"/>
      <c r="B333" s="33"/>
      <c r="C333" s="155"/>
    </row>
    <row r="334" spans="1:3" ht="15.75" customHeight="1" x14ac:dyDescent="0.35">
      <c r="A334" s="149"/>
      <c r="B334" s="33"/>
      <c r="C334" s="155"/>
    </row>
    <row r="335" spans="1:3" ht="15.75" customHeight="1" x14ac:dyDescent="0.35">
      <c r="A335" s="149"/>
      <c r="B335" s="33"/>
      <c r="C335" s="155"/>
    </row>
    <row r="336" spans="1:3" ht="15.75" customHeight="1" x14ac:dyDescent="0.35">
      <c r="A336" s="149"/>
      <c r="B336" s="33"/>
      <c r="C336" s="155"/>
    </row>
    <row r="337" spans="1:3" ht="15.75" customHeight="1" x14ac:dyDescent="0.35">
      <c r="A337" s="149"/>
      <c r="B337" s="33"/>
      <c r="C337" s="155"/>
    </row>
    <row r="338" spans="1:3" ht="15.75" customHeight="1" x14ac:dyDescent="0.35">
      <c r="A338" s="149"/>
      <c r="B338" s="33"/>
      <c r="C338" s="155"/>
    </row>
    <row r="339" spans="1:3" ht="15.75" customHeight="1" x14ac:dyDescent="0.35">
      <c r="A339" s="149"/>
      <c r="B339" s="33"/>
      <c r="C339" s="155"/>
    </row>
    <row r="340" spans="1:3" ht="15.75" customHeight="1" x14ac:dyDescent="0.35">
      <c r="A340" s="149"/>
      <c r="B340" s="33"/>
      <c r="C340" s="155"/>
    </row>
    <row r="341" spans="1:3" ht="15.75" customHeight="1" x14ac:dyDescent="0.35">
      <c r="A341" s="149"/>
      <c r="B341" s="33"/>
      <c r="C341" s="155"/>
    </row>
    <row r="342" spans="1:3" ht="15.75" customHeight="1" x14ac:dyDescent="0.35">
      <c r="A342" s="149"/>
      <c r="B342" s="33"/>
      <c r="C342" s="155"/>
    </row>
    <row r="343" spans="1:3" ht="15.75" customHeight="1" x14ac:dyDescent="0.35">
      <c r="A343" s="149"/>
      <c r="B343" s="33"/>
      <c r="C343" s="155"/>
    </row>
    <row r="344" spans="1:3" ht="15.75" customHeight="1" x14ac:dyDescent="0.35">
      <c r="A344" s="149"/>
      <c r="B344" s="33"/>
      <c r="C344" s="155"/>
    </row>
    <row r="345" spans="1:3" ht="15.75" customHeight="1" x14ac:dyDescent="0.35">
      <c r="A345" s="149"/>
      <c r="B345" s="33"/>
      <c r="C345" s="155"/>
    </row>
    <row r="346" spans="1:3" ht="15.75" customHeight="1" x14ac:dyDescent="0.35">
      <c r="A346" s="149"/>
      <c r="B346" s="33"/>
      <c r="C346" s="155"/>
    </row>
    <row r="347" spans="1:3" ht="15.75" customHeight="1" x14ac:dyDescent="0.35">
      <c r="A347" s="149"/>
      <c r="B347" s="33"/>
      <c r="C347" s="155"/>
    </row>
    <row r="348" spans="1:3" ht="15.75" customHeight="1" x14ac:dyDescent="0.35">
      <c r="A348" s="149"/>
      <c r="B348" s="33"/>
      <c r="C348" s="155"/>
    </row>
    <row r="349" spans="1:3" ht="15.75" customHeight="1" x14ac:dyDescent="0.35">
      <c r="A349" s="149"/>
      <c r="B349" s="33"/>
      <c r="C349" s="155"/>
    </row>
    <row r="350" spans="1:3" ht="15.75" customHeight="1" x14ac:dyDescent="0.35">
      <c r="A350" s="149"/>
      <c r="B350" s="33"/>
      <c r="C350" s="155"/>
    </row>
    <row r="351" spans="1:3" ht="15.75" customHeight="1" x14ac:dyDescent="0.35">
      <c r="A351" s="149"/>
      <c r="B351" s="33"/>
      <c r="C351" s="155"/>
    </row>
    <row r="352" spans="1:3" ht="15.75" customHeight="1" x14ac:dyDescent="0.35">
      <c r="A352" s="149"/>
      <c r="B352" s="33"/>
      <c r="C352" s="155"/>
    </row>
    <row r="353" spans="1:3" ht="15.75" customHeight="1" x14ac:dyDescent="0.35">
      <c r="A353" s="149"/>
      <c r="B353" s="33"/>
      <c r="C353" s="155"/>
    </row>
    <row r="354" spans="1:3" ht="15.75" customHeight="1" x14ac:dyDescent="0.35">
      <c r="A354" s="149"/>
      <c r="B354" s="33"/>
      <c r="C354" s="155"/>
    </row>
    <row r="355" spans="1:3" ht="15.75" customHeight="1" x14ac:dyDescent="0.35">
      <c r="A355" s="149"/>
      <c r="B355" s="33"/>
      <c r="C355" s="155"/>
    </row>
    <row r="356" spans="1:3" ht="15.75" customHeight="1" x14ac:dyDescent="0.35">
      <c r="A356" s="149"/>
      <c r="B356" s="33"/>
      <c r="C356" s="155"/>
    </row>
    <row r="357" spans="1:3" ht="15.75" customHeight="1" x14ac:dyDescent="0.35">
      <c r="A357" s="149"/>
      <c r="B357" s="33"/>
      <c r="C357" s="155"/>
    </row>
    <row r="358" spans="1:3" ht="15.75" customHeight="1" x14ac:dyDescent="0.35">
      <c r="A358" s="149"/>
      <c r="B358" s="33"/>
      <c r="C358" s="155"/>
    </row>
    <row r="359" spans="1:3" ht="15.75" customHeight="1" x14ac:dyDescent="0.35">
      <c r="A359" s="149"/>
      <c r="B359" s="33"/>
      <c r="C359" s="155"/>
    </row>
    <row r="360" spans="1:3" ht="15.75" customHeight="1" x14ac:dyDescent="0.35">
      <c r="A360" s="149"/>
      <c r="B360" s="33"/>
      <c r="C360" s="155"/>
    </row>
    <row r="361" spans="1:3" ht="15.75" customHeight="1" x14ac:dyDescent="0.35">
      <c r="A361" s="149"/>
      <c r="B361" s="33"/>
      <c r="C361" s="155"/>
    </row>
    <row r="362" spans="1:3" ht="15.75" customHeight="1" x14ac:dyDescent="0.35">
      <c r="A362" s="149"/>
      <c r="B362" s="33"/>
      <c r="C362" s="155"/>
    </row>
    <row r="363" spans="1:3" ht="15.75" customHeight="1" x14ac:dyDescent="0.35">
      <c r="A363" s="149"/>
      <c r="B363" s="33"/>
      <c r="C363" s="155"/>
    </row>
    <row r="364" spans="1:3" ht="15.75" customHeight="1" x14ac:dyDescent="0.35">
      <c r="A364" s="149"/>
      <c r="B364" s="33"/>
      <c r="C364" s="155"/>
    </row>
    <row r="365" spans="1:3" ht="15.75" customHeight="1" x14ac:dyDescent="0.35">
      <c r="A365" s="149"/>
      <c r="B365" s="33"/>
      <c r="C365" s="155"/>
    </row>
    <row r="366" spans="1:3" ht="15.75" customHeight="1" x14ac:dyDescent="0.35">
      <c r="A366" s="149"/>
      <c r="B366" s="33"/>
      <c r="C366" s="155"/>
    </row>
    <row r="367" spans="1:3" ht="15.75" customHeight="1" x14ac:dyDescent="0.35">
      <c r="A367" s="149"/>
      <c r="B367" s="33"/>
      <c r="C367" s="155"/>
    </row>
    <row r="368" spans="1:3" ht="15.75" customHeight="1" x14ac:dyDescent="0.35">
      <c r="A368" s="149"/>
      <c r="B368" s="33"/>
      <c r="C368" s="155"/>
    </row>
    <row r="369" spans="1:3" ht="15.75" customHeight="1" x14ac:dyDescent="0.35">
      <c r="A369" s="149"/>
      <c r="B369" s="33"/>
      <c r="C369" s="155"/>
    </row>
    <row r="370" spans="1:3" ht="15.75" customHeight="1" x14ac:dyDescent="0.35">
      <c r="A370" s="149"/>
      <c r="B370" s="33"/>
      <c r="C370" s="155"/>
    </row>
    <row r="371" spans="1:3" ht="15.75" customHeight="1" x14ac:dyDescent="0.35">
      <c r="A371" s="149"/>
      <c r="B371" s="33"/>
      <c r="C371" s="155"/>
    </row>
    <row r="372" spans="1:3" ht="15.75" customHeight="1" x14ac:dyDescent="0.35">
      <c r="A372" s="149"/>
      <c r="B372" s="33"/>
      <c r="C372" s="155"/>
    </row>
    <row r="373" spans="1:3" ht="15.75" customHeight="1" x14ac:dyDescent="0.35">
      <c r="A373" s="149"/>
      <c r="B373" s="33"/>
      <c r="C373" s="155"/>
    </row>
    <row r="374" spans="1:3" ht="15.75" customHeight="1" x14ac:dyDescent="0.35">
      <c r="A374" s="149"/>
      <c r="B374" s="33"/>
      <c r="C374" s="155"/>
    </row>
    <row r="375" spans="1:3" ht="15.75" customHeight="1" x14ac:dyDescent="0.35">
      <c r="A375" s="149"/>
      <c r="B375" s="33"/>
      <c r="C375" s="155"/>
    </row>
    <row r="376" spans="1:3" ht="15.75" customHeight="1" x14ac:dyDescent="0.35">
      <c r="A376" s="149"/>
      <c r="B376" s="33"/>
      <c r="C376" s="155"/>
    </row>
    <row r="377" spans="1:3" ht="15.75" customHeight="1" x14ac:dyDescent="0.35">
      <c r="A377" s="149"/>
      <c r="B377" s="33"/>
      <c r="C377" s="155"/>
    </row>
    <row r="378" spans="1:3" ht="15.75" customHeight="1" x14ac:dyDescent="0.35">
      <c r="A378" s="149"/>
      <c r="B378" s="33"/>
      <c r="C378" s="155"/>
    </row>
    <row r="379" spans="1:3" ht="15.75" customHeight="1" x14ac:dyDescent="0.35">
      <c r="A379" s="149"/>
      <c r="B379" s="33"/>
      <c r="C379" s="155"/>
    </row>
    <row r="380" spans="1:3" ht="15.75" customHeight="1" x14ac:dyDescent="0.35">
      <c r="A380" s="149"/>
      <c r="B380" s="33"/>
      <c r="C380" s="155"/>
    </row>
    <row r="381" spans="1:3" ht="15.75" customHeight="1" x14ac:dyDescent="0.35">
      <c r="A381" s="149"/>
      <c r="B381" s="33"/>
      <c r="C381" s="155"/>
    </row>
    <row r="382" spans="1:3" ht="15.75" customHeight="1" x14ac:dyDescent="0.35">
      <c r="A382" s="149"/>
      <c r="B382" s="33"/>
      <c r="C382" s="155"/>
    </row>
    <row r="383" spans="1:3" ht="15.75" customHeight="1" x14ac:dyDescent="0.35">
      <c r="A383" s="149"/>
      <c r="B383" s="33"/>
      <c r="C383" s="155"/>
    </row>
    <row r="384" spans="1:3" ht="15.75" customHeight="1" x14ac:dyDescent="0.35">
      <c r="A384" s="149"/>
      <c r="B384" s="33"/>
      <c r="C384" s="155"/>
    </row>
    <row r="385" spans="1:3" ht="15.75" customHeight="1" x14ac:dyDescent="0.35">
      <c r="A385" s="149"/>
      <c r="B385" s="33"/>
      <c r="C385" s="155"/>
    </row>
    <row r="386" spans="1:3" ht="15.75" customHeight="1" x14ac:dyDescent="0.35">
      <c r="A386" s="149"/>
      <c r="B386" s="33"/>
      <c r="C386" s="155"/>
    </row>
    <row r="387" spans="1:3" ht="15.75" customHeight="1" x14ac:dyDescent="0.35">
      <c r="A387" s="149"/>
      <c r="B387" s="33"/>
      <c r="C387" s="155"/>
    </row>
    <row r="388" spans="1:3" ht="15.75" customHeight="1" x14ac:dyDescent="0.35">
      <c r="A388" s="149"/>
      <c r="B388" s="33"/>
      <c r="C388" s="155"/>
    </row>
    <row r="389" spans="1:3" ht="15.75" customHeight="1" x14ac:dyDescent="0.35">
      <c r="A389" s="149"/>
      <c r="B389" s="33"/>
      <c r="C389" s="155"/>
    </row>
    <row r="390" spans="1:3" ht="15.75" customHeight="1" x14ac:dyDescent="0.35">
      <c r="A390" s="149"/>
      <c r="B390" s="33"/>
      <c r="C390" s="155"/>
    </row>
    <row r="391" spans="1:3" ht="15.75" customHeight="1" x14ac:dyDescent="0.35">
      <c r="A391" s="149"/>
      <c r="B391" s="33"/>
      <c r="C391" s="155"/>
    </row>
    <row r="392" spans="1:3" ht="15.75" customHeight="1" x14ac:dyDescent="0.35">
      <c r="A392" s="149"/>
      <c r="B392" s="33"/>
      <c r="C392" s="155"/>
    </row>
    <row r="393" spans="1:3" ht="15.75" customHeight="1" x14ac:dyDescent="0.35">
      <c r="A393" s="149"/>
      <c r="B393" s="33"/>
      <c r="C393" s="155"/>
    </row>
    <row r="394" spans="1:3" ht="15.75" customHeight="1" x14ac:dyDescent="0.35">
      <c r="A394" s="149"/>
      <c r="B394" s="33"/>
      <c r="C394" s="155"/>
    </row>
    <row r="395" spans="1:3" ht="15.75" customHeight="1" x14ac:dyDescent="0.35">
      <c r="A395" s="149"/>
      <c r="B395" s="33"/>
      <c r="C395" s="155"/>
    </row>
    <row r="396" spans="1:3" ht="15.75" customHeight="1" x14ac:dyDescent="0.35">
      <c r="A396" s="149"/>
      <c r="B396" s="33"/>
      <c r="C396" s="155"/>
    </row>
    <row r="397" spans="1:3" ht="15.75" customHeight="1" x14ac:dyDescent="0.35">
      <c r="A397" s="149"/>
      <c r="B397" s="33"/>
      <c r="C397" s="155"/>
    </row>
    <row r="398" spans="1:3" ht="15.75" customHeight="1" x14ac:dyDescent="0.35">
      <c r="A398" s="149"/>
      <c r="B398" s="33"/>
      <c r="C398" s="155"/>
    </row>
    <row r="399" spans="1:3" ht="15.75" customHeight="1" x14ac:dyDescent="0.35">
      <c r="A399" s="149"/>
      <c r="B399" s="33"/>
      <c r="C399" s="155"/>
    </row>
    <row r="400" spans="1:3" ht="15.75" customHeight="1" x14ac:dyDescent="0.35">
      <c r="A400" s="149"/>
      <c r="B400" s="33"/>
      <c r="C400" s="155"/>
    </row>
    <row r="401" spans="1:3" ht="15.75" customHeight="1" x14ac:dyDescent="0.35">
      <c r="A401" s="149"/>
      <c r="B401" s="33"/>
      <c r="C401" s="155"/>
    </row>
    <row r="402" spans="1:3" ht="15.75" customHeight="1" x14ac:dyDescent="0.35">
      <c r="A402" s="149"/>
      <c r="B402" s="33"/>
      <c r="C402" s="155"/>
    </row>
    <row r="403" spans="1:3" ht="15.75" customHeight="1" x14ac:dyDescent="0.35">
      <c r="A403" s="149"/>
      <c r="B403" s="33"/>
      <c r="C403" s="155"/>
    </row>
    <row r="404" spans="1:3" ht="15.75" customHeight="1" x14ac:dyDescent="0.35">
      <c r="A404" s="149"/>
      <c r="B404" s="33"/>
      <c r="C404" s="155"/>
    </row>
    <row r="405" spans="1:3" ht="15.75" customHeight="1" x14ac:dyDescent="0.35">
      <c r="A405" s="149"/>
      <c r="B405" s="33"/>
      <c r="C405" s="155"/>
    </row>
    <row r="406" spans="1:3" ht="15.75" customHeight="1" x14ac:dyDescent="0.35">
      <c r="A406" s="149"/>
      <c r="B406" s="33"/>
      <c r="C406" s="155"/>
    </row>
    <row r="407" spans="1:3" ht="15.75" customHeight="1" x14ac:dyDescent="0.35">
      <c r="A407" s="149"/>
      <c r="B407" s="33"/>
      <c r="C407" s="155"/>
    </row>
    <row r="408" spans="1:3" ht="15.75" customHeight="1" x14ac:dyDescent="0.35">
      <c r="A408" s="149"/>
      <c r="B408" s="33"/>
      <c r="C408" s="155"/>
    </row>
    <row r="409" spans="1:3" ht="15.75" customHeight="1" x14ac:dyDescent="0.35">
      <c r="A409" s="149"/>
      <c r="B409" s="33"/>
      <c r="C409" s="155"/>
    </row>
    <row r="410" spans="1:3" ht="15.75" customHeight="1" x14ac:dyDescent="0.35">
      <c r="A410" s="149"/>
      <c r="B410" s="33"/>
      <c r="C410" s="155"/>
    </row>
    <row r="411" spans="1:3" ht="15.75" customHeight="1" x14ac:dyDescent="0.35">
      <c r="A411" s="149"/>
      <c r="B411" s="33"/>
      <c r="C411" s="155"/>
    </row>
    <row r="412" spans="1:3" ht="15.75" customHeight="1" x14ac:dyDescent="0.35">
      <c r="A412" s="149"/>
      <c r="B412" s="33"/>
      <c r="C412" s="155"/>
    </row>
    <row r="413" spans="1:3" ht="15.75" customHeight="1" x14ac:dyDescent="0.35">
      <c r="A413" s="149"/>
      <c r="B413" s="33"/>
      <c r="C413" s="155"/>
    </row>
    <row r="414" spans="1:3" ht="15.75" customHeight="1" x14ac:dyDescent="0.35">
      <c r="A414" s="149"/>
      <c r="B414" s="33"/>
      <c r="C414" s="155"/>
    </row>
    <row r="415" spans="1:3" ht="15.75" customHeight="1" x14ac:dyDescent="0.35">
      <c r="A415" s="149"/>
      <c r="B415" s="33"/>
      <c r="C415" s="155"/>
    </row>
    <row r="416" spans="1:3" ht="15.75" customHeight="1" x14ac:dyDescent="0.35">
      <c r="A416" s="149"/>
      <c r="B416" s="33"/>
      <c r="C416" s="155"/>
    </row>
    <row r="417" spans="1:3" ht="15.75" customHeight="1" x14ac:dyDescent="0.35">
      <c r="A417" s="149"/>
      <c r="B417" s="33"/>
      <c r="C417" s="155"/>
    </row>
    <row r="418" spans="1:3" ht="15.75" customHeight="1" x14ac:dyDescent="0.35">
      <c r="A418" s="149"/>
      <c r="B418" s="33"/>
      <c r="C418" s="155"/>
    </row>
    <row r="419" spans="1:3" ht="15.75" customHeight="1" x14ac:dyDescent="0.35">
      <c r="A419" s="149"/>
      <c r="B419" s="33"/>
      <c r="C419" s="155"/>
    </row>
    <row r="420" spans="1:3" ht="15.75" customHeight="1" x14ac:dyDescent="0.35">
      <c r="A420" s="149"/>
      <c r="B420" s="33"/>
      <c r="C420" s="155"/>
    </row>
    <row r="421" spans="1:3" ht="15.75" customHeight="1" x14ac:dyDescent="0.35">
      <c r="A421" s="149"/>
      <c r="B421" s="33"/>
      <c r="C421" s="155"/>
    </row>
    <row r="422" spans="1:3" ht="15.75" customHeight="1" x14ac:dyDescent="0.35">
      <c r="A422" s="149"/>
      <c r="B422" s="33"/>
      <c r="C422" s="155"/>
    </row>
    <row r="423" spans="1:3" ht="15.75" customHeight="1" x14ac:dyDescent="0.35">
      <c r="A423" s="149"/>
      <c r="B423" s="33"/>
      <c r="C423" s="155"/>
    </row>
    <row r="424" spans="1:3" ht="15.75" customHeight="1" x14ac:dyDescent="0.35">
      <c r="A424" s="149"/>
      <c r="B424" s="33"/>
      <c r="C424" s="155"/>
    </row>
    <row r="425" spans="1:3" ht="15.75" customHeight="1" x14ac:dyDescent="0.35">
      <c r="A425" s="149"/>
      <c r="B425" s="33"/>
      <c r="C425" s="155"/>
    </row>
    <row r="426" spans="1:3" ht="15.75" customHeight="1" x14ac:dyDescent="0.35">
      <c r="A426" s="149"/>
      <c r="B426" s="33"/>
      <c r="C426" s="155"/>
    </row>
    <row r="427" spans="1:3" ht="15.75" customHeight="1" x14ac:dyDescent="0.35">
      <c r="A427" s="149"/>
      <c r="B427" s="33"/>
      <c r="C427" s="155"/>
    </row>
    <row r="428" spans="1:3" ht="15.75" customHeight="1" x14ac:dyDescent="0.35">
      <c r="A428" s="149"/>
      <c r="B428" s="33"/>
      <c r="C428" s="155"/>
    </row>
    <row r="429" spans="1:3" ht="15.75" customHeight="1" x14ac:dyDescent="0.35">
      <c r="A429" s="149"/>
      <c r="B429" s="33"/>
      <c r="C429" s="155"/>
    </row>
    <row r="430" spans="1:3" ht="15.75" customHeight="1" x14ac:dyDescent="0.35">
      <c r="A430" s="149"/>
      <c r="B430" s="33"/>
      <c r="C430" s="155"/>
    </row>
    <row r="431" spans="1:3" ht="15.75" customHeight="1" x14ac:dyDescent="0.35">
      <c r="A431" s="149"/>
      <c r="B431" s="33"/>
      <c r="C431" s="155"/>
    </row>
    <row r="432" spans="1:3" ht="15.75" customHeight="1" x14ac:dyDescent="0.35">
      <c r="A432" s="149"/>
      <c r="B432" s="33"/>
      <c r="C432" s="155"/>
    </row>
    <row r="433" spans="1:3" ht="15.75" customHeight="1" x14ac:dyDescent="0.35">
      <c r="A433" s="149"/>
      <c r="B433" s="33"/>
      <c r="C433" s="155"/>
    </row>
    <row r="434" spans="1:3" ht="15.75" customHeight="1" x14ac:dyDescent="0.35">
      <c r="A434" s="149"/>
      <c r="B434" s="33"/>
      <c r="C434" s="155"/>
    </row>
    <row r="435" spans="1:3" ht="15.75" customHeight="1" x14ac:dyDescent="0.35">
      <c r="A435" s="149"/>
      <c r="B435" s="33"/>
      <c r="C435" s="155"/>
    </row>
    <row r="436" spans="1:3" ht="15.75" customHeight="1" x14ac:dyDescent="0.35">
      <c r="A436" s="149"/>
      <c r="B436" s="33"/>
      <c r="C436" s="155"/>
    </row>
    <row r="437" spans="1:3" ht="15.75" customHeight="1" x14ac:dyDescent="0.35">
      <c r="A437" s="149"/>
      <c r="B437" s="33"/>
      <c r="C437" s="155"/>
    </row>
    <row r="438" spans="1:3" ht="15.75" customHeight="1" x14ac:dyDescent="0.35">
      <c r="A438" s="149"/>
      <c r="B438" s="33"/>
      <c r="C438" s="155"/>
    </row>
    <row r="439" spans="1:3" ht="15.75" customHeight="1" x14ac:dyDescent="0.35">
      <c r="A439" s="149"/>
      <c r="B439" s="33"/>
      <c r="C439" s="155"/>
    </row>
    <row r="440" spans="1:3" ht="15.75" customHeight="1" x14ac:dyDescent="0.35">
      <c r="A440" s="149"/>
      <c r="B440" s="33"/>
      <c r="C440" s="155"/>
    </row>
    <row r="441" spans="1:3" ht="15.75" customHeight="1" x14ac:dyDescent="0.35">
      <c r="A441" s="149"/>
      <c r="B441" s="33"/>
      <c r="C441" s="155"/>
    </row>
    <row r="442" spans="1:3" ht="15.75" customHeight="1" x14ac:dyDescent="0.35">
      <c r="A442" s="149"/>
      <c r="B442" s="33"/>
      <c r="C442" s="155"/>
    </row>
    <row r="443" spans="1:3" ht="15.75" customHeight="1" x14ac:dyDescent="0.35">
      <c r="A443" s="149"/>
      <c r="B443" s="33"/>
      <c r="C443" s="155"/>
    </row>
    <row r="444" spans="1:3" ht="15.75" customHeight="1" x14ac:dyDescent="0.35">
      <c r="A444" s="149"/>
      <c r="B444" s="33"/>
      <c r="C444" s="155"/>
    </row>
    <row r="445" spans="1:3" ht="15.75" customHeight="1" x14ac:dyDescent="0.35">
      <c r="A445" s="149"/>
      <c r="B445" s="33"/>
      <c r="C445" s="155"/>
    </row>
    <row r="446" spans="1:3" ht="15.75" customHeight="1" x14ac:dyDescent="0.35">
      <c r="A446" s="149"/>
      <c r="B446" s="33"/>
      <c r="C446" s="155"/>
    </row>
    <row r="447" spans="1:3" ht="15.75" customHeight="1" x14ac:dyDescent="0.35">
      <c r="A447" s="149"/>
      <c r="B447" s="33"/>
      <c r="C447" s="155"/>
    </row>
    <row r="448" spans="1:3" ht="15.75" customHeight="1" x14ac:dyDescent="0.35">
      <c r="A448" s="149"/>
      <c r="B448" s="33"/>
      <c r="C448" s="155"/>
    </row>
    <row r="449" spans="1:3" ht="15.75" customHeight="1" x14ac:dyDescent="0.35">
      <c r="A449" s="149"/>
      <c r="B449" s="33"/>
      <c r="C449" s="155"/>
    </row>
    <row r="450" spans="1:3" ht="15.75" customHeight="1" x14ac:dyDescent="0.35">
      <c r="A450" s="149"/>
      <c r="B450" s="33"/>
      <c r="C450" s="155"/>
    </row>
    <row r="451" spans="1:3" ht="15.75" customHeight="1" x14ac:dyDescent="0.35">
      <c r="A451" s="149"/>
      <c r="B451" s="33"/>
      <c r="C451" s="155"/>
    </row>
    <row r="452" spans="1:3" ht="15.75" customHeight="1" x14ac:dyDescent="0.35">
      <c r="A452" s="149"/>
      <c r="B452" s="33"/>
      <c r="C452" s="155"/>
    </row>
    <row r="453" spans="1:3" ht="15.75" customHeight="1" x14ac:dyDescent="0.35">
      <c r="A453" s="149"/>
      <c r="B453" s="33"/>
      <c r="C453" s="155"/>
    </row>
    <row r="454" spans="1:3" ht="15.75" customHeight="1" x14ac:dyDescent="0.35">
      <c r="A454" s="149"/>
      <c r="B454" s="33"/>
      <c r="C454" s="155"/>
    </row>
    <row r="455" spans="1:3" ht="15.75" customHeight="1" x14ac:dyDescent="0.35">
      <c r="A455" s="149"/>
      <c r="B455" s="33"/>
      <c r="C455" s="155"/>
    </row>
    <row r="456" spans="1:3" ht="15.75" customHeight="1" x14ac:dyDescent="0.35">
      <c r="A456" s="149"/>
      <c r="B456" s="33"/>
      <c r="C456" s="155"/>
    </row>
    <row r="457" spans="1:3" ht="15.75" customHeight="1" x14ac:dyDescent="0.35">
      <c r="A457" s="149"/>
      <c r="B457" s="33"/>
      <c r="C457" s="155"/>
    </row>
    <row r="458" spans="1:3" ht="15.75" customHeight="1" x14ac:dyDescent="0.35">
      <c r="A458" s="149"/>
      <c r="B458" s="33"/>
      <c r="C458" s="155"/>
    </row>
    <row r="459" spans="1:3" ht="15.75" customHeight="1" x14ac:dyDescent="0.35">
      <c r="A459" s="149"/>
      <c r="B459" s="33"/>
      <c r="C459" s="155"/>
    </row>
    <row r="460" spans="1:3" ht="15.75" customHeight="1" x14ac:dyDescent="0.35">
      <c r="A460" s="149"/>
      <c r="B460" s="33"/>
      <c r="C460" s="155"/>
    </row>
    <row r="461" spans="1:3" ht="15.75" customHeight="1" x14ac:dyDescent="0.35">
      <c r="A461" s="149"/>
      <c r="B461" s="33"/>
      <c r="C461" s="155"/>
    </row>
    <row r="462" spans="1:3" ht="15.75" customHeight="1" x14ac:dyDescent="0.35">
      <c r="A462" s="149"/>
      <c r="B462" s="33"/>
      <c r="C462" s="155"/>
    </row>
    <row r="463" spans="1:3" ht="15.75" customHeight="1" x14ac:dyDescent="0.35">
      <c r="A463" s="149"/>
      <c r="B463" s="33"/>
      <c r="C463" s="155"/>
    </row>
    <row r="464" spans="1:3" ht="15.75" customHeight="1" x14ac:dyDescent="0.35">
      <c r="A464" s="149"/>
      <c r="B464" s="33"/>
      <c r="C464" s="155"/>
    </row>
    <row r="465" spans="1:3" ht="15.75" customHeight="1" x14ac:dyDescent="0.35">
      <c r="A465" s="149"/>
      <c r="B465" s="33"/>
      <c r="C465" s="155"/>
    </row>
    <row r="466" spans="1:3" ht="15.75" customHeight="1" x14ac:dyDescent="0.35">
      <c r="A466" s="149"/>
      <c r="B466" s="33"/>
      <c r="C466" s="155"/>
    </row>
    <row r="467" spans="1:3" ht="15.75" customHeight="1" x14ac:dyDescent="0.35">
      <c r="A467" s="149"/>
      <c r="B467" s="33"/>
      <c r="C467" s="155"/>
    </row>
    <row r="468" spans="1:3" ht="15.75" customHeight="1" x14ac:dyDescent="0.35">
      <c r="A468" s="149"/>
      <c r="B468" s="33"/>
      <c r="C468" s="155"/>
    </row>
    <row r="469" spans="1:3" ht="15.75" customHeight="1" x14ac:dyDescent="0.35">
      <c r="A469" s="149"/>
      <c r="B469" s="33"/>
      <c r="C469" s="155"/>
    </row>
    <row r="470" spans="1:3" ht="15.75" customHeight="1" x14ac:dyDescent="0.35">
      <c r="A470" s="149"/>
      <c r="B470" s="33"/>
      <c r="C470" s="155"/>
    </row>
    <row r="471" spans="1:3" ht="15.75" customHeight="1" x14ac:dyDescent="0.35">
      <c r="A471" s="149"/>
      <c r="B471" s="33"/>
      <c r="C471" s="155"/>
    </row>
    <row r="472" spans="1:3" ht="15.75" customHeight="1" x14ac:dyDescent="0.35">
      <c r="A472" s="149"/>
      <c r="B472" s="33"/>
      <c r="C472" s="155"/>
    </row>
    <row r="473" spans="1:3" ht="15.75" customHeight="1" x14ac:dyDescent="0.35">
      <c r="A473" s="149"/>
      <c r="B473" s="33"/>
      <c r="C473" s="155"/>
    </row>
    <row r="474" spans="1:3" ht="15.75" customHeight="1" x14ac:dyDescent="0.35">
      <c r="A474" s="149"/>
      <c r="B474" s="33"/>
      <c r="C474" s="155"/>
    </row>
    <row r="475" spans="1:3" ht="15.75" customHeight="1" x14ac:dyDescent="0.35">
      <c r="A475" s="149"/>
      <c r="B475" s="33"/>
      <c r="C475" s="155"/>
    </row>
    <row r="476" spans="1:3" ht="15.75" customHeight="1" x14ac:dyDescent="0.35">
      <c r="A476" s="149"/>
      <c r="B476" s="33"/>
      <c r="C476" s="155"/>
    </row>
    <row r="477" spans="1:3" ht="15.75" customHeight="1" x14ac:dyDescent="0.35">
      <c r="A477" s="149"/>
      <c r="B477" s="33"/>
      <c r="C477" s="155"/>
    </row>
    <row r="478" spans="1:3" ht="15.75" customHeight="1" x14ac:dyDescent="0.35">
      <c r="A478" s="149"/>
      <c r="B478" s="33"/>
      <c r="C478" s="155"/>
    </row>
    <row r="479" spans="1:3" ht="15.75" customHeight="1" x14ac:dyDescent="0.35">
      <c r="A479" s="149"/>
      <c r="B479" s="33"/>
      <c r="C479" s="155"/>
    </row>
    <row r="480" spans="1:3" ht="15.75" customHeight="1" x14ac:dyDescent="0.35">
      <c r="A480" s="149"/>
      <c r="B480" s="33"/>
      <c r="C480" s="155"/>
    </row>
    <row r="481" spans="1:3" ht="15.75" customHeight="1" x14ac:dyDescent="0.35">
      <c r="A481" s="149"/>
      <c r="B481" s="33"/>
      <c r="C481" s="155"/>
    </row>
    <row r="482" spans="1:3" ht="15.75" customHeight="1" x14ac:dyDescent="0.35">
      <c r="A482" s="149"/>
      <c r="B482" s="33"/>
      <c r="C482" s="155"/>
    </row>
    <row r="483" spans="1:3" ht="15.75" customHeight="1" x14ac:dyDescent="0.35">
      <c r="A483" s="149"/>
      <c r="B483" s="33"/>
      <c r="C483" s="155"/>
    </row>
    <row r="484" spans="1:3" ht="15.75" customHeight="1" x14ac:dyDescent="0.35">
      <c r="A484" s="149"/>
      <c r="B484" s="33"/>
      <c r="C484" s="155"/>
    </row>
    <row r="485" spans="1:3" ht="15.75" customHeight="1" x14ac:dyDescent="0.35">
      <c r="A485" s="149"/>
      <c r="B485" s="33"/>
      <c r="C485" s="155"/>
    </row>
    <row r="486" spans="1:3" ht="15.75" customHeight="1" x14ac:dyDescent="0.35">
      <c r="A486" s="149"/>
      <c r="B486" s="33"/>
      <c r="C486" s="155"/>
    </row>
    <row r="487" spans="1:3" ht="15.75" customHeight="1" x14ac:dyDescent="0.35">
      <c r="A487" s="149"/>
      <c r="B487" s="33"/>
      <c r="C487" s="155"/>
    </row>
    <row r="488" spans="1:3" ht="15.75" customHeight="1" x14ac:dyDescent="0.35">
      <c r="A488" s="149"/>
      <c r="B488" s="33"/>
      <c r="C488" s="155"/>
    </row>
    <row r="489" spans="1:3" ht="15.75" customHeight="1" x14ac:dyDescent="0.35">
      <c r="A489" s="149"/>
      <c r="B489" s="33"/>
      <c r="C489" s="155"/>
    </row>
    <row r="490" spans="1:3" ht="15.75" customHeight="1" x14ac:dyDescent="0.35">
      <c r="A490" s="149"/>
      <c r="B490" s="33"/>
      <c r="C490" s="155"/>
    </row>
    <row r="491" spans="1:3" ht="15.75" customHeight="1" x14ac:dyDescent="0.35">
      <c r="A491" s="149"/>
      <c r="B491" s="33"/>
      <c r="C491" s="155"/>
    </row>
    <row r="492" spans="1:3" ht="15.75" customHeight="1" x14ac:dyDescent="0.35">
      <c r="A492" s="149"/>
      <c r="B492" s="33"/>
      <c r="C492" s="155"/>
    </row>
    <row r="493" spans="1:3" ht="15.75" customHeight="1" x14ac:dyDescent="0.35">
      <c r="A493" s="149"/>
      <c r="B493" s="33"/>
      <c r="C493" s="155"/>
    </row>
    <row r="494" spans="1:3" ht="15.75" customHeight="1" x14ac:dyDescent="0.35">
      <c r="A494" s="149"/>
      <c r="B494" s="33"/>
      <c r="C494" s="155"/>
    </row>
    <row r="495" spans="1:3" ht="15.75" customHeight="1" x14ac:dyDescent="0.35">
      <c r="A495" s="149"/>
      <c r="B495" s="33"/>
      <c r="C495" s="155"/>
    </row>
    <row r="496" spans="1:3" ht="15.75" customHeight="1" x14ac:dyDescent="0.35">
      <c r="A496" s="149"/>
      <c r="B496" s="33"/>
      <c r="C496" s="155"/>
    </row>
    <row r="497" spans="1:3" ht="15.75" customHeight="1" x14ac:dyDescent="0.35">
      <c r="A497" s="149"/>
      <c r="B497" s="33"/>
      <c r="C497" s="155"/>
    </row>
    <row r="498" spans="1:3" ht="15.75" customHeight="1" x14ac:dyDescent="0.35">
      <c r="A498" s="149"/>
      <c r="B498" s="33"/>
      <c r="C498" s="155"/>
    </row>
    <row r="499" spans="1:3" ht="15.75" customHeight="1" x14ac:dyDescent="0.35">
      <c r="A499" s="149"/>
      <c r="B499" s="33"/>
      <c r="C499" s="155"/>
    </row>
    <row r="500" spans="1:3" ht="15.75" customHeight="1" x14ac:dyDescent="0.35">
      <c r="A500" s="149"/>
      <c r="B500" s="33"/>
      <c r="C500" s="155"/>
    </row>
    <row r="501" spans="1:3" ht="15.75" customHeight="1" x14ac:dyDescent="0.35">
      <c r="A501" s="149"/>
      <c r="B501" s="33"/>
      <c r="C501" s="155"/>
    </row>
    <row r="502" spans="1:3" ht="15.75" customHeight="1" x14ac:dyDescent="0.35">
      <c r="A502" s="149"/>
      <c r="B502" s="33"/>
      <c r="C502" s="155"/>
    </row>
    <row r="503" spans="1:3" ht="15.75" customHeight="1" x14ac:dyDescent="0.35">
      <c r="A503" s="149"/>
      <c r="B503" s="33"/>
      <c r="C503" s="155"/>
    </row>
    <row r="504" spans="1:3" ht="15.75" customHeight="1" x14ac:dyDescent="0.35">
      <c r="A504" s="149"/>
      <c r="B504" s="33"/>
      <c r="C504" s="155"/>
    </row>
    <row r="505" spans="1:3" ht="15.75" customHeight="1" x14ac:dyDescent="0.35">
      <c r="A505" s="149"/>
      <c r="B505" s="33"/>
      <c r="C505" s="155"/>
    </row>
    <row r="506" spans="1:3" ht="15.75" customHeight="1" x14ac:dyDescent="0.35">
      <c r="A506" s="149"/>
      <c r="B506" s="33"/>
      <c r="C506" s="155"/>
    </row>
    <row r="507" spans="1:3" ht="15.75" customHeight="1" x14ac:dyDescent="0.35">
      <c r="A507" s="149"/>
      <c r="B507" s="33"/>
      <c r="C507" s="155"/>
    </row>
    <row r="508" spans="1:3" ht="15.75" customHeight="1" x14ac:dyDescent="0.35">
      <c r="A508" s="149"/>
      <c r="B508" s="33"/>
      <c r="C508" s="155"/>
    </row>
    <row r="509" spans="1:3" ht="15.75" customHeight="1" x14ac:dyDescent="0.35">
      <c r="A509" s="149"/>
      <c r="B509" s="33"/>
      <c r="C509" s="155"/>
    </row>
    <row r="510" spans="1:3" ht="15.75" customHeight="1" x14ac:dyDescent="0.35">
      <c r="A510" s="149"/>
      <c r="B510" s="33"/>
      <c r="C510" s="155"/>
    </row>
    <row r="511" spans="1:3" ht="15.75" customHeight="1" x14ac:dyDescent="0.35">
      <c r="A511" s="149"/>
      <c r="B511" s="33"/>
      <c r="C511" s="155"/>
    </row>
    <row r="512" spans="1:3" ht="15.75" customHeight="1" x14ac:dyDescent="0.35">
      <c r="A512" s="149"/>
      <c r="B512" s="33"/>
      <c r="C512" s="155"/>
    </row>
    <row r="513" spans="1:3" ht="15.75" customHeight="1" x14ac:dyDescent="0.35">
      <c r="A513" s="149"/>
      <c r="B513" s="33"/>
      <c r="C513" s="155"/>
    </row>
    <row r="514" spans="1:3" ht="15.75" customHeight="1" x14ac:dyDescent="0.35">
      <c r="A514" s="149"/>
      <c r="B514" s="33"/>
      <c r="C514" s="155"/>
    </row>
    <row r="515" spans="1:3" ht="15.75" customHeight="1" x14ac:dyDescent="0.35">
      <c r="A515" s="149"/>
      <c r="B515" s="33"/>
      <c r="C515" s="155"/>
    </row>
    <row r="516" spans="1:3" ht="15.75" customHeight="1" x14ac:dyDescent="0.35">
      <c r="A516" s="149"/>
      <c r="B516" s="33"/>
      <c r="C516" s="155"/>
    </row>
    <row r="517" spans="1:3" ht="15.75" customHeight="1" x14ac:dyDescent="0.35">
      <c r="A517" s="149"/>
      <c r="B517" s="33"/>
      <c r="C517" s="155"/>
    </row>
    <row r="518" spans="1:3" ht="15.75" customHeight="1" x14ac:dyDescent="0.35">
      <c r="A518" s="149"/>
      <c r="B518" s="33"/>
      <c r="C518" s="155"/>
    </row>
    <row r="519" spans="1:3" ht="15.75" customHeight="1" x14ac:dyDescent="0.35">
      <c r="A519" s="149"/>
      <c r="B519" s="33"/>
      <c r="C519" s="155"/>
    </row>
    <row r="520" spans="1:3" ht="15.75" customHeight="1" x14ac:dyDescent="0.35">
      <c r="A520" s="149"/>
      <c r="B520" s="33"/>
      <c r="C520" s="155"/>
    </row>
    <row r="521" spans="1:3" ht="15.75" customHeight="1" x14ac:dyDescent="0.35">
      <c r="A521" s="149"/>
      <c r="B521" s="33"/>
      <c r="C521" s="155"/>
    </row>
    <row r="522" spans="1:3" ht="15.75" customHeight="1" x14ac:dyDescent="0.35">
      <c r="A522" s="149"/>
      <c r="B522" s="33"/>
      <c r="C522" s="155"/>
    </row>
    <row r="523" spans="1:3" ht="15.75" customHeight="1" x14ac:dyDescent="0.35">
      <c r="A523" s="149"/>
      <c r="B523" s="33"/>
      <c r="C523" s="155"/>
    </row>
    <row r="524" spans="1:3" ht="15.75" customHeight="1" x14ac:dyDescent="0.35">
      <c r="A524" s="149"/>
      <c r="B524" s="33"/>
      <c r="C524" s="155"/>
    </row>
    <row r="525" spans="1:3" ht="15.75" customHeight="1" x14ac:dyDescent="0.35">
      <c r="A525" s="149"/>
      <c r="B525" s="33"/>
      <c r="C525" s="155"/>
    </row>
    <row r="526" spans="1:3" ht="15.75" customHeight="1" x14ac:dyDescent="0.35">
      <c r="A526" s="149"/>
      <c r="B526" s="33"/>
      <c r="C526" s="155"/>
    </row>
    <row r="527" spans="1:3" ht="15.75" customHeight="1" x14ac:dyDescent="0.35">
      <c r="A527" s="149"/>
      <c r="B527" s="33"/>
      <c r="C527" s="155"/>
    </row>
    <row r="528" spans="1:3" ht="15.75" customHeight="1" x14ac:dyDescent="0.35">
      <c r="A528" s="149"/>
      <c r="B528" s="33"/>
      <c r="C528" s="155"/>
    </row>
    <row r="529" spans="1:3" ht="15.75" customHeight="1" x14ac:dyDescent="0.35">
      <c r="A529" s="149"/>
      <c r="B529" s="33"/>
      <c r="C529" s="155"/>
    </row>
    <row r="530" spans="1:3" ht="15.75" customHeight="1" x14ac:dyDescent="0.35">
      <c r="A530" s="149"/>
      <c r="B530" s="33"/>
      <c r="C530" s="155"/>
    </row>
    <row r="531" spans="1:3" ht="15.75" customHeight="1" x14ac:dyDescent="0.35">
      <c r="A531" s="149"/>
      <c r="B531" s="33"/>
      <c r="C531" s="155"/>
    </row>
    <row r="532" spans="1:3" ht="15.75" customHeight="1" x14ac:dyDescent="0.35">
      <c r="A532" s="149"/>
      <c r="B532" s="33"/>
      <c r="C532" s="155"/>
    </row>
    <row r="533" spans="1:3" ht="15.75" customHeight="1" x14ac:dyDescent="0.35">
      <c r="A533" s="149"/>
      <c r="B533" s="33"/>
      <c r="C533" s="155"/>
    </row>
    <row r="534" spans="1:3" ht="15.75" customHeight="1" x14ac:dyDescent="0.35">
      <c r="A534" s="149"/>
      <c r="B534" s="33"/>
      <c r="C534" s="155"/>
    </row>
    <row r="535" spans="1:3" ht="15.75" customHeight="1" x14ac:dyDescent="0.35">
      <c r="A535" s="149"/>
      <c r="B535" s="33"/>
      <c r="C535" s="155"/>
    </row>
    <row r="536" spans="1:3" ht="15.75" customHeight="1" x14ac:dyDescent="0.35">
      <c r="A536" s="149"/>
      <c r="B536" s="33"/>
      <c r="C536" s="155"/>
    </row>
    <row r="537" spans="1:3" ht="15.75" customHeight="1" x14ac:dyDescent="0.35">
      <c r="A537" s="149"/>
      <c r="B537" s="33"/>
      <c r="C537" s="155"/>
    </row>
    <row r="538" spans="1:3" ht="15.75" customHeight="1" x14ac:dyDescent="0.35">
      <c r="A538" s="149"/>
      <c r="B538" s="33"/>
      <c r="C538" s="155"/>
    </row>
    <row r="539" spans="1:3" ht="15.75" customHeight="1" x14ac:dyDescent="0.35">
      <c r="A539" s="149"/>
      <c r="B539" s="33"/>
      <c r="C539" s="155"/>
    </row>
    <row r="540" spans="1:3" ht="15.75" customHeight="1" x14ac:dyDescent="0.35">
      <c r="A540" s="149"/>
      <c r="B540" s="33"/>
      <c r="C540" s="155"/>
    </row>
    <row r="541" spans="1:3" ht="15.75" customHeight="1" x14ac:dyDescent="0.35">
      <c r="A541" s="149"/>
      <c r="B541" s="33"/>
      <c r="C541" s="155"/>
    </row>
    <row r="542" spans="1:3" ht="15.75" customHeight="1" x14ac:dyDescent="0.35">
      <c r="A542" s="149"/>
      <c r="B542" s="33"/>
      <c r="C542" s="155"/>
    </row>
    <row r="543" spans="1:3" ht="15.75" customHeight="1" x14ac:dyDescent="0.35">
      <c r="A543" s="149"/>
      <c r="B543" s="33"/>
      <c r="C543" s="155"/>
    </row>
    <row r="544" spans="1:3" ht="15.75" customHeight="1" x14ac:dyDescent="0.35">
      <c r="A544" s="149"/>
      <c r="B544" s="33"/>
      <c r="C544" s="155"/>
    </row>
    <row r="545" spans="1:3" ht="15.75" customHeight="1" x14ac:dyDescent="0.35">
      <c r="A545" s="149"/>
      <c r="B545" s="33"/>
      <c r="C545" s="155"/>
    </row>
    <row r="546" spans="1:3" ht="15.75" customHeight="1" x14ac:dyDescent="0.35">
      <c r="A546" s="149"/>
      <c r="B546" s="33"/>
      <c r="C546" s="155"/>
    </row>
    <row r="547" spans="1:3" ht="15.75" customHeight="1" x14ac:dyDescent="0.35">
      <c r="A547" s="149"/>
      <c r="B547" s="33"/>
      <c r="C547" s="155"/>
    </row>
    <row r="548" spans="1:3" ht="15.75" customHeight="1" x14ac:dyDescent="0.35">
      <c r="A548" s="149"/>
      <c r="B548" s="33"/>
      <c r="C548" s="155"/>
    </row>
    <row r="549" spans="1:3" ht="15.75" customHeight="1" x14ac:dyDescent="0.35">
      <c r="A549" s="149"/>
      <c r="B549" s="33"/>
      <c r="C549" s="155"/>
    </row>
    <row r="550" spans="1:3" ht="15.75" customHeight="1" x14ac:dyDescent="0.35">
      <c r="A550" s="149"/>
      <c r="B550" s="33"/>
      <c r="C550" s="155"/>
    </row>
    <row r="551" spans="1:3" ht="15.75" customHeight="1" x14ac:dyDescent="0.35">
      <c r="A551" s="149"/>
      <c r="B551" s="33"/>
      <c r="C551" s="155"/>
    </row>
    <row r="552" spans="1:3" ht="15.75" customHeight="1" x14ac:dyDescent="0.35">
      <c r="A552" s="149"/>
      <c r="B552" s="33"/>
      <c r="C552" s="155"/>
    </row>
    <row r="553" spans="1:3" ht="15.75" customHeight="1" x14ac:dyDescent="0.35">
      <c r="A553" s="149"/>
      <c r="B553" s="33"/>
      <c r="C553" s="155"/>
    </row>
    <row r="554" spans="1:3" ht="15.75" customHeight="1" x14ac:dyDescent="0.35">
      <c r="A554" s="149"/>
      <c r="B554" s="33"/>
      <c r="C554" s="155"/>
    </row>
    <row r="555" spans="1:3" ht="15.75" customHeight="1" x14ac:dyDescent="0.35">
      <c r="A555" s="149"/>
      <c r="B555" s="33"/>
      <c r="C555" s="155"/>
    </row>
    <row r="556" spans="1:3" ht="15.75" customHeight="1" x14ac:dyDescent="0.35">
      <c r="A556" s="149"/>
      <c r="B556" s="33"/>
      <c r="C556" s="155"/>
    </row>
    <row r="557" spans="1:3" ht="15.75" customHeight="1" x14ac:dyDescent="0.35">
      <c r="A557" s="149"/>
      <c r="B557" s="33"/>
      <c r="C557" s="155"/>
    </row>
    <row r="558" spans="1:3" ht="15.75" customHeight="1" x14ac:dyDescent="0.35">
      <c r="A558" s="149"/>
      <c r="B558" s="33"/>
      <c r="C558" s="155"/>
    </row>
    <row r="559" spans="1:3" ht="15.75" customHeight="1" x14ac:dyDescent="0.35">
      <c r="A559" s="149"/>
      <c r="B559" s="33"/>
      <c r="C559" s="155"/>
    </row>
    <row r="560" spans="1:3" ht="15.75" customHeight="1" x14ac:dyDescent="0.35">
      <c r="A560" s="149"/>
      <c r="B560" s="33"/>
      <c r="C560" s="155"/>
    </row>
    <row r="561" spans="1:3" ht="15.75" customHeight="1" x14ac:dyDescent="0.35">
      <c r="A561" s="149"/>
      <c r="B561" s="33"/>
      <c r="C561" s="155"/>
    </row>
    <row r="562" spans="1:3" ht="15.75" customHeight="1" x14ac:dyDescent="0.35">
      <c r="A562" s="149"/>
      <c r="B562" s="33"/>
      <c r="C562" s="155"/>
    </row>
    <row r="563" spans="1:3" ht="15.75" customHeight="1" x14ac:dyDescent="0.35">
      <c r="A563" s="149"/>
      <c r="B563" s="33"/>
      <c r="C563" s="155"/>
    </row>
    <row r="564" spans="1:3" ht="15.75" customHeight="1" x14ac:dyDescent="0.35">
      <c r="A564" s="149"/>
      <c r="B564" s="33"/>
      <c r="C564" s="155"/>
    </row>
    <row r="565" spans="1:3" ht="15.75" customHeight="1" x14ac:dyDescent="0.35">
      <c r="A565" s="149"/>
      <c r="B565" s="33"/>
      <c r="C565" s="155"/>
    </row>
    <row r="566" spans="1:3" ht="15.75" customHeight="1" x14ac:dyDescent="0.35">
      <c r="A566" s="149"/>
      <c r="B566" s="33"/>
      <c r="C566" s="155"/>
    </row>
    <row r="567" spans="1:3" ht="15.75" customHeight="1" x14ac:dyDescent="0.35">
      <c r="A567" s="149"/>
      <c r="B567" s="33"/>
      <c r="C567" s="155"/>
    </row>
    <row r="568" spans="1:3" ht="15.75" customHeight="1" x14ac:dyDescent="0.35">
      <c r="A568" s="149"/>
      <c r="B568" s="33"/>
      <c r="C568" s="155"/>
    </row>
    <row r="569" spans="1:3" ht="15.75" customHeight="1" x14ac:dyDescent="0.35">
      <c r="A569" s="149"/>
      <c r="B569" s="33"/>
      <c r="C569" s="155"/>
    </row>
    <row r="570" spans="1:3" ht="15.75" customHeight="1" x14ac:dyDescent="0.35">
      <c r="A570" s="149"/>
      <c r="B570" s="33"/>
      <c r="C570" s="155"/>
    </row>
    <row r="571" spans="1:3" ht="15.75" customHeight="1" x14ac:dyDescent="0.35">
      <c r="A571" s="149"/>
      <c r="B571" s="33"/>
      <c r="C571" s="155"/>
    </row>
    <row r="572" spans="1:3" ht="15.75" customHeight="1" x14ac:dyDescent="0.35">
      <c r="A572" s="149"/>
      <c r="B572" s="33"/>
      <c r="C572" s="155"/>
    </row>
    <row r="573" spans="1:3" ht="15.75" customHeight="1" x14ac:dyDescent="0.35">
      <c r="A573" s="149"/>
      <c r="B573" s="33"/>
      <c r="C573" s="155"/>
    </row>
    <row r="574" spans="1:3" ht="15.75" customHeight="1" x14ac:dyDescent="0.35">
      <c r="A574" s="149"/>
      <c r="B574" s="33"/>
      <c r="C574" s="155"/>
    </row>
    <row r="575" spans="1:3" ht="15.75" customHeight="1" x14ac:dyDescent="0.35">
      <c r="A575" s="149"/>
      <c r="B575" s="33"/>
      <c r="C575" s="155"/>
    </row>
    <row r="576" spans="1:3" ht="15.75" customHeight="1" x14ac:dyDescent="0.35">
      <c r="A576" s="149"/>
      <c r="B576" s="33"/>
      <c r="C576" s="155"/>
    </row>
    <row r="577" spans="1:3" ht="15.75" customHeight="1" x14ac:dyDescent="0.35">
      <c r="A577" s="149"/>
      <c r="B577" s="33"/>
      <c r="C577" s="155"/>
    </row>
    <row r="578" spans="1:3" ht="15.75" customHeight="1" x14ac:dyDescent="0.35">
      <c r="A578" s="149"/>
      <c r="B578" s="33"/>
      <c r="C578" s="155"/>
    </row>
    <row r="579" spans="1:3" ht="15.75" customHeight="1" x14ac:dyDescent="0.35">
      <c r="A579" s="149"/>
      <c r="B579" s="33"/>
      <c r="C579" s="155"/>
    </row>
    <row r="580" spans="1:3" ht="15.75" customHeight="1" x14ac:dyDescent="0.35">
      <c r="A580" s="149"/>
      <c r="B580" s="33"/>
      <c r="C580" s="155"/>
    </row>
    <row r="581" spans="1:3" ht="15.75" customHeight="1" x14ac:dyDescent="0.35">
      <c r="A581" s="149"/>
      <c r="B581" s="33"/>
      <c r="C581" s="155"/>
    </row>
    <row r="582" spans="1:3" ht="15.75" customHeight="1" x14ac:dyDescent="0.35">
      <c r="A582" s="149"/>
      <c r="B582" s="33"/>
      <c r="C582" s="155"/>
    </row>
    <row r="583" spans="1:3" ht="15.75" customHeight="1" x14ac:dyDescent="0.35">
      <c r="A583" s="149"/>
      <c r="B583" s="33"/>
      <c r="C583" s="155"/>
    </row>
    <row r="584" spans="1:3" ht="15.75" customHeight="1" x14ac:dyDescent="0.35">
      <c r="A584" s="149"/>
      <c r="B584" s="33"/>
      <c r="C584" s="155"/>
    </row>
    <row r="585" spans="1:3" ht="15.75" customHeight="1" x14ac:dyDescent="0.35">
      <c r="A585" s="149"/>
      <c r="B585" s="33"/>
      <c r="C585" s="155"/>
    </row>
    <row r="586" spans="1:3" ht="15.75" customHeight="1" x14ac:dyDescent="0.35">
      <c r="A586" s="149"/>
      <c r="B586" s="33"/>
      <c r="C586" s="155"/>
    </row>
    <row r="587" spans="1:3" ht="15.75" customHeight="1" x14ac:dyDescent="0.35">
      <c r="A587" s="149"/>
      <c r="B587" s="33"/>
      <c r="C587" s="155"/>
    </row>
    <row r="588" spans="1:3" ht="15.75" customHeight="1" x14ac:dyDescent="0.35">
      <c r="A588" s="149"/>
      <c r="B588" s="33"/>
      <c r="C588" s="155"/>
    </row>
    <row r="589" spans="1:3" ht="15.75" customHeight="1" x14ac:dyDescent="0.35">
      <c r="A589" s="149"/>
      <c r="B589" s="33"/>
      <c r="C589" s="155"/>
    </row>
    <row r="590" spans="1:3" ht="15.75" customHeight="1" x14ac:dyDescent="0.35">
      <c r="A590" s="149"/>
      <c r="B590" s="33"/>
      <c r="C590" s="155"/>
    </row>
    <row r="591" spans="1:3" ht="15.75" customHeight="1" x14ac:dyDescent="0.35">
      <c r="A591" s="149"/>
      <c r="B591" s="33"/>
      <c r="C591" s="155"/>
    </row>
    <row r="592" spans="1:3" ht="15.75" customHeight="1" x14ac:dyDescent="0.35">
      <c r="A592" s="149"/>
      <c r="B592" s="33"/>
      <c r="C592" s="155"/>
    </row>
    <row r="593" spans="1:3" ht="15.75" customHeight="1" x14ac:dyDescent="0.35">
      <c r="A593" s="149"/>
      <c r="B593" s="33"/>
      <c r="C593" s="155"/>
    </row>
    <row r="594" spans="1:3" ht="15.75" customHeight="1" x14ac:dyDescent="0.35">
      <c r="A594" s="149"/>
      <c r="B594" s="33"/>
      <c r="C594" s="155"/>
    </row>
    <row r="595" spans="1:3" ht="15.75" customHeight="1" x14ac:dyDescent="0.35">
      <c r="A595" s="149"/>
      <c r="B595" s="33"/>
      <c r="C595" s="155"/>
    </row>
    <row r="596" spans="1:3" ht="15.75" customHeight="1" x14ac:dyDescent="0.35">
      <c r="A596" s="149"/>
      <c r="B596" s="33"/>
      <c r="C596" s="155"/>
    </row>
    <row r="597" spans="1:3" ht="15.75" customHeight="1" x14ac:dyDescent="0.35">
      <c r="A597" s="149"/>
      <c r="B597" s="33"/>
      <c r="C597" s="155"/>
    </row>
    <row r="598" spans="1:3" ht="15.75" customHeight="1" x14ac:dyDescent="0.35">
      <c r="A598" s="149"/>
      <c r="B598" s="33"/>
      <c r="C598" s="155"/>
    </row>
    <row r="599" spans="1:3" ht="15.75" customHeight="1" x14ac:dyDescent="0.35">
      <c r="A599" s="149"/>
      <c r="B599" s="33"/>
      <c r="C599" s="155"/>
    </row>
    <row r="600" spans="1:3" ht="15.75" customHeight="1" x14ac:dyDescent="0.35">
      <c r="A600" s="149"/>
      <c r="B600" s="33"/>
      <c r="C600" s="155"/>
    </row>
    <row r="601" spans="1:3" ht="15.75" customHeight="1" x14ac:dyDescent="0.35">
      <c r="A601" s="149"/>
      <c r="B601" s="33"/>
      <c r="C601" s="155"/>
    </row>
    <row r="602" spans="1:3" ht="15.75" customHeight="1" x14ac:dyDescent="0.35">
      <c r="A602" s="149"/>
      <c r="B602" s="33"/>
      <c r="C602" s="155"/>
    </row>
    <row r="603" spans="1:3" ht="15.75" customHeight="1" x14ac:dyDescent="0.35">
      <c r="A603" s="149"/>
      <c r="B603" s="33"/>
      <c r="C603" s="155"/>
    </row>
    <row r="604" spans="1:3" ht="15.75" customHeight="1" x14ac:dyDescent="0.35">
      <c r="A604" s="149"/>
      <c r="B604" s="33"/>
      <c r="C604" s="155"/>
    </row>
    <row r="605" spans="1:3" ht="15.75" customHeight="1" x14ac:dyDescent="0.35">
      <c r="A605" s="149"/>
      <c r="B605" s="33"/>
      <c r="C605" s="155"/>
    </row>
    <row r="606" spans="1:3" ht="15.75" customHeight="1" x14ac:dyDescent="0.35">
      <c r="A606" s="149"/>
      <c r="B606" s="33"/>
      <c r="C606" s="155"/>
    </row>
    <row r="607" spans="1:3" ht="15.75" customHeight="1" x14ac:dyDescent="0.35">
      <c r="A607" s="149"/>
      <c r="B607" s="33"/>
      <c r="C607" s="155"/>
    </row>
  </sheetData>
  <mergeCells count="1">
    <mergeCell ref="A1:D1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2578125" defaultRowHeight="17.25" x14ac:dyDescent="0.35"/>
  <cols>
    <col min="1" max="1" width="4.7109375" style="29" customWidth="1"/>
    <col min="2" max="2" width="19.5703125" style="108" customWidth="1"/>
    <col min="3" max="3" width="22.85546875" style="119" customWidth="1"/>
    <col min="4" max="4" width="23.85546875" style="29" customWidth="1"/>
    <col min="5" max="16384" width="14.42578125" style="29"/>
  </cols>
  <sheetData>
    <row r="1" spans="1:51" ht="23.25" x14ac:dyDescent="0.35">
      <c r="A1" s="52" t="s">
        <v>43</v>
      </c>
      <c r="B1" s="103"/>
      <c r="C1" s="109"/>
    </row>
    <row r="2" spans="1:51" ht="66.599999999999994" customHeight="1" x14ac:dyDescent="0.35">
      <c r="A2" s="30"/>
      <c r="B2" s="104" t="s">
        <v>31</v>
      </c>
      <c r="C2" s="110" t="s">
        <v>32</v>
      </c>
      <c r="D2" s="29">
        <v>63.25</v>
      </c>
    </row>
    <row r="3" spans="1:51" ht="19.899999999999999" customHeight="1" x14ac:dyDescent="0.35">
      <c r="A3" s="30"/>
      <c r="B3" s="104"/>
      <c r="C3" s="110"/>
    </row>
    <row r="4" spans="1:51" ht="19.899999999999999" customHeight="1" x14ac:dyDescent="0.35">
      <c r="A4" s="30"/>
      <c r="B4" s="105">
        <v>46023</v>
      </c>
      <c r="C4" s="111">
        <f>+' EXPENSES'!E115</f>
        <v>906674.91999999993</v>
      </c>
      <c r="D4" s="120">
        <f>+C4/$D$2</f>
        <v>14334.781343873517</v>
      </c>
    </row>
    <row r="5" spans="1:51" ht="19.5" customHeight="1" x14ac:dyDescent="0.35">
      <c r="A5" s="96"/>
      <c r="B5" s="105">
        <v>46055</v>
      </c>
      <c r="C5" s="112"/>
      <c r="D5" s="120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35">
      <c r="A6" s="31"/>
      <c r="B6" s="105">
        <v>46087</v>
      </c>
      <c r="C6" s="113"/>
      <c r="D6" s="120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35">
      <c r="A7" s="31"/>
      <c r="B7" s="105">
        <v>46119</v>
      </c>
      <c r="C7" s="112"/>
      <c r="D7" s="120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35">
      <c r="A8" s="31"/>
      <c r="B8" s="105">
        <v>46151</v>
      </c>
      <c r="C8" s="112"/>
      <c r="D8" s="120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35">
      <c r="A9" s="31"/>
      <c r="B9" s="105">
        <v>46183</v>
      </c>
      <c r="C9" s="113"/>
      <c r="D9" s="120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35">
      <c r="A10" s="31"/>
      <c r="B10" s="105">
        <v>46215</v>
      </c>
      <c r="C10" s="112"/>
      <c r="D10" s="120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35">
      <c r="A11" s="31"/>
      <c r="B11" s="105">
        <v>46247</v>
      </c>
      <c r="C11" s="112"/>
      <c r="D11" s="120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35">
      <c r="A12" s="31"/>
      <c r="B12" s="105">
        <v>46279</v>
      </c>
      <c r="C12" s="113"/>
      <c r="D12" s="120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35">
      <c r="A13" s="31"/>
      <c r="B13" s="105">
        <v>46311</v>
      </c>
      <c r="C13" s="112"/>
      <c r="D13" s="120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35">
      <c r="A14" s="31"/>
      <c r="B14" s="105">
        <v>46343</v>
      </c>
      <c r="C14" s="113"/>
      <c r="D14" s="120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35">
      <c r="A15" s="31"/>
      <c r="B15" s="105">
        <v>46375</v>
      </c>
      <c r="C15" s="114"/>
      <c r="D15" s="120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4">
      <c r="A16" s="31"/>
      <c r="B16" s="106"/>
      <c r="C16" s="115">
        <f>SUM(C4:C15)</f>
        <v>906674.91999999993</v>
      </c>
      <c r="D16" s="121">
        <f>SUM(D4:D15)</f>
        <v>14334.781343873517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35">
      <c r="A17" s="31"/>
      <c r="B17" s="106"/>
      <c r="C17" s="11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5" customHeight="1" x14ac:dyDescent="0.35">
      <c r="A18" s="31"/>
      <c r="B18" s="106" t="s">
        <v>33</v>
      </c>
      <c r="C18" s="117">
        <f>+C16/9</f>
        <v>100741.65777777777</v>
      </c>
      <c r="D18" s="122">
        <f>+D16/9</f>
        <v>1592.753482652613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35">
      <c r="A19" s="33"/>
      <c r="B19" s="107"/>
      <c r="C19" s="118"/>
    </row>
    <row r="20" spans="1:51" ht="15.75" customHeight="1" x14ac:dyDescent="0.35">
      <c r="A20" s="33"/>
      <c r="B20" s="107"/>
      <c r="C20" s="118"/>
    </row>
    <row r="21" spans="1:51" ht="15.75" customHeight="1" x14ac:dyDescent="0.35">
      <c r="A21" s="33"/>
      <c r="B21" s="107"/>
      <c r="C21" s="118"/>
    </row>
    <row r="22" spans="1:51" ht="15.75" customHeight="1" x14ac:dyDescent="0.35">
      <c r="A22" s="33"/>
      <c r="B22" s="107"/>
      <c r="C22" s="118"/>
    </row>
    <row r="23" spans="1:51" ht="15.75" customHeight="1" x14ac:dyDescent="0.35">
      <c r="A23" s="33"/>
      <c r="B23" s="107"/>
      <c r="C23" s="118"/>
    </row>
    <row r="24" spans="1:51" ht="15.75" customHeight="1" x14ac:dyDescent="0.35">
      <c r="A24" s="33"/>
      <c r="B24" s="107"/>
      <c r="C24" s="118"/>
    </row>
    <row r="25" spans="1:51" ht="15.75" customHeight="1" x14ac:dyDescent="0.35">
      <c r="A25" s="33"/>
      <c r="B25" s="107"/>
      <c r="C25" s="118"/>
    </row>
    <row r="26" spans="1:51" ht="15.75" customHeight="1" x14ac:dyDescent="0.35">
      <c r="A26" s="33"/>
      <c r="B26" s="107"/>
      <c r="C26" s="118"/>
    </row>
    <row r="27" spans="1:51" ht="15.75" customHeight="1" x14ac:dyDescent="0.35">
      <c r="A27" s="33"/>
      <c r="B27" s="107"/>
      <c r="C27" s="118"/>
    </row>
    <row r="28" spans="1:51" ht="15.75" customHeight="1" x14ac:dyDescent="0.35">
      <c r="A28" s="33"/>
      <c r="B28" s="107"/>
      <c r="C28" s="118"/>
    </row>
    <row r="29" spans="1:51" ht="15.75" customHeight="1" x14ac:dyDescent="0.35">
      <c r="A29" s="33"/>
      <c r="B29" s="107"/>
      <c r="C29" s="118"/>
    </row>
    <row r="30" spans="1:51" ht="15.75" customHeight="1" x14ac:dyDescent="0.35">
      <c r="A30" s="33"/>
      <c r="B30" s="107"/>
      <c r="C30" s="118"/>
    </row>
    <row r="31" spans="1:51" ht="15.75" customHeight="1" x14ac:dyDescent="0.35">
      <c r="A31" s="33"/>
      <c r="B31" s="107"/>
      <c r="C31" s="118"/>
    </row>
    <row r="32" spans="1:51" ht="15.75" customHeight="1" x14ac:dyDescent="0.35">
      <c r="A32" s="33"/>
      <c r="B32" s="107"/>
      <c r="C32" s="118"/>
    </row>
    <row r="33" spans="1:3" ht="15.75" customHeight="1" x14ac:dyDescent="0.35">
      <c r="A33" s="33"/>
      <c r="B33" s="107"/>
      <c r="C33" s="118"/>
    </row>
    <row r="34" spans="1:3" ht="15.75" customHeight="1" x14ac:dyDescent="0.35">
      <c r="A34" s="33"/>
      <c r="B34" s="107"/>
      <c r="C34" s="118"/>
    </row>
    <row r="35" spans="1:3" ht="15.75" customHeight="1" x14ac:dyDescent="0.35">
      <c r="A35" s="33"/>
      <c r="B35" s="107"/>
      <c r="C35" s="118"/>
    </row>
    <row r="36" spans="1:3" ht="15.75" customHeight="1" x14ac:dyDescent="0.35">
      <c r="A36" s="33"/>
      <c r="B36" s="107"/>
      <c r="C36" s="118"/>
    </row>
    <row r="37" spans="1:3" ht="15.75" customHeight="1" x14ac:dyDescent="0.35">
      <c r="A37" s="33"/>
      <c r="B37" s="107"/>
      <c r="C37" s="118"/>
    </row>
    <row r="38" spans="1:3" ht="15.75" customHeight="1" x14ac:dyDescent="0.35">
      <c r="A38" s="33"/>
      <c r="B38" s="107"/>
      <c r="C38" s="118"/>
    </row>
    <row r="39" spans="1:3" ht="15.75" customHeight="1" x14ac:dyDescent="0.35">
      <c r="A39" s="33"/>
      <c r="B39" s="107"/>
      <c r="C39" s="118"/>
    </row>
    <row r="40" spans="1:3" ht="15.75" customHeight="1" x14ac:dyDescent="0.35">
      <c r="A40" s="33"/>
      <c r="B40" s="107"/>
      <c r="C40" s="118"/>
    </row>
    <row r="41" spans="1:3" ht="15.75" customHeight="1" x14ac:dyDescent="0.35">
      <c r="A41" s="33"/>
      <c r="B41" s="107"/>
      <c r="C41" s="118"/>
    </row>
    <row r="42" spans="1:3" ht="15.75" customHeight="1" x14ac:dyDescent="0.35">
      <c r="A42" s="33"/>
      <c r="B42" s="107"/>
      <c r="C42" s="118"/>
    </row>
    <row r="43" spans="1:3" ht="15.75" customHeight="1" x14ac:dyDescent="0.35">
      <c r="A43" s="33"/>
      <c r="B43" s="107"/>
      <c r="C43" s="118"/>
    </row>
    <row r="44" spans="1:3" ht="15.75" customHeight="1" x14ac:dyDescent="0.35">
      <c r="A44" s="33"/>
      <c r="B44" s="107"/>
      <c r="C44" s="118"/>
    </row>
    <row r="45" spans="1:3" ht="15.75" customHeight="1" x14ac:dyDescent="0.35">
      <c r="A45" s="33"/>
      <c r="B45" s="107"/>
      <c r="C45" s="118"/>
    </row>
    <row r="46" spans="1:3" ht="15.75" customHeight="1" x14ac:dyDescent="0.35">
      <c r="A46" s="33"/>
      <c r="B46" s="107"/>
      <c r="C46" s="118"/>
    </row>
    <row r="47" spans="1:3" ht="15.75" customHeight="1" x14ac:dyDescent="0.35">
      <c r="A47" s="33"/>
      <c r="B47" s="107"/>
      <c r="C47" s="118"/>
    </row>
    <row r="48" spans="1:3" ht="15.75" customHeight="1" x14ac:dyDescent="0.35">
      <c r="A48" s="33"/>
      <c r="B48" s="107"/>
      <c r="C48" s="118"/>
    </row>
    <row r="49" spans="1:3" ht="15.75" customHeight="1" x14ac:dyDescent="0.35">
      <c r="A49" s="33"/>
      <c r="B49" s="107"/>
      <c r="C49" s="118"/>
    </row>
    <row r="50" spans="1:3" ht="15.75" customHeight="1" x14ac:dyDescent="0.35">
      <c r="A50" s="33"/>
      <c r="B50" s="107"/>
      <c r="C50" s="118"/>
    </row>
    <row r="51" spans="1:3" ht="15.75" customHeight="1" x14ac:dyDescent="0.35">
      <c r="A51" s="33"/>
      <c r="B51" s="107"/>
      <c r="C51" s="118"/>
    </row>
    <row r="52" spans="1:3" ht="15.75" customHeight="1" x14ac:dyDescent="0.35">
      <c r="A52" s="33"/>
      <c r="B52" s="107"/>
      <c r="C52" s="118"/>
    </row>
    <row r="53" spans="1:3" ht="15.75" customHeight="1" x14ac:dyDescent="0.35">
      <c r="A53" s="33"/>
      <c r="B53" s="107"/>
      <c r="C53" s="118"/>
    </row>
    <row r="54" spans="1:3" ht="15.75" customHeight="1" x14ac:dyDescent="0.35">
      <c r="A54" s="33"/>
      <c r="B54" s="107"/>
      <c r="C54" s="118"/>
    </row>
    <row r="55" spans="1:3" ht="15.75" customHeight="1" x14ac:dyDescent="0.35">
      <c r="A55" s="33"/>
      <c r="B55" s="107"/>
      <c r="C55" s="118"/>
    </row>
    <row r="56" spans="1:3" ht="15.75" customHeight="1" x14ac:dyDescent="0.35">
      <c r="A56" s="33"/>
      <c r="B56" s="107"/>
      <c r="C56" s="118"/>
    </row>
    <row r="57" spans="1:3" ht="15.75" customHeight="1" x14ac:dyDescent="0.35">
      <c r="A57" s="33"/>
      <c r="B57" s="107"/>
      <c r="C57" s="118"/>
    </row>
    <row r="58" spans="1:3" ht="15.75" customHeight="1" x14ac:dyDescent="0.35">
      <c r="A58" s="33"/>
      <c r="B58" s="107"/>
      <c r="C58" s="118"/>
    </row>
    <row r="59" spans="1:3" ht="15.75" customHeight="1" x14ac:dyDescent="0.35">
      <c r="A59" s="33"/>
      <c r="B59" s="107"/>
      <c r="C59" s="118"/>
    </row>
    <row r="60" spans="1:3" ht="15.75" customHeight="1" x14ac:dyDescent="0.35">
      <c r="A60" s="33"/>
      <c r="B60" s="107"/>
      <c r="C60" s="118"/>
    </row>
    <row r="61" spans="1:3" ht="15.75" customHeight="1" x14ac:dyDescent="0.35">
      <c r="A61" s="33"/>
      <c r="B61" s="107"/>
      <c r="C61" s="118"/>
    </row>
    <row r="62" spans="1:3" ht="15.75" customHeight="1" x14ac:dyDescent="0.35">
      <c r="A62" s="33"/>
      <c r="B62" s="107"/>
      <c r="C62" s="118"/>
    </row>
    <row r="63" spans="1:3" ht="15.75" customHeight="1" x14ac:dyDescent="0.35">
      <c r="A63" s="33"/>
      <c r="B63" s="107"/>
      <c r="C63" s="118"/>
    </row>
    <row r="64" spans="1:3" ht="15.75" customHeight="1" x14ac:dyDescent="0.35">
      <c r="A64" s="33"/>
      <c r="B64" s="107"/>
      <c r="C64" s="118"/>
    </row>
    <row r="65" spans="1:3" ht="15.75" customHeight="1" x14ac:dyDescent="0.35">
      <c r="A65" s="33"/>
      <c r="B65" s="107"/>
      <c r="C65" s="118"/>
    </row>
    <row r="66" spans="1:3" ht="15.75" customHeight="1" x14ac:dyDescent="0.35">
      <c r="A66" s="33"/>
      <c r="B66" s="107"/>
      <c r="C66" s="118"/>
    </row>
    <row r="67" spans="1:3" ht="15.75" customHeight="1" x14ac:dyDescent="0.35">
      <c r="A67" s="33"/>
      <c r="B67" s="107"/>
      <c r="C67" s="118"/>
    </row>
    <row r="68" spans="1:3" ht="15.75" customHeight="1" x14ac:dyDescent="0.35">
      <c r="A68" s="33"/>
      <c r="B68" s="107"/>
      <c r="C68" s="118"/>
    </row>
    <row r="69" spans="1:3" ht="15.75" customHeight="1" x14ac:dyDescent="0.35">
      <c r="A69" s="33"/>
      <c r="B69" s="107"/>
      <c r="C69" s="118"/>
    </row>
    <row r="70" spans="1:3" ht="15.75" customHeight="1" x14ac:dyDescent="0.35">
      <c r="A70" s="33"/>
      <c r="B70" s="107"/>
      <c r="C70" s="118"/>
    </row>
    <row r="71" spans="1:3" ht="15.75" customHeight="1" x14ac:dyDescent="0.35">
      <c r="A71" s="33"/>
      <c r="B71" s="107"/>
      <c r="C71" s="118"/>
    </row>
    <row r="72" spans="1:3" ht="15.75" customHeight="1" x14ac:dyDescent="0.35">
      <c r="A72" s="33"/>
      <c r="B72" s="107"/>
      <c r="C72" s="118"/>
    </row>
    <row r="73" spans="1:3" ht="15.75" customHeight="1" x14ac:dyDescent="0.35">
      <c r="A73" s="33"/>
      <c r="B73" s="107"/>
      <c r="C73" s="118"/>
    </row>
    <row r="74" spans="1:3" ht="15.75" customHeight="1" x14ac:dyDescent="0.35">
      <c r="A74" s="33"/>
      <c r="B74" s="107"/>
      <c r="C74" s="118"/>
    </row>
    <row r="75" spans="1:3" ht="15.75" customHeight="1" x14ac:dyDescent="0.35">
      <c r="A75" s="33"/>
      <c r="B75" s="107"/>
      <c r="C75" s="118"/>
    </row>
    <row r="76" spans="1:3" ht="15.75" customHeight="1" x14ac:dyDescent="0.35">
      <c r="A76" s="33"/>
      <c r="B76" s="107"/>
      <c r="C76" s="118"/>
    </row>
    <row r="77" spans="1:3" ht="15.75" customHeight="1" x14ac:dyDescent="0.35">
      <c r="A77" s="33"/>
      <c r="B77" s="107"/>
      <c r="C77" s="118"/>
    </row>
    <row r="78" spans="1:3" ht="15.75" customHeight="1" x14ac:dyDescent="0.35">
      <c r="A78" s="33"/>
      <c r="B78" s="107"/>
      <c r="C78" s="118"/>
    </row>
    <row r="79" spans="1:3" ht="15.75" customHeight="1" x14ac:dyDescent="0.35">
      <c r="A79" s="33"/>
      <c r="B79" s="107"/>
      <c r="C79" s="118"/>
    </row>
    <row r="80" spans="1:3" ht="15.75" customHeight="1" x14ac:dyDescent="0.35">
      <c r="A80" s="33"/>
      <c r="B80" s="107"/>
      <c r="C80" s="118"/>
    </row>
    <row r="81" spans="1:3" ht="15.75" customHeight="1" x14ac:dyDescent="0.35">
      <c r="A81" s="33"/>
      <c r="B81" s="107"/>
      <c r="C81" s="118"/>
    </row>
    <row r="82" spans="1:3" ht="15.75" customHeight="1" x14ac:dyDescent="0.35">
      <c r="A82" s="33"/>
      <c r="B82" s="107"/>
      <c r="C82" s="118"/>
    </row>
    <row r="83" spans="1:3" ht="15.75" customHeight="1" x14ac:dyDescent="0.35">
      <c r="A83" s="33"/>
      <c r="B83" s="107"/>
      <c r="C83" s="118"/>
    </row>
    <row r="84" spans="1:3" ht="15.75" customHeight="1" x14ac:dyDescent="0.35">
      <c r="A84" s="33"/>
      <c r="B84" s="107"/>
      <c r="C84" s="118"/>
    </row>
    <row r="85" spans="1:3" ht="15.75" customHeight="1" x14ac:dyDescent="0.35">
      <c r="A85" s="33"/>
      <c r="B85" s="107"/>
      <c r="C85" s="118"/>
    </row>
    <row r="86" spans="1:3" ht="15.75" customHeight="1" x14ac:dyDescent="0.35">
      <c r="A86" s="33"/>
      <c r="B86" s="107"/>
      <c r="C86" s="118"/>
    </row>
    <row r="87" spans="1:3" ht="15.75" customHeight="1" x14ac:dyDescent="0.35">
      <c r="A87" s="33"/>
      <c r="B87" s="107"/>
      <c r="C87" s="118"/>
    </row>
    <row r="88" spans="1:3" ht="15.75" customHeight="1" x14ac:dyDescent="0.35">
      <c r="A88" s="33"/>
      <c r="B88" s="107"/>
      <c r="C88" s="118"/>
    </row>
    <row r="89" spans="1:3" ht="15.75" customHeight="1" x14ac:dyDescent="0.35">
      <c r="A89" s="33"/>
      <c r="B89" s="107"/>
      <c r="C89" s="118"/>
    </row>
    <row r="90" spans="1:3" ht="15.75" customHeight="1" x14ac:dyDescent="0.35">
      <c r="A90" s="33"/>
      <c r="B90" s="107"/>
      <c r="C90" s="118"/>
    </row>
    <row r="91" spans="1:3" ht="15.75" customHeight="1" x14ac:dyDescent="0.35">
      <c r="A91" s="33"/>
      <c r="B91" s="107"/>
      <c r="C91" s="118"/>
    </row>
    <row r="92" spans="1:3" ht="15.75" customHeight="1" x14ac:dyDescent="0.35">
      <c r="A92" s="33"/>
      <c r="B92" s="107"/>
      <c r="C92" s="118"/>
    </row>
    <row r="93" spans="1:3" ht="15.75" customHeight="1" x14ac:dyDescent="0.35">
      <c r="A93" s="33"/>
      <c r="B93" s="107"/>
      <c r="C93" s="118"/>
    </row>
    <row r="94" spans="1:3" ht="15.75" customHeight="1" x14ac:dyDescent="0.35">
      <c r="A94" s="33"/>
      <c r="B94" s="107"/>
      <c r="C94" s="118"/>
    </row>
    <row r="95" spans="1:3" ht="15.75" customHeight="1" x14ac:dyDescent="0.35">
      <c r="A95" s="33"/>
      <c r="B95" s="107"/>
      <c r="C95" s="118"/>
    </row>
    <row r="96" spans="1:3" ht="15.75" customHeight="1" x14ac:dyDescent="0.35">
      <c r="A96" s="33"/>
      <c r="B96" s="107"/>
      <c r="C96" s="118"/>
    </row>
    <row r="97" spans="1:3" ht="15.75" customHeight="1" x14ac:dyDescent="0.35">
      <c r="A97" s="33"/>
      <c r="B97" s="107"/>
      <c r="C97" s="118"/>
    </row>
    <row r="98" spans="1:3" ht="15.75" customHeight="1" x14ac:dyDescent="0.35">
      <c r="A98" s="33"/>
      <c r="B98" s="107"/>
      <c r="C98" s="118"/>
    </row>
    <row r="99" spans="1:3" ht="15.75" customHeight="1" x14ac:dyDescent="0.35">
      <c r="A99" s="33"/>
      <c r="B99" s="107"/>
      <c r="C99" s="118"/>
    </row>
    <row r="100" spans="1:3" ht="15.75" customHeight="1" x14ac:dyDescent="0.35">
      <c r="A100" s="33"/>
      <c r="B100" s="107"/>
      <c r="C100" s="118"/>
    </row>
    <row r="101" spans="1:3" ht="15.75" customHeight="1" x14ac:dyDescent="0.35">
      <c r="A101" s="33"/>
      <c r="B101" s="107"/>
      <c r="C101" s="118"/>
    </row>
    <row r="102" spans="1:3" ht="15.75" customHeight="1" x14ac:dyDescent="0.35">
      <c r="A102" s="33"/>
      <c r="B102" s="107"/>
      <c r="C102" s="118"/>
    </row>
    <row r="103" spans="1:3" ht="15.75" customHeight="1" x14ac:dyDescent="0.35">
      <c r="A103" s="33"/>
      <c r="B103" s="107"/>
      <c r="C103" s="118"/>
    </row>
    <row r="104" spans="1:3" ht="15.75" customHeight="1" x14ac:dyDescent="0.35">
      <c r="A104" s="33"/>
      <c r="B104" s="107"/>
      <c r="C104" s="118"/>
    </row>
    <row r="105" spans="1:3" ht="15.75" customHeight="1" x14ac:dyDescent="0.35">
      <c r="A105" s="33"/>
      <c r="B105" s="107"/>
      <c r="C105" s="118"/>
    </row>
    <row r="106" spans="1:3" ht="15.75" customHeight="1" x14ac:dyDescent="0.35">
      <c r="A106" s="33"/>
      <c r="B106" s="107"/>
      <c r="C106" s="118"/>
    </row>
    <row r="107" spans="1:3" ht="15.75" customHeight="1" x14ac:dyDescent="0.35">
      <c r="A107" s="33"/>
      <c r="B107" s="107"/>
      <c r="C107" s="118"/>
    </row>
    <row r="108" spans="1:3" ht="15.75" customHeight="1" x14ac:dyDescent="0.35">
      <c r="A108" s="33"/>
      <c r="B108" s="107"/>
      <c r="C108" s="118"/>
    </row>
    <row r="109" spans="1:3" ht="15.75" customHeight="1" x14ac:dyDescent="0.35">
      <c r="A109" s="33"/>
      <c r="B109" s="107"/>
      <c r="C109" s="118"/>
    </row>
    <row r="110" spans="1:3" ht="15.75" customHeight="1" x14ac:dyDescent="0.35">
      <c r="A110" s="33"/>
      <c r="B110" s="107"/>
      <c r="C110" s="118"/>
    </row>
    <row r="111" spans="1:3" ht="15.75" customHeight="1" x14ac:dyDescent="0.35">
      <c r="A111" s="33"/>
      <c r="B111" s="107"/>
      <c r="C111" s="118"/>
    </row>
    <row r="112" spans="1:3" ht="15.75" customHeight="1" x14ac:dyDescent="0.35">
      <c r="A112" s="33"/>
      <c r="B112" s="107"/>
      <c r="C112" s="118"/>
    </row>
    <row r="113" spans="1:3" ht="15.75" customHeight="1" x14ac:dyDescent="0.35">
      <c r="A113" s="33"/>
      <c r="B113" s="107"/>
      <c r="C113" s="118"/>
    </row>
    <row r="114" spans="1:3" ht="15.75" customHeight="1" x14ac:dyDescent="0.35">
      <c r="A114" s="33"/>
      <c r="B114" s="107"/>
      <c r="C114" s="118"/>
    </row>
    <row r="115" spans="1:3" ht="15.75" customHeight="1" x14ac:dyDescent="0.35">
      <c r="A115" s="33"/>
      <c r="B115" s="107"/>
      <c r="C115" s="118"/>
    </row>
    <row r="116" spans="1:3" ht="15.75" customHeight="1" x14ac:dyDescent="0.35">
      <c r="A116" s="33"/>
      <c r="B116" s="107"/>
      <c r="C116" s="118"/>
    </row>
    <row r="117" spans="1:3" ht="15.75" customHeight="1" x14ac:dyDescent="0.35">
      <c r="A117" s="33"/>
      <c r="B117" s="107"/>
      <c r="C117" s="118"/>
    </row>
    <row r="118" spans="1:3" ht="15.75" customHeight="1" x14ac:dyDescent="0.35">
      <c r="A118" s="33"/>
      <c r="B118" s="107"/>
      <c r="C118" s="118"/>
    </row>
    <row r="119" spans="1:3" ht="15.75" customHeight="1" x14ac:dyDescent="0.35">
      <c r="A119" s="33"/>
      <c r="B119" s="107"/>
      <c r="C119" s="118"/>
    </row>
    <row r="120" spans="1:3" ht="15.75" customHeight="1" x14ac:dyDescent="0.35">
      <c r="A120" s="33"/>
      <c r="B120" s="107"/>
      <c r="C120" s="118"/>
    </row>
    <row r="121" spans="1:3" ht="15.75" customHeight="1" x14ac:dyDescent="0.35">
      <c r="A121" s="33"/>
      <c r="B121" s="107"/>
      <c r="C121" s="118"/>
    </row>
    <row r="122" spans="1:3" ht="15.75" customHeight="1" x14ac:dyDescent="0.35">
      <c r="A122" s="33"/>
      <c r="B122" s="107"/>
      <c r="C122" s="118"/>
    </row>
    <row r="123" spans="1:3" ht="15.75" customHeight="1" x14ac:dyDescent="0.35">
      <c r="A123" s="33"/>
      <c r="B123" s="107"/>
      <c r="C123" s="118"/>
    </row>
    <row r="124" spans="1:3" ht="15.75" customHeight="1" x14ac:dyDescent="0.35">
      <c r="A124" s="33"/>
      <c r="B124" s="107"/>
      <c r="C124" s="118"/>
    </row>
    <row r="125" spans="1:3" ht="15.75" customHeight="1" x14ac:dyDescent="0.35">
      <c r="A125" s="33"/>
      <c r="B125" s="107"/>
      <c r="C125" s="118"/>
    </row>
    <row r="126" spans="1:3" ht="15.75" customHeight="1" x14ac:dyDescent="0.35">
      <c r="A126" s="33"/>
      <c r="B126" s="107"/>
      <c r="C126" s="118"/>
    </row>
    <row r="127" spans="1:3" ht="15.75" customHeight="1" x14ac:dyDescent="0.35">
      <c r="A127" s="33"/>
      <c r="B127" s="107"/>
      <c r="C127" s="118"/>
    </row>
    <row r="128" spans="1:3" ht="15.75" customHeight="1" x14ac:dyDescent="0.35">
      <c r="A128" s="33"/>
      <c r="B128" s="107"/>
      <c r="C128" s="118"/>
    </row>
    <row r="129" spans="1:3" ht="15.75" customHeight="1" x14ac:dyDescent="0.35">
      <c r="A129" s="33"/>
      <c r="B129" s="107"/>
      <c r="C129" s="118"/>
    </row>
    <row r="130" spans="1:3" ht="15.75" customHeight="1" x14ac:dyDescent="0.35">
      <c r="A130" s="33"/>
      <c r="B130" s="107"/>
      <c r="C130" s="118"/>
    </row>
    <row r="131" spans="1:3" ht="15.75" customHeight="1" x14ac:dyDescent="0.35">
      <c r="A131" s="33"/>
      <c r="B131" s="107"/>
      <c r="C131" s="118"/>
    </row>
    <row r="132" spans="1:3" ht="15.75" customHeight="1" x14ac:dyDescent="0.35">
      <c r="A132" s="33"/>
      <c r="B132" s="107"/>
      <c r="C132" s="118"/>
    </row>
    <row r="133" spans="1:3" ht="15.75" customHeight="1" x14ac:dyDescent="0.35">
      <c r="A133" s="33"/>
      <c r="B133" s="107"/>
      <c r="C133" s="118"/>
    </row>
    <row r="134" spans="1:3" ht="15.75" customHeight="1" x14ac:dyDescent="0.35">
      <c r="A134" s="33"/>
      <c r="B134" s="107"/>
      <c r="C134" s="118"/>
    </row>
    <row r="135" spans="1:3" ht="15.75" customHeight="1" x14ac:dyDescent="0.35">
      <c r="A135" s="33"/>
      <c r="B135" s="107"/>
      <c r="C135" s="118"/>
    </row>
    <row r="136" spans="1:3" ht="15.75" customHeight="1" x14ac:dyDescent="0.35">
      <c r="A136" s="33"/>
      <c r="B136" s="107"/>
      <c r="C136" s="118"/>
    </row>
    <row r="137" spans="1:3" ht="15.75" customHeight="1" x14ac:dyDescent="0.35">
      <c r="A137" s="33"/>
      <c r="B137" s="107"/>
      <c r="C137" s="118"/>
    </row>
    <row r="138" spans="1:3" ht="15.75" customHeight="1" x14ac:dyDescent="0.35">
      <c r="A138" s="33"/>
      <c r="B138" s="107"/>
      <c r="C138" s="118"/>
    </row>
    <row r="139" spans="1:3" ht="15.75" customHeight="1" x14ac:dyDescent="0.35">
      <c r="A139" s="33"/>
      <c r="B139" s="107"/>
      <c r="C139" s="118"/>
    </row>
    <row r="140" spans="1:3" ht="15.75" customHeight="1" x14ac:dyDescent="0.35">
      <c r="A140" s="33"/>
      <c r="B140" s="107"/>
      <c r="C140" s="118"/>
    </row>
    <row r="141" spans="1:3" ht="15.75" customHeight="1" x14ac:dyDescent="0.35">
      <c r="A141" s="33"/>
      <c r="B141" s="107"/>
      <c r="C141" s="118"/>
    </row>
    <row r="142" spans="1:3" ht="15.75" customHeight="1" x14ac:dyDescent="0.35">
      <c r="A142" s="33"/>
      <c r="B142" s="107"/>
      <c r="C142" s="118"/>
    </row>
    <row r="143" spans="1:3" ht="15.75" customHeight="1" x14ac:dyDescent="0.35">
      <c r="A143" s="33"/>
      <c r="B143" s="107"/>
      <c r="C143" s="118"/>
    </row>
    <row r="144" spans="1:3" ht="15.75" customHeight="1" x14ac:dyDescent="0.35">
      <c r="A144" s="33"/>
      <c r="B144" s="107"/>
      <c r="C144" s="118"/>
    </row>
    <row r="145" spans="1:3" ht="15.75" customHeight="1" x14ac:dyDescent="0.35">
      <c r="A145" s="33"/>
      <c r="B145" s="107"/>
      <c r="C145" s="118"/>
    </row>
    <row r="146" spans="1:3" ht="15.75" customHeight="1" x14ac:dyDescent="0.35">
      <c r="A146" s="33"/>
      <c r="B146" s="107"/>
      <c r="C146" s="118"/>
    </row>
    <row r="147" spans="1:3" ht="15.75" customHeight="1" x14ac:dyDescent="0.35">
      <c r="A147" s="33"/>
      <c r="B147" s="107"/>
      <c r="C147" s="118"/>
    </row>
    <row r="148" spans="1:3" ht="15.75" customHeight="1" x14ac:dyDescent="0.35">
      <c r="A148" s="33"/>
      <c r="B148" s="107"/>
      <c r="C148" s="118"/>
    </row>
    <row r="149" spans="1:3" ht="15.75" customHeight="1" x14ac:dyDescent="0.35">
      <c r="A149" s="33"/>
      <c r="B149" s="107"/>
      <c r="C149" s="118"/>
    </row>
    <row r="150" spans="1:3" ht="15.75" customHeight="1" x14ac:dyDescent="0.35">
      <c r="A150" s="33"/>
      <c r="B150" s="107"/>
      <c r="C150" s="118"/>
    </row>
    <row r="151" spans="1:3" ht="15.75" customHeight="1" x14ac:dyDescent="0.35">
      <c r="A151" s="33"/>
      <c r="B151" s="107"/>
      <c r="C151" s="118"/>
    </row>
    <row r="152" spans="1:3" ht="15.75" customHeight="1" x14ac:dyDescent="0.35">
      <c r="A152" s="33"/>
      <c r="B152" s="107"/>
      <c r="C152" s="118"/>
    </row>
    <row r="153" spans="1:3" ht="15.75" customHeight="1" x14ac:dyDescent="0.35">
      <c r="A153" s="33"/>
      <c r="B153" s="107"/>
      <c r="C153" s="118"/>
    </row>
    <row r="154" spans="1:3" ht="15.75" customHeight="1" x14ac:dyDescent="0.35">
      <c r="A154" s="33"/>
      <c r="B154" s="107"/>
      <c r="C154" s="118"/>
    </row>
    <row r="155" spans="1:3" ht="15.75" customHeight="1" x14ac:dyDescent="0.35">
      <c r="A155" s="33"/>
      <c r="B155" s="107"/>
      <c r="C155" s="118"/>
    </row>
    <row r="156" spans="1:3" ht="15.75" customHeight="1" x14ac:dyDescent="0.35">
      <c r="A156" s="33"/>
      <c r="B156" s="107"/>
      <c r="C156" s="118"/>
    </row>
    <row r="157" spans="1:3" ht="15.75" customHeight="1" x14ac:dyDescent="0.35">
      <c r="A157" s="33"/>
      <c r="B157" s="107"/>
      <c r="C157" s="118"/>
    </row>
    <row r="158" spans="1:3" ht="15.75" customHeight="1" x14ac:dyDescent="0.35">
      <c r="A158" s="33"/>
      <c r="B158" s="107"/>
      <c r="C158" s="118"/>
    </row>
    <row r="159" spans="1:3" ht="15.75" customHeight="1" x14ac:dyDescent="0.35">
      <c r="A159" s="33"/>
      <c r="B159" s="107"/>
      <c r="C159" s="118"/>
    </row>
    <row r="160" spans="1:3" ht="15.75" customHeight="1" x14ac:dyDescent="0.35">
      <c r="A160" s="33"/>
      <c r="B160" s="107"/>
      <c r="C160" s="118"/>
    </row>
    <row r="161" spans="1:3" ht="15.75" customHeight="1" x14ac:dyDescent="0.35">
      <c r="A161" s="33"/>
      <c r="B161" s="107"/>
      <c r="C161" s="118"/>
    </row>
    <row r="162" spans="1:3" ht="15.75" customHeight="1" x14ac:dyDescent="0.35">
      <c r="A162" s="33"/>
      <c r="B162" s="107"/>
      <c r="C162" s="118"/>
    </row>
    <row r="163" spans="1:3" ht="15.75" customHeight="1" x14ac:dyDescent="0.35">
      <c r="A163" s="33"/>
      <c r="B163" s="107"/>
      <c r="C163" s="118"/>
    </row>
    <row r="164" spans="1:3" ht="15.75" customHeight="1" x14ac:dyDescent="0.35">
      <c r="A164" s="33"/>
      <c r="B164" s="107"/>
      <c r="C164" s="118"/>
    </row>
    <row r="165" spans="1:3" ht="15.75" customHeight="1" x14ac:dyDescent="0.35">
      <c r="A165" s="33"/>
      <c r="B165" s="107"/>
      <c r="C165" s="118"/>
    </row>
    <row r="166" spans="1:3" ht="15.75" customHeight="1" x14ac:dyDescent="0.35">
      <c r="A166" s="33"/>
      <c r="B166" s="107"/>
      <c r="C166" s="118"/>
    </row>
    <row r="167" spans="1:3" ht="15.75" customHeight="1" x14ac:dyDescent="0.35">
      <c r="A167" s="33"/>
      <c r="B167" s="107"/>
      <c r="C167" s="118"/>
    </row>
    <row r="168" spans="1:3" ht="15.75" customHeight="1" x14ac:dyDescent="0.35">
      <c r="A168" s="33"/>
      <c r="B168" s="107"/>
      <c r="C168" s="118"/>
    </row>
    <row r="169" spans="1:3" ht="15.75" customHeight="1" x14ac:dyDescent="0.35">
      <c r="A169" s="33"/>
      <c r="B169" s="107"/>
      <c r="C169" s="118"/>
    </row>
    <row r="170" spans="1:3" ht="15.75" customHeight="1" x14ac:dyDescent="0.35">
      <c r="A170" s="33"/>
      <c r="B170" s="107"/>
      <c r="C170" s="118"/>
    </row>
    <row r="171" spans="1:3" ht="15.75" customHeight="1" x14ac:dyDescent="0.35">
      <c r="A171" s="33"/>
      <c r="B171" s="107"/>
      <c r="C171" s="118"/>
    </row>
    <row r="172" spans="1:3" ht="15.75" customHeight="1" x14ac:dyDescent="0.35">
      <c r="A172" s="33"/>
      <c r="B172" s="107"/>
      <c r="C172" s="118"/>
    </row>
    <row r="173" spans="1:3" ht="15.75" customHeight="1" x14ac:dyDescent="0.35">
      <c r="A173" s="33"/>
      <c r="B173" s="107"/>
      <c r="C173" s="118"/>
    </row>
    <row r="174" spans="1:3" ht="15.75" customHeight="1" x14ac:dyDescent="0.35">
      <c r="A174" s="33"/>
      <c r="B174" s="107"/>
      <c r="C174" s="118"/>
    </row>
    <row r="175" spans="1:3" ht="15.75" customHeight="1" x14ac:dyDescent="0.35">
      <c r="A175" s="33"/>
      <c r="B175" s="107"/>
      <c r="C175" s="118"/>
    </row>
    <row r="176" spans="1:3" ht="15.75" customHeight="1" x14ac:dyDescent="0.35">
      <c r="A176" s="33"/>
      <c r="B176" s="107"/>
      <c r="C176" s="118"/>
    </row>
    <row r="177" spans="1:3" ht="15.75" customHeight="1" x14ac:dyDescent="0.35">
      <c r="A177" s="33"/>
      <c r="B177" s="107"/>
      <c r="C177" s="118"/>
    </row>
    <row r="178" spans="1:3" ht="15.75" customHeight="1" x14ac:dyDescent="0.35">
      <c r="A178" s="33"/>
      <c r="B178" s="107"/>
      <c r="C178" s="118"/>
    </row>
    <row r="179" spans="1:3" ht="15.75" customHeight="1" x14ac:dyDescent="0.35">
      <c r="A179" s="33"/>
      <c r="B179" s="107"/>
      <c r="C179" s="118"/>
    </row>
    <row r="180" spans="1:3" ht="15.75" customHeight="1" x14ac:dyDescent="0.35">
      <c r="A180" s="33"/>
      <c r="B180" s="107"/>
      <c r="C180" s="118"/>
    </row>
    <row r="181" spans="1:3" ht="15.75" customHeight="1" x14ac:dyDescent="0.35">
      <c r="A181" s="33"/>
      <c r="B181" s="107"/>
      <c r="C181" s="118"/>
    </row>
    <row r="182" spans="1:3" ht="15.75" customHeight="1" x14ac:dyDescent="0.35">
      <c r="A182" s="33"/>
      <c r="B182" s="107"/>
      <c r="C182" s="118"/>
    </row>
    <row r="183" spans="1:3" ht="15.75" customHeight="1" x14ac:dyDescent="0.35">
      <c r="A183" s="33"/>
      <c r="B183" s="107"/>
      <c r="C183" s="118"/>
    </row>
    <row r="184" spans="1:3" ht="15.75" customHeight="1" x14ac:dyDescent="0.35">
      <c r="A184" s="33"/>
      <c r="B184" s="107"/>
      <c r="C184" s="118"/>
    </row>
    <row r="185" spans="1:3" ht="15.75" customHeight="1" x14ac:dyDescent="0.35">
      <c r="A185" s="33"/>
      <c r="B185" s="107"/>
      <c r="C185" s="118"/>
    </row>
    <row r="186" spans="1:3" ht="15.75" customHeight="1" x14ac:dyDescent="0.35">
      <c r="A186" s="33"/>
      <c r="B186" s="107"/>
      <c r="C186" s="118"/>
    </row>
    <row r="187" spans="1:3" ht="15.75" customHeight="1" x14ac:dyDescent="0.35">
      <c r="A187" s="33"/>
      <c r="B187" s="107"/>
      <c r="C187" s="118"/>
    </row>
    <row r="188" spans="1:3" ht="15.75" customHeight="1" x14ac:dyDescent="0.35">
      <c r="A188" s="33"/>
      <c r="B188" s="107"/>
      <c r="C188" s="118"/>
    </row>
    <row r="189" spans="1:3" ht="15.75" customHeight="1" x14ac:dyDescent="0.35">
      <c r="A189" s="33"/>
      <c r="B189" s="107"/>
      <c r="C189" s="118"/>
    </row>
    <row r="190" spans="1:3" ht="15.75" customHeight="1" x14ac:dyDescent="0.35">
      <c r="A190" s="33"/>
      <c r="B190" s="107"/>
      <c r="C190" s="118"/>
    </row>
    <row r="191" spans="1:3" ht="15.75" customHeight="1" x14ac:dyDescent="0.35">
      <c r="A191" s="33"/>
      <c r="B191" s="107"/>
      <c r="C191" s="118"/>
    </row>
    <row r="192" spans="1:3" ht="15.75" customHeight="1" x14ac:dyDescent="0.35">
      <c r="A192" s="33"/>
      <c r="B192" s="107"/>
      <c r="C192" s="118"/>
    </row>
    <row r="193" spans="1:3" ht="15.75" customHeight="1" x14ac:dyDescent="0.35">
      <c r="A193" s="33"/>
      <c r="B193" s="107"/>
      <c r="C193" s="118"/>
    </row>
    <row r="194" spans="1:3" ht="15.75" customHeight="1" x14ac:dyDescent="0.35">
      <c r="A194" s="33"/>
      <c r="B194" s="107"/>
      <c r="C194" s="118"/>
    </row>
    <row r="195" spans="1:3" ht="15.75" customHeight="1" x14ac:dyDescent="0.35">
      <c r="A195" s="33"/>
      <c r="B195" s="107"/>
      <c r="C195" s="118"/>
    </row>
    <row r="196" spans="1:3" ht="15.75" customHeight="1" x14ac:dyDescent="0.35">
      <c r="A196" s="33"/>
      <c r="B196" s="107"/>
      <c r="C196" s="118"/>
    </row>
    <row r="197" spans="1:3" ht="15.75" customHeight="1" x14ac:dyDescent="0.35">
      <c r="A197" s="33"/>
      <c r="B197" s="107"/>
      <c r="C197" s="118"/>
    </row>
    <row r="198" spans="1:3" ht="15.75" customHeight="1" x14ac:dyDescent="0.35">
      <c r="A198" s="33"/>
      <c r="B198" s="107"/>
      <c r="C198" s="118"/>
    </row>
    <row r="199" spans="1:3" ht="15.75" customHeight="1" x14ac:dyDescent="0.35">
      <c r="A199" s="33"/>
      <c r="B199" s="107"/>
      <c r="C199" s="118"/>
    </row>
    <row r="200" spans="1:3" ht="15.75" customHeight="1" x14ac:dyDescent="0.35">
      <c r="A200" s="33"/>
      <c r="B200" s="107"/>
      <c r="C200" s="118"/>
    </row>
    <row r="201" spans="1:3" ht="15.75" customHeight="1" x14ac:dyDescent="0.35">
      <c r="A201" s="33"/>
      <c r="B201" s="107"/>
      <c r="C201" s="118"/>
    </row>
    <row r="202" spans="1:3" ht="15.75" customHeight="1" x14ac:dyDescent="0.35">
      <c r="A202" s="33"/>
      <c r="B202" s="107"/>
      <c r="C202" s="118"/>
    </row>
    <row r="203" spans="1:3" ht="15.75" customHeight="1" x14ac:dyDescent="0.35">
      <c r="A203" s="33"/>
      <c r="B203" s="107"/>
      <c r="C203" s="118"/>
    </row>
    <row r="204" spans="1:3" ht="15.75" customHeight="1" x14ac:dyDescent="0.35">
      <c r="A204" s="33"/>
      <c r="B204" s="107"/>
      <c r="C204" s="118"/>
    </row>
    <row r="205" spans="1:3" ht="15.75" customHeight="1" x14ac:dyDescent="0.35">
      <c r="A205" s="33"/>
      <c r="B205" s="107"/>
      <c r="C205" s="118"/>
    </row>
    <row r="206" spans="1:3" ht="15.75" customHeight="1" x14ac:dyDescent="0.35">
      <c r="A206" s="33"/>
      <c r="B206" s="107"/>
      <c r="C206" s="118"/>
    </row>
    <row r="207" spans="1:3" ht="15.75" customHeight="1" x14ac:dyDescent="0.35">
      <c r="A207" s="33"/>
      <c r="B207" s="107"/>
      <c r="C207" s="118"/>
    </row>
    <row r="208" spans="1:3" ht="15.75" customHeight="1" x14ac:dyDescent="0.35">
      <c r="A208" s="33"/>
      <c r="B208" s="107"/>
      <c r="C208" s="118"/>
    </row>
    <row r="209" spans="1:3" ht="15.75" customHeight="1" x14ac:dyDescent="0.35">
      <c r="A209" s="33"/>
      <c r="B209" s="107"/>
      <c r="C209" s="118"/>
    </row>
    <row r="210" spans="1:3" ht="15.75" customHeight="1" x14ac:dyDescent="0.35">
      <c r="A210" s="33"/>
      <c r="B210" s="107"/>
      <c r="C210" s="118"/>
    </row>
    <row r="211" spans="1:3" ht="15.75" customHeight="1" x14ac:dyDescent="0.35">
      <c r="A211" s="33"/>
      <c r="B211" s="107"/>
      <c r="C211" s="118"/>
    </row>
    <row r="212" spans="1:3" ht="15.75" customHeight="1" x14ac:dyDescent="0.35">
      <c r="A212" s="33"/>
      <c r="B212" s="107"/>
      <c r="C212" s="118"/>
    </row>
    <row r="213" spans="1:3" ht="15.75" customHeight="1" x14ac:dyDescent="0.35">
      <c r="A213" s="33"/>
      <c r="B213" s="107"/>
      <c r="C213" s="118"/>
    </row>
    <row r="214" spans="1:3" ht="15.75" customHeight="1" x14ac:dyDescent="0.35">
      <c r="A214" s="33"/>
      <c r="B214" s="107"/>
      <c r="C214" s="118"/>
    </row>
    <row r="215" spans="1:3" ht="15.75" customHeight="1" x14ac:dyDescent="0.35">
      <c r="A215" s="33"/>
      <c r="B215" s="107"/>
      <c r="C215" s="118"/>
    </row>
    <row r="216" spans="1:3" ht="15.75" customHeight="1" x14ac:dyDescent="0.35">
      <c r="A216" s="33"/>
      <c r="B216" s="107"/>
      <c r="C216" s="118"/>
    </row>
    <row r="217" spans="1:3" ht="15.75" customHeight="1" x14ac:dyDescent="0.35">
      <c r="A217" s="33"/>
      <c r="B217" s="107"/>
      <c r="C217" s="118"/>
    </row>
    <row r="218" spans="1:3" ht="15.75" customHeight="1" x14ac:dyDescent="0.35">
      <c r="A218" s="33"/>
      <c r="B218" s="107"/>
      <c r="C218" s="118"/>
    </row>
    <row r="219" spans="1:3" ht="15.75" customHeight="1" x14ac:dyDescent="0.35">
      <c r="A219" s="33"/>
      <c r="B219" s="107"/>
      <c r="C219" s="118"/>
    </row>
    <row r="220" spans="1:3" ht="15.75" customHeight="1" x14ac:dyDescent="0.35">
      <c r="A220" s="33"/>
      <c r="B220" s="107"/>
      <c r="C220" s="118"/>
    </row>
    <row r="221" spans="1:3" ht="15.75" customHeight="1" x14ac:dyDescent="0.35">
      <c r="A221" s="33"/>
      <c r="B221" s="107"/>
      <c r="C221" s="118"/>
    </row>
    <row r="222" spans="1:3" ht="15.75" customHeight="1" x14ac:dyDescent="0.35">
      <c r="A222" s="33"/>
      <c r="B222" s="107"/>
      <c r="C222" s="118"/>
    </row>
    <row r="223" spans="1:3" ht="15.75" customHeight="1" x14ac:dyDescent="0.35">
      <c r="A223" s="33"/>
      <c r="B223" s="107"/>
      <c r="C223" s="118"/>
    </row>
    <row r="224" spans="1:3" ht="15.75" customHeight="1" x14ac:dyDescent="0.35">
      <c r="A224" s="33"/>
      <c r="B224" s="107"/>
      <c r="C224" s="118"/>
    </row>
    <row r="225" spans="1:3" ht="15.75" customHeight="1" x14ac:dyDescent="0.35">
      <c r="A225" s="33"/>
      <c r="B225" s="107"/>
      <c r="C225" s="118"/>
    </row>
    <row r="226" spans="1:3" ht="15.75" customHeight="1" x14ac:dyDescent="0.35">
      <c r="A226" s="33"/>
      <c r="B226" s="107"/>
      <c r="C226" s="118"/>
    </row>
    <row r="227" spans="1:3" ht="15.75" customHeight="1" x14ac:dyDescent="0.35">
      <c r="A227" s="33"/>
      <c r="B227" s="107"/>
      <c r="C227" s="118"/>
    </row>
    <row r="228" spans="1:3" ht="15.75" customHeight="1" x14ac:dyDescent="0.35">
      <c r="A228" s="33"/>
      <c r="B228" s="107"/>
      <c r="C228" s="118"/>
    </row>
    <row r="229" spans="1:3" ht="15.75" customHeight="1" x14ac:dyDescent="0.35">
      <c r="A229" s="33"/>
      <c r="B229" s="107"/>
      <c r="C229" s="118"/>
    </row>
    <row r="230" spans="1:3" ht="15.75" customHeight="1" x14ac:dyDescent="0.35">
      <c r="A230" s="33"/>
      <c r="B230" s="107"/>
      <c r="C230" s="118"/>
    </row>
    <row r="231" spans="1:3" ht="15.75" customHeight="1" x14ac:dyDescent="0.35">
      <c r="A231" s="33"/>
      <c r="B231" s="107"/>
      <c r="C231" s="118"/>
    </row>
    <row r="232" spans="1:3" ht="15.75" customHeight="1" x14ac:dyDescent="0.35">
      <c r="A232" s="33"/>
      <c r="B232" s="107"/>
      <c r="C232" s="118"/>
    </row>
    <row r="233" spans="1:3" ht="15.75" customHeight="1" x14ac:dyDescent="0.35">
      <c r="A233" s="33"/>
      <c r="B233" s="107"/>
      <c r="C233" s="118"/>
    </row>
    <row r="234" spans="1:3" ht="15.75" customHeight="1" x14ac:dyDescent="0.35">
      <c r="A234" s="33"/>
      <c r="B234" s="107"/>
      <c r="C234" s="118"/>
    </row>
    <row r="235" spans="1:3" ht="15.75" customHeight="1" x14ac:dyDescent="0.35">
      <c r="A235" s="33"/>
      <c r="B235" s="107"/>
      <c r="C235" s="118"/>
    </row>
    <row r="236" spans="1:3" ht="15.75" customHeight="1" x14ac:dyDescent="0.35">
      <c r="A236" s="33"/>
      <c r="B236" s="107"/>
      <c r="C236" s="118"/>
    </row>
    <row r="237" spans="1:3" ht="15.75" customHeight="1" x14ac:dyDescent="0.35">
      <c r="A237" s="33"/>
      <c r="B237" s="107"/>
      <c r="C237" s="118"/>
    </row>
    <row r="238" spans="1:3" ht="15.75" customHeight="1" x14ac:dyDescent="0.35">
      <c r="A238" s="33"/>
      <c r="B238" s="107"/>
      <c r="C238" s="118"/>
    </row>
    <row r="239" spans="1:3" ht="15.75" customHeight="1" x14ac:dyDescent="0.35">
      <c r="A239" s="33"/>
      <c r="B239" s="107"/>
      <c r="C239" s="118"/>
    </row>
    <row r="240" spans="1:3" ht="15.75" customHeight="1" x14ac:dyDescent="0.35">
      <c r="A240" s="33"/>
      <c r="B240" s="107"/>
      <c r="C240" s="118"/>
    </row>
    <row r="241" spans="1:3" ht="15.75" customHeight="1" x14ac:dyDescent="0.35">
      <c r="A241" s="33"/>
      <c r="B241" s="107"/>
      <c r="C241" s="118"/>
    </row>
    <row r="242" spans="1:3" ht="15.75" customHeight="1" x14ac:dyDescent="0.35">
      <c r="A242" s="33"/>
      <c r="B242" s="107"/>
      <c r="C242" s="118"/>
    </row>
    <row r="243" spans="1:3" ht="15.75" customHeight="1" x14ac:dyDescent="0.35">
      <c r="A243" s="33"/>
      <c r="B243" s="107"/>
      <c r="C243" s="118"/>
    </row>
    <row r="244" spans="1:3" ht="15.75" customHeight="1" x14ac:dyDescent="0.35">
      <c r="A244" s="33"/>
      <c r="B244" s="107"/>
      <c r="C244" s="118"/>
    </row>
    <row r="245" spans="1:3" ht="15.75" customHeight="1" x14ac:dyDescent="0.35">
      <c r="A245" s="33"/>
      <c r="B245" s="107"/>
      <c r="C245" s="118"/>
    </row>
    <row r="246" spans="1:3" ht="15.75" customHeight="1" x14ac:dyDescent="0.35">
      <c r="A246" s="33"/>
      <c r="B246" s="107"/>
      <c r="C246" s="118"/>
    </row>
    <row r="247" spans="1:3" ht="15.75" customHeight="1" x14ac:dyDescent="0.35">
      <c r="A247" s="33"/>
      <c r="B247" s="107"/>
      <c r="C247" s="118"/>
    </row>
    <row r="248" spans="1:3" ht="15.75" customHeight="1" x14ac:dyDescent="0.35">
      <c r="A248" s="33"/>
      <c r="B248" s="107"/>
      <c r="C248" s="118"/>
    </row>
    <row r="249" spans="1:3" ht="15.75" customHeight="1" x14ac:dyDescent="0.35">
      <c r="A249" s="33"/>
      <c r="B249" s="107"/>
      <c r="C249" s="118"/>
    </row>
    <row r="250" spans="1:3" ht="15.75" customHeight="1" x14ac:dyDescent="0.35">
      <c r="A250" s="33"/>
      <c r="B250" s="107"/>
      <c r="C250" s="118"/>
    </row>
    <row r="251" spans="1:3" ht="15.75" customHeight="1" x14ac:dyDescent="0.35">
      <c r="A251" s="33"/>
      <c r="B251" s="107"/>
      <c r="C251" s="118"/>
    </row>
    <row r="252" spans="1:3" ht="15.75" customHeight="1" x14ac:dyDescent="0.35">
      <c r="A252" s="33"/>
      <c r="B252" s="107"/>
      <c r="C252" s="118"/>
    </row>
    <row r="253" spans="1:3" ht="15.75" customHeight="1" x14ac:dyDescent="0.35">
      <c r="A253" s="33"/>
      <c r="B253" s="107"/>
      <c r="C253" s="118"/>
    </row>
    <row r="254" spans="1:3" ht="15.75" customHeight="1" x14ac:dyDescent="0.35">
      <c r="A254" s="33"/>
      <c r="B254" s="107"/>
      <c r="C254" s="118"/>
    </row>
    <row r="255" spans="1:3" ht="15.75" customHeight="1" x14ac:dyDescent="0.35">
      <c r="A255" s="33"/>
      <c r="B255" s="107"/>
      <c r="C255" s="118"/>
    </row>
    <row r="256" spans="1:3" ht="15.75" customHeight="1" x14ac:dyDescent="0.35">
      <c r="A256" s="33"/>
      <c r="B256" s="107"/>
      <c r="C256" s="118"/>
    </row>
    <row r="257" spans="1:3" ht="15.75" customHeight="1" x14ac:dyDescent="0.35">
      <c r="A257" s="33"/>
      <c r="B257" s="107"/>
      <c r="C257" s="118"/>
    </row>
    <row r="258" spans="1:3" ht="15.75" customHeight="1" x14ac:dyDescent="0.35">
      <c r="A258" s="33"/>
      <c r="B258" s="107"/>
      <c r="C258" s="118"/>
    </row>
    <row r="259" spans="1:3" ht="15.75" customHeight="1" x14ac:dyDescent="0.35">
      <c r="A259" s="33"/>
      <c r="B259" s="107"/>
      <c r="C259" s="118"/>
    </row>
    <row r="260" spans="1:3" ht="15.75" customHeight="1" x14ac:dyDescent="0.35">
      <c r="A260" s="33"/>
      <c r="B260" s="107"/>
      <c r="C260" s="118"/>
    </row>
    <row r="261" spans="1:3" ht="15.75" customHeight="1" x14ac:dyDescent="0.35">
      <c r="A261" s="33"/>
      <c r="B261" s="107"/>
      <c r="C261" s="118"/>
    </row>
    <row r="262" spans="1:3" ht="15.75" customHeight="1" x14ac:dyDescent="0.35">
      <c r="A262" s="33"/>
      <c r="B262" s="107"/>
      <c r="C262" s="118"/>
    </row>
    <row r="263" spans="1:3" ht="15.75" customHeight="1" x14ac:dyDescent="0.35">
      <c r="A263" s="33"/>
      <c r="B263" s="107"/>
      <c r="C263" s="118"/>
    </row>
    <row r="264" spans="1:3" ht="15.75" customHeight="1" x14ac:dyDescent="0.35">
      <c r="A264" s="33"/>
      <c r="B264" s="107"/>
      <c r="C264" s="118"/>
    </row>
    <row r="265" spans="1:3" ht="15.75" customHeight="1" x14ac:dyDescent="0.35">
      <c r="A265" s="33"/>
      <c r="B265" s="107"/>
      <c r="C265" s="118"/>
    </row>
    <row r="266" spans="1:3" ht="15.75" customHeight="1" x14ac:dyDescent="0.35">
      <c r="A266" s="33"/>
      <c r="B266" s="107"/>
      <c r="C266" s="118"/>
    </row>
    <row r="267" spans="1:3" ht="15.75" customHeight="1" x14ac:dyDescent="0.35">
      <c r="A267" s="33"/>
      <c r="B267" s="107"/>
      <c r="C267" s="118"/>
    </row>
    <row r="268" spans="1:3" ht="15.75" customHeight="1" x14ac:dyDescent="0.35">
      <c r="A268" s="33"/>
      <c r="B268" s="107"/>
      <c r="C268" s="118"/>
    </row>
    <row r="269" spans="1:3" ht="15.75" customHeight="1" x14ac:dyDescent="0.35">
      <c r="A269" s="33"/>
      <c r="B269" s="107"/>
      <c r="C269" s="118"/>
    </row>
    <row r="270" spans="1:3" ht="15.75" customHeight="1" x14ac:dyDescent="0.35">
      <c r="A270" s="33"/>
      <c r="B270" s="107"/>
      <c r="C270" s="118"/>
    </row>
    <row r="271" spans="1:3" ht="15.75" customHeight="1" x14ac:dyDescent="0.35">
      <c r="A271" s="33"/>
      <c r="B271" s="107"/>
      <c r="C271" s="118"/>
    </row>
    <row r="272" spans="1:3" ht="15.75" customHeight="1" x14ac:dyDescent="0.35">
      <c r="A272" s="33"/>
      <c r="B272" s="107"/>
      <c r="C272" s="118"/>
    </row>
    <row r="273" spans="1:3" ht="15.75" customHeight="1" x14ac:dyDescent="0.35">
      <c r="A273" s="33"/>
      <c r="B273" s="107"/>
      <c r="C273" s="118"/>
    </row>
    <row r="274" spans="1:3" ht="15.75" customHeight="1" x14ac:dyDescent="0.35">
      <c r="A274" s="33"/>
      <c r="B274" s="107"/>
      <c r="C274" s="118"/>
    </row>
    <row r="275" spans="1:3" ht="15.75" customHeight="1" x14ac:dyDescent="0.35">
      <c r="A275" s="33"/>
      <c r="B275" s="107"/>
      <c r="C275" s="118"/>
    </row>
    <row r="276" spans="1:3" ht="15.75" customHeight="1" x14ac:dyDescent="0.35">
      <c r="A276" s="33"/>
      <c r="B276" s="107"/>
      <c r="C276" s="118"/>
    </row>
    <row r="277" spans="1:3" ht="15.75" customHeight="1" x14ac:dyDescent="0.35">
      <c r="A277" s="33"/>
      <c r="B277" s="107"/>
      <c r="C277" s="118"/>
    </row>
    <row r="278" spans="1:3" ht="15.75" customHeight="1" x14ac:dyDescent="0.35">
      <c r="A278" s="33"/>
      <c r="B278" s="107"/>
      <c r="C278" s="118"/>
    </row>
    <row r="279" spans="1:3" ht="15.75" customHeight="1" x14ac:dyDescent="0.35">
      <c r="A279" s="33"/>
      <c r="B279" s="107"/>
      <c r="C279" s="118"/>
    </row>
    <row r="280" spans="1:3" ht="15.75" customHeight="1" x14ac:dyDescent="0.35">
      <c r="A280" s="33"/>
      <c r="B280" s="107"/>
      <c r="C280" s="118"/>
    </row>
    <row r="281" spans="1:3" ht="15.75" customHeight="1" x14ac:dyDescent="0.35">
      <c r="A281" s="33"/>
      <c r="B281" s="107"/>
      <c r="C281" s="118"/>
    </row>
    <row r="282" spans="1:3" ht="15.75" customHeight="1" x14ac:dyDescent="0.35">
      <c r="A282" s="33"/>
      <c r="B282" s="107"/>
      <c r="C282" s="118"/>
    </row>
    <row r="283" spans="1:3" ht="15.75" customHeight="1" x14ac:dyDescent="0.35">
      <c r="A283" s="33"/>
      <c r="B283" s="107"/>
      <c r="C283" s="118"/>
    </row>
    <row r="284" spans="1:3" ht="15.75" customHeight="1" x14ac:dyDescent="0.35">
      <c r="A284" s="33"/>
      <c r="B284" s="107"/>
      <c r="C284" s="118"/>
    </row>
    <row r="285" spans="1:3" ht="15.75" customHeight="1" x14ac:dyDescent="0.35">
      <c r="A285" s="33"/>
      <c r="B285" s="107"/>
      <c r="C285" s="118"/>
    </row>
    <row r="286" spans="1:3" ht="15.75" customHeight="1" x14ac:dyDescent="0.35">
      <c r="A286" s="33"/>
      <c r="B286" s="107"/>
      <c r="C286" s="118"/>
    </row>
    <row r="287" spans="1:3" ht="15.75" customHeight="1" x14ac:dyDescent="0.35">
      <c r="A287" s="33"/>
      <c r="B287" s="107"/>
      <c r="C287" s="118"/>
    </row>
    <row r="288" spans="1:3" ht="15.75" customHeight="1" x14ac:dyDescent="0.35">
      <c r="A288" s="33"/>
      <c r="B288" s="107"/>
      <c r="C288" s="118"/>
    </row>
    <row r="289" spans="1:3" ht="15.75" customHeight="1" x14ac:dyDescent="0.35">
      <c r="A289" s="33"/>
      <c r="B289" s="107"/>
      <c r="C289" s="118"/>
    </row>
    <row r="290" spans="1:3" ht="15.75" customHeight="1" x14ac:dyDescent="0.35">
      <c r="A290" s="33"/>
      <c r="B290" s="107"/>
      <c r="C290" s="118"/>
    </row>
    <row r="291" spans="1:3" ht="15.75" customHeight="1" x14ac:dyDescent="0.35">
      <c r="A291" s="33"/>
      <c r="B291" s="107"/>
      <c r="C291" s="118"/>
    </row>
    <row r="292" spans="1:3" ht="15.75" customHeight="1" x14ac:dyDescent="0.35">
      <c r="A292" s="33"/>
      <c r="B292" s="107"/>
      <c r="C292" s="118"/>
    </row>
    <row r="293" spans="1:3" ht="15.75" customHeight="1" x14ac:dyDescent="0.35">
      <c r="A293" s="33"/>
      <c r="B293" s="107"/>
      <c r="C293" s="118"/>
    </row>
    <row r="294" spans="1:3" ht="15.75" customHeight="1" x14ac:dyDescent="0.35">
      <c r="A294" s="33"/>
      <c r="B294" s="107"/>
      <c r="C294" s="118"/>
    </row>
    <row r="295" spans="1:3" ht="15.75" customHeight="1" x14ac:dyDescent="0.35">
      <c r="A295" s="33"/>
      <c r="B295" s="107"/>
      <c r="C295" s="118"/>
    </row>
    <row r="296" spans="1:3" ht="15.75" customHeight="1" x14ac:dyDescent="0.35">
      <c r="A296" s="33"/>
      <c r="B296" s="107"/>
      <c r="C296" s="118"/>
    </row>
    <row r="297" spans="1:3" ht="15.75" customHeight="1" x14ac:dyDescent="0.35">
      <c r="A297" s="33"/>
      <c r="B297" s="107"/>
      <c r="C297" s="118"/>
    </row>
    <row r="298" spans="1:3" ht="15.75" customHeight="1" x14ac:dyDescent="0.35">
      <c r="A298" s="33"/>
      <c r="B298" s="107"/>
      <c r="C298" s="118"/>
    </row>
    <row r="299" spans="1:3" ht="15.75" customHeight="1" x14ac:dyDescent="0.35">
      <c r="A299" s="33"/>
      <c r="B299" s="107"/>
      <c r="C299" s="118"/>
    </row>
    <row r="300" spans="1:3" ht="15.75" customHeight="1" x14ac:dyDescent="0.35">
      <c r="A300" s="33"/>
      <c r="B300" s="107"/>
      <c r="C300" s="118"/>
    </row>
    <row r="301" spans="1:3" ht="15.75" customHeight="1" x14ac:dyDescent="0.35">
      <c r="A301" s="33"/>
      <c r="B301" s="107"/>
      <c r="C301" s="118"/>
    </row>
    <row r="302" spans="1:3" ht="15.75" customHeight="1" x14ac:dyDescent="0.35">
      <c r="A302" s="33"/>
      <c r="B302" s="107"/>
      <c r="C302" s="118"/>
    </row>
    <row r="303" spans="1:3" ht="15.75" customHeight="1" x14ac:dyDescent="0.35">
      <c r="A303" s="33"/>
      <c r="B303" s="107"/>
      <c r="C303" s="118"/>
    </row>
    <row r="304" spans="1:3" ht="15.75" customHeight="1" x14ac:dyDescent="0.35">
      <c r="A304" s="33"/>
      <c r="B304" s="107"/>
      <c r="C304" s="118"/>
    </row>
    <row r="305" spans="1:3" ht="15.75" customHeight="1" x14ac:dyDescent="0.35">
      <c r="A305" s="33"/>
      <c r="B305" s="107"/>
      <c r="C305" s="118"/>
    </row>
    <row r="306" spans="1:3" ht="15.75" customHeight="1" x14ac:dyDescent="0.35">
      <c r="A306" s="33"/>
      <c r="B306" s="107"/>
      <c r="C306" s="118"/>
    </row>
    <row r="307" spans="1:3" ht="15.75" customHeight="1" x14ac:dyDescent="0.35">
      <c r="A307" s="33"/>
      <c r="B307" s="107"/>
      <c r="C307" s="118"/>
    </row>
    <row r="308" spans="1:3" ht="15.75" customHeight="1" x14ac:dyDescent="0.35">
      <c r="A308" s="33"/>
      <c r="B308" s="107"/>
      <c r="C308" s="118"/>
    </row>
    <row r="309" spans="1:3" ht="15.75" customHeight="1" x14ac:dyDescent="0.35">
      <c r="A309" s="33"/>
      <c r="B309" s="107"/>
      <c r="C309" s="118"/>
    </row>
    <row r="310" spans="1:3" ht="15.75" customHeight="1" x14ac:dyDescent="0.35">
      <c r="A310" s="33"/>
      <c r="B310" s="107"/>
      <c r="C310" s="118"/>
    </row>
    <row r="311" spans="1:3" ht="15.75" customHeight="1" x14ac:dyDescent="0.35">
      <c r="A311" s="33"/>
      <c r="B311" s="107"/>
      <c r="C311" s="118"/>
    </row>
    <row r="312" spans="1:3" ht="15.75" customHeight="1" x14ac:dyDescent="0.35">
      <c r="A312" s="33"/>
      <c r="B312" s="107"/>
      <c r="C312" s="118"/>
    </row>
    <row r="313" spans="1:3" ht="15.75" customHeight="1" x14ac:dyDescent="0.35">
      <c r="A313" s="33"/>
      <c r="B313" s="107"/>
      <c r="C313" s="118"/>
    </row>
    <row r="314" spans="1:3" ht="15.75" customHeight="1" x14ac:dyDescent="0.35">
      <c r="A314" s="33"/>
      <c r="B314" s="107"/>
      <c r="C314" s="118"/>
    </row>
    <row r="315" spans="1:3" ht="15.75" customHeight="1" x14ac:dyDescent="0.35">
      <c r="A315" s="33"/>
      <c r="B315" s="107"/>
      <c r="C315" s="118"/>
    </row>
    <row r="316" spans="1:3" ht="15.75" customHeight="1" x14ac:dyDescent="0.35">
      <c r="A316" s="33"/>
      <c r="B316" s="107"/>
      <c r="C316" s="118"/>
    </row>
    <row r="317" spans="1:3" ht="15.75" customHeight="1" x14ac:dyDescent="0.35">
      <c r="A317" s="33"/>
      <c r="B317" s="107"/>
      <c r="C317" s="118"/>
    </row>
    <row r="318" spans="1:3" ht="15.75" customHeight="1" x14ac:dyDescent="0.35">
      <c r="A318" s="33"/>
      <c r="B318" s="107"/>
      <c r="C318" s="118"/>
    </row>
    <row r="319" spans="1:3" ht="15.75" customHeight="1" x14ac:dyDescent="0.35">
      <c r="A319" s="33"/>
      <c r="B319" s="107"/>
      <c r="C319" s="118"/>
    </row>
    <row r="320" spans="1:3" ht="15.75" customHeight="1" x14ac:dyDescent="0.35">
      <c r="A320" s="33"/>
      <c r="B320" s="107"/>
      <c r="C320" s="118"/>
    </row>
    <row r="321" spans="1:3" ht="15.75" customHeight="1" x14ac:dyDescent="0.35">
      <c r="A321" s="33"/>
      <c r="B321" s="107"/>
      <c r="C321" s="118"/>
    </row>
    <row r="322" spans="1:3" ht="15.75" customHeight="1" x14ac:dyDescent="0.35">
      <c r="A322" s="33"/>
      <c r="B322" s="107"/>
      <c r="C322" s="118"/>
    </row>
    <row r="323" spans="1:3" ht="15.75" customHeight="1" x14ac:dyDescent="0.35">
      <c r="A323" s="33"/>
      <c r="B323" s="107"/>
      <c r="C323" s="118"/>
    </row>
    <row r="324" spans="1:3" ht="15.75" customHeight="1" x14ac:dyDescent="0.35">
      <c r="A324" s="33"/>
      <c r="B324" s="107"/>
      <c r="C324" s="118"/>
    </row>
    <row r="325" spans="1:3" ht="15.75" customHeight="1" x14ac:dyDescent="0.35">
      <c r="A325" s="33"/>
      <c r="B325" s="107"/>
      <c r="C325" s="118"/>
    </row>
    <row r="326" spans="1:3" ht="15.75" customHeight="1" x14ac:dyDescent="0.35">
      <c r="A326" s="33"/>
      <c r="B326" s="107"/>
      <c r="C326" s="118"/>
    </row>
    <row r="327" spans="1:3" ht="15.75" customHeight="1" x14ac:dyDescent="0.35">
      <c r="A327" s="33"/>
      <c r="B327" s="107"/>
      <c r="C327" s="118"/>
    </row>
    <row r="328" spans="1:3" ht="15.75" customHeight="1" x14ac:dyDescent="0.35">
      <c r="A328" s="33"/>
      <c r="B328" s="107"/>
      <c r="C328" s="118"/>
    </row>
    <row r="329" spans="1:3" ht="15.75" customHeight="1" x14ac:dyDescent="0.35">
      <c r="A329" s="33"/>
      <c r="B329" s="107"/>
      <c r="C329" s="118"/>
    </row>
    <row r="330" spans="1:3" ht="15.75" customHeight="1" x14ac:dyDescent="0.35">
      <c r="A330" s="33"/>
      <c r="B330" s="107"/>
      <c r="C330" s="118"/>
    </row>
    <row r="331" spans="1:3" ht="15.75" customHeight="1" x14ac:dyDescent="0.35">
      <c r="A331" s="33"/>
      <c r="B331" s="107"/>
      <c r="C331" s="118"/>
    </row>
    <row r="332" spans="1:3" ht="15.75" customHeight="1" x14ac:dyDescent="0.35">
      <c r="A332" s="33"/>
      <c r="B332" s="107"/>
      <c r="C332" s="118"/>
    </row>
    <row r="333" spans="1:3" ht="15.75" customHeight="1" x14ac:dyDescent="0.35">
      <c r="A333" s="33"/>
      <c r="B333" s="107"/>
      <c r="C333" s="118"/>
    </row>
    <row r="334" spans="1:3" ht="15.75" customHeight="1" x14ac:dyDescent="0.35">
      <c r="A334" s="33"/>
      <c r="B334" s="107"/>
      <c r="C334" s="118"/>
    </row>
    <row r="335" spans="1:3" ht="15.75" customHeight="1" x14ac:dyDescent="0.35">
      <c r="A335" s="33"/>
      <c r="B335" s="107"/>
      <c r="C335" s="118"/>
    </row>
    <row r="336" spans="1:3" ht="15.75" customHeight="1" x14ac:dyDescent="0.35">
      <c r="A336" s="33"/>
      <c r="B336" s="107"/>
      <c r="C336" s="118"/>
    </row>
    <row r="337" spans="1:3" ht="15.75" customHeight="1" x14ac:dyDescent="0.35">
      <c r="A337" s="33"/>
      <c r="B337" s="107"/>
      <c r="C337" s="118"/>
    </row>
    <row r="338" spans="1:3" ht="15.75" customHeight="1" x14ac:dyDescent="0.35">
      <c r="A338" s="33"/>
      <c r="B338" s="107"/>
      <c r="C338" s="118"/>
    </row>
    <row r="339" spans="1:3" ht="15.75" customHeight="1" x14ac:dyDescent="0.35">
      <c r="A339" s="33"/>
      <c r="B339" s="107"/>
      <c r="C339" s="118"/>
    </row>
    <row r="340" spans="1:3" ht="15.75" customHeight="1" x14ac:dyDescent="0.35">
      <c r="A340" s="33"/>
      <c r="B340" s="107"/>
      <c r="C340" s="118"/>
    </row>
    <row r="341" spans="1:3" ht="15.75" customHeight="1" x14ac:dyDescent="0.35">
      <c r="A341" s="33"/>
      <c r="B341" s="107"/>
      <c r="C341" s="118"/>
    </row>
    <row r="342" spans="1:3" ht="15.75" customHeight="1" x14ac:dyDescent="0.35">
      <c r="A342" s="33"/>
      <c r="B342" s="107"/>
      <c r="C342" s="118"/>
    </row>
    <row r="343" spans="1:3" ht="15.75" customHeight="1" x14ac:dyDescent="0.35">
      <c r="A343" s="33"/>
      <c r="B343" s="107"/>
      <c r="C343" s="118"/>
    </row>
    <row r="344" spans="1:3" ht="15.75" customHeight="1" x14ac:dyDescent="0.35">
      <c r="A344" s="33"/>
      <c r="B344" s="107"/>
      <c r="C344" s="118"/>
    </row>
    <row r="345" spans="1:3" ht="15.75" customHeight="1" x14ac:dyDescent="0.35">
      <c r="A345" s="33"/>
      <c r="B345" s="107"/>
      <c r="C345" s="118"/>
    </row>
    <row r="346" spans="1:3" ht="15.75" customHeight="1" x14ac:dyDescent="0.35">
      <c r="A346" s="33"/>
      <c r="B346" s="107"/>
      <c r="C346" s="118"/>
    </row>
    <row r="347" spans="1:3" ht="15.75" customHeight="1" x14ac:dyDescent="0.35">
      <c r="A347" s="33"/>
      <c r="B347" s="107"/>
      <c r="C347" s="118"/>
    </row>
    <row r="348" spans="1:3" ht="15.75" customHeight="1" x14ac:dyDescent="0.35">
      <c r="A348" s="33"/>
      <c r="B348" s="107"/>
      <c r="C348" s="118"/>
    </row>
    <row r="349" spans="1:3" ht="15.75" customHeight="1" x14ac:dyDescent="0.35">
      <c r="A349" s="33"/>
      <c r="B349" s="107"/>
      <c r="C349" s="118"/>
    </row>
    <row r="350" spans="1:3" ht="15.75" customHeight="1" x14ac:dyDescent="0.35">
      <c r="A350" s="33"/>
      <c r="B350" s="107"/>
      <c r="C350" s="118"/>
    </row>
    <row r="351" spans="1:3" ht="15.75" customHeight="1" x14ac:dyDescent="0.35">
      <c r="A351" s="33"/>
      <c r="B351" s="107"/>
      <c r="C351" s="118"/>
    </row>
    <row r="352" spans="1:3" ht="15.75" customHeight="1" x14ac:dyDescent="0.35">
      <c r="A352" s="33"/>
      <c r="B352" s="107"/>
      <c r="C352" s="118"/>
    </row>
    <row r="353" spans="1:3" ht="15.75" customHeight="1" x14ac:dyDescent="0.35">
      <c r="A353" s="33"/>
      <c r="B353" s="107"/>
      <c r="C353" s="118"/>
    </row>
    <row r="354" spans="1:3" ht="15.75" customHeight="1" x14ac:dyDescent="0.35">
      <c r="A354" s="33"/>
      <c r="B354" s="107"/>
      <c r="C354" s="118"/>
    </row>
    <row r="355" spans="1:3" ht="15.75" customHeight="1" x14ac:dyDescent="0.35">
      <c r="A355" s="33"/>
      <c r="B355" s="107"/>
      <c r="C355" s="118"/>
    </row>
    <row r="356" spans="1:3" ht="15.75" customHeight="1" x14ac:dyDescent="0.35">
      <c r="A356" s="33"/>
      <c r="B356" s="107"/>
      <c r="C356" s="118"/>
    </row>
    <row r="357" spans="1:3" ht="15.75" customHeight="1" x14ac:dyDescent="0.35">
      <c r="A357" s="33"/>
      <c r="B357" s="107"/>
      <c r="C357" s="118"/>
    </row>
    <row r="358" spans="1:3" ht="15.75" customHeight="1" x14ac:dyDescent="0.35">
      <c r="A358" s="33"/>
      <c r="B358" s="107"/>
      <c r="C358" s="118"/>
    </row>
    <row r="359" spans="1:3" ht="15.75" customHeight="1" x14ac:dyDescent="0.35">
      <c r="A359" s="33"/>
      <c r="B359" s="107"/>
      <c r="C359" s="118"/>
    </row>
    <row r="360" spans="1:3" ht="15.75" customHeight="1" x14ac:dyDescent="0.35">
      <c r="A360" s="33"/>
      <c r="B360" s="107"/>
      <c r="C360" s="118"/>
    </row>
    <row r="361" spans="1:3" ht="15.75" customHeight="1" x14ac:dyDescent="0.35">
      <c r="A361" s="33"/>
      <c r="B361" s="107"/>
      <c r="C361" s="118"/>
    </row>
    <row r="362" spans="1:3" ht="15.75" customHeight="1" x14ac:dyDescent="0.35">
      <c r="A362" s="33"/>
      <c r="B362" s="107"/>
      <c r="C362" s="118"/>
    </row>
    <row r="363" spans="1:3" ht="15.75" customHeight="1" x14ac:dyDescent="0.35">
      <c r="A363" s="33"/>
      <c r="B363" s="107"/>
      <c r="C363" s="118"/>
    </row>
    <row r="364" spans="1:3" ht="15.75" customHeight="1" x14ac:dyDescent="0.35">
      <c r="A364" s="33"/>
      <c r="B364" s="107"/>
      <c r="C364" s="118"/>
    </row>
    <row r="365" spans="1:3" ht="15.75" customHeight="1" x14ac:dyDescent="0.35">
      <c r="A365" s="33"/>
      <c r="B365" s="107"/>
      <c r="C365" s="118"/>
    </row>
    <row r="366" spans="1:3" ht="15.75" customHeight="1" x14ac:dyDescent="0.35">
      <c r="A366" s="33"/>
      <c r="B366" s="107"/>
      <c r="C366" s="118"/>
    </row>
    <row r="367" spans="1:3" ht="15.75" customHeight="1" x14ac:dyDescent="0.35">
      <c r="A367" s="33"/>
      <c r="B367" s="107"/>
      <c r="C367" s="118"/>
    </row>
    <row r="368" spans="1:3" ht="15.75" customHeight="1" x14ac:dyDescent="0.35">
      <c r="A368" s="33"/>
      <c r="B368" s="107"/>
      <c r="C368" s="118"/>
    </row>
    <row r="369" spans="1:3" ht="15.75" customHeight="1" x14ac:dyDescent="0.35">
      <c r="A369" s="33"/>
      <c r="B369" s="107"/>
      <c r="C369" s="118"/>
    </row>
    <row r="370" spans="1:3" ht="15.75" customHeight="1" x14ac:dyDescent="0.35">
      <c r="A370" s="33"/>
      <c r="B370" s="107"/>
      <c r="C370" s="118"/>
    </row>
    <row r="371" spans="1:3" ht="15.75" customHeight="1" x14ac:dyDescent="0.35">
      <c r="A371" s="33"/>
      <c r="B371" s="107"/>
      <c r="C371" s="118"/>
    </row>
    <row r="372" spans="1:3" ht="15.75" customHeight="1" x14ac:dyDescent="0.35">
      <c r="A372" s="33"/>
      <c r="B372" s="107"/>
      <c r="C372" s="118"/>
    </row>
    <row r="373" spans="1:3" ht="15.75" customHeight="1" x14ac:dyDescent="0.35">
      <c r="A373" s="33"/>
      <c r="B373" s="107"/>
      <c r="C373" s="118"/>
    </row>
    <row r="374" spans="1:3" ht="15.75" customHeight="1" x14ac:dyDescent="0.35">
      <c r="A374" s="33"/>
      <c r="B374" s="107"/>
      <c r="C374" s="118"/>
    </row>
    <row r="375" spans="1:3" ht="15.75" customHeight="1" x14ac:dyDescent="0.35">
      <c r="A375" s="33"/>
      <c r="B375" s="107"/>
      <c r="C375" s="118"/>
    </row>
    <row r="376" spans="1:3" ht="15.75" customHeight="1" x14ac:dyDescent="0.35">
      <c r="A376" s="33"/>
      <c r="B376" s="107"/>
      <c r="C376" s="118"/>
    </row>
    <row r="377" spans="1:3" ht="15.75" customHeight="1" x14ac:dyDescent="0.35">
      <c r="A377" s="33"/>
      <c r="B377" s="107"/>
      <c r="C377" s="118"/>
    </row>
    <row r="378" spans="1:3" ht="15.75" customHeight="1" x14ac:dyDescent="0.35">
      <c r="A378" s="33"/>
      <c r="B378" s="107"/>
      <c r="C378" s="118"/>
    </row>
    <row r="379" spans="1:3" ht="15.75" customHeight="1" x14ac:dyDescent="0.35">
      <c r="A379" s="33"/>
      <c r="B379" s="107"/>
      <c r="C379" s="118"/>
    </row>
    <row r="380" spans="1:3" ht="15.75" customHeight="1" x14ac:dyDescent="0.35">
      <c r="A380" s="33"/>
      <c r="B380" s="107"/>
      <c r="C380" s="118"/>
    </row>
    <row r="381" spans="1:3" ht="15.75" customHeight="1" x14ac:dyDescent="0.35">
      <c r="A381" s="33"/>
      <c r="B381" s="107"/>
      <c r="C381" s="118"/>
    </row>
    <row r="382" spans="1:3" ht="15.75" customHeight="1" x14ac:dyDescent="0.35">
      <c r="A382" s="33"/>
      <c r="B382" s="107"/>
      <c r="C382" s="118"/>
    </row>
    <row r="383" spans="1:3" ht="15.75" customHeight="1" x14ac:dyDescent="0.35">
      <c r="A383" s="33"/>
      <c r="B383" s="107"/>
      <c r="C383" s="118"/>
    </row>
    <row r="384" spans="1:3" ht="15.75" customHeight="1" x14ac:dyDescent="0.35">
      <c r="A384" s="33"/>
      <c r="B384" s="107"/>
      <c r="C384" s="118"/>
    </row>
    <row r="385" spans="1:3" ht="15.75" customHeight="1" x14ac:dyDescent="0.35">
      <c r="A385" s="33"/>
      <c r="B385" s="107"/>
      <c r="C385" s="118"/>
    </row>
    <row r="386" spans="1:3" ht="15.75" customHeight="1" x14ac:dyDescent="0.35">
      <c r="A386" s="33"/>
      <c r="B386" s="107"/>
      <c r="C386" s="118"/>
    </row>
    <row r="387" spans="1:3" ht="15.75" customHeight="1" x14ac:dyDescent="0.35">
      <c r="A387" s="33"/>
      <c r="B387" s="107"/>
      <c r="C387" s="118"/>
    </row>
    <row r="388" spans="1:3" ht="15.75" customHeight="1" x14ac:dyDescent="0.35">
      <c r="A388" s="33"/>
      <c r="B388" s="107"/>
      <c r="C388" s="118"/>
    </row>
    <row r="389" spans="1:3" ht="15.75" customHeight="1" x14ac:dyDescent="0.35">
      <c r="A389" s="33"/>
      <c r="B389" s="107"/>
      <c r="C389" s="118"/>
    </row>
    <row r="390" spans="1:3" ht="15.75" customHeight="1" x14ac:dyDescent="0.35">
      <c r="A390" s="33"/>
      <c r="B390" s="107"/>
      <c r="C390" s="118"/>
    </row>
    <row r="391" spans="1:3" ht="15.75" customHeight="1" x14ac:dyDescent="0.35">
      <c r="A391" s="33"/>
      <c r="B391" s="107"/>
      <c r="C391" s="118"/>
    </row>
    <row r="392" spans="1:3" ht="15.75" customHeight="1" x14ac:dyDescent="0.35">
      <c r="A392" s="33"/>
      <c r="B392" s="107"/>
      <c r="C392" s="118"/>
    </row>
    <row r="393" spans="1:3" ht="15.75" customHeight="1" x14ac:dyDescent="0.35">
      <c r="A393" s="33"/>
      <c r="B393" s="107"/>
      <c r="C393" s="118"/>
    </row>
    <row r="394" spans="1:3" ht="15.75" customHeight="1" x14ac:dyDescent="0.35">
      <c r="A394" s="33"/>
      <c r="B394" s="107"/>
      <c r="C394" s="118"/>
    </row>
    <row r="395" spans="1:3" ht="15.75" customHeight="1" x14ac:dyDescent="0.35">
      <c r="A395" s="33"/>
      <c r="B395" s="107"/>
      <c r="C395" s="118"/>
    </row>
    <row r="396" spans="1:3" ht="15.75" customHeight="1" x14ac:dyDescent="0.35">
      <c r="A396" s="33"/>
      <c r="B396" s="107"/>
      <c r="C396" s="118"/>
    </row>
    <row r="397" spans="1:3" ht="15.75" customHeight="1" x14ac:dyDescent="0.35">
      <c r="A397" s="33"/>
      <c r="B397" s="107"/>
      <c r="C397" s="118"/>
    </row>
    <row r="398" spans="1:3" ht="15.75" customHeight="1" x14ac:dyDescent="0.35">
      <c r="A398" s="33"/>
      <c r="B398" s="107"/>
      <c r="C398" s="118"/>
    </row>
    <row r="399" spans="1:3" ht="15.75" customHeight="1" x14ac:dyDescent="0.35">
      <c r="A399" s="33"/>
      <c r="B399" s="107"/>
      <c r="C399" s="118"/>
    </row>
    <row r="400" spans="1:3" ht="15.75" customHeight="1" x14ac:dyDescent="0.35">
      <c r="A400" s="33"/>
      <c r="B400" s="107"/>
      <c r="C400" s="118"/>
    </row>
    <row r="401" spans="1:3" ht="15.75" customHeight="1" x14ac:dyDescent="0.35">
      <c r="A401" s="33"/>
      <c r="B401" s="107"/>
      <c r="C401" s="118"/>
    </row>
    <row r="402" spans="1:3" ht="15.75" customHeight="1" x14ac:dyDescent="0.35">
      <c r="A402" s="33"/>
      <c r="B402" s="107"/>
      <c r="C402" s="118"/>
    </row>
    <row r="403" spans="1:3" ht="15.75" customHeight="1" x14ac:dyDescent="0.35">
      <c r="A403" s="33"/>
      <c r="B403" s="107"/>
      <c r="C403" s="118"/>
    </row>
    <row r="404" spans="1:3" ht="15.75" customHeight="1" x14ac:dyDescent="0.35">
      <c r="A404" s="33"/>
      <c r="B404" s="107"/>
      <c r="C404" s="118"/>
    </row>
    <row r="405" spans="1:3" ht="15.75" customHeight="1" x14ac:dyDescent="0.35">
      <c r="A405" s="33"/>
      <c r="B405" s="107"/>
      <c r="C405" s="118"/>
    </row>
    <row r="406" spans="1:3" ht="15.75" customHeight="1" x14ac:dyDescent="0.35">
      <c r="A406" s="33"/>
      <c r="B406" s="107"/>
      <c r="C406" s="118"/>
    </row>
    <row r="407" spans="1:3" ht="15.75" customHeight="1" x14ac:dyDescent="0.35">
      <c r="A407" s="33"/>
      <c r="B407" s="107"/>
      <c r="C407" s="118"/>
    </row>
    <row r="408" spans="1:3" ht="15.75" customHeight="1" x14ac:dyDescent="0.35">
      <c r="A408" s="33"/>
      <c r="B408" s="107"/>
      <c r="C408" s="118"/>
    </row>
    <row r="409" spans="1:3" ht="15.75" customHeight="1" x14ac:dyDescent="0.35">
      <c r="A409" s="33"/>
      <c r="B409" s="107"/>
      <c r="C409" s="118"/>
    </row>
    <row r="410" spans="1:3" ht="15.75" customHeight="1" x14ac:dyDescent="0.35">
      <c r="A410" s="33"/>
      <c r="B410" s="107"/>
      <c r="C410" s="118"/>
    </row>
    <row r="411" spans="1:3" ht="15.75" customHeight="1" x14ac:dyDescent="0.35">
      <c r="A411" s="33"/>
      <c r="B411" s="107"/>
      <c r="C411" s="118"/>
    </row>
    <row r="412" spans="1:3" ht="15.75" customHeight="1" x14ac:dyDescent="0.35">
      <c r="A412" s="33"/>
      <c r="B412" s="107"/>
      <c r="C412" s="118"/>
    </row>
    <row r="413" spans="1:3" ht="15.75" customHeight="1" x14ac:dyDescent="0.35">
      <c r="A413" s="33"/>
      <c r="B413" s="107"/>
      <c r="C413" s="118"/>
    </row>
    <row r="414" spans="1:3" ht="15.75" customHeight="1" x14ac:dyDescent="0.35">
      <c r="A414" s="33"/>
      <c r="B414" s="107"/>
      <c r="C414" s="118"/>
    </row>
    <row r="415" spans="1:3" ht="15.75" customHeight="1" x14ac:dyDescent="0.35">
      <c r="A415" s="33"/>
      <c r="B415" s="107"/>
      <c r="C415" s="118"/>
    </row>
    <row r="416" spans="1:3" ht="15.75" customHeight="1" x14ac:dyDescent="0.35">
      <c r="A416" s="33"/>
      <c r="B416" s="107"/>
      <c r="C416" s="118"/>
    </row>
    <row r="417" spans="1:3" ht="15.75" customHeight="1" x14ac:dyDescent="0.35">
      <c r="A417" s="33"/>
      <c r="B417" s="107"/>
      <c r="C417" s="118"/>
    </row>
    <row r="418" spans="1:3" ht="15.75" customHeight="1" x14ac:dyDescent="0.35">
      <c r="A418" s="33"/>
      <c r="B418" s="107"/>
      <c r="C418" s="118"/>
    </row>
    <row r="419" spans="1:3" ht="15.75" customHeight="1" x14ac:dyDescent="0.35">
      <c r="A419" s="33"/>
      <c r="B419" s="107"/>
      <c r="C419" s="118"/>
    </row>
    <row r="420" spans="1:3" ht="15.75" customHeight="1" x14ac:dyDescent="0.35">
      <c r="A420" s="33"/>
      <c r="B420" s="107"/>
      <c r="C420" s="118"/>
    </row>
    <row r="421" spans="1:3" ht="15.75" customHeight="1" x14ac:dyDescent="0.35">
      <c r="A421" s="33"/>
      <c r="B421" s="107"/>
      <c r="C421" s="118"/>
    </row>
    <row r="422" spans="1:3" ht="15.75" customHeight="1" x14ac:dyDescent="0.35">
      <c r="A422" s="33"/>
      <c r="B422" s="107"/>
      <c r="C422" s="118"/>
    </row>
    <row r="423" spans="1:3" ht="15.75" customHeight="1" x14ac:dyDescent="0.35">
      <c r="A423" s="33"/>
      <c r="B423" s="107"/>
      <c r="C423" s="118"/>
    </row>
    <row r="424" spans="1:3" ht="15.75" customHeight="1" x14ac:dyDescent="0.35">
      <c r="A424" s="33"/>
      <c r="B424" s="107"/>
      <c r="C424" s="118"/>
    </row>
    <row r="425" spans="1:3" ht="15.75" customHeight="1" x14ac:dyDescent="0.35">
      <c r="A425" s="33"/>
      <c r="B425" s="107"/>
      <c r="C425" s="118"/>
    </row>
    <row r="426" spans="1:3" ht="15.75" customHeight="1" x14ac:dyDescent="0.35">
      <c r="A426" s="33"/>
      <c r="B426" s="107"/>
      <c r="C426" s="118"/>
    </row>
    <row r="427" spans="1:3" ht="15.75" customHeight="1" x14ac:dyDescent="0.35">
      <c r="A427" s="33"/>
      <c r="B427" s="107"/>
      <c r="C427" s="118"/>
    </row>
    <row r="428" spans="1:3" ht="15.75" customHeight="1" x14ac:dyDescent="0.35">
      <c r="A428" s="33"/>
      <c r="B428" s="107"/>
      <c r="C428" s="118"/>
    </row>
    <row r="429" spans="1:3" ht="15.75" customHeight="1" x14ac:dyDescent="0.35">
      <c r="A429" s="33"/>
      <c r="B429" s="107"/>
      <c r="C429" s="118"/>
    </row>
    <row r="430" spans="1:3" ht="15.75" customHeight="1" x14ac:dyDescent="0.35">
      <c r="A430" s="33"/>
      <c r="B430" s="107"/>
      <c r="C430" s="118"/>
    </row>
    <row r="431" spans="1:3" ht="15.75" customHeight="1" x14ac:dyDescent="0.35">
      <c r="A431" s="33"/>
      <c r="B431" s="107"/>
      <c r="C431" s="118"/>
    </row>
    <row r="432" spans="1:3" ht="15.75" customHeight="1" x14ac:dyDescent="0.35">
      <c r="A432" s="33"/>
      <c r="B432" s="107"/>
      <c r="C432" s="118"/>
    </row>
    <row r="433" spans="1:3" ht="15.75" customHeight="1" x14ac:dyDescent="0.35">
      <c r="A433" s="33"/>
      <c r="B433" s="107"/>
      <c r="C433" s="118"/>
    </row>
    <row r="434" spans="1:3" ht="15.75" customHeight="1" x14ac:dyDescent="0.35">
      <c r="A434" s="33"/>
      <c r="B434" s="107"/>
      <c r="C434" s="118"/>
    </row>
    <row r="435" spans="1:3" ht="15.75" customHeight="1" x14ac:dyDescent="0.35">
      <c r="A435" s="33"/>
      <c r="B435" s="107"/>
      <c r="C435" s="118"/>
    </row>
    <row r="436" spans="1:3" ht="15.75" customHeight="1" x14ac:dyDescent="0.35">
      <c r="A436" s="33"/>
      <c r="B436" s="107"/>
      <c r="C436" s="118"/>
    </row>
    <row r="437" spans="1:3" ht="15.75" customHeight="1" x14ac:dyDescent="0.35">
      <c r="A437" s="33"/>
      <c r="B437" s="107"/>
      <c r="C437" s="118"/>
    </row>
    <row r="438" spans="1:3" ht="15.75" customHeight="1" x14ac:dyDescent="0.35">
      <c r="A438" s="33"/>
      <c r="B438" s="107"/>
      <c r="C438" s="118"/>
    </row>
    <row r="439" spans="1:3" ht="15.75" customHeight="1" x14ac:dyDescent="0.35">
      <c r="A439" s="33"/>
      <c r="B439" s="107"/>
      <c r="C439" s="118"/>
    </row>
    <row r="440" spans="1:3" ht="15.75" customHeight="1" x14ac:dyDescent="0.35">
      <c r="A440" s="33"/>
      <c r="B440" s="107"/>
      <c r="C440" s="118"/>
    </row>
    <row r="441" spans="1:3" ht="15.75" customHeight="1" x14ac:dyDescent="0.35">
      <c r="A441" s="33"/>
      <c r="B441" s="107"/>
      <c r="C441" s="118"/>
    </row>
    <row r="442" spans="1:3" ht="15.75" customHeight="1" x14ac:dyDescent="0.35">
      <c r="A442" s="33"/>
      <c r="B442" s="107"/>
      <c r="C442" s="118"/>
    </row>
    <row r="443" spans="1:3" ht="15.75" customHeight="1" x14ac:dyDescent="0.35">
      <c r="A443" s="33"/>
      <c r="B443" s="107"/>
      <c r="C443" s="118"/>
    </row>
    <row r="444" spans="1:3" ht="15.75" customHeight="1" x14ac:dyDescent="0.35">
      <c r="A444" s="33"/>
      <c r="B444" s="107"/>
      <c r="C444" s="118"/>
    </row>
    <row r="445" spans="1:3" ht="15.75" customHeight="1" x14ac:dyDescent="0.35">
      <c r="A445" s="33"/>
      <c r="B445" s="107"/>
      <c r="C445" s="118"/>
    </row>
    <row r="446" spans="1:3" ht="15.75" customHeight="1" x14ac:dyDescent="0.35">
      <c r="A446" s="33"/>
      <c r="B446" s="107"/>
      <c r="C446" s="118"/>
    </row>
    <row r="447" spans="1:3" ht="15.75" customHeight="1" x14ac:dyDescent="0.35">
      <c r="A447" s="33"/>
      <c r="B447" s="107"/>
      <c r="C447" s="118"/>
    </row>
    <row r="448" spans="1:3" ht="15.75" customHeight="1" x14ac:dyDescent="0.35">
      <c r="A448" s="33"/>
      <c r="B448" s="107"/>
      <c r="C448" s="118"/>
    </row>
    <row r="449" spans="1:3" ht="15.75" customHeight="1" x14ac:dyDescent="0.35">
      <c r="A449" s="33"/>
      <c r="B449" s="107"/>
      <c r="C449" s="118"/>
    </row>
    <row r="450" spans="1:3" ht="15.75" customHeight="1" x14ac:dyDescent="0.35">
      <c r="A450" s="33"/>
      <c r="B450" s="107"/>
      <c r="C450" s="118"/>
    </row>
    <row r="451" spans="1:3" ht="15.75" customHeight="1" x14ac:dyDescent="0.35">
      <c r="A451" s="33"/>
      <c r="B451" s="107"/>
      <c r="C451" s="118"/>
    </row>
    <row r="452" spans="1:3" ht="15.75" customHeight="1" x14ac:dyDescent="0.35">
      <c r="A452" s="33"/>
      <c r="B452" s="107"/>
      <c r="C452" s="118"/>
    </row>
    <row r="453" spans="1:3" ht="15.75" customHeight="1" x14ac:dyDescent="0.35">
      <c r="A453" s="33"/>
      <c r="B453" s="107"/>
      <c r="C453" s="118"/>
    </row>
    <row r="454" spans="1:3" ht="15.75" customHeight="1" x14ac:dyDescent="0.35">
      <c r="A454" s="33"/>
      <c r="B454" s="107"/>
      <c r="C454" s="118"/>
    </row>
    <row r="455" spans="1:3" ht="15.75" customHeight="1" x14ac:dyDescent="0.35">
      <c r="A455" s="33"/>
      <c r="B455" s="107"/>
      <c r="C455" s="118"/>
    </row>
    <row r="456" spans="1:3" ht="15.75" customHeight="1" x14ac:dyDescent="0.35">
      <c r="A456" s="33"/>
      <c r="B456" s="107"/>
      <c r="C456" s="118"/>
    </row>
    <row r="457" spans="1:3" ht="15.75" customHeight="1" x14ac:dyDescent="0.35">
      <c r="A457" s="33"/>
      <c r="B457" s="107"/>
      <c r="C457" s="118"/>
    </row>
    <row r="458" spans="1:3" ht="15.75" customHeight="1" x14ac:dyDescent="0.35">
      <c r="A458" s="33"/>
      <c r="B458" s="107"/>
      <c r="C458" s="118"/>
    </row>
    <row r="459" spans="1:3" ht="15.75" customHeight="1" x14ac:dyDescent="0.35">
      <c r="A459" s="33"/>
      <c r="B459" s="107"/>
      <c r="C459" s="118"/>
    </row>
    <row r="460" spans="1:3" ht="15.75" customHeight="1" x14ac:dyDescent="0.35">
      <c r="A460" s="33"/>
      <c r="B460" s="107"/>
      <c r="C460" s="118"/>
    </row>
    <row r="461" spans="1:3" ht="15.75" customHeight="1" x14ac:dyDescent="0.35">
      <c r="A461" s="33"/>
      <c r="B461" s="107"/>
      <c r="C461" s="118"/>
    </row>
    <row r="462" spans="1:3" ht="15.75" customHeight="1" x14ac:dyDescent="0.35">
      <c r="A462" s="33"/>
      <c r="B462" s="107"/>
      <c r="C462" s="118"/>
    </row>
    <row r="463" spans="1:3" ht="15.75" customHeight="1" x14ac:dyDescent="0.35">
      <c r="A463" s="33"/>
      <c r="B463" s="107"/>
      <c r="C463" s="118"/>
    </row>
    <row r="464" spans="1:3" ht="15.75" customHeight="1" x14ac:dyDescent="0.35">
      <c r="A464" s="33"/>
      <c r="B464" s="107"/>
      <c r="C464" s="118"/>
    </row>
    <row r="465" spans="1:3" ht="15.75" customHeight="1" x14ac:dyDescent="0.35">
      <c r="A465" s="33"/>
      <c r="B465" s="107"/>
      <c r="C465" s="118"/>
    </row>
    <row r="466" spans="1:3" ht="15.75" customHeight="1" x14ac:dyDescent="0.35">
      <c r="A466" s="33"/>
      <c r="B466" s="107"/>
      <c r="C466" s="118"/>
    </row>
    <row r="467" spans="1:3" ht="15.75" customHeight="1" x14ac:dyDescent="0.35">
      <c r="A467" s="33"/>
      <c r="B467" s="107"/>
      <c r="C467" s="118"/>
    </row>
    <row r="468" spans="1:3" ht="15.75" customHeight="1" x14ac:dyDescent="0.35">
      <c r="A468" s="33"/>
      <c r="B468" s="107"/>
      <c r="C468" s="118"/>
    </row>
    <row r="469" spans="1:3" ht="15.75" customHeight="1" x14ac:dyDescent="0.35">
      <c r="A469" s="33"/>
      <c r="B469" s="107"/>
      <c r="C469" s="118"/>
    </row>
    <row r="470" spans="1:3" ht="15.75" customHeight="1" x14ac:dyDescent="0.35">
      <c r="A470" s="33"/>
      <c r="B470" s="107"/>
      <c r="C470" s="118"/>
    </row>
    <row r="471" spans="1:3" ht="15.75" customHeight="1" x14ac:dyDescent="0.35">
      <c r="A471" s="33"/>
      <c r="B471" s="107"/>
      <c r="C471" s="118"/>
    </row>
    <row r="472" spans="1:3" ht="15.75" customHeight="1" x14ac:dyDescent="0.35">
      <c r="A472" s="33"/>
      <c r="B472" s="107"/>
      <c r="C472" s="118"/>
    </row>
    <row r="473" spans="1:3" ht="15.75" customHeight="1" x14ac:dyDescent="0.35">
      <c r="A473" s="33"/>
      <c r="B473" s="107"/>
      <c r="C473" s="118"/>
    </row>
    <row r="474" spans="1:3" ht="15.75" customHeight="1" x14ac:dyDescent="0.35">
      <c r="A474" s="33"/>
      <c r="B474" s="107"/>
      <c r="C474" s="118"/>
    </row>
    <row r="475" spans="1:3" ht="15.75" customHeight="1" x14ac:dyDescent="0.35">
      <c r="A475" s="33"/>
      <c r="B475" s="107"/>
      <c r="C475" s="118"/>
    </row>
    <row r="476" spans="1:3" ht="15.75" customHeight="1" x14ac:dyDescent="0.35">
      <c r="A476" s="33"/>
      <c r="B476" s="107"/>
      <c r="C476" s="118"/>
    </row>
    <row r="477" spans="1:3" ht="15.75" customHeight="1" x14ac:dyDescent="0.35">
      <c r="A477" s="33"/>
      <c r="B477" s="107"/>
      <c r="C477" s="118"/>
    </row>
    <row r="478" spans="1:3" ht="15.75" customHeight="1" x14ac:dyDescent="0.35">
      <c r="A478" s="33"/>
      <c r="B478" s="107"/>
      <c r="C478" s="118"/>
    </row>
    <row r="479" spans="1:3" ht="15.75" customHeight="1" x14ac:dyDescent="0.35">
      <c r="A479" s="33"/>
      <c r="B479" s="107"/>
      <c r="C479" s="118"/>
    </row>
    <row r="480" spans="1:3" ht="15.75" customHeight="1" x14ac:dyDescent="0.35">
      <c r="A480" s="33"/>
      <c r="B480" s="107"/>
      <c r="C480" s="118"/>
    </row>
    <row r="481" spans="1:3" ht="15.75" customHeight="1" x14ac:dyDescent="0.35">
      <c r="A481" s="33"/>
      <c r="B481" s="107"/>
      <c r="C481" s="118"/>
    </row>
    <row r="482" spans="1:3" ht="15.75" customHeight="1" x14ac:dyDescent="0.35">
      <c r="A482" s="33"/>
      <c r="B482" s="107"/>
      <c r="C482" s="118"/>
    </row>
    <row r="483" spans="1:3" ht="15.75" customHeight="1" x14ac:dyDescent="0.35">
      <c r="A483" s="33"/>
      <c r="B483" s="107"/>
      <c r="C483" s="118"/>
    </row>
    <row r="484" spans="1:3" ht="15.75" customHeight="1" x14ac:dyDescent="0.35">
      <c r="A484" s="33"/>
      <c r="B484" s="107"/>
      <c r="C484" s="118"/>
    </row>
    <row r="485" spans="1:3" ht="15.75" customHeight="1" x14ac:dyDescent="0.35">
      <c r="A485" s="33"/>
      <c r="B485" s="107"/>
      <c r="C485" s="118"/>
    </row>
    <row r="486" spans="1:3" ht="15.75" customHeight="1" x14ac:dyDescent="0.35">
      <c r="A486" s="33"/>
      <c r="B486" s="107"/>
      <c r="C486" s="118"/>
    </row>
    <row r="487" spans="1:3" ht="15.75" customHeight="1" x14ac:dyDescent="0.35">
      <c r="A487" s="33"/>
      <c r="B487" s="107"/>
      <c r="C487" s="118"/>
    </row>
    <row r="488" spans="1:3" ht="15.75" customHeight="1" x14ac:dyDescent="0.35">
      <c r="A488" s="33"/>
      <c r="B488" s="107"/>
      <c r="C488" s="118"/>
    </row>
    <row r="489" spans="1:3" ht="15.75" customHeight="1" x14ac:dyDescent="0.35">
      <c r="A489" s="33"/>
      <c r="B489" s="107"/>
      <c r="C489" s="118"/>
    </row>
    <row r="490" spans="1:3" ht="15.75" customHeight="1" x14ac:dyDescent="0.35">
      <c r="A490" s="33"/>
      <c r="B490" s="107"/>
      <c r="C490" s="118"/>
    </row>
    <row r="491" spans="1:3" ht="15.75" customHeight="1" x14ac:dyDescent="0.35">
      <c r="A491" s="33"/>
      <c r="B491" s="107"/>
      <c r="C491" s="118"/>
    </row>
    <row r="492" spans="1:3" ht="15.75" customHeight="1" x14ac:dyDescent="0.35">
      <c r="A492" s="33"/>
      <c r="B492" s="107"/>
      <c r="C492" s="118"/>
    </row>
    <row r="493" spans="1:3" ht="15.75" customHeight="1" x14ac:dyDescent="0.35">
      <c r="A493" s="33"/>
      <c r="B493" s="107"/>
      <c r="C493" s="118"/>
    </row>
    <row r="494" spans="1:3" ht="15.75" customHeight="1" x14ac:dyDescent="0.35">
      <c r="A494" s="33"/>
      <c r="B494" s="107"/>
      <c r="C494" s="118"/>
    </row>
    <row r="495" spans="1:3" ht="15.75" customHeight="1" x14ac:dyDescent="0.35">
      <c r="A495" s="33"/>
      <c r="B495" s="107"/>
      <c r="C495" s="118"/>
    </row>
    <row r="496" spans="1:3" ht="15.75" customHeight="1" x14ac:dyDescent="0.35">
      <c r="A496" s="33"/>
      <c r="B496" s="107"/>
      <c r="C496" s="118"/>
    </row>
    <row r="497" spans="1:3" ht="15.75" customHeight="1" x14ac:dyDescent="0.35">
      <c r="A497" s="33"/>
      <c r="B497" s="107"/>
      <c r="C497" s="118"/>
    </row>
    <row r="498" spans="1:3" ht="15.75" customHeight="1" x14ac:dyDescent="0.35">
      <c r="A498" s="33"/>
      <c r="B498" s="107"/>
      <c r="C498" s="118"/>
    </row>
    <row r="499" spans="1:3" ht="15.75" customHeight="1" x14ac:dyDescent="0.35">
      <c r="A499" s="33"/>
      <c r="B499" s="107"/>
      <c r="C499" s="118"/>
    </row>
    <row r="500" spans="1:3" ht="15.75" customHeight="1" x14ac:dyDescent="0.35">
      <c r="A500" s="33"/>
      <c r="B500" s="107"/>
      <c r="C500" s="118"/>
    </row>
    <row r="501" spans="1:3" ht="15.75" customHeight="1" x14ac:dyDescent="0.35">
      <c r="A501" s="33"/>
      <c r="B501" s="107"/>
      <c r="C501" s="118"/>
    </row>
    <row r="502" spans="1:3" ht="15.75" customHeight="1" x14ac:dyDescent="0.35">
      <c r="A502" s="33"/>
      <c r="B502" s="107"/>
      <c r="C502" s="118"/>
    </row>
    <row r="503" spans="1:3" ht="15.75" customHeight="1" x14ac:dyDescent="0.35">
      <c r="A503" s="33"/>
      <c r="B503" s="107"/>
      <c r="C503" s="118"/>
    </row>
    <row r="504" spans="1:3" ht="15.75" customHeight="1" x14ac:dyDescent="0.35">
      <c r="A504" s="33"/>
      <c r="B504" s="107"/>
      <c r="C504" s="118"/>
    </row>
    <row r="505" spans="1:3" ht="15.75" customHeight="1" x14ac:dyDescent="0.35">
      <c r="A505" s="33"/>
      <c r="B505" s="107"/>
      <c r="C505" s="118"/>
    </row>
    <row r="506" spans="1:3" ht="15.75" customHeight="1" x14ac:dyDescent="0.35">
      <c r="A506" s="33"/>
      <c r="B506" s="107"/>
      <c r="C506" s="118"/>
    </row>
    <row r="507" spans="1:3" ht="15.75" customHeight="1" x14ac:dyDescent="0.35">
      <c r="A507" s="33"/>
      <c r="B507" s="107"/>
      <c r="C507" s="118"/>
    </row>
    <row r="508" spans="1:3" ht="15.75" customHeight="1" x14ac:dyDescent="0.35">
      <c r="A508" s="33"/>
      <c r="B508" s="107"/>
      <c r="C508" s="118"/>
    </row>
    <row r="509" spans="1:3" ht="15.75" customHeight="1" x14ac:dyDescent="0.35">
      <c r="A509" s="33"/>
      <c r="B509" s="107"/>
      <c r="C509" s="118"/>
    </row>
    <row r="510" spans="1:3" ht="15.75" customHeight="1" x14ac:dyDescent="0.35">
      <c r="A510" s="33"/>
      <c r="B510" s="107"/>
      <c r="C510" s="118"/>
    </row>
    <row r="511" spans="1:3" ht="15.75" customHeight="1" x14ac:dyDescent="0.35">
      <c r="A511" s="33"/>
      <c r="B511" s="107"/>
      <c r="C511" s="118"/>
    </row>
    <row r="512" spans="1:3" ht="15.75" customHeight="1" x14ac:dyDescent="0.35">
      <c r="A512" s="33"/>
      <c r="B512" s="107"/>
      <c r="C512" s="118"/>
    </row>
    <row r="513" spans="1:3" ht="15.75" customHeight="1" x14ac:dyDescent="0.35">
      <c r="A513" s="33"/>
      <c r="B513" s="107"/>
      <c r="C513" s="118"/>
    </row>
    <row r="514" spans="1:3" ht="15.75" customHeight="1" x14ac:dyDescent="0.35">
      <c r="A514" s="33"/>
      <c r="B514" s="107"/>
      <c r="C514" s="118"/>
    </row>
    <row r="515" spans="1:3" ht="15.75" customHeight="1" x14ac:dyDescent="0.35">
      <c r="A515" s="33"/>
      <c r="B515" s="107"/>
      <c r="C515" s="118"/>
    </row>
    <row r="516" spans="1:3" ht="15.75" customHeight="1" x14ac:dyDescent="0.35">
      <c r="A516" s="33"/>
      <c r="B516" s="107"/>
      <c r="C516" s="118"/>
    </row>
    <row r="517" spans="1:3" ht="15.75" customHeight="1" x14ac:dyDescent="0.35">
      <c r="A517" s="33"/>
      <c r="B517" s="107"/>
      <c r="C517" s="118"/>
    </row>
    <row r="518" spans="1:3" ht="15.75" customHeight="1" x14ac:dyDescent="0.35">
      <c r="A518" s="33"/>
      <c r="B518" s="107"/>
      <c r="C518" s="118"/>
    </row>
    <row r="519" spans="1:3" ht="15.75" customHeight="1" x14ac:dyDescent="0.35">
      <c r="A519" s="33"/>
      <c r="B519" s="107"/>
      <c r="C519" s="118"/>
    </row>
    <row r="520" spans="1:3" ht="15.75" customHeight="1" x14ac:dyDescent="0.35">
      <c r="A520" s="33"/>
      <c r="B520" s="107"/>
      <c r="C520" s="118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INCOME</vt:lpstr>
      <vt:lpstr>RECON</vt:lpstr>
      <vt:lpstr> EXPENSES</vt:lpstr>
      <vt:lpstr> EXPENSES HOUSE</vt:lpstr>
      <vt:lpstr>MONTHLY FOR THE YEAR</vt:lpstr>
      <vt:lpstr>INCOME!Print_Area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Andrisa Schnell</cp:lastModifiedBy>
  <cp:revision>2</cp:revision>
  <cp:lastPrinted>2026-01-20T06:48:50Z</cp:lastPrinted>
  <dcterms:created xsi:type="dcterms:W3CDTF">2020-05-26T08:43:05Z</dcterms:created>
  <dcterms:modified xsi:type="dcterms:W3CDTF">2026-03-12T13:49:34Z</dcterms:modified>
  <dc:language>en-US</dc:language>
</cp:coreProperties>
</file>