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isa\Dropbox\Andrisa\Landco\Accounts 2026\Landco Accounts 2026\Chris\"/>
    </mc:Choice>
  </mc:AlternateContent>
  <xr:revisionPtr revIDLastSave="0" documentId="8_{36E04049-2F8D-423D-BCC9-7344316FED4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INCOME" sheetId="28" r:id="rId1"/>
    <sheet name="RECON" sheetId="22" r:id="rId2"/>
    <sheet name=" EXPENSES" sheetId="26" r:id="rId3"/>
    <sheet name=" EXPENSES HOUSE" sheetId="27" r:id="rId4"/>
    <sheet name="MONTHLY FOR THE YEAR" sheetId="24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Print_Area" localSheetId="2">' EXPENSES'!#REF!</definedName>
    <definedName name="_xlnm.Print_Area" localSheetId="3">' EXPENSES HOUSE'!#REF!</definedName>
    <definedName name="_xlnm.Print_Area" localSheetId="0">INCOME!$A$8:$D$10</definedName>
    <definedName name="_xlnm.Print_Area" localSheetId="4">'MONTHLY FOR THE YEAR'!#REF!</definedName>
    <definedName name="_xlnm.Print_Area" localSheetId="1">RECON!$B$1:$J$29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4" i="22" l="1"/>
  <c r="K23" i="22"/>
  <c r="K22" i="22"/>
  <c r="K27" i="22" s="1"/>
  <c r="K31" i="22" s="1"/>
  <c r="J22" i="22"/>
  <c r="J31" i="22" s="1"/>
  <c r="C23" i="22" l="1"/>
  <c r="C22" i="22" l="1"/>
  <c r="G21" i="22" l="1"/>
  <c r="G23" i="22"/>
  <c r="J17" i="22"/>
  <c r="J16" i="22"/>
  <c r="I13" i="22" l="1"/>
  <c r="N4" i="27"/>
  <c r="F92" i="26"/>
  <c r="E92" i="26"/>
  <c r="D50" i="28"/>
  <c r="F50" i="28" s="1"/>
  <c r="D5" i="22" s="1"/>
  <c r="J50" i="28" l="1"/>
  <c r="C5" i="22"/>
  <c r="C7" i="22"/>
  <c r="C6" i="22"/>
  <c r="C4" i="22"/>
  <c r="C12" i="22"/>
  <c r="AA41" i="26" l="1"/>
  <c r="AA42" i="26"/>
  <c r="AA43" i="26"/>
  <c r="AA44" i="26"/>
  <c r="AC44" i="26" s="1"/>
  <c r="AC9" i="26"/>
  <c r="AC10" i="26"/>
  <c r="AC11" i="26"/>
  <c r="AC12" i="26"/>
  <c r="AC13" i="26"/>
  <c r="AC14" i="26"/>
  <c r="AC15" i="26"/>
  <c r="AC16" i="26"/>
  <c r="AC17" i="26"/>
  <c r="AC18" i="26"/>
  <c r="AC19" i="26"/>
  <c r="AC20" i="26"/>
  <c r="AC21" i="26"/>
  <c r="AC22" i="26"/>
  <c r="AC23" i="26"/>
  <c r="AC24" i="26"/>
  <c r="AC25" i="26"/>
  <c r="AC26" i="26"/>
  <c r="AC27" i="26"/>
  <c r="AC28" i="26"/>
  <c r="AC29" i="26"/>
  <c r="AC30" i="26"/>
  <c r="AC31" i="26"/>
  <c r="AC32" i="26"/>
  <c r="AC33" i="26"/>
  <c r="AC35" i="26"/>
  <c r="AC36" i="26"/>
  <c r="AC37" i="26"/>
  <c r="AC38" i="26"/>
  <c r="AC39" i="26"/>
  <c r="AC41" i="26"/>
  <c r="AC42" i="26"/>
  <c r="AC43" i="26"/>
  <c r="AC45" i="26"/>
  <c r="AC46" i="26"/>
  <c r="AC47" i="26"/>
  <c r="AC48" i="26"/>
  <c r="AC49" i="26"/>
  <c r="AC50" i="26"/>
  <c r="AC51" i="26"/>
  <c r="AC52" i="26"/>
  <c r="AC53" i="26"/>
  <c r="AC54" i="26"/>
  <c r="AC55" i="26"/>
  <c r="AC56" i="26"/>
  <c r="AC57" i="26"/>
  <c r="AC58" i="26"/>
  <c r="AC59" i="26"/>
  <c r="AC60" i="26"/>
  <c r="AC61" i="26"/>
  <c r="AC62" i="26"/>
  <c r="AC63" i="26"/>
  <c r="AC64" i="26"/>
  <c r="AC65" i="26"/>
  <c r="AC66" i="26"/>
  <c r="AC67" i="26"/>
  <c r="AC68" i="26"/>
  <c r="AC69" i="26"/>
  <c r="AC70" i="26"/>
  <c r="E91" i="26"/>
  <c r="W91" i="26" s="1"/>
  <c r="C91" i="26"/>
  <c r="C21" i="22" l="1"/>
  <c r="K7" i="27"/>
  <c r="J51" i="28"/>
  <c r="L43" i="26"/>
  <c r="D51" i="28" l="1"/>
  <c r="K49" i="28" s="1"/>
  <c r="N19" i="27"/>
  <c r="G89" i="26"/>
  <c r="G87" i="26"/>
  <c r="G86" i="26"/>
  <c r="U85" i="26"/>
  <c r="H33" i="26"/>
  <c r="AA101" i="26"/>
  <c r="AA102" i="26"/>
  <c r="E40" i="26"/>
  <c r="H14" i="26"/>
  <c r="Z50" i="26"/>
  <c r="L48" i="26"/>
  <c r="X49" i="26"/>
  <c r="H6" i="27" s="1"/>
  <c r="Z46" i="26"/>
  <c r="Z45" i="26"/>
  <c r="I44" i="26"/>
  <c r="I42" i="26"/>
  <c r="I84" i="26"/>
  <c r="L39" i="26"/>
  <c r="L38" i="26"/>
  <c r="I37" i="26"/>
  <c r="K36" i="26"/>
  <c r="L35" i="26"/>
  <c r="Y34" i="26"/>
  <c r="X34" i="26"/>
  <c r="D6" i="27" s="1"/>
  <c r="W34" i="26"/>
  <c r="V34" i="26"/>
  <c r="H34" i="26"/>
  <c r="F34" i="26"/>
  <c r="G32" i="26"/>
  <c r="I31" i="26"/>
  <c r="E51" i="28" l="1"/>
  <c r="D4" i="22" s="1"/>
  <c r="H40" i="26"/>
  <c r="AA40" i="26" s="1"/>
  <c r="E104" i="26"/>
  <c r="AC40" i="26"/>
  <c r="Z29" i="26"/>
  <c r="L28" i="26"/>
  <c r="I27" i="26"/>
  <c r="I26" i="26"/>
  <c r="I25" i="26"/>
  <c r="J24" i="26"/>
  <c r="I23" i="26"/>
  <c r="H22" i="26"/>
  <c r="I21" i="26"/>
  <c r="H20" i="26"/>
  <c r="I19" i="26"/>
  <c r="K18" i="26"/>
  <c r="J16" i="26"/>
  <c r="I17" i="26"/>
  <c r="I15" i="26"/>
  <c r="L10" i="26"/>
  <c r="K8" i="26"/>
  <c r="E90" i="26"/>
  <c r="F90" i="26" s="1"/>
  <c r="H16" i="22" l="1"/>
  <c r="G13" i="22" l="1"/>
  <c r="E4" i="27" l="1"/>
  <c r="AA97" i="26"/>
  <c r="AA98" i="26"/>
  <c r="AA99" i="26"/>
  <c r="AA100" i="26"/>
  <c r="AA82" i="26" l="1"/>
  <c r="AC82" i="26" s="1"/>
  <c r="I18" i="22" l="1"/>
  <c r="J18" i="22"/>
  <c r="D48" i="28" l="1"/>
  <c r="H48" i="28" s="1"/>
  <c r="AA94" i="26" l="1"/>
  <c r="AC94" i="26" s="1"/>
  <c r="AA93" i="26"/>
  <c r="AC93" i="26" s="1"/>
  <c r="I5" i="27"/>
  <c r="R77" i="26"/>
  <c r="N104" i="26"/>
  <c r="E115" i="26" s="1"/>
  <c r="AA95" i="26"/>
  <c r="AC95" i="26" s="1"/>
  <c r="AA103" i="26"/>
  <c r="P104" i="26"/>
  <c r="Q104" i="26"/>
  <c r="O13" i="27" l="1"/>
  <c r="E117" i="26"/>
  <c r="T104" i="26"/>
  <c r="E121" i="26" s="1"/>
  <c r="R104" i="26"/>
  <c r="W104" i="26" l="1"/>
  <c r="E124" i="26" l="1"/>
  <c r="D5" i="27"/>
  <c r="K5" i="27" s="1"/>
  <c r="V104" i="26"/>
  <c r="N25" i="27"/>
  <c r="O25" i="27" s="1"/>
  <c r="D4" i="27" l="1"/>
  <c r="K4" i="27" s="1"/>
  <c r="E123" i="26"/>
  <c r="N24" i="27"/>
  <c r="AA63" i="26"/>
  <c r="AA64" i="26"/>
  <c r="AA65" i="26"/>
  <c r="AA66" i="26"/>
  <c r="AA68" i="26"/>
  <c r="AA69" i="26"/>
  <c r="AA70" i="26"/>
  <c r="AA71" i="26"/>
  <c r="AC71" i="26" s="1"/>
  <c r="AA72" i="26"/>
  <c r="AC72" i="26" s="1"/>
  <c r="AA73" i="26"/>
  <c r="AC73" i="26" s="1"/>
  <c r="AA74" i="26"/>
  <c r="AC74" i="26" s="1"/>
  <c r="AA75" i="26"/>
  <c r="AC75" i="26" s="1"/>
  <c r="AA76" i="26"/>
  <c r="AC76" i="26" s="1"/>
  <c r="AA77" i="26"/>
  <c r="AC77" i="26" s="1"/>
  <c r="AA78" i="26"/>
  <c r="AC78" i="26" s="1"/>
  <c r="AA79" i="26"/>
  <c r="AC79" i="26" s="1"/>
  <c r="AA80" i="26"/>
  <c r="AC80" i="26" s="1"/>
  <c r="AA81" i="26"/>
  <c r="AC81" i="26" s="1"/>
  <c r="O24" i="27" l="1"/>
  <c r="L104" i="26"/>
  <c r="E113" i="26" s="1"/>
  <c r="AA96" i="26" l="1"/>
  <c r="AC96" i="26" s="1"/>
  <c r="X104" i="26"/>
  <c r="E125" i="26" s="1"/>
  <c r="G104" i="26"/>
  <c r="E109" i="26" s="1"/>
  <c r="I7" i="27"/>
  <c r="Z104" i="26"/>
  <c r="F104" i="26"/>
  <c r="E108" i="26" s="1"/>
  <c r="O104" i="26"/>
  <c r="O12" i="27" l="1"/>
  <c r="E116" i="26"/>
  <c r="J6" i="27"/>
  <c r="S104" i="26"/>
  <c r="E120" i="26" s="1"/>
  <c r="N26" i="27"/>
  <c r="AA67" i="26"/>
  <c r="Y104" i="26"/>
  <c r="J104" i="26"/>
  <c r="E111" i="26" s="1"/>
  <c r="M104" i="26"/>
  <c r="E114" i="26" s="1"/>
  <c r="U104" i="26"/>
  <c r="E122" i="26" s="1"/>
  <c r="I104" i="26"/>
  <c r="E110" i="26" s="1"/>
  <c r="H104" i="26"/>
  <c r="AA105" i="26" s="1"/>
  <c r="K104" i="26"/>
  <c r="E112" i="26" s="1"/>
  <c r="D45" i="28"/>
  <c r="D7" i="27" l="1"/>
  <c r="E126" i="26"/>
  <c r="O26" i="27"/>
  <c r="G47" i="28"/>
  <c r="D6" i="22" s="1"/>
  <c r="D46" i="28"/>
  <c r="E46" i="28" s="1"/>
  <c r="F45" i="28"/>
  <c r="K14" i="22"/>
  <c r="K15" i="22"/>
  <c r="E128" i="26" l="1"/>
  <c r="E2" i="26"/>
  <c r="N30" i="27" l="1"/>
  <c r="C4" i="24"/>
  <c r="G6" i="27"/>
  <c r="K6" i="27" s="1"/>
  <c r="D42" i="28" l="1"/>
  <c r="F42" i="28" s="1"/>
  <c r="D43" i="28"/>
  <c r="E43" i="28" s="1"/>
  <c r="J43" i="28" l="1"/>
  <c r="N27" i="27" l="1"/>
  <c r="AA14" i="26"/>
  <c r="AA27" i="26"/>
  <c r="AA35" i="26"/>
  <c r="AA46" i="26"/>
  <c r="AA47" i="26"/>
  <c r="AA48" i="26"/>
  <c r="AA49" i="26"/>
  <c r="AA50" i="26"/>
  <c r="AA51" i="26"/>
  <c r="AA52" i="26"/>
  <c r="AA53" i="26"/>
  <c r="AA54" i="26"/>
  <c r="AA55" i="26"/>
  <c r="AA56" i="26"/>
  <c r="AA57" i="26"/>
  <c r="AA58" i="26"/>
  <c r="AA59" i="26"/>
  <c r="AA60" i="26"/>
  <c r="AA61" i="26"/>
  <c r="AA62" i="26"/>
  <c r="AA45" i="26"/>
  <c r="AA39" i="26"/>
  <c r="AA34" i="26"/>
  <c r="AC34" i="26" s="1"/>
  <c r="AA32" i="26"/>
  <c r="AA31" i="26"/>
  <c r="AA30" i="26"/>
  <c r="AA26" i="26"/>
  <c r="AA25" i="26"/>
  <c r="AA23" i="26"/>
  <c r="AA22" i="26"/>
  <c r="AA20" i="26"/>
  <c r="AA18" i="26"/>
  <c r="AA16" i="26"/>
  <c r="AA15" i="26"/>
  <c r="AA38" i="26"/>
  <c r="AA36" i="26"/>
  <c r="AA33" i="26"/>
  <c r="AA29" i="26"/>
  <c r="AA24" i="26"/>
  <c r="AA21" i="26"/>
  <c r="AA19" i="26"/>
  <c r="AA17" i="26"/>
  <c r="AA11" i="26"/>
  <c r="AA10" i="26"/>
  <c r="O27" i="27" l="1"/>
  <c r="N28" i="27"/>
  <c r="E3" i="26"/>
  <c r="AA37" i="26"/>
  <c r="AA13" i="26"/>
  <c r="AA8" i="26"/>
  <c r="AA28" i="26"/>
  <c r="AA12" i="26"/>
  <c r="AA9" i="26"/>
  <c r="G41" i="28" l="1"/>
  <c r="K41" i="28"/>
  <c r="O5" i="27"/>
  <c r="O6" i="27"/>
  <c r="O7" i="27"/>
  <c r="O8" i="27"/>
  <c r="O9" i="27"/>
  <c r="O10" i="27"/>
  <c r="O11" i="27"/>
  <c r="O14" i="27"/>
  <c r="O15" i="27"/>
  <c r="O16" i="27"/>
  <c r="O17" i="27"/>
  <c r="O18" i="27"/>
  <c r="O4" i="27"/>
  <c r="O19" i="27" l="1"/>
  <c r="C4" i="27" s="1"/>
  <c r="L4" i="27" s="1"/>
  <c r="J41" i="28"/>
  <c r="E4" i="22" l="1"/>
  <c r="C5" i="27"/>
  <c r="L5" i="27" s="1"/>
  <c r="E5" i="22" s="1"/>
  <c r="C6" i="27" l="1"/>
  <c r="L6" i="27" s="1"/>
  <c r="E6" i="22" s="1"/>
  <c r="C9" i="22"/>
  <c r="C7" i="27" l="1"/>
  <c r="L7" i="27" s="1"/>
  <c r="E7" i="22" s="1"/>
  <c r="AA92" i="26"/>
  <c r="AC92" i="26" s="1"/>
  <c r="AA90" i="26"/>
  <c r="AC90" i="26" s="1"/>
  <c r="AA91" i="26"/>
  <c r="AC91" i="26" s="1"/>
  <c r="AA89" i="26"/>
  <c r="AC89" i="26" s="1"/>
  <c r="AA88" i="26"/>
  <c r="AC88" i="26" s="1"/>
  <c r="AA87" i="26"/>
  <c r="AC87" i="26" s="1"/>
  <c r="AA86" i="26"/>
  <c r="AC86" i="26" s="1"/>
  <c r="AA85" i="26"/>
  <c r="AC85" i="26" s="1"/>
  <c r="AA84" i="26"/>
  <c r="L8" i="27" l="1"/>
  <c r="AC84" i="26"/>
  <c r="H39" i="28" l="1"/>
  <c r="J39" i="28" s="1"/>
  <c r="D39" i="28"/>
  <c r="G38" i="28"/>
  <c r="D37" i="28"/>
  <c r="J35" i="28"/>
  <c r="H35" i="28"/>
  <c r="J34" i="28"/>
  <c r="G34" i="28"/>
  <c r="I34" i="28" s="1"/>
  <c r="J32" i="28"/>
  <c r="D32" i="28" s="1"/>
  <c r="F32" i="28" s="1"/>
  <c r="D31" i="28"/>
  <c r="E31" i="28" s="1"/>
  <c r="D29" i="28"/>
  <c r="H29" i="28" s="1"/>
  <c r="D28" i="28"/>
  <c r="E28" i="28" s="1"/>
  <c r="J26" i="28"/>
  <c r="F26" i="28"/>
  <c r="D25" i="28"/>
  <c r="J25" i="28" s="1"/>
  <c r="J24" i="28"/>
  <c r="G24" i="28"/>
  <c r="D22" i="28"/>
  <c r="E22" i="28" s="1"/>
  <c r="D20" i="28"/>
  <c r="G20" i="28" s="1"/>
  <c r="J20" i="28" s="1"/>
  <c r="J19" i="28"/>
  <c r="D19" i="28"/>
  <c r="F19" i="28" s="1"/>
  <c r="D18" i="28"/>
  <c r="J16" i="28"/>
  <c r="D16" i="28"/>
  <c r="G16" i="28" s="1"/>
  <c r="I16" i="28" s="1"/>
  <c r="J15" i="28"/>
  <c r="F15" i="28"/>
  <c r="I15" i="28" s="1"/>
  <c r="D14" i="28"/>
  <c r="K13" i="28" s="1"/>
  <c r="J13" i="28"/>
  <c r="G13" i="28"/>
  <c r="I13" i="28" s="1"/>
  <c r="J11" i="28"/>
  <c r="I11" i="28"/>
  <c r="K11" i="28" s="1"/>
  <c r="G11" i="28"/>
  <c r="J9" i="28"/>
  <c r="G9" i="28"/>
  <c r="I9" i="28" s="1"/>
  <c r="J8" i="28"/>
  <c r="F8" i="28"/>
  <c r="I8" i="28" s="1"/>
  <c r="J7" i="28"/>
  <c r="G7" i="28"/>
  <c r="K37" i="28" l="1"/>
  <c r="J37" i="28"/>
  <c r="H14" i="28"/>
  <c r="I14" i="28" s="1"/>
  <c r="K34" i="28"/>
  <c r="J14" i="28"/>
  <c r="J49" i="28" s="1"/>
  <c r="K28" i="28"/>
  <c r="K18" i="28"/>
  <c r="G49" i="28"/>
  <c r="E3" i="28" s="1"/>
  <c r="F3" i="28" s="1"/>
  <c r="I7" i="28"/>
  <c r="K22" i="28"/>
  <c r="K31" i="28"/>
  <c r="K24" i="28"/>
  <c r="F37" i="28"/>
  <c r="F49" i="28" s="1"/>
  <c r="E2" i="28" s="1"/>
  <c r="F2" i="28" s="1"/>
  <c r="H25" i="28"/>
  <c r="H49" i="28" s="1"/>
  <c r="E4" i="28" s="1"/>
  <c r="F4" i="28" s="1"/>
  <c r="E18" i="28"/>
  <c r="E49" i="28" s="1"/>
  <c r="E1" i="28" s="1"/>
  <c r="I49" i="28" l="1"/>
  <c r="K7" i="28"/>
  <c r="F1" i="28"/>
  <c r="G5" i="28" s="1"/>
  <c r="E5" i="28"/>
  <c r="F5" i="28" s="1"/>
  <c r="F8" i="22" l="1"/>
  <c r="D25" i="22" l="1"/>
  <c r="D21" i="22" l="1"/>
  <c r="AA104" i="26" l="1"/>
  <c r="AA106" i="26" s="1"/>
  <c r="AA107" i="26" s="1"/>
  <c r="AC8" i="26"/>
  <c r="AE30" i="26"/>
  <c r="AC83" i="26" l="1"/>
  <c r="E4" i="26"/>
  <c r="G4" i="26" l="1"/>
  <c r="H4" i="26" s="1"/>
  <c r="L9" i="27"/>
  <c r="F5" i="22" l="1"/>
  <c r="F7" i="22"/>
  <c r="F6" i="22"/>
  <c r="D5" i="24" l="1"/>
  <c r="D6" i="24"/>
  <c r="D7" i="24"/>
  <c r="D8" i="24"/>
  <c r="D9" i="24"/>
  <c r="D10" i="24"/>
  <c r="D12" i="24"/>
  <c r="D13" i="24"/>
  <c r="D14" i="24"/>
  <c r="D15" i="24"/>
  <c r="D4" i="24"/>
  <c r="D9" i="22" l="1"/>
  <c r="C13" i="22" s="1"/>
  <c r="K13" i="22" s="1"/>
  <c r="C18" i="22" l="1"/>
  <c r="E18" i="22" l="1"/>
  <c r="D18" i="22"/>
  <c r="J19" i="22" l="1"/>
  <c r="C16" i="24" l="1"/>
  <c r="C18" i="24" s="1"/>
  <c r="D11" i="24"/>
  <c r="D16" i="24" s="1"/>
  <c r="D18" i="24" s="1"/>
  <c r="W3" i="26" l="1"/>
  <c r="D22" i="22" l="1"/>
  <c r="H5" i="22"/>
  <c r="D23" i="22" l="1"/>
  <c r="H6" i="22"/>
  <c r="L10" i="27" l="1"/>
  <c r="N31" i="27"/>
  <c r="E9" i="22" l="1"/>
  <c r="B16" i="22" s="1"/>
  <c r="K16" i="22" s="1"/>
  <c r="F4" i="22" l="1"/>
  <c r="H4" i="22" s="1"/>
  <c r="F9" i="22" l="1"/>
  <c r="B17" i="22" l="1"/>
  <c r="B18" i="22" l="1"/>
  <c r="C19" i="22" s="1"/>
  <c r="C24" i="22" l="1"/>
  <c r="H7" i="22" l="1"/>
  <c r="D24" i="22"/>
  <c r="D26" i="22" s="1"/>
  <c r="C26" i="22"/>
  <c r="G12" i="22" l="1"/>
  <c r="K12" i="22" l="1"/>
  <c r="G18" i="22"/>
  <c r="H17" i="22" l="1"/>
  <c r="G22" i="22"/>
  <c r="G26" i="22" s="1"/>
  <c r="G29" i="22" s="1"/>
  <c r="H18" i="22" l="1"/>
  <c r="H19" i="22" s="1"/>
  <c r="K17" i="22"/>
  <c r="K19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Andrisa Schnell</author>
  </authors>
  <commentList>
    <comment ref="D43" authorId="0" shapeId="0" xr:uid="{BCDC6F4E-A8BA-4D81-AF4A-B66F34DBF7E6}">
      <text>
        <r>
          <rPr>
            <b/>
            <sz val="9"/>
            <color indexed="81"/>
            <rFont val="Tahoma"/>
            <family val="2"/>
          </rPr>
          <t>Andrisa Schnell:</t>
        </r>
        <r>
          <rPr>
            <sz val="9"/>
            <color indexed="81"/>
            <rFont val="Tahoma"/>
            <family val="2"/>
          </rPr>
          <t xml:space="preserve">
Pay to Landco and Andrisa towards Landco Petty cash</t>
        </r>
      </text>
    </comment>
  </commentList>
</comments>
</file>

<file path=xl/sharedStrings.xml><?xml version="1.0" encoding="utf-8"?>
<sst xmlns="http://schemas.openxmlformats.org/spreadsheetml/2006/main" count="376" uniqueCount="179">
  <si>
    <t>LANDCO INCOME</t>
  </si>
  <si>
    <t>DATE</t>
  </si>
  <si>
    <t>NAME</t>
  </si>
  <si>
    <t>ACCOMODATION</t>
  </si>
  <si>
    <t>ALEX</t>
  </si>
  <si>
    <t>BANK</t>
  </si>
  <si>
    <t>WARREN STEAD</t>
  </si>
  <si>
    <t>H1</t>
  </si>
  <si>
    <t>H2</t>
  </si>
  <si>
    <t>H3</t>
  </si>
  <si>
    <t>H4</t>
  </si>
  <si>
    <t>Total</t>
  </si>
  <si>
    <t>NEGU</t>
  </si>
  <si>
    <t>PAYMENTS</t>
  </si>
  <si>
    <t>BALANCE</t>
  </si>
  <si>
    <t>CASH</t>
  </si>
  <si>
    <t>HOUSE</t>
  </si>
  <si>
    <t>WARREN PAY TRACY SALARY AND RECRUITMENT</t>
  </si>
  <si>
    <t>DOLLARS</t>
  </si>
  <si>
    <t>TOTAL MTS</t>
  </si>
  <si>
    <t>TOTAL PER MONTH</t>
  </si>
  <si>
    <t>ADD INCOME</t>
  </si>
  <si>
    <t>SHAREHOLDERS</t>
  </si>
  <si>
    <t>PETTY CASH</t>
  </si>
  <si>
    <t>OPEN BALANCE</t>
  </si>
  <si>
    <t>INCOME</t>
  </si>
  <si>
    <t>TAFY RECEIVED FROM ROBIN</t>
  </si>
  <si>
    <t>BRENDON 7 DAYS @80</t>
  </si>
  <si>
    <t>KEIVIN PAY TO BANK</t>
  </si>
  <si>
    <t>DOLLAR BANK</t>
  </si>
  <si>
    <t>TAFY RECEIVED FROM AANGIE</t>
  </si>
  <si>
    <t>WARREN COHEN INVESTMENT</t>
  </si>
  <si>
    <t>MONTH</t>
  </si>
  <si>
    <t>EXPENSES</t>
  </si>
  <si>
    <t>AVERAGE</t>
  </si>
  <si>
    <t>CASA LUZ</t>
  </si>
  <si>
    <t>CASA CAJU</t>
  </si>
  <si>
    <t>CASA COCO</t>
  </si>
  <si>
    <t>TAFY RECEIVED FROM ALEX</t>
  </si>
  <si>
    <t>ARON ACCOMMODATION IN H4</t>
  </si>
  <si>
    <t>CREDIT IVA H3 - KEITH &amp; SUE X 8 NIGHTS @ 75</t>
  </si>
  <si>
    <t>CREDIT IVA H1 - LESLEY X 6 NIGHTS</t>
  </si>
  <si>
    <t>CASA AURORA</t>
  </si>
  <si>
    <t>NEGO</t>
  </si>
  <si>
    <t>LANDCO EXPENSES</t>
  </si>
  <si>
    <t>ALAIN WARREN</t>
  </si>
  <si>
    <t>LANDCO BANK EXPENSES</t>
  </si>
  <si>
    <t>BANK PAYMENTS</t>
  </si>
  <si>
    <t>CASH PAYMENTS</t>
  </si>
  <si>
    <t>TOTAL</t>
  </si>
  <si>
    <t>SHARED EXPENSES</t>
  </si>
  <si>
    <t>SUPPLER</t>
  </si>
  <si>
    <t>DISCRIPTION</t>
  </si>
  <si>
    <t>LC SALARIES &amp; WAGES</t>
  </si>
  <si>
    <t>CASUAL WORKERS AND FOOD ALLOWANCE</t>
  </si>
  <si>
    <t>ADVANCE SALARIES INCLUDED IN TOTAL SALRIES</t>
  </si>
  <si>
    <t>OFFICE AND BANK CHARGES</t>
  </si>
  <si>
    <t>ADMIN CHARGES (BDO &amp; ANDRISA )</t>
  </si>
  <si>
    <t>GAS AND ELECTRISITY</t>
  </si>
  <si>
    <t>MAINTENANCE GENERAL</t>
  </si>
  <si>
    <t>MAINTENANCE GARDEN &amp; POOL</t>
  </si>
  <si>
    <t>SMALL TOOLS</t>
  </si>
  <si>
    <t>MAINTENANCE VEHICLES</t>
  </si>
  <si>
    <t>INSURANCE &amp; LICENSE</t>
  </si>
  <si>
    <t>DIESEL AND PETROL</t>
  </si>
  <si>
    <t>HOUSE KEEPING</t>
  </si>
  <si>
    <t>MARINTINE &amp; MUNICIPAL TAXES IPRA &amp;TAE</t>
  </si>
  <si>
    <t>EXPENSES LUZ</t>
  </si>
  <si>
    <t>EXPENSES AURORA</t>
  </si>
  <si>
    <t>EXPENSES CAJU</t>
  </si>
  <si>
    <t>EXPENSES COCO</t>
  </si>
  <si>
    <t>SUSPENCE</t>
  </si>
  <si>
    <t>Bank expenses</t>
  </si>
  <si>
    <t>SALARIES &amp; WAGES</t>
  </si>
  <si>
    <t>TRANSFER FEE</t>
  </si>
  <si>
    <t>CHRIS</t>
  </si>
  <si>
    <t>ADMIN CHARGES (BDO &amp; ANDRISA ENS )</t>
  </si>
  <si>
    <t>LANDCO BANK EXPENSES PER HOUSE</t>
  </si>
  <si>
    <t>SHARED</t>
  </si>
  <si>
    <t>WARREN</t>
  </si>
  <si>
    <t xml:space="preserve">WARREN STEAD </t>
  </si>
  <si>
    <t>SUSPENSE</t>
  </si>
  <si>
    <t>CASUAL WORKERS AND ALLOWANCE</t>
  </si>
  <si>
    <t xml:space="preserve">SALARIES </t>
  </si>
  <si>
    <t>HOUSEHOLD EQUIPMENT</t>
  </si>
  <si>
    <t>BEBE</t>
  </si>
  <si>
    <t>TAFY</t>
  </si>
  <si>
    <t>GAS &amp; ELECTRISITY</t>
  </si>
  <si>
    <t>BANKCHARGES OFFICE EXPENSES</t>
  </si>
  <si>
    <t>BRENDON</t>
  </si>
  <si>
    <t>BAIT SKIPPERS CLEANING</t>
  </si>
  <si>
    <t>BANK/PRE-PAID &amp; $</t>
  </si>
  <si>
    <t>ALEX TRANSFER TO MONIQUE</t>
  </si>
  <si>
    <t>REVERSE ALEX TRANSFER TO ALEX ENVELOPE</t>
  </si>
  <si>
    <t>EQUIPMENT</t>
  </si>
  <si>
    <t>GENERAL MAINTENANCE</t>
  </si>
  <si>
    <t>BREAD</t>
  </si>
  <si>
    <t>WORKERS FOOD ALOWANCE</t>
  </si>
  <si>
    <t>BANK CHARGES OFFICE EXPENSES</t>
  </si>
  <si>
    <t>IRPS</t>
  </si>
  <si>
    <t>INSS</t>
  </si>
  <si>
    <t>OFFICE &amp; BANK CHARGES</t>
  </si>
  <si>
    <t>MATIAS</t>
  </si>
  <si>
    <t xml:space="preserve">EQUIPMENT PRESSURE PUMP X 2 </t>
  </si>
  <si>
    <t>TOTAL PERSONAL</t>
  </si>
  <si>
    <t>PETROL  &amp; BATTERY</t>
  </si>
  <si>
    <t>TAFY RE ROBIN</t>
  </si>
  <si>
    <t>WARREN INVESTMENT DOLLAR ACCOUNT</t>
  </si>
  <si>
    <t>EXPENSES BY GUESTS</t>
  </si>
  <si>
    <t>ENH DECEMBER</t>
  </si>
  <si>
    <t>GAS DECEMBER</t>
  </si>
  <si>
    <t>TRANSFER FROM DOLLAR ACCOUNT</t>
  </si>
  <si>
    <t>PAINT STEEL</t>
  </si>
  <si>
    <t>GENERAL MAINENANCE</t>
  </si>
  <si>
    <t>DEBTORS</t>
  </si>
  <si>
    <t>SALES</t>
  </si>
  <si>
    <t>FELIX ADVANCE</t>
  </si>
  <si>
    <t>ADMIN FEE</t>
  </si>
  <si>
    <t>ADMIN AND ACCOUNTING</t>
  </si>
  <si>
    <t>ELECTRICITY DECEMBER</t>
  </si>
  <si>
    <t>SALARIES $WAGES</t>
  </si>
  <si>
    <t>ADVANCE JELSON</t>
  </si>
  <si>
    <t>ACCOUNTING FEE JANUARY</t>
  </si>
  <si>
    <t>ACCOUNTING FEE</t>
  </si>
  <si>
    <t>FILES</t>
  </si>
  <si>
    <t>STATIONARY</t>
  </si>
  <si>
    <t>COTOVELO PVC</t>
  </si>
  <si>
    <t>GENERAL MAITENANCE</t>
  </si>
  <si>
    <t>TRANSFER TO PETTY CASH</t>
  </si>
  <si>
    <t>SALARIES JANUARY</t>
  </si>
  <si>
    <t>BANK CHARGES</t>
  </si>
  <si>
    <t>OFFICE EXPENSES</t>
  </si>
  <si>
    <t>SALARIES$ WAGES</t>
  </si>
  <si>
    <t>DILUENTE ESMALTE QD 750ML</t>
  </si>
  <si>
    <t>GAS JANUARY</t>
  </si>
  <si>
    <t>LESCO - CX PROVA DE AGUA 4X4</t>
  </si>
  <si>
    <t>2 TOMADA SA E 2 CX 4X4</t>
  </si>
  <si>
    <t>PETTY CAH</t>
  </si>
  <si>
    <t>PREPAID</t>
  </si>
  <si>
    <t>DOCUMENTS TO MAPUTO</t>
  </si>
  <si>
    <t>FINE ON LATE PY OF 2023</t>
  </si>
  <si>
    <t>FINES</t>
  </si>
  <si>
    <t>TRANSFER FROM CHEQUE ACCOUNT</t>
  </si>
  <si>
    <t>TRANSFER TO PRE-PAID</t>
  </si>
  <si>
    <t>SAND PAPER &amp; LUBRICATE SPRAY</t>
  </si>
  <si>
    <t>STEEL FOR SECURITY DOOR</t>
  </si>
  <si>
    <t>NEW BUILDING</t>
  </si>
  <si>
    <t>TRANSFER</t>
  </si>
  <si>
    <t>STARLINK FOR JAN</t>
  </si>
  <si>
    <t>EUZEBIO</t>
  </si>
  <si>
    <t>MONEY FOR OPERATION</t>
  </si>
  <si>
    <t>CASUAL GUARD FOR JANUARY</t>
  </si>
  <si>
    <t>FOOD FOR WORKERS</t>
  </si>
  <si>
    <t>TRANSFER FROM DOLLAR ACCOUNT $6000 @ 67</t>
  </si>
  <si>
    <t>WELDER</t>
  </si>
  <si>
    <t>RAYMONDO FOR ACCOMMODATION 9 DAY @1500</t>
  </si>
  <si>
    <t>CHRIS MONTHLY JANUARY</t>
  </si>
  <si>
    <t>LIONEL</t>
  </si>
  <si>
    <t>UNION FEE</t>
  </si>
  <si>
    <t>COMMUNITY</t>
  </si>
  <si>
    <t>COMMUNITY DONATION</t>
  </si>
  <si>
    <t>PETTY CSH</t>
  </si>
  <si>
    <t>BALANCE END DEC</t>
  </si>
  <si>
    <t>INCOME JAN</t>
  </si>
  <si>
    <t>EXPENSES JAN</t>
  </si>
  <si>
    <t>TOTAL END JAN</t>
  </si>
  <si>
    <t>SHAREHOLDERS ACCOUNTS END  JAN</t>
  </si>
  <si>
    <t xml:space="preserve">TAFY </t>
  </si>
  <si>
    <t>RONNY SHORT ON OVERTIME</t>
  </si>
  <si>
    <t>WARREN STEAD DEP BANK</t>
  </si>
  <si>
    <t>BEBE LEAVE ONE WEEK DOUG</t>
  </si>
  <si>
    <t>END JAN</t>
  </si>
  <si>
    <t xml:space="preserve">received Jan </t>
  </si>
  <si>
    <t xml:space="preserve">ALEX </t>
  </si>
  <si>
    <t>WARREN COHEN</t>
  </si>
  <si>
    <t>RECEIVED IN METS</t>
  </si>
  <si>
    <t>ANDRISA CASH</t>
  </si>
  <si>
    <t xml:space="preserve">NEGU </t>
  </si>
  <si>
    <t>RECEIVED TO REPLAY BURGARY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</si>
</sst>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-* #,##0.00_-;\-* #,##0.00_-;_-* &quot;-&quot;??_-;_-@_-"/>
    <numFmt numFmtId="164" formatCode="_(* #,##0.00_);_(* \(#,##0.00\);_(* &quot;-&quot;??_);_(@_)"/>
    <numFmt numFmtId="165" formatCode="_(* #,##0.00_);_(* \(#,##0.00\);_(* \-??_);_(@_)"/>
    <numFmt numFmtId="166" formatCode="_ * #,##0.00_ ;_ * \-#,##0.00_ ;_ * \-??_ ;_ @_ "/>
    <numFmt numFmtId="167" formatCode="_-* #,##0.00\ _€_-;\-* #,##0.00\ _€_-;_-* \-??\ _€_-;_-@_-"/>
    <numFmt numFmtId="168" formatCode="_-* #,##0.00_-;\-* #,##0.00_-;_-* \-??_-;_-@_-"/>
    <numFmt numFmtId="169" formatCode="_-* #,##0.00_-;\-* #,##0.00_-;_-* \-??_-;_-@"/>
    <numFmt numFmtId="170" formatCode="[$-3009]dd\-mmm\-yy"/>
    <numFmt numFmtId="171" formatCode="#,##0.00_ ;\-#,##0.00\ "/>
    <numFmt numFmtId="172" formatCode="[$MZN]\ #,##0.00"/>
    <numFmt numFmtId="173" formatCode="&quot;$&quot;#,##0.00"/>
    <numFmt numFmtId="174" formatCode="[$-409]mmm\-yy;@"/>
    <numFmt numFmtId="175" formatCode="[$-409]dd\-mmm\-yy;@"/>
    <numFmt numFmtId="176" formatCode="[$-409]d\-mmm\-yy"/>
    <numFmt numFmtId="177" formatCode="[$-409]d\-mmm;@"/>
    <numFmt numFmtId="178" formatCode="_-* #,##0.00_-;\-* #,##0.00_-;_-* &quot;-&quot;??_-;_-@"/>
    <numFmt numFmtId="179" formatCode="#,##0.0000000000000"/>
    <numFmt numFmtId="180" formatCode="[$$-409]#,##0.00"/>
  </numFmts>
  <fonts count="76" x14ac:knownFonts="1">
    <font>
      <sz val="11"/>
      <color rgb="FF000000"/>
      <name val="Calibri"/>
      <family val="2"/>
      <charset val="1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0"/>
      <name val="Gill Sans MT"/>
      <family val="2"/>
      <charset val="1"/>
    </font>
    <font>
      <b/>
      <u/>
      <sz val="24"/>
      <name val="Gill Sans MT"/>
      <family val="2"/>
      <charset val="1"/>
    </font>
    <font>
      <b/>
      <u/>
      <sz val="10"/>
      <name val="Gill Sans MT"/>
      <family val="2"/>
      <charset val="1"/>
    </font>
    <font>
      <b/>
      <sz val="10"/>
      <name val="Gill Sans MT"/>
      <family val="2"/>
      <charset val="1"/>
    </font>
    <font>
      <sz val="11"/>
      <color rgb="FF000000"/>
      <name val="Gill Sans MT"/>
      <family val="2"/>
      <charset val="1"/>
    </font>
    <font>
      <b/>
      <u/>
      <sz val="18"/>
      <color rgb="FF000000"/>
      <name val="Arial"/>
      <family val="2"/>
      <charset val="1"/>
    </font>
    <font>
      <sz val="10"/>
      <color rgb="FF000000"/>
      <name val="Gill Sans MT"/>
      <family val="2"/>
      <charset val="1"/>
    </font>
    <font>
      <b/>
      <sz val="10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name val="Calibri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Gill Sans MT"/>
      <family val="2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theme="3" tint="0.3999755851924192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0"/>
      <color rgb="FF000000"/>
      <name val="Arial"/>
      <family val="2"/>
    </font>
    <font>
      <b/>
      <sz val="12"/>
      <color rgb="FF000000"/>
      <name val="Gill Sans MT"/>
      <family val="2"/>
      <charset val="1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color rgb="FF000000"/>
      <name val="Calibr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ptos Display"/>
      <family val="2"/>
    </font>
    <font>
      <sz val="10"/>
      <color rgb="FF000000"/>
      <name val="Aptos Display"/>
      <family val="2"/>
    </font>
    <font>
      <sz val="10"/>
      <color theme="1"/>
      <name val="Aptos Display"/>
      <family val="2"/>
    </font>
    <font>
      <b/>
      <sz val="10"/>
      <color rgb="FF000000"/>
      <name val="Aptos Display"/>
      <family val="2"/>
    </font>
    <font>
      <sz val="10"/>
      <name val="Aptos Display"/>
      <family val="2"/>
    </font>
    <font>
      <sz val="10"/>
      <color rgb="FF000000"/>
      <name val="Calibri"/>
      <family val="2"/>
    </font>
    <font>
      <sz val="10"/>
      <name val="Aptos"/>
      <family val="2"/>
    </font>
    <font>
      <sz val="11"/>
      <name val="Aptos"/>
      <family val="2"/>
    </font>
    <font>
      <sz val="11"/>
      <name val="Calibri"/>
      <family val="2"/>
    </font>
    <font>
      <sz val="10"/>
      <color theme="1"/>
      <name val="Aptos Display"/>
      <family val="2"/>
      <scheme val="major"/>
    </font>
    <font>
      <sz val="1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00000"/>
      <name val="Calibri"/>
      <family val="2"/>
      <charset val="1"/>
    </font>
    <font>
      <i/>
      <sz val="10"/>
      <name val="Calibri"/>
      <family val="2"/>
    </font>
    <font>
      <sz val="10"/>
      <color theme="1"/>
      <name val="Calibri"/>
      <family val="2"/>
    </font>
    <font>
      <sz val="10"/>
      <color rgb="FF000000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CC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</fills>
  <borders count="40">
    <border>
      <left/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theme="8" tint="-0.24994659260841701"/>
      </left>
      <right/>
      <top style="medium">
        <color theme="8" tint="-0.24994659260841701"/>
      </top>
      <bottom/>
      <diagonal/>
    </border>
    <border>
      <left/>
      <right style="medium">
        <color theme="8" tint="-0.24994659260841701"/>
      </right>
      <top style="medium">
        <color theme="8" tint="-0.24994659260841701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theme="8" tint="-0.24994659260841701"/>
      </left>
      <right/>
      <top/>
      <bottom/>
      <diagonal/>
    </border>
    <border>
      <left/>
      <right style="medium">
        <color theme="8" tint="-0.24994659260841701"/>
      </right>
      <top/>
      <bottom/>
      <diagonal/>
    </border>
    <border>
      <left style="medium">
        <color rgb="FFFF0000"/>
      </left>
      <right/>
      <top/>
      <bottom style="dotted">
        <color rgb="FF000000"/>
      </bottom>
      <diagonal/>
    </border>
    <border>
      <left/>
      <right style="medium">
        <color theme="8" tint="-0.24994659260841701"/>
      </right>
      <top/>
      <bottom style="dotted">
        <color rgb="FF000000"/>
      </bottom>
      <diagonal/>
    </border>
    <border>
      <left style="medium">
        <color theme="8" tint="-0.24994659260841701"/>
      </left>
      <right/>
      <top/>
      <bottom style="thin">
        <color indexed="64"/>
      </bottom>
      <diagonal/>
    </border>
    <border>
      <left/>
      <right style="medium">
        <color theme="8" tint="-0.24994659260841701"/>
      </right>
      <top/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rgb="FFFF0000"/>
      </right>
      <top style="thin">
        <color indexed="64"/>
      </top>
      <bottom style="medium">
        <color indexed="64"/>
      </bottom>
      <diagonal/>
    </border>
    <border>
      <left style="medium">
        <color theme="8" tint="-0.24994659260841701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theme="0" tint="-4.9989318521683403E-2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/>
      <bottom style="double">
        <color indexed="64"/>
      </bottom>
      <diagonal/>
    </border>
  </borders>
  <cellStyleXfs count="47">
    <xf numFmtId="0" fontId="0" fillId="0" borderId="0"/>
    <xf numFmtId="165" fontId="27" fillId="0" borderId="0" applyBorder="0" applyProtection="0"/>
    <xf numFmtId="166" fontId="27" fillId="0" borderId="0" applyBorder="0" applyProtection="0"/>
    <xf numFmtId="167" fontId="27" fillId="0" borderId="0" applyBorder="0" applyProtection="0"/>
    <xf numFmtId="165" fontId="27" fillId="0" borderId="0" applyBorder="0" applyProtection="0"/>
    <xf numFmtId="167" fontId="27" fillId="0" borderId="0" applyBorder="0" applyProtection="0"/>
    <xf numFmtId="168" fontId="27" fillId="0" borderId="0" applyBorder="0" applyProtection="0"/>
    <xf numFmtId="167" fontId="27" fillId="0" borderId="0" applyBorder="0" applyProtection="0"/>
    <xf numFmtId="167" fontId="27" fillId="0" borderId="0" applyBorder="0" applyProtection="0"/>
    <xf numFmtId="165" fontId="27" fillId="0" borderId="0" applyBorder="0" applyProtection="0"/>
    <xf numFmtId="165" fontId="27" fillId="0" borderId="0" applyBorder="0" applyProtection="0"/>
    <xf numFmtId="0" fontId="16" fillId="0" borderId="0"/>
    <xf numFmtId="0" fontId="16" fillId="0" borderId="0"/>
    <xf numFmtId="0" fontId="27" fillId="0" borderId="0"/>
    <xf numFmtId="0" fontId="16" fillId="0" borderId="0"/>
    <xf numFmtId="0" fontId="2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9" fontId="27" fillId="0" borderId="0" applyBorder="0" applyProtection="0"/>
    <xf numFmtId="0" fontId="29" fillId="0" borderId="0"/>
    <xf numFmtId="0" fontId="15" fillId="0" borderId="0"/>
    <xf numFmtId="0" fontId="34" fillId="0" borderId="0"/>
    <xf numFmtId="0" fontId="14" fillId="0" borderId="0"/>
    <xf numFmtId="0" fontId="33" fillId="0" borderId="0"/>
    <xf numFmtId="165" fontId="33" fillId="0" borderId="0" applyBorder="0" applyAlignment="0" applyProtection="0"/>
    <xf numFmtId="165" fontId="33" fillId="0" borderId="0" applyBorder="0" applyAlignment="0" applyProtection="0"/>
    <xf numFmtId="0" fontId="33" fillId="0" borderId="0"/>
    <xf numFmtId="0" fontId="35" fillId="0" borderId="0"/>
    <xf numFmtId="0" fontId="36" fillId="0" borderId="0"/>
    <xf numFmtId="0" fontId="13" fillId="0" borderId="0"/>
    <xf numFmtId="0" fontId="37" fillId="0" borderId="0"/>
    <xf numFmtId="168" fontId="33" fillId="0" borderId="0" applyBorder="0" applyAlignment="0" applyProtection="0"/>
    <xf numFmtId="0" fontId="12" fillId="0" borderId="0"/>
    <xf numFmtId="0" fontId="39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</cellStyleXfs>
  <cellXfs count="338">
    <xf numFmtId="0" fontId="0" fillId="0" borderId="0" xfId="0"/>
    <xf numFmtId="0" fontId="19" fillId="0" borderId="0" xfId="0" applyFont="1"/>
    <xf numFmtId="4" fontId="19" fillId="0" borderId="0" xfId="0" applyNumberFormat="1" applyFont="1"/>
    <xf numFmtId="0" fontId="20" fillId="0" borderId="0" xfId="0" applyFont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4" fontId="21" fillId="0" borderId="0" xfId="0" applyNumberFormat="1" applyFont="1"/>
    <xf numFmtId="0" fontId="21" fillId="2" borderId="0" xfId="0" applyFont="1" applyFill="1"/>
    <xf numFmtId="0" fontId="19" fillId="2" borderId="0" xfId="0" applyFont="1" applyFill="1"/>
    <xf numFmtId="0" fontId="22" fillId="2" borderId="0" xfId="0" applyFont="1" applyFill="1" applyAlignment="1">
      <alignment horizontal="left"/>
    </xf>
    <xf numFmtId="0" fontId="22" fillId="2" borderId="0" xfId="0" applyFont="1" applyFill="1"/>
    <xf numFmtId="0" fontId="22" fillId="0" borderId="0" xfId="0" applyFont="1" applyAlignment="1">
      <alignment horizontal="left"/>
    </xf>
    <xf numFmtId="0" fontId="22" fillId="2" borderId="0" xfId="0" applyFont="1" applyFill="1" applyAlignment="1">
      <alignment horizontal="center"/>
    </xf>
    <xf numFmtId="4" fontId="22" fillId="0" borderId="0" xfId="0" applyNumberFormat="1" applyFont="1"/>
    <xf numFmtId="4" fontId="22" fillId="0" borderId="1" xfId="0" applyNumberFormat="1" applyFont="1" applyBorder="1"/>
    <xf numFmtId="169" fontId="22" fillId="2" borderId="0" xfId="0" applyNumberFormat="1" applyFont="1" applyFill="1"/>
    <xf numFmtId="0" fontId="22" fillId="3" borderId="2" xfId="0" applyFont="1" applyFill="1" applyBorder="1" applyAlignment="1">
      <alignment horizontal="center"/>
    </xf>
    <xf numFmtId="4" fontId="22" fillId="3" borderId="2" xfId="0" applyNumberFormat="1" applyFont="1" applyFill="1" applyBorder="1"/>
    <xf numFmtId="0" fontId="22" fillId="3" borderId="2" xfId="0" applyFont="1" applyFill="1" applyBorder="1"/>
    <xf numFmtId="170" fontId="19" fillId="2" borderId="2" xfId="0" applyNumberFormat="1" applyFont="1" applyFill="1" applyBorder="1" applyAlignment="1">
      <alignment horizontal="center"/>
    </xf>
    <xf numFmtId="0" fontId="19" fillId="2" borderId="2" xfId="0" applyFont="1" applyFill="1" applyBorder="1" applyAlignment="1">
      <alignment horizontal="center"/>
    </xf>
    <xf numFmtId="0" fontId="19" fillId="0" borderId="2" xfId="0" applyFont="1" applyBorder="1"/>
    <xf numFmtId="4" fontId="19" fillId="0" borderId="2" xfId="0" applyNumberFormat="1" applyFont="1" applyBorder="1"/>
    <xf numFmtId="0" fontId="19" fillId="2" borderId="3" xfId="0" applyFont="1" applyFill="1" applyBorder="1"/>
    <xf numFmtId="4" fontId="19" fillId="2" borderId="3" xfId="0" applyNumberFormat="1" applyFont="1" applyFill="1" applyBorder="1"/>
    <xf numFmtId="169" fontId="19" fillId="2" borderId="3" xfId="0" applyNumberFormat="1" applyFont="1" applyFill="1" applyBorder="1"/>
    <xf numFmtId="165" fontId="19" fillId="0" borderId="3" xfId="0" applyNumberFormat="1" applyFont="1" applyBorder="1"/>
    <xf numFmtId="0" fontId="22" fillId="0" borderId="0" xfId="0" applyFont="1"/>
    <xf numFmtId="172" fontId="0" fillId="0" borderId="0" xfId="0" applyNumberFormat="1"/>
    <xf numFmtId="0" fontId="23" fillId="0" borderId="0" xfId="0" applyFont="1"/>
    <xf numFmtId="169" fontId="17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4" fontId="0" fillId="0" borderId="0" xfId="0" applyNumberFormat="1"/>
    <xf numFmtId="0" fontId="25" fillId="0" borderId="0" xfId="0" applyFont="1" applyAlignment="1">
      <alignment horizontal="center"/>
    </xf>
    <xf numFmtId="1" fontId="20" fillId="0" borderId="0" xfId="0" applyNumberFormat="1" applyFont="1"/>
    <xf numFmtId="1" fontId="19" fillId="0" borderId="0" xfId="0" applyNumberFormat="1" applyFont="1" applyAlignment="1">
      <alignment horizontal="left"/>
    </xf>
    <xf numFmtId="1" fontId="19" fillId="2" borderId="0" xfId="0" applyNumberFormat="1" applyFont="1" applyFill="1"/>
    <xf numFmtId="1" fontId="22" fillId="0" borderId="0" xfId="0" applyNumberFormat="1" applyFont="1" applyAlignment="1">
      <alignment horizontal="left"/>
    </xf>
    <xf numFmtId="1" fontId="22" fillId="3" borderId="2" xfId="0" applyNumberFormat="1" applyFont="1" applyFill="1" applyBorder="1" applyAlignment="1">
      <alignment horizontal="center"/>
    </xf>
    <xf numFmtId="1" fontId="19" fillId="2" borderId="2" xfId="0" applyNumberFormat="1" applyFont="1" applyFill="1" applyBorder="1" applyAlignment="1">
      <alignment horizontal="center"/>
    </xf>
    <xf numFmtId="1" fontId="19" fillId="2" borderId="0" xfId="0" applyNumberFormat="1" applyFont="1" applyFill="1" applyAlignment="1">
      <alignment horizontal="center"/>
    </xf>
    <xf numFmtId="1" fontId="19" fillId="0" borderId="0" xfId="0" applyNumberFormat="1" applyFont="1"/>
    <xf numFmtId="170" fontId="19" fillId="6" borderId="2" xfId="0" applyNumberFormat="1" applyFont="1" applyFill="1" applyBorder="1" applyAlignment="1">
      <alignment horizontal="center"/>
    </xf>
    <xf numFmtId="0" fontId="19" fillId="5" borderId="2" xfId="0" applyFont="1" applyFill="1" applyBorder="1"/>
    <xf numFmtId="4" fontId="19" fillId="5" borderId="2" xfId="0" applyNumberFormat="1" applyFont="1" applyFill="1" applyBorder="1"/>
    <xf numFmtId="4" fontId="19" fillId="6" borderId="3" xfId="0" applyNumberFormat="1" applyFont="1" applyFill="1" applyBorder="1"/>
    <xf numFmtId="169" fontId="19" fillId="6" borderId="3" xfId="0" applyNumberFormat="1" applyFont="1" applyFill="1" applyBorder="1"/>
    <xf numFmtId="165" fontId="19" fillId="5" borderId="3" xfId="0" applyNumberFormat="1" applyFont="1" applyFill="1" applyBorder="1"/>
    <xf numFmtId="170" fontId="19" fillId="2" borderId="4" xfId="0" applyNumberFormat="1" applyFont="1" applyFill="1" applyBorder="1" applyAlignment="1">
      <alignment horizontal="center"/>
    </xf>
    <xf numFmtId="0" fontId="32" fillId="0" borderId="6" xfId="0" applyFont="1" applyBorder="1"/>
    <xf numFmtId="1" fontId="19" fillId="6" borderId="2" xfId="0" applyNumberFormat="1" applyFont="1" applyFill="1" applyBorder="1" applyAlignment="1">
      <alignment horizontal="center"/>
    </xf>
    <xf numFmtId="0" fontId="32" fillId="5" borderId="2" xfId="0" applyFont="1" applyFill="1" applyBorder="1"/>
    <xf numFmtId="0" fontId="24" fillId="0" borderId="0" xfId="0" applyFont="1"/>
    <xf numFmtId="173" fontId="19" fillId="0" borderId="0" xfId="0" applyNumberFormat="1" applyFont="1"/>
    <xf numFmtId="173" fontId="22" fillId="3" borderId="4" xfId="0" applyNumberFormat="1" applyFont="1" applyFill="1" applyBorder="1"/>
    <xf numFmtId="173" fontId="19" fillId="0" borderId="2" xfId="0" applyNumberFormat="1" applyFont="1" applyBorder="1"/>
    <xf numFmtId="173" fontId="19" fillId="5" borderId="2" xfId="0" applyNumberFormat="1" applyFont="1" applyFill="1" applyBorder="1"/>
    <xf numFmtId="165" fontId="19" fillId="0" borderId="2" xfId="0" applyNumberFormat="1" applyFont="1" applyBorder="1"/>
    <xf numFmtId="0" fontId="38" fillId="5" borderId="0" xfId="0" applyFont="1" applyFill="1"/>
    <xf numFmtId="0" fontId="9" fillId="0" borderId="0" xfId="41"/>
    <xf numFmtId="0" fontId="9" fillId="4" borderId="0" xfId="41" applyFill="1"/>
    <xf numFmtId="0" fontId="40" fillId="0" borderId="0" xfId="41" applyFont="1"/>
    <xf numFmtId="4" fontId="9" fillId="0" borderId="0" xfId="41" applyNumberFormat="1"/>
    <xf numFmtId="0" fontId="9" fillId="4" borderId="8" xfId="41" applyFill="1" applyBorder="1" applyAlignment="1">
      <alignment horizontal="center"/>
    </xf>
    <xf numFmtId="0" fontId="9" fillId="4" borderId="9" xfId="41" applyFill="1" applyBorder="1" applyAlignment="1">
      <alignment horizontal="center"/>
    </xf>
    <xf numFmtId="0" fontId="9" fillId="4" borderId="0" xfId="41" applyFill="1" applyAlignment="1">
      <alignment horizontal="center"/>
    </xf>
    <xf numFmtId="4" fontId="9" fillId="0" borderId="12" xfId="41" applyNumberFormat="1" applyBorder="1"/>
    <xf numFmtId="4" fontId="41" fillId="0" borderId="0" xfId="41" applyNumberFormat="1" applyFont="1"/>
    <xf numFmtId="4" fontId="9" fillId="0" borderId="13" xfId="41" applyNumberFormat="1" applyBorder="1"/>
    <xf numFmtId="4" fontId="41" fillId="0" borderId="14" xfId="41" applyNumberFormat="1" applyFont="1" applyBorder="1"/>
    <xf numFmtId="4" fontId="9" fillId="0" borderId="15" xfId="41" applyNumberFormat="1" applyBorder="1"/>
    <xf numFmtId="4" fontId="42" fillId="4" borderId="12" xfId="41" applyNumberFormat="1" applyFont="1" applyFill="1" applyBorder="1"/>
    <xf numFmtId="4" fontId="43" fillId="4" borderId="0" xfId="41" applyNumberFormat="1" applyFont="1" applyFill="1"/>
    <xf numFmtId="4" fontId="9" fillId="4" borderId="0" xfId="41" applyNumberFormat="1" applyFill="1"/>
    <xf numFmtId="4" fontId="9" fillId="4" borderId="13" xfId="41" applyNumberFormat="1" applyFill="1" applyBorder="1"/>
    <xf numFmtId="4" fontId="43" fillId="0" borderId="15" xfId="41" applyNumberFormat="1" applyFont="1" applyBorder="1"/>
    <xf numFmtId="4" fontId="43" fillId="0" borderId="14" xfId="41" applyNumberFormat="1" applyFont="1" applyBorder="1"/>
    <xf numFmtId="4" fontId="9" fillId="4" borderId="12" xfId="41" applyNumberFormat="1" applyFill="1" applyBorder="1"/>
    <xf numFmtId="4" fontId="44" fillId="0" borderId="14" xfId="41" applyNumberFormat="1" applyFont="1" applyBorder="1"/>
    <xf numFmtId="4" fontId="9" fillId="0" borderId="14" xfId="41" applyNumberFormat="1" applyBorder="1"/>
    <xf numFmtId="4" fontId="45" fillId="0" borderId="14" xfId="41" applyNumberFormat="1" applyFont="1" applyBorder="1"/>
    <xf numFmtId="4" fontId="46" fillId="0" borderId="14" xfId="41" applyNumberFormat="1" applyFont="1" applyBorder="1"/>
    <xf numFmtId="4" fontId="31" fillId="7" borderId="16" xfId="41" applyNumberFormat="1" applyFont="1" applyFill="1" applyBorder="1" applyAlignment="1">
      <alignment horizontal="right" vertical="center"/>
    </xf>
    <xf numFmtId="4" fontId="31" fillId="7" borderId="17" xfId="41" applyNumberFormat="1" applyFont="1" applyFill="1" applyBorder="1" applyAlignment="1">
      <alignment horizontal="right" vertical="center"/>
    </xf>
    <xf numFmtId="4" fontId="9" fillId="8" borderId="15" xfId="41" applyNumberFormat="1" applyFill="1" applyBorder="1"/>
    <xf numFmtId="4" fontId="9" fillId="0" borderId="18" xfId="41" applyNumberFormat="1" applyBorder="1"/>
    <xf numFmtId="4" fontId="9" fillId="4" borderId="20" xfId="41" applyNumberFormat="1" applyFill="1" applyBorder="1"/>
    <xf numFmtId="4" fontId="9" fillId="4" borderId="21" xfId="41" applyNumberFormat="1" applyFill="1" applyBorder="1"/>
    <xf numFmtId="4" fontId="45" fillId="4" borderId="22" xfId="41" applyNumberFormat="1" applyFont="1" applyFill="1" applyBorder="1"/>
    <xf numFmtId="4" fontId="45" fillId="4" borderId="21" xfId="41" applyNumberFormat="1" applyFont="1" applyFill="1" applyBorder="1"/>
    <xf numFmtId="4" fontId="9" fillId="4" borderId="23" xfId="41" applyNumberFormat="1" applyFill="1" applyBorder="1"/>
    <xf numFmtId="0" fontId="40" fillId="0" borderId="0" xfId="41" applyFont="1" applyAlignment="1">
      <alignment wrapText="1"/>
    </xf>
    <xf numFmtId="171" fontId="19" fillId="0" borderId="2" xfId="0" applyNumberFormat="1" applyFont="1" applyBorder="1"/>
    <xf numFmtId="4" fontId="43" fillId="4" borderId="14" xfId="41" applyNumberFormat="1" applyFont="1" applyFill="1" applyBorder="1"/>
    <xf numFmtId="4" fontId="19" fillId="0" borderId="3" xfId="0" applyNumberFormat="1" applyFont="1" applyBorder="1"/>
    <xf numFmtId="171" fontId="19" fillId="0" borderId="3" xfId="0" applyNumberFormat="1" applyFont="1" applyBorder="1"/>
    <xf numFmtId="4" fontId="0" fillId="0" borderId="2" xfId="0" applyNumberFormat="1" applyBorder="1" applyAlignment="1">
      <alignment horizontal="center"/>
    </xf>
    <xf numFmtId="4" fontId="9" fillId="10" borderId="12" xfId="41" applyNumberFormat="1" applyFill="1" applyBorder="1"/>
    <xf numFmtId="4" fontId="9" fillId="10" borderId="19" xfId="41" applyNumberFormat="1" applyFill="1" applyBorder="1"/>
    <xf numFmtId="0" fontId="7" fillId="0" borderId="0" xfId="41" applyFont="1"/>
    <xf numFmtId="4" fontId="9" fillId="0" borderId="24" xfId="41" applyNumberFormat="1" applyBorder="1"/>
    <xf numFmtId="173" fontId="9" fillId="0" borderId="0" xfId="41" applyNumberFormat="1"/>
    <xf numFmtId="173" fontId="9" fillId="0" borderId="24" xfId="41" applyNumberFormat="1" applyBorder="1"/>
    <xf numFmtId="174" fontId="24" fillId="0" borderId="0" xfId="0" applyNumberFormat="1" applyFont="1" applyAlignment="1">
      <alignment horizontal="center"/>
    </xf>
    <xf numFmtId="174" fontId="17" fillId="0" borderId="2" xfId="0" applyNumberFormat="1" applyFont="1" applyBorder="1" applyAlignment="1">
      <alignment horizontal="center"/>
    </xf>
    <xf numFmtId="174" fontId="28" fillId="0" borderId="2" xfId="0" applyNumberFormat="1" applyFont="1" applyBorder="1" applyAlignment="1">
      <alignment horizontal="center" vertical="center"/>
    </xf>
    <xf numFmtId="174" fontId="0" fillId="0" borderId="2" xfId="0" applyNumberFormat="1" applyBorder="1" applyAlignment="1">
      <alignment horizontal="center"/>
    </xf>
    <xf numFmtId="174" fontId="25" fillId="0" borderId="0" xfId="0" applyNumberFormat="1" applyFont="1" applyAlignment="1">
      <alignment horizontal="center"/>
    </xf>
    <xf numFmtId="174" fontId="23" fillId="0" borderId="0" xfId="0" applyNumberFormat="1" applyFont="1" applyAlignment="1">
      <alignment horizontal="center"/>
    </xf>
    <xf numFmtId="172" fontId="17" fillId="0" borderId="0" xfId="0" applyNumberFormat="1" applyFont="1" applyAlignment="1">
      <alignment horizontal="right"/>
    </xf>
    <xf numFmtId="172" fontId="26" fillId="0" borderId="2" xfId="0" applyNumberFormat="1" applyFont="1" applyBorder="1" applyAlignment="1">
      <alignment horizontal="right"/>
    </xf>
    <xf numFmtId="172" fontId="28" fillId="4" borderId="2" xfId="0" applyNumberFormat="1" applyFont="1" applyFill="1" applyBorder="1" applyAlignment="1">
      <alignment horizontal="right"/>
    </xf>
    <xf numFmtId="172" fontId="28" fillId="2" borderId="2" xfId="0" applyNumberFormat="1" applyFont="1" applyFill="1" applyBorder="1" applyAlignment="1">
      <alignment horizontal="right"/>
    </xf>
    <xf numFmtId="172" fontId="28" fillId="0" borderId="2" xfId="0" applyNumberFormat="1" applyFont="1" applyBorder="1" applyAlignment="1">
      <alignment horizontal="right"/>
    </xf>
    <xf numFmtId="172" fontId="28" fillId="9" borderId="2" xfId="0" applyNumberFormat="1" applyFont="1" applyFill="1" applyBorder="1" applyAlignment="1">
      <alignment horizontal="right"/>
    </xf>
    <xf numFmtId="172" fontId="30" fillId="0" borderId="5" xfId="43" applyNumberFormat="1" applyFont="1" applyBorder="1" applyAlignment="1">
      <alignment horizontal="center"/>
    </xf>
    <xf numFmtId="172" fontId="30" fillId="0" borderId="25" xfId="43" applyNumberFormat="1" applyFont="1" applyBorder="1" applyAlignment="1">
      <alignment horizontal="center"/>
    </xf>
    <xf numFmtId="172" fontId="0" fillId="0" borderId="2" xfId="0" applyNumberFormat="1" applyBorder="1" applyAlignment="1">
      <alignment horizontal="right"/>
    </xf>
    <xf numFmtId="172" fontId="25" fillId="0" borderId="0" xfId="0" applyNumberFormat="1" applyFont="1" applyAlignment="1">
      <alignment horizontal="right"/>
    </xf>
    <xf numFmtId="172" fontId="23" fillId="0" borderId="0" xfId="0" applyNumberFormat="1" applyFont="1" applyAlignment="1">
      <alignment horizontal="right"/>
    </xf>
    <xf numFmtId="173" fontId="23" fillId="0" borderId="2" xfId="0" applyNumberFormat="1" applyFont="1" applyBorder="1"/>
    <xf numFmtId="173" fontId="23" fillId="0" borderId="26" xfId="0" applyNumberFormat="1" applyFont="1" applyBorder="1"/>
    <xf numFmtId="173" fontId="0" fillId="0" borderId="2" xfId="0" applyNumberFormat="1" applyBorder="1"/>
    <xf numFmtId="0" fontId="6" fillId="0" borderId="0" xfId="41" applyFont="1"/>
    <xf numFmtId="0" fontId="32" fillId="0" borderId="2" xfId="0" applyFont="1" applyBorder="1" applyAlignment="1">
      <alignment horizontal="center"/>
    </xf>
    <xf numFmtId="0" fontId="4" fillId="0" borderId="0" xfId="41" applyFont="1"/>
    <xf numFmtId="0" fontId="32" fillId="0" borderId="0" xfId="41" applyFont="1"/>
    <xf numFmtId="0" fontId="47" fillId="0" borderId="0" xfId="41" applyFont="1"/>
    <xf numFmtId="1" fontId="24" fillId="0" borderId="0" xfId="0" applyNumberFormat="1" applyFont="1"/>
    <xf numFmtId="0" fontId="16" fillId="0" borderId="0" xfId="0" applyFont="1"/>
    <xf numFmtId="4" fontId="17" fillId="0" borderId="0" xfId="0" applyNumberFormat="1" applyFont="1" applyAlignment="1">
      <alignment horizontal="right"/>
    </xf>
    <xf numFmtId="4" fontId="25" fillId="0" borderId="0" xfId="0" applyNumberFormat="1" applyFont="1"/>
    <xf numFmtId="4" fontId="23" fillId="0" borderId="0" xfId="0" applyNumberFormat="1" applyFont="1"/>
    <xf numFmtId="4" fontId="3" fillId="0" borderId="0" xfId="45" applyNumberFormat="1"/>
    <xf numFmtId="0" fontId="17" fillId="0" borderId="0" xfId="0" applyFont="1" applyAlignment="1">
      <alignment horizontal="center"/>
    </xf>
    <xf numFmtId="175" fontId="24" fillId="0" borderId="0" xfId="0" applyNumberFormat="1" applyFont="1" applyAlignment="1">
      <alignment horizontal="center"/>
    </xf>
    <xf numFmtId="4" fontId="48" fillId="0" borderId="0" xfId="0" applyNumberFormat="1" applyFont="1" applyAlignment="1">
      <alignment horizontal="right"/>
    </xf>
    <xf numFmtId="175" fontId="17" fillId="0" borderId="0" xfId="0" applyNumberFormat="1" applyFont="1" applyAlignment="1">
      <alignment horizontal="center"/>
    </xf>
    <xf numFmtId="175" fontId="17" fillId="0" borderId="2" xfId="0" applyNumberFormat="1" applyFont="1" applyBorder="1" applyAlignment="1">
      <alignment horizontal="center"/>
    </xf>
    <xf numFmtId="0" fontId="26" fillId="2" borderId="2" xfId="0" applyFont="1" applyFill="1" applyBorder="1" applyAlignment="1">
      <alignment horizontal="center"/>
    </xf>
    <xf numFmtId="4" fontId="26" fillId="0" borderId="2" xfId="0" applyNumberFormat="1" applyFont="1" applyBorder="1" applyAlignment="1">
      <alignment horizontal="right"/>
    </xf>
    <xf numFmtId="4" fontId="25" fillId="0" borderId="2" xfId="0" applyNumberFormat="1" applyFont="1" applyBorder="1" applyAlignment="1">
      <alignment wrapText="1"/>
    </xf>
    <xf numFmtId="0" fontId="0" fillId="2" borderId="2" xfId="0" applyFill="1" applyBorder="1" applyAlignment="1">
      <alignment wrapText="1"/>
    </xf>
    <xf numFmtId="0" fontId="50" fillId="0" borderId="2" xfId="0" applyFont="1" applyBorder="1" applyAlignment="1">
      <alignment horizontal="center" wrapText="1"/>
    </xf>
    <xf numFmtId="4" fontId="51" fillId="0" borderId="2" xfId="0" applyNumberFormat="1" applyFont="1" applyBorder="1" applyAlignment="1">
      <alignment wrapText="1"/>
    </xf>
    <xf numFmtId="4" fontId="0" fillId="0" borderId="2" xfId="0" applyNumberFormat="1" applyBorder="1" applyAlignment="1">
      <alignment horizontal="left" wrapText="1"/>
    </xf>
    <xf numFmtId="4" fontId="23" fillId="0" borderId="2" xfId="0" applyNumberFormat="1" applyFont="1" applyBorder="1" applyAlignment="1">
      <alignment wrapText="1"/>
    </xf>
    <xf numFmtId="0" fontId="26" fillId="0" borderId="2" xfId="0" applyFont="1" applyBorder="1" applyAlignment="1">
      <alignment horizontal="center" wrapText="1"/>
    </xf>
    <xf numFmtId="4" fontId="23" fillId="0" borderId="2" xfId="0" applyNumberFormat="1" applyFont="1" applyBorder="1"/>
    <xf numFmtId="175" fontId="25" fillId="0" borderId="0" xfId="0" applyNumberFormat="1" applyFont="1" applyAlignment="1">
      <alignment horizontal="center"/>
    </xf>
    <xf numFmtId="0" fontId="25" fillId="2" borderId="0" xfId="0" applyFont="1" applyFill="1"/>
    <xf numFmtId="4" fontId="25" fillId="0" borderId="0" xfId="0" applyNumberFormat="1" applyFont="1" applyAlignment="1">
      <alignment horizontal="right"/>
    </xf>
    <xf numFmtId="175" fontId="23" fillId="0" borderId="0" xfId="0" applyNumberFormat="1" applyFont="1" applyAlignment="1">
      <alignment horizontal="center"/>
    </xf>
    <xf numFmtId="4" fontId="23" fillId="0" borderId="0" xfId="0" applyNumberFormat="1" applyFont="1" applyAlignment="1">
      <alignment horizontal="right"/>
    </xf>
    <xf numFmtId="0" fontId="23" fillId="0" borderId="0" xfId="0" applyFont="1" applyAlignment="1">
      <alignment horizontal="center"/>
    </xf>
    <xf numFmtId="4" fontId="25" fillId="0" borderId="0" xfId="0" applyNumberFormat="1" applyFont="1" applyAlignment="1">
      <alignment horizontal="center"/>
    </xf>
    <xf numFmtId="4" fontId="23" fillId="0" borderId="0" xfId="0" applyNumberFormat="1" applyFont="1" applyAlignment="1">
      <alignment horizontal="center"/>
    </xf>
    <xf numFmtId="180" fontId="19" fillId="0" borderId="0" xfId="0" applyNumberFormat="1" applyFont="1"/>
    <xf numFmtId="0" fontId="22" fillId="0" borderId="2" xfId="0" applyFont="1" applyBorder="1"/>
    <xf numFmtId="0" fontId="22" fillId="0" borderId="3" xfId="0" applyFont="1" applyBorder="1"/>
    <xf numFmtId="1" fontId="19" fillId="0" borderId="2" xfId="0" applyNumberFormat="1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52" fillId="2" borderId="2" xfId="0" applyFont="1" applyFill="1" applyBorder="1"/>
    <xf numFmtId="4" fontId="0" fillId="0" borderId="2" xfId="0" applyNumberFormat="1" applyBorder="1" applyAlignment="1">
      <alignment horizontal="right"/>
    </xf>
    <xf numFmtId="4" fontId="23" fillId="0" borderId="0" xfId="0" applyNumberFormat="1" applyFont="1" applyAlignment="1">
      <alignment wrapText="1"/>
    </xf>
    <xf numFmtId="0" fontId="53" fillId="0" borderId="0" xfId="41" applyFont="1"/>
    <xf numFmtId="0" fontId="54" fillId="0" borderId="0" xfId="0" applyFont="1"/>
    <xf numFmtId="178" fontId="57" fillId="0" borderId="2" xfId="46" applyNumberFormat="1" applyFont="1" applyBorder="1" applyAlignment="1">
      <alignment horizontal="center"/>
    </xf>
    <xf numFmtId="4" fontId="58" fillId="0" borderId="31" xfId="0" applyNumberFormat="1" applyFont="1" applyBorder="1" applyAlignment="1">
      <alignment horizontal="center"/>
    </xf>
    <xf numFmtId="4" fontId="58" fillId="0" borderId="32" xfId="0" applyNumberFormat="1" applyFont="1" applyBorder="1"/>
    <xf numFmtId="178" fontId="59" fillId="0" borderId="2" xfId="46" applyNumberFormat="1" applyFont="1" applyBorder="1" applyAlignment="1">
      <alignment horizontal="center"/>
    </xf>
    <xf numFmtId="40" fontId="57" fillId="0" borderId="3" xfId="46" applyNumberFormat="1" applyFont="1" applyBorder="1" applyAlignment="1">
      <alignment horizontal="right"/>
    </xf>
    <xf numFmtId="178" fontId="59" fillId="0" borderId="30" xfId="46" applyNumberFormat="1" applyFont="1" applyBorder="1" applyAlignment="1">
      <alignment horizontal="center"/>
    </xf>
    <xf numFmtId="175" fontId="58" fillId="0" borderId="2" xfId="0" applyNumberFormat="1" applyFont="1" applyBorder="1" applyAlignment="1">
      <alignment horizontal="center"/>
    </xf>
    <xf numFmtId="169" fontId="58" fillId="0" borderId="2" xfId="0" applyNumberFormat="1" applyFont="1" applyBorder="1" applyAlignment="1">
      <alignment horizontal="center"/>
    </xf>
    <xf numFmtId="0" fontId="60" fillId="2" borderId="2" xfId="0" applyFont="1" applyFill="1" applyBorder="1" applyAlignment="1">
      <alignment horizontal="center"/>
    </xf>
    <xf numFmtId="4" fontId="60" fillId="0" borderId="2" xfId="0" applyNumberFormat="1" applyFont="1" applyBorder="1" applyAlignment="1">
      <alignment horizontal="right"/>
    </xf>
    <xf numFmtId="4" fontId="58" fillId="0" borderId="2" xfId="0" applyNumberFormat="1" applyFont="1" applyBorder="1" applyAlignment="1">
      <alignment wrapText="1"/>
    </xf>
    <xf numFmtId="0" fontId="60" fillId="0" borderId="2" xfId="0" applyFont="1" applyBorder="1" applyAlignment="1">
      <alignment horizontal="center" wrapText="1"/>
    </xf>
    <xf numFmtId="4" fontId="58" fillId="0" borderId="2" xfId="0" applyNumberFormat="1" applyFont="1" applyBorder="1" applyAlignment="1">
      <alignment vertical="center"/>
    </xf>
    <xf numFmtId="4" fontId="58" fillId="4" borderId="2" xfId="0" applyNumberFormat="1" applyFont="1" applyFill="1" applyBorder="1" applyAlignment="1">
      <alignment vertical="center"/>
    </xf>
    <xf numFmtId="4" fontId="61" fillId="9" borderId="2" xfId="0" applyNumberFormat="1" applyFont="1" applyFill="1" applyBorder="1" applyAlignment="1">
      <alignment horizontal="right"/>
    </xf>
    <xf numFmtId="178" fontId="59" fillId="0" borderId="2" xfId="0" applyNumberFormat="1" applyFont="1" applyBorder="1" applyAlignment="1">
      <alignment horizontal="center"/>
    </xf>
    <xf numFmtId="177" fontId="59" fillId="0" borderId="0" xfId="0" applyNumberFormat="1" applyFont="1" applyAlignment="1">
      <alignment horizontal="right"/>
    </xf>
    <xf numFmtId="175" fontId="58" fillId="0" borderId="0" xfId="0" applyNumberFormat="1" applyFont="1" applyAlignment="1">
      <alignment horizontal="center"/>
    </xf>
    <xf numFmtId="0" fontId="58" fillId="0" borderId="0" xfId="0" applyFont="1" applyAlignment="1">
      <alignment horizontal="center"/>
    </xf>
    <xf numFmtId="0" fontId="58" fillId="2" borderId="0" xfId="0" applyFont="1" applyFill="1"/>
    <xf numFmtId="4" fontId="58" fillId="0" borderId="0" xfId="0" applyNumberFormat="1" applyFont="1" applyAlignment="1">
      <alignment horizontal="right"/>
    </xf>
    <xf numFmtId="4" fontId="58" fillId="0" borderId="0" xfId="0" applyNumberFormat="1" applyFont="1"/>
    <xf numFmtId="0" fontId="58" fillId="2" borderId="2" xfId="0" applyFont="1" applyFill="1" applyBorder="1" applyAlignment="1">
      <alignment wrapText="1"/>
    </xf>
    <xf numFmtId="0" fontId="58" fillId="0" borderId="2" xfId="0" applyFont="1" applyBorder="1" applyAlignment="1">
      <alignment horizontal="center" wrapText="1"/>
    </xf>
    <xf numFmtId="4" fontId="58" fillId="0" borderId="2" xfId="0" applyNumberFormat="1" applyFont="1" applyBorder="1" applyAlignment="1">
      <alignment horizontal="left" wrapText="1"/>
    </xf>
    <xf numFmtId="0" fontId="58" fillId="0" borderId="0" xfId="0" applyFont="1"/>
    <xf numFmtId="4" fontId="58" fillId="4" borderId="2" xfId="0" applyNumberFormat="1" applyFont="1" applyFill="1" applyBorder="1" applyAlignment="1">
      <alignment wrapText="1"/>
    </xf>
    <xf numFmtId="4" fontId="58" fillId="9" borderId="2" xfId="0" applyNumberFormat="1" applyFont="1" applyFill="1" applyBorder="1" applyAlignment="1">
      <alignment wrapText="1"/>
    </xf>
    <xf numFmtId="4" fontId="58" fillId="4" borderId="2" xfId="0" applyNumberFormat="1" applyFont="1" applyFill="1" applyBorder="1" applyAlignment="1">
      <alignment horizontal="left" wrapText="1"/>
    </xf>
    <xf numFmtId="0" fontId="58" fillId="9" borderId="2" xfId="0" applyFont="1" applyFill="1" applyBorder="1" applyAlignment="1">
      <alignment wrapText="1"/>
    </xf>
    <xf numFmtId="0" fontId="58" fillId="4" borderId="2" xfId="0" applyFont="1" applyFill="1" applyBorder="1" applyAlignment="1">
      <alignment horizontal="center" wrapText="1"/>
    </xf>
    <xf numFmtId="4" fontId="58" fillId="4" borderId="2" xfId="0" applyNumberFormat="1" applyFont="1" applyFill="1" applyBorder="1" applyAlignment="1">
      <alignment horizontal="center" wrapText="1"/>
    </xf>
    <xf numFmtId="4" fontId="58" fillId="0" borderId="2" xfId="0" applyNumberFormat="1" applyFont="1" applyBorder="1"/>
    <xf numFmtId="169" fontId="58" fillId="2" borderId="2" xfId="0" applyNumberFormat="1" applyFont="1" applyFill="1" applyBorder="1" applyAlignment="1">
      <alignment horizontal="center"/>
    </xf>
    <xf numFmtId="4" fontId="58" fillId="4" borderId="2" xfId="29" applyNumberFormat="1" applyFont="1" applyFill="1" applyBorder="1" applyAlignment="1" applyProtection="1">
      <alignment horizontal="right"/>
    </xf>
    <xf numFmtId="4" fontId="58" fillId="4" borderId="2" xfId="0" applyNumberFormat="1" applyFont="1" applyFill="1" applyBorder="1"/>
    <xf numFmtId="4" fontId="58" fillId="4" borderId="0" xfId="0" applyNumberFormat="1" applyFont="1" applyFill="1"/>
    <xf numFmtId="0" fontId="58" fillId="4" borderId="0" xfId="0" applyFont="1" applyFill="1"/>
    <xf numFmtId="4" fontId="58" fillId="0" borderId="4" xfId="0" applyNumberFormat="1" applyFont="1" applyBorder="1" applyAlignment="1">
      <alignment vertical="center"/>
    </xf>
    <xf numFmtId="4" fontId="61" fillId="0" borderId="2" xfId="0" applyNumberFormat="1" applyFont="1" applyBorder="1" applyAlignment="1">
      <alignment horizontal="right" vertical="center"/>
    </xf>
    <xf numFmtId="176" fontId="61" fillId="12" borderId="4" xfId="0" applyNumberFormat="1" applyFont="1" applyFill="1" applyBorder="1" applyAlignment="1">
      <alignment horizontal="right"/>
    </xf>
    <xf numFmtId="0" fontId="61" fillId="12" borderId="4" xfId="0" applyFont="1" applyFill="1" applyBorder="1"/>
    <xf numFmtId="0" fontId="61" fillId="12" borderId="4" xfId="0" applyFont="1" applyFill="1" applyBorder="1" applyAlignment="1">
      <alignment horizontal="left" vertical="center"/>
    </xf>
    <xf numFmtId="4" fontId="58" fillId="12" borderId="4" xfId="0" applyNumberFormat="1" applyFont="1" applyFill="1" applyBorder="1" applyAlignment="1">
      <alignment vertical="center"/>
    </xf>
    <xf numFmtId="4" fontId="58" fillId="12" borderId="30" xfId="0" applyNumberFormat="1" applyFont="1" applyFill="1" applyBorder="1" applyAlignment="1">
      <alignment vertical="center"/>
    </xf>
    <xf numFmtId="4" fontId="58" fillId="4" borderId="29" xfId="29" applyNumberFormat="1" applyFont="1" applyFill="1" applyBorder="1" applyAlignment="1" applyProtection="1">
      <alignment horizontal="right"/>
    </xf>
    <xf numFmtId="0" fontId="58" fillId="2" borderId="2" xfId="0" applyFont="1" applyFill="1" applyBorder="1"/>
    <xf numFmtId="178" fontId="57" fillId="0" borderId="33" xfId="46" applyNumberFormat="1" applyFont="1" applyBorder="1" applyAlignment="1">
      <alignment horizontal="center"/>
    </xf>
    <xf numFmtId="178" fontId="57" fillId="0" borderId="25" xfId="46" applyNumberFormat="1" applyFont="1" applyBorder="1" applyAlignment="1">
      <alignment horizontal="center"/>
    </xf>
    <xf numFmtId="0" fontId="58" fillId="0" borderId="3" xfId="0" applyFont="1" applyBorder="1" applyAlignment="1">
      <alignment horizontal="center"/>
    </xf>
    <xf numFmtId="0" fontId="59" fillId="0" borderId="3" xfId="46" applyFont="1" applyBorder="1" applyAlignment="1">
      <alignment horizontal="left" vertical="center" wrapText="1"/>
    </xf>
    <xf numFmtId="0" fontId="58" fillId="0" borderId="2" xfId="0" applyFont="1" applyBorder="1" applyAlignment="1">
      <alignment horizontal="center"/>
    </xf>
    <xf numFmtId="0" fontId="59" fillId="0" borderId="2" xfId="46" applyFont="1" applyBorder="1" applyAlignment="1">
      <alignment horizontal="left" vertical="center" wrapText="1"/>
    </xf>
    <xf numFmtId="178" fontId="57" fillId="0" borderId="3" xfId="46" applyNumberFormat="1" applyFont="1" applyBorder="1" applyAlignment="1">
      <alignment horizontal="center"/>
    </xf>
    <xf numFmtId="0" fontId="60" fillId="2" borderId="2" xfId="0" applyFont="1" applyFill="1" applyBorder="1"/>
    <xf numFmtId="4" fontId="58" fillId="0" borderId="2" xfId="0" applyNumberFormat="1" applyFont="1" applyBorder="1" applyAlignment="1">
      <alignment horizontal="right"/>
    </xf>
    <xf numFmtId="4" fontId="58" fillId="0" borderId="3" xfId="0" applyNumberFormat="1" applyFont="1" applyBorder="1"/>
    <xf numFmtId="164" fontId="58" fillId="0" borderId="32" xfId="0" applyNumberFormat="1" applyFont="1" applyBorder="1"/>
    <xf numFmtId="179" fontId="58" fillId="0" borderId="0" xfId="0" applyNumberFormat="1" applyFont="1"/>
    <xf numFmtId="0" fontId="58" fillId="0" borderId="32" xfId="0" applyFont="1" applyBorder="1"/>
    <xf numFmtId="0" fontId="58" fillId="2" borderId="2" xfId="0" applyFont="1" applyFill="1" applyBorder="1" applyAlignment="1">
      <alignment horizontal="left" vertical="center" wrapText="1"/>
    </xf>
    <xf numFmtId="4" fontId="58" fillId="2" borderId="2" xfId="0" applyNumberFormat="1" applyFont="1" applyFill="1" applyBorder="1"/>
    <xf numFmtId="4" fontId="60" fillId="0" borderId="2" xfId="0" applyNumberFormat="1" applyFont="1" applyBorder="1"/>
    <xf numFmtId="0" fontId="58" fillId="2" borderId="3" xfId="0" applyFont="1" applyFill="1" applyBorder="1"/>
    <xf numFmtId="177" fontId="59" fillId="0" borderId="2" xfId="0" applyNumberFormat="1" applyFont="1" applyBorder="1" applyAlignment="1">
      <alignment horizontal="right"/>
    </xf>
    <xf numFmtId="0" fontId="59" fillId="0" borderId="2" xfId="0" applyFont="1" applyBorder="1"/>
    <xf numFmtId="40" fontId="57" fillId="0" borderId="2" xfId="46" applyNumberFormat="1" applyFont="1" applyBorder="1" applyAlignment="1">
      <alignment horizontal="right"/>
    </xf>
    <xf numFmtId="0" fontId="59" fillId="0" borderId="2" xfId="0" applyFont="1" applyBorder="1" applyAlignment="1">
      <alignment horizontal="left" vertical="center" wrapText="1"/>
    </xf>
    <xf numFmtId="176" fontId="28" fillId="0" borderId="2" xfId="0" applyNumberFormat="1" applyFont="1" applyBorder="1" applyAlignment="1">
      <alignment horizontal="center" vertical="center"/>
    </xf>
    <xf numFmtId="176" fontId="28" fillId="4" borderId="2" xfId="0" applyNumberFormat="1" applyFont="1" applyFill="1" applyBorder="1" applyAlignment="1">
      <alignment horizontal="center" vertical="center"/>
    </xf>
    <xf numFmtId="176" fontId="62" fillId="4" borderId="2" xfId="0" applyNumberFormat="1" applyFont="1" applyFill="1" applyBorder="1" applyAlignment="1">
      <alignment horizontal="center" vertical="center"/>
    </xf>
    <xf numFmtId="176" fontId="28" fillId="2" borderId="2" xfId="0" applyNumberFormat="1" applyFont="1" applyFill="1" applyBorder="1" applyAlignment="1">
      <alignment horizontal="center" vertical="center"/>
    </xf>
    <xf numFmtId="0" fontId="28" fillId="0" borderId="2" xfId="0" applyFont="1" applyBorder="1" applyAlignment="1">
      <alignment vertical="center"/>
    </xf>
    <xf numFmtId="4" fontId="62" fillId="0" borderId="2" xfId="0" applyNumberFormat="1" applyFont="1" applyBorder="1" applyAlignment="1">
      <alignment vertical="center"/>
    </xf>
    <xf numFmtId="4" fontId="62" fillId="4" borderId="2" xfId="0" applyNumberFormat="1" applyFont="1" applyFill="1" applyBorder="1" applyAlignment="1">
      <alignment vertical="center"/>
    </xf>
    <xf numFmtId="4" fontId="28" fillId="0" borderId="2" xfId="0" applyNumberFormat="1" applyFont="1" applyBorder="1" applyAlignment="1">
      <alignment vertical="center"/>
    </xf>
    <xf numFmtId="4" fontId="28" fillId="2" borderId="2" xfId="0" applyNumberFormat="1" applyFont="1" applyFill="1" applyBorder="1" applyAlignment="1">
      <alignment vertical="center"/>
    </xf>
    <xf numFmtId="176" fontId="63" fillId="0" borderId="4" xfId="0" applyNumberFormat="1" applyFont="1" applyBorder="1" applyAlignment="1">
      <alignment horizontal="right" vertical="center"/>
    </xf>
    <xf numFmtId="176" fontId="64" fillId="0" borderId="2" xfId="0" applyNumberFormat="1" applyFont="1" applyBorder="1" applyAlignment="1">
      <alignment horizontal="right"/>
    </xf>
    <xf numFmtId="0" fontId="63" fillId="0" borderId="4" xfId="0" applyFont="1" applyBorder="1" applyAlignment="1">
      <alignment horizontal="left" vertical="center"/>
    </xf>
    <xf numFmtId="0" fontId="64" fillId="0" borderId="2" xfId="0" applyFont="1" applyBorder="1"/>
    <xf numFmtId="0" fontId="63" fillId="0" borderId="2" xfId="0" applyFont="1" applyBorder="1"/>
    <xf numFmtId="0" fontId="64" fillId="0" borderId="2" xfId="0" applyFont="1" applyBorder="1" applyAlignment="1">
      <alignment horizontal="left" vertical="center"/>
    </xf>
    <xf numFmtId="4" fontId="63" fillId="4" borderId="4" xfId="0" applyNumberFormat="1" applyFont="1" applyFill="1" applyBorder="1" applyAlignment="1">
      <alignment horizontal="right" vertical="center"/>
    </xf>
    <xf numFmtId="168" fontId="64" fillId="4" borderId="2" xfId="35" applyFont="1" applyFill="1" applyBorder="1" applyAlignment="1" applyProtection="1">
      <alignment horizontal="center"/>
    </xf>
    <xf numFmtId="4" fontId="28" fillId="4" borderId="2" xfId="0" applyNumberFormat="1" applyFont="1" applyFill="1" applyBorder="1" applyAlignment="1">
      <alignment horizontal="right"/>
    </xf>
    <xf numFmtId="4" fontId="28" fillId="2" borderId="2" xfId="0" applyNumberFormat="1" applyFont="1" applyFill="1" applyBorder="1" applyAlignment="1">
      <alignment horizontal="right"/>
    </xf>
    <xf numFmtId="4" fontId="28" fillId="9" borderId="2" xfId="0" applyNumberFormat="1" applyFont="1" applyFill="1" applyBorder="1" applyAlignment="1">
      <alignment horizontal="right"/>
    </xf>
    <xf numFmtId="4" fontId="62" fillId="4" borderId="2" xfId="0" applyNumberFormat="1" applyFont="1" applyFill="1" applyBorder="1" applyAlignment="1">
      <alignment horizontal="right"/>
    </xf>
    <xf numFmtId="4" fontId="28" fillId="11" borderId="2" xfId="0" applyNumberFormat="1" applyFont="1" applyFill="1" applyBorder="1" applyAlignment="1">
      <alignment horizontal="right"/>
    </xf>
    <xf numFmtId="4" fontId="62" fillId="0" borderId="2" xfId="0" applyNumberFormat="1" applyFont="1" applyBorder="1" applyAlignment="1">
      <alignment horizontal="right"/>
    </xf>
    <xf numFmtId="4" fontId="28" fillId="2" borderId="4" xfId="0" applyNumberFormat="1" applyFont="1" applyFill="1" applyBorder="1" applyAlignment="1">
      <alignment horizontal="right"/>
    </xf>
    <xf numFmtId="15" fontId="65" fillId="0" borderId="2" xfId="0" applyNumberFormat="1" applyFont="1" applyBorder="1" applyAlignment="1">
      <alignment horizontal="right"/>
    </xf>
    <xf numFmtId="0" fontId="65" fillId="0" borderId="2" xfId="0" applyFont="1" applyBorder="1"/>
    <xf numFmtId="4" fontId="51" fillId="0" borderId="2" xfId="0" applyNumberFormat="1" applyFont="1" applyBorder="1" applyAlignment="1">
      <alignment vertical="center"/>
    </xf>
    <xf numFmtId="4" fontId="51" fillId="4" borderId="2" xfId="0" applyNumberFormat="1" applyFont="1" applyFill="1" applyBorder="1" applyAlignment="1">
      <alignment vertical="center"/>
    </xf>
    <xf numFmtId="4" fontId="27" fillId="0" borderId="2" xfId="30" applyNumberFormat="1" applyFont="1" applyBorder="1" applyAlignment="1">
      <alignment horizontal="left"/>
    </xf>
    <xf numFmtId="4" fontId="65" fillId="0" borderId="2" xfId="0" applyNumberFormat="1" applyFont="1" applyBorder="1" applyAlignment="1">
      <alignment horizontal="right"/>
    </xf>
    <xf numFmtId="177" fontId="59" fillId="0" borderId="34" xfId="0" applyNumberFormat="1" applyFont="1" applyBorder="1" applyAlignment="1">
      <alignment horizontal="right"/>
    </xf>
    <xf numFmtId="0" fontId="66" fillId="0" borderId="34" xfId="0" applyFont="1" applyBorder="1" applyAlignment="1">
      <alignment horizontal="left"/>
    </xf>
    <xf numFmtId="0" fontId="66" fillId="0" borderId="34" xfId="0" applyFont="1" applyBorder="1" applyAlignment="1">
      <alignment horizontal="center"/>
    </xf>
    <xf numFmtId="4" fontId="66" fillId="0" borderId="34" xfId="0" applyNumberFormat="1" applyFont="1" applyBorder="1" applyAlignment="1">
      <alignment horizontal="right"/>
    </xf>
    <xf numFmtId="0" fontId="53" fillId="0" borderId="34" xfId="0" applyFont="1" applyBorder="1"/>
    <xf numFmtId="178" fontId="53" fillId="4" borderId="34" xfId="0" applyNumberFormat="1" applyFont="1" applyFill="1" applyBorder="1" applyAlignment="1">
      <alignment horizontal="center"/>
    </xf>
    <xf numFmtId="178" fontId="53" fillId="0" borderId="34" xfId="0" applyNumberFormat="1" applyFont="1" applyBorder="1" applyAlignment="1">
      <alignment horizontal="center"/>
    </xf>
    <xf numFmtId="0" fontId="53" fillId="0" borderId="34" xfId="0" applyFont="1" applyBorder="1" applyAlignment="1">
      <alignment horizontal="left"/>
    </xf>
    <xf numFmtId="0" fontId="53" fillId="0" borderId="34" xfId="0" applyFont="1" applyBorder="1" applyAlignment="1">
      <alignment horizontal="left" wrapText="1"/>
    </xf>
    <xf numFmtId="0" fontId="53" fillId="0" borderId="34" xfId="0" applyFont="1" applyBorder="1" applyAlignment="1">
      <alignment horizontal="center"/>
    </xf>
    <xf numFmtId="178" fontId="67" fillId="0" borderId="34" xfId="0" applyNumberFormat="1" applyFont="1" applyBorder="1" applyAlignment="1">
      <alignment horizontal="center"/>
    </xf>
    <xf numFmtId="0" fontId="67" fillId="0" borderId="34" xfId="0" applyFont="1" applyBorder="1" applyAlignment="1">
      <alignment horizontal="left" wrapText="1"/>
    </xf>
    <xf numFmtId="0" fontId="67" fillId="0" borderId="34" xfId="0" applyFont="1" applyBorder="1" applyAlignment="1">
      <alignment horizontal="left" vertical="center" wrapText="1"/>
    </xf>
    <xf numFmtId="0" fontId="67" fillId="0" borderId="34" xfId="0" applyFont="1" applyBorder="1" applyAlignment="1">
      <alignment horizontal="center"/>
    </xf>
    <xf numFmtId="177" fontId="59" fillId="0" borderId="35" xfId="0" applyNumberFormat="1" applyFont="1" applyBorder="1" applyAlignment="1">
      <alignment horizontal="right"/>
    </xf>
    <xf numFmtId="0" fontId="53" fillId="0" borderId="35" xfId="0" applyFont="1" applyBorder="1"/>
    <xf numFmtId="0" fontId="67" fillId="0" borderId="35" xfId="0" applyFont="1" applyBorder="1" applyAlignment="1">
      <alignment horizontal="left" vertical="center"/>
    </xf>
    <xf numFmtId="0" fontId="67" fillId="0" borderId="35" xfId="0" applyFont="1" applyBorder="1" applyAlignment="1">
      <alignment horizontal="center"/>
    </xf>
    <xf numFmtId="178" fontId="67" fillId="0" borderId="35" xfId="0" applyNumberFormat="1" applyFont="1" applyBorder="1" applyAlignment="1">
      <alignment horizontal="center"/>
    </xf>
    <xf numFmtId="4" fontId="58" fillId="4" borderId="2" xfId="0" applyNumberFormat="1" applyFont="1" applyFill="1" applyBorder="1" applyAlignment="1">
      <alignment horizontal="right" wrapText="1"/>
    </xf>
    <xf numFmtId="40" fontId="59" fillId="0" borderId="2" xfId="46" applyNumberFormat="1" applyFont="1" applyBorder="1" applyAlignment="1">
      <alignment horizontal="right"/>
    </xf>
    <xf numFmtId="178" fontId="59" fillId="0" borderId="29" xfId="46" applyNumberFormat="1" applyFont="1" applyBorder="1" applyAlignment="1">
      <alignment horizontal="center"/>
    </xf>
    <xf numFmtId="177" fontId="59" fillId="0" borderId="28" xfId="0" applyNumberFormat="1" applyFont="1" applyBorder="1" applyAlignment="1">
      <alignment horizontal="right"/>
    </xf>
    <xf numFmtId="0" fontId="67" fillId="0" borderId="28" xfId="0" applyFont="1" applyBorder="1" applyAlignment="1">
      <alignment horizontal="center"/>
    </xf>
    <xf numFmtId="0" fontId="53" fillId="0" borderId="2" xfId="0" applyFont="1" applyBorder="1" applyAlignment="1">
      <alignment horizontal="left" wrapText="1"/>
    </xf>
    <xf numFmtId="178" fontId="53" fillId="0" borderId="2" xfId="0" applyNumberFormat="1" applyFont="1" applyBorder="1" applyAlignment="1">
      <alignment horizontal="center"/>
    </xf>
    <xf numFmtId="0" fontId="31" fillId="0" borderId="36" xfId="19" applyFont="1" applyBorder="1" applyAlignment="1">
      <alignment horizontal="left" vertical="center"/>
    </xf>
    <xf numFmtId="0" fontId="31" fillId="0" borderId="2" xfId="19" applyFont="1" applyBorder="1" applyAlignment="1">
      <alignment horizontal="left" vertical="center"/>
    </xf>
    <xf numFmtId="4" fontId="62" fillId="0" borderId="31" xfId="0" applyNumberFormat="1" applyFont="1" applyBorder="1" applyAlignment="1">
      <alignment vertical="center"/>
    </xf>
    <xf numFmtId="4" fontId="70" fillId="9" borderId="2" xfId="0" applyNumberFormat="1" applyFont="1" applyFill="1" applyBorder="1" applyAlignment="1">
      <alignment horizontal="right"/>
    </xf>
    <xf numFmtId="177" fontId="31" fillId="0" borderId="37" xfId="0" applyNumberFormat="1" applyFont="1" applyBorder="1" applyAlignment="1">
      <alignment horizontal="right"/>
    </xf>
    <xf numFmtId="177" fontId="53" fillId="0" borderId="37" xfId="0" applyNumberFormat="1" applyFont="1" applyBorder="1" applyAlignment="1">
      <alignment horizontal="right"/>
    </xf>
    <xf numFmtId="177" fontId="53" fillId="0" borderId="34" xfId="0" applyNumberFormat="1" applyFont="1" applyBorder="1" applyAlignment="1">
      <alignment horizontal="right"/>
    </xf>
    <xf numFmtId="178" fontId="53" fillId="0" borderId="38" xfId="0" applyNumberFormat="1" applyFont="1" applyBorder="1" applyAlignment="1">
      <alignment horizontal="center"/>
    </xf>
    <xf numFmtId="178" fontId="53" fillId="0" borderId="35" xfId="0" applyNumberFormat="1" applyFont="1" applyBorder="1" applyAlignment="1">
      <alignment horizontal="center"/>
    </xf>
    <xf numFmtId="0" fontId="71" fillId="0" borderId="2" xfId="19" applyFont="1" applyBorder="1" applyAlignment="1">
      <alignment horizontal="left" vertical="center"/>
    </xf>
    <xf numFmtId="0" fontId="71" fillId="0" borderId="36" xfId="19" applyFont="1" applyBorder="1" applyAlignment="1">
      <alignment horizontal="left" vertical="center"/>
    </xf>
    <xf numFmtId="178" fontId="57" fillId="0" borderId="39" xfId="46" applyNumberFormat="1" applyFont="1" applyBorder="1" applyAlignment="1">
      <alignment horizontal="center"/>
    </xf>
    <xf numFmtId="178" fontId="57" fillId="0" borderId="29" xfId="46" applyNumberFormat="1" applyFont="1" applyBorder="1" applyAlignment="1">
      <alignment horizontal="center"/>
    </xf>
    <xf numFmtId="43" fontId="58" fillId="0" borderId="0" xfId="0" applyNumberFormat="1" applyFont="1"/>
    <xf numFmtId="0" fontId="65" fillId="0" borderId="4" xfId="0" applyFont="1" applyBorder="1"/>
    <xf numFmtId="0" fontId="65" fillId="0" borderId="2" xfId="0" applyFont="1" applyBorder="1" applyAlignment="1">
      <alignment horizontal="left" vertical="center"/>
    </xf>
    <xf numFmtId="176" fontId="28" fillId="0" borderId="4" xfId="0" applyNumberFormat="1" applyFont="1" applyBorder="1" applyAlignment="1">
      <alignment horizontal="right" vertical="center"/>
    </xf>
    <xf numFmtId="0" fontId="28" fillId="0" borderId="4" xfId="0" applyFont="1" applyBorder="1" applyAlignment="1">
      <alignment horizontal="left" vertical="center"/>
    </xf>
    <xf numFmtId="0" fontId="28" fillId="0" borderId="2" xfId="0" applyFont="1" applyBorder="1"/>
    <xf numFmtId="176" fontId="65" fillId="0" borderId="2" xfId="0" applyNumberFormat="1" applyFont="1" applyBorder="1" applyAlignment="1">
      <alignment horizontal="right"/>
    </xf>
    <xf numFmtId="170" fontId="19" fillId="9" borderId="2" xfId="0" applyNumberFormat="1" applyFont="1" applyFill="1" applyBorder="1" applyAlignment="1">
      <alignment horizontal="center"/>
    </xf>
    <xf numFmtId="1" fontId="19" fillId="9" borderId="2" xfId="0" applyNumberFormat="1" applyFont="1" applyFill="1" applyBorder="1" applyAlignment="1">
      <alignment horizontal="center"/>
    </xf>
    <xf numFmtId="4" fontId="19" fillId="4" borderId="2" xfId="0" applyNumberFormat="1" applyFont="1" applyFill="1" applyBorder="1"/>
    <xf numFmtId="173" fontId="19" fillId="4" borderId="2" xfId="0" applyNumberFormat="1" applyFont="1" applyFill="1" applyBorder="1"/>
    <xf numFmtId="0" fontId="32" fillId="4" borderId="2" xfId="0" applyFont="1" applyFill="1" applyBorder="1" applyAlignment="1">
      <alignment horizontal="center"/>
    </xf>
    <xf numFmtId="0" fontId="1" fillId="0" borderId="0" xfId="41" applyFont="1"/>
    <xf numFmtId="4" fontId="72" fillId="0" borderId="0" xfId="0" applyNumberFormat="1" applyFont="1"/>
    <xf numFmtId="172" fontId="72" fillId="0" borderId="0" xfId="0" applyNumberFormat="1" applyFont="1"/>
    <xf numFmtId="180" fontId="72" fillId="0" borderId="0" xfId="0" applyNumberFormat="1" applyFont="1"/>
    <xf numFmtId="172" fontId="73" fillId="0" borderId="0" xfId="0" applyNumberFormat="1" applyFont="1"/>
    <xf numFmtId="172" fontId="73" fillId="0" borderId="0" xfId="0" applyNumberFormat="1" applyFont="1" applyAlignment="1">
      <alignment wrapText="1"/>
    </xf>
    <xf numFmtId="4" fontId="74" fillId="0" borderId="0" xfId="0" applyNumberFormat="1" applyFont="1"/>
    <xf numFmtId="4" fontId="75" fillId="0" borderId="0" xfId="0" applyNumberFormat="1" applyFont="1"/>
    <xf numFmtId="180" fontId="74" fillId="0" borderId="0" xfId="0" applyNumberFormat="1" applyFont="1"/>
    <xf numFmtId="1" fontId="24" fillId="0" borderId="0" xfId="0" applyNumberFormat="1" applyFont="1"/>
    <xf numFmtId="0" fontId="0" fillId="0" borderId="0" xfId="0"/>
    <xf numFmtId="17" fontId="68" fillId="0" borderId="0" xfId="41" applyNumberFormat="1" applyFont="1" applyAlignment="1">
      <alignment horizontal="center"/>
    </xf>
    <xf numFmtId="17" fontId="69" fillId="0" borderId="0" xfId="0" applyNumberFormat="1" applyFont="1" applyAlignment="1">
      <alignment horizontal="center"/>
    </xf>
    <xf numFmtId="4" fontId="74" fillId="0" borderId="0" xfId="0" applyNumberFormat="1" applyFont="1"/>
    <xf numFmtId="0" fontId="5" fillId="0" borderId="0" xfId="41" applyFont="1"/>
    <xf numFmtId="0" fontId="9" fillId="4" borderId="7" xfId="4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9" fillId="0" borderId="10" xfId="41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10" xfId="41" applyFont="1" applyBorder="1" applyAlignment="1">
      <alignment horizontal="center"/>
    </xf>
    <xf numFmtId="4" fontId="49" fillId="0" borderId="27" xfId="0" applyNumberFormat="1" applyFont="1" applyBorder="1" applyAlignment="1">
      <alignment horizontal="center"/>
    </xf>
    <xf numFmtId="0" fontId="0" fillId="0" borderId="28" xfId="0" applyBorder="1"/>
  </cellXfs>
  <cellStyles count="47">
    <cellStyle name="Comma 2" xfId="1" xr:uid="{00000000-0005-0000-0000-000006000000}"/>
    <cellStyle name="Comma 2 2" xfId="2" xr:uid="{00000000-0005-0000-0000-000007000000}"/>
    <cellStyle name="Comma 2 3" xfId="3" xr:uid="{00000000-0005-0000-0000-000008000000}"/>
    <cellStyle name="Comma 2 4" xfId="29" xr:uid="{07EF113F-07A7-48BC-ADB3-104F4A83C521}"/>
    <cellStyle name="Comma 3" xfId="4" xr:uid="{00000000-0005-0000-0000-000009000000}"/>
    <cellStyle name="Comma 3 2" xfId="5" xr:uid="{00000000-0005-0000-0000-00000A000000}"/>
    <cellStyle name="Comma 4" xfId="6" xr:uid="{00000000-0005-0000-0000-00000B000000}"/>
    <cellStyle name="Comma 4 2" xfId="7" xr:uid="{00000000-0005-0000-0000-00000C000000}"/>
    <cellStyle name="Comma 5" xfId="8" xr:uid="{00000000-0005-0000-0000-00000D000000}"/>
    <cellStyle name="Comma 5 2" xfId="35" xr:uid="{866CE058-B6B7-4938-B602-B3BF5FA73F82}"/>
    <cellStyle name="Comma 6" xfId="9" xr:uid="{00000000-0005-0000-0000-00000E000000}"/>
    <cellStyle name="Comma 7" xfId="10" xr:uid="{00000000-0005-0000-0000-00000F000000}"/>
    <cellStyle name="Comma 8" xfId="28" xr:uid="{3538516B-3834-4A1C-8299-5D771E1AD3C0}"/>
    <cellStyle name="Normal" xfId="0" builtinId="0"/>
    <cellStyle name="Normal 10" xfId="11" xr:uid="{00000000-0005-0000-0000-000010000000}"/>
    <cellStyle name="Normal 11" xfId="12" xr:uid="{00000000-0005-0000-0000-000011000000}"/>
    <cellStyle name="Normal 12" xfId="13" xr:uid="{00000000-0005-0000-0000-000012000000}"/>
    <cellStyle name="Normal 13" xfId="23" xr:uid="{E50A081D-5049-4415-887B-C17EC3413B64}"/>
    <cellStyle name="Normal 13 2" xfId="36" xr:uid="{87F7F1FD-E6F9-4F8D-807A-E72CC09B162C}"/>
    <cellStyle name="Normal 13 3" xfId="42" xr:uid="{C6309EB8-06E7-4920-AD43-0635017193AA}"/>
    <cellStyle name="Normal 14" xfId="24" xr:uid="{381B2477-9F4B-44A4-A742-FA65687BBD7B}"/>
    <cellStyle name="Normal 14 2" xfId="26" xr:uid="{4ECF812A-84C9-45F8-8B60-7BE8C4841EF4}"/>
    <cellStyle name="Normal 14 3" xfId="38" xr:uid="{B8A59692-5254-4F0E-B470-F333F46EAD0E}"/>
    <cellStyle name="Normal 15" xfId="25" xr:uid="{D2BEBD13-C178-41E0-94AD-3CAE325521F1}"/>
    <cellStyle name="Normal 16" xfId="27" xr:uid="{45D0E471-E6E6-4DD9-898F-CC22C8DF1D51}"/>
    <cellStyle name="Normal 17" xfId="31" xr:uid="{4AAE57D5-27EC-499D-ADDB-F4C34DB7994D}"/>
    <cellStyle name="Normal 18" xfId="34" xr:uid="{9D52FAE8-1404-4BD6-A3E9-48A8B76D5DCB}"/>
    <cellStyle name="Normal 19" xfId="37" xr:uid="{44E7E691-E3F7-4861-83CA-10849FEFAA0D}"/>
    <cellStyle name="Normal 2" xfId="14" xr:uid="{00000000-0005-0000-0000-000013000000}"/>
    <cellStyle name="Normal 2 2" xfId="30" xr:uid="{FDAFA270-CB00-42EA-9A7E-E6E555B0CB86}"/>
    <cellStyle name="Normal 2 3" xfId="32" xr:uid="{803B524A-4E64-42D9-9276-0DEB68E2E206}"/>
    <cellStyle name="Normal 2 3 2" xfId="33" xr:uid="{01D58E1E-2EA9-4F1E-8609-13954A3DDB6D}"/>
    <cellStyle name="Normal 2 3 2 2" xfId="44" xr:uid="{D483A482-E7F8-4632-9AA5-8347AD88EE74}"/>
    <cellStyle name="Normal 2 3 3" xfId="43" xr:uid="{3DFD120F-18EA-416F-A65E-36DD1198DE39}"/>
    <cellStyle name="Normal 2 3 3 2" xfId="46" xr:uid="{0DA256B4-7742-4892-A288-A8D3E8DCABBD}"/>
    <cellStyle name="Normal 2 4" xfId="40" xr:uid="{4A3B0F94-D93F-48AF-9542-34C99B0DAEA7}"/>
    <cellStyle name="Normal 20" xfId="39" xr:uid="{81860F1A-2172-4E0C-AB93-851569FB38AD}"/>
    <cellStyle name="Normal 20 2" xfId="41" xr:uid="{3148B996-8867-48F8-BDC5-4CCE4A8523E2}"/>
    <cellStyle name="Normal 20 2 2" xfId="45" xr:uid="{567FC6EC-AA8A-4C4C-9406-859BFBC37AD9}"/>
    <cellStyle name="Normal 3" xfId="15" xr:uid="{00000000-0005-0000-0000-000014000000}"/>
    <cellStyle name="Normal 4" xfId="16" xr:uid="{00000000-0005-0000-0000-000015000000}"/>
    <cellStyle name="Normal 5" xfId="17" xr:uid="{00000000-0005-0000-0000-000016000000}"/>
    <cellStyle name="Normal 6" xfId="18" xr:uid="{00000000-0005-0000-0000-000017000000}"/>
    <cellStyle name="Normal 7" xfId="19" xr:uid="{00000000-0005-0000-0000-000018000000}"/>
    <cellStyle name="Normal 8" xfId="20" xr:uid="{00000000-0005-0000-0000-000019000000}"/>
    <cellStyle name="Normal 9" xfId="21" xr:uid="{00000000-0005-0000-0000-00001A000000}"/>
    <cellStyle name="Percent 2" xfId="22" xr:uid="{00000000-0005-0000-0000-00001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7CAA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2D050"/>
      <rgbColor rgb="FFFFCC00"/>
      <rgbColor rgb="FFF79646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ccounts%202025/Shareholders%202025/05%20May%20Shareholders%202025/05%20H3%20KEVIN%20MAY%20METICAIS.xlsx" TargetMode="External"/><Relationship Id="rId2" Type="http://schemas.openxmlformats.org/officeDocument/2006/relationships/externalLinkPath" Target="file:///C:\Users\Andrisa\Dropbox\Andrisa\Landco\Accounts%202025\Shareholders%202025\05%20May%20Shareholders%202025\05%20H3%20KEVIN%20MAY%20METICAIS.xlsx" TargetMode="External"/><Relationship Id="rId1" Type="http://schemas.openxmlformats.org/officeDocument/2006/relationships/externalLinkPath" Target="/Users/Andrisa/Dropbox/Andrisa/Landco/Accounts%202025/Shareholders%202025/05%20May%20Shareholders%202025/05%20H3%20KEVIN%20MAY%20METICAIS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BDO%20Accounts%202026/01%20BDO%20Bank%20Control%202026.xlsx" TargetMode="External"/><Relationship Id="rId2" Type="http://schemas.openxmlformats.org/officeDocument/2006/relationships/externalLinkPath" Target="file:///C:\Users\Andrisa\Dropbox\Andrisa\Landco\Accounts%202026\BDO%20Accounts%202026\01%20BDO%20Bank%20Control%202026.xlsx" TargetMode="External"/><Relationship Id="rId1" Type="http://schemas.openxmlformats.org/officeDocument/2006/relationships/externalLinkPath" Target="/Users/Andrisa/Dropbox/Andrisa/Landco/Accounts%202026/BDO%20Accounts%202026/01%20BDO%20Bank%20Control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01%20JAN%20ACCOUNTS/01%20Petty%20Cash%20PETTY%20CASH%202026.xlsx" TargetMode="External"/><Relationship Id="rId2" Type="http://schemas.openxmlformats.org/officeDocument/2006/relationships/externalLinkPath" Target="file:///C:\Users\Andrisa\Dropbox\Andrisa\Landco\Accounts%202026\Landco%20Accounts%202026\01%20JAN%20ACCOUNTS\01%20Petty%20Cash%20PETTY%20CASH%202026.xlsx" TargetMode="External"/><Relationship Id="rId1" Type="http://schemas.openxmlformats.org/officeDocument/2006/relationships/externalLinkPath" Target="/Users/Andrisa/Dropbox/Andrisa/Landco/Accounts%202026/Landco%20Accounts%202026/01%20JAN%20ACCOUNTS/01%20Petty%20Cash%20PETTY%20CASH%202026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ccounts%202025/Landco%20Accounts/12%20Dec%2025%20LC%20Petty%20Cash/12%20DEC%20MONTH%20END%202025.xlsx" TargetMode="External"/><Relationship Id="rId2" Type="http://schemas.openxmlformats.org/officeDocument/2006/relationships/externalLinkPath" Target="file:///C:\Users\Andrisa\Dropbox\Andrisa\Landco\Accounts%202025\Landco%20Accounts\12%20Dec%2025%20LC%20Petty%20Cash\12%20DEC%20MONTH%20END%202025.xlsx" TargetMode="External"/><Relationship Id="rId1" Type="http://schemas.openxmlformats.org/officeDocument/2006/relationships/externalLinkPath" Target="/Users/Andrisa/Dropbox/Andrisa/Landco/Accounts%202025/Landco%20Accounts/12%20Dec%2025%20LC%20Petty%20Cash/12%20DEC%20MONTH%20END%202025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hareholders%202026/01%20LUZ%20TAFY%202026.xlsx" TargetMode="External"/><Relationship Id="rId2" Type="http://schemas.openxmlformats.org/officeDocument/2006/relationships/externalLinkPath" Target="file:///C:\Users\Andrisa\Dropbox\Andrisa\Landco\Accounts%202026\Shareholders%202026\01%20LUZ%20TAFY%202026.xlsx" TargetMode="External"/><Relationship Id="rId1" Type="http://schemas.openxmlformats.org/officeDocument/2006/relationships/externalLinkPath" Target="/Users/Andrisa/Dropbox/Andrisa/Landco/Accounts%202026/Shareholders%202026/01%20LUZ%20TAFY%202026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hareholders%202026/01%20AURORA%20STEAD%202026.xlsx" TargetMode="External"/><Relationship Id="rId2" Type="http://schemas.openxmlformats.org/officeDocument/2006/relationships/externalLinkPath" Target="file:///C:\Users\Andrisa\Dropbox\Andrisa\Landco\Accounts%202026\Shareholders%202026\01%20AURORA%20STEAD%202026.xlsx" TargetMode="External"/><Relationship Id="rId1" Type="http://schemas.openxmlformats.org/officeDocument/2006/relationships/externalLinkPath" Target="/Users/Andrisa/Dropbox/Andrisa/Landco/Accounts%202026/Shareholders%202026/01%20AURORA%20STEAD%202026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hareholders%202026/01%20CAJU%20KEVIN%202026.xlsx" TargetMode="External"/><Relationship Id="rId2" Type="http://schemas.openxmlformats.org/officeDocument/2006/relationships/externalLinkPath" Target="file:///C:\Users\Andrisa\Dropbox\Andrisa\Landco\Accounts%202026\Shareholders%202026\01%20CAJU%20KEVIN%202026.xlsx" TargetMode="External"/><Relationship Id="rId1" Type="http://schemas.openxmlformats.org/officeDocument/2006/relationships/externalLinkPath" Target="/Users/Andrisa/Dropbox/Andrisa/Landco/Accounts%202026/Shareholders%202026/01%20CAJU%20KEVIN%202026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hareholders%202026/01%20COCO%20COHEN2026.xlsx" TargetMode="External"/><Relationship Id="rId2" Type="http://schemas.openxmlformats.org/officeDocument/2006/relationships/externalLinkPath" Target="file:///C:\Users\Andrisa\Dropbox\Andrisa\Landco\Accounts%202026\Shareholders%202026\01%20COCO%20COHEN2026.xlsx" TargetMode="External"/><Relationship Id="rId1" Type="http://schemas.openxmlformats.org/officeDocument/2006/relationships/externalLinkPath" Target="/Users/Andrisa/Dropbox/Andrisa/Landco/Accounts%202026/Shareholders%202026/01%20COCO%20COHEN2026.xlsx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alaries%20Landco%202026/Landco%20Salaries%202026/01%20Salary%20sheet%20for%20Landco.xlsx" TargetMode="External"/><Relationship Id="rId2" Type="http://schemas.openxmlformats.org/officeDocument/2006/relationships/externalLinkPath" Target="file:///C:\Users\Andrisa\Dropbox\Andrisa\Landco\Accounts%202026\Salaries%20Landco%202026\Landco%20Salaries%202026\01%20Salary%20sheet%20for%20Landco.xlsx" TargetMode="External"/><Relationship Id="rId1" Type="http://schemas.openxmlformats.org/officeDocument/2006/relationships/externalLinkPath" Target="/Users/Andrisa/Dropbox/Andrisa/Landco/Accounts%202026/Salaries%20Landco%202026/Landco%20Salaries%202026/01%20Salary%20sheet%20for%20Landc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ccounts Summary"/>
      <sheetName val="Breakdown of Income"/>
      <sheetName val="INCOME VS EXPENSES"/>
      <sheetName val="MAY Expenses"/>
    </sheetNames>
    <sheetDataSet>
      <sheetData sheetId="0"/>
      <sheetData sheetId="1">
        <row r="9">
          <cell r="C9">
            <v>420000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"/>
      <sheetName val="Creditors"/>
      <sheetName val="Shareholders investment"/>
      <sheetName val="Invoices "/>
      <sheetName val="BIM Bank Control USD"/>
      <sheetName val="BIM Bank Control Mtn"/>
      <sheetName val="Petty cash "/>
      <sheetName val="Pre-paid"/>
      <sheetName val="Folha de salarios"/>
      <sheetName val="Original Inv Outstanding"/>
    </sheetNames>
    <sheetDataSet>
      <sheetData sheetId="0"/>
      <sheetData sheetId="1"/>
      <sheetData sheetId="2"/>
      <sheetData sheetId="3"/>
      <sheetData sheetId="4">
        <row r="7">
          <cell r="I7">
            <v>416942.10249999998</v>
          </cell>
        </row>
      </sheetData>
      <sheetData sheetId="5">
        <row r="5">
          <cell r="L5">
            <v>663288.6100000001</v>
          </cell>
        </row>
        <row r="6">
          <cell r="J6">
            <v>738401.55999999982</v>
          </cell>
        </row>
        <row r="15">
          <cell r="G15">
            <v>232000</v>
          </cell>
        </row>
        <row r="16">
          <cell r="G16">
            <v>281750</v>
          </cell>
        </row>
        <row r="17">
          <cell r="G17">
            <v>435000</v>
          </cell>
        </row>
      </sheetData>
      <sheetData sheetId="6">
        <row r="7">
          <cell r="G7">
            <v>2125.56</v>
          </cell>
        </row>
        <row r="8">
          <cell r="G8">
            <v>8400.41</v>
          </cell>
        </row>
      </sheetData>
      <sheetData sheetId="7">
        <row r="7">
          <cell r="G7">
            <v>18537</v>
          </cell>
        </row>
        <row r="8">
          <cell r="G8">
            <v>32537.269999999997</v>
          </cell>
        </row>
      </sheetData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SDFuel (2)"/>
      <sheetName val="PARKS FEES"/>
      <sheetName val="LANDCO US$ CASH"/>
      <sheetName val="LANDCO MET CASH"/>
      <sheetName val="BEBE PC"/>
      <sheetName val="NEGU &amp; TACKLE"/>
      <sheetName val="Warren Cohen "/>
      <sheetName val="Alex &amp; Kevin"/>
      <sheetName val="Ablution"/>
      <sheetName val="Alex Room"/>
      <sheetName val="KrakenFuel"/>
      <sheetName val="RSDFuel"/>
      <sheetName val="Money received"/>
      <sheetName val="Warren Stead"/>
      <sheetName val="Brendon"/>
      <sheetName val="Robin Bouckaert"/>
      <sheetName val="Sheet1"/>
    </sheetNames>
    <sheetDataSet>
      <sheetData sheetId="0"/>
      <sheetData sheetId="1"/>
      <sheetData sheetId="2">
        <row r="20">
          <cell r="E20">
            <v>12125</v>
          </cell>
        </row>
      </sheetData>
      <sheetData sheetId="3">
        <row r="5">
          <cell r="F5">
            <v>-143050.53749999992</v>
          </cell>
        </row>
        <row r="6">
          <cell r="F6">
            <v>812375</v>
          </cell>
        </row>
        <row r="8">
          <cell r="F8">
            <v>111660</v>
          </cell>
        </row>
        <row r="9">
          <cell r="F9">
            <v>557664.46250000014</v>
          </cell>
        </row>
        <row r="23">
          <cell r="C23" t="str">
            <v>Shortfall on Ronny money from Warren</v>
          </cell>
          <cell r="F23">
            <v>2220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COME"/>
      <sheetName val="RECON"/>
      <sheetName val=" EXPENSES"/>
      <sheetName val=" EXPENSES HOUSE"/>
      <sheetName val="MONTHLY FOR THE YEAR"/>
      <sheetName val="EXPENSES SHARED 2025"/>
    </sheetNames>
    <sheetDataSet>
      <sheetData sheetId="0"/>
      <sheetData sheetId="1">
        <row r="4">
          <cell r="F4">
            <v>-456526.24419999961</v>
          </cell>
        </row>
        <row r="5">
          <cell r="F5">
            <v>-9572.7775000000838</v>
          </cell>
        </row>
        <row r="6">
          <cell r="F6">
            <v>724450.72249999992</v>
          </cell>
        </row>
        <row r="7">
          <cell r="F7">
            <v>345627.78249999997</v>
          </cell>
        </row>
        <row r="17">
          <cell r="B17">
            <v>774879.4833000002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ERY"/>
      <sheetName val="Breakdown of Income"/>
      <sheetName val="INCOME VS EXPENSES"/>
      <sheetName val=" Expenses "/>
      <sheetName val="Sheet1"/>
    </sheetNames>
    <sheetDataSet>
      <sheetData sheetId="0">
        <row r="19">
          <cell r="E19">
            <v>172438.58330000041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 SUMMERY "/>
      <sheetName val="INCOME "/>
      <sheetName val=" Expenses "/>
      <sheetName val="INCOME VS EXPENSES"/>
    </sheetNames>
    <sheetDataSet>
      <sheetData sheetId="0">
        <row r="19">
          <cell r="F19">
            <v>727458.65249999985</v>
          </cell>
        </row>
      </sheetData>
      <sheetData sheetId="1"/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ERY"/>
      <sheetName val="Breakdown of Income"/>
      <sheetName val="INCOME VS EXPENSES"/>
      <sheetName val=" Expenses "/>
    </sheetNames>
    <sheetDataSet>
      <sheetData sheetId="0">
        <row r="19">
          <cell r="F19">
            <v>527529.50999999989</v>
          </cell>
        </row>
      </sheetData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ERY "/>
      <sheetName val=" INCOME"/>
      <sheetName val=" Expenses "/>
      <sheetName val="INCOME VS EXPENSES"/>
    </sheetNames>
    <sheetDataSet>
      <sheetData sheetId="0">
        <row r="19">
          <cell r="F19">
            <v>152154.56999999998</v>
          </cell>
        </row>
      </sheetData>
      <sheetData sheetId="1"/>
      <sheetData sheetId="2"/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olha de salarios"/>
      <sheetName val="Sindicate"/>
      <sheetName val="PaySlip"/>
    </sheetNames>
    <sheetDataSet>
      <sheetData sheetId="0">
        <row r="31">
          <cell r="AB31">
            <v>10394.19</v>
          </cell>
          <cell r="AC31">
            <v>3464.73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18FA2-4315-4C64-836B-01A381D91B9E}">
  <sheetPr>
    <pageSetUpPr fitToPage="1"/>
  </sheetPr>
  <dimension ref="A1:M796"/>
  <sheetViews>
    <sheetView tabSelected="1" zoomScale="80" zoomScaleNormal="80" workbookViewId="0">
      <pane xSplit="4" ySplit="6" topLeftCell="E34" activePane="bottomRight" state="frozen"/>
      <selection pane="topRight" activeCell="E1" sqref="E1"/>
      <selection pane="bottomLeft" activeCell="A7" sqref="A7"/>
      <selection pane="bottomRight" activeCell="D51" sqref="D51"/>
    </sheetView>
  </sheetViews>
  <sheetFormatPr defaultColWidth="14.42578125" defaultRowHeight="15" x14ac:dyDescent="0.3"/>
  <cols>
    <col min="1" max="1" width="11" style="1" customWidth="1"/>
    <col min="2" max="2" width="11" style="41" customWidth="1"/>
    <col min="3" max="3" width="51.5703125" style="1" customWidth="1"/>
    <col min="4" max="4" width="20.7109375" style="2" customWidth="1"/>
    <col min="5" max="6" width="15.7109375" style="1" customWidth="1"/>
    <col min="7" max="7" width="15.7109375" style="2" customWidth="1"/>
    <col min="8" max="9" width="15.7109375" style="1" customWidth="1"/>
    <col min="10" max="10" width="15.7109375" style="53" customWidth="1"/>
    <col min="11" max="11" width="15.7109375" style="1" customWidth="1"/>
    <col min="12" max="12" width="14.42578125" style="2"/>
    <col min="13" max="13" width="17" style="2" customWidth="1"/>
    <col min="14" max="16384" width="14.42578125" style="1"/>
  </cols>
  <sheetData>
    <row r="1" spans="1:11" ht="39" customHeight="1" x14ac:dyDescent="0.7">
      <c r="A1" s="3" t="s">
        <v>0</v>
      </c>
      <c r="B1" s="34"/>
      <c r="C1" s="4"/>
      <c r="D1" s="4" t="s">
        <v>7</v>
      </c>
      <c r="E1" s="2">
        <f>+E49</f>
        <v>1936650</v>
      </c>
      <c r="F1" s="157">
        <f>+E1/63.25</f>
        <v>30618.972332015812</v>
      </c>
    </row>
    <row r="2" spans="1:11" ht="15.75" customHeight="1" x14ac:dyDescent="0.3">
      <c r="A2" s="5"/>
      <c r="B2" s="35"/>
      <c r="D2" s="4" t="s">
        <v>8</v>
      </c>
      <c r="E2" s="2">
        <f>+F49</f>
        <v>4051090</v>
      </c>
      <c r="F2" s="157">
        <f t="shared" ref="F2:F4" si="0">+E2/63.25</f>
        <v>64048.853754940712</v>
      </c>
      <c r="G2" s="6"/>
      <c r="H2" s="7"/>
      <c r="I2" s="7"/>
    </row>
    <row r="3" spans="1:11" x14ac:dyDescent="0.3">
      <c r="A3" s="8"/>
      <c r="B3" s="36"/>
      <c r="C3" s="9"/>
      <c r="D3" s="4" t="s">
        <v>9</v>
      </c>
      <c r="E3" s="2">
        <f>+G49</f>
        <v>4999448</v>
      </c>
      <c r="F3" s="157">
        <f t="shared" si="0"/>
        <v>79042.656126482208</v>
      </c>
      <c r="G3" s="6"/>
      <c r="H3" s="10"/>
      <c r="I3" s="10"/>
    </row>
    <row r="4" spans="1:11" x14ac:dyDescent="0.3">
      <c r="A4" s="8"/>
      <c r="B4" s="36"/>
      <c r="C4" s="9"/>
      <c r="D4" s="4" t="s">
        <v>10</v>
      </c>
      <c r="E4" s="2">
        <f>+H49</f>
        <v>3084132</v>
      </c>
      <c r="F4" s="157">
        <f t="shared" si="0"/>
        <v>48760.980237154152</v>
      </c>
      <c r="G4" s="6"/>
      <c r="H4" s="10"/>
      <c r="I4" s="10"/>
    </row>
    <row r="5" spans="1:11" x14ac:dyDescent="0.3">
      <c r="A5" s="11"/>
      <c r="B5" s="37"/>
      <c r="C5" s="12"/>
      <c r="D5" s="4"/>
      <c r="E5" s="13">
        <f>SUM(E1:E4)</f>
        <v>14071320</v>
      </c>
      <c r="F5" s="157">
        <f>+E5/63.25</f>
        <v>222471.4624505929</v>
      </c>
      <c r="G5" s="14">
        <f>SUM(F1:F4)</f>
        <v>222471.46245059287</v>
      </c>
      <c r="H5" s="15"/>
      <c r="I5" s="15"/>
    </row>
    <row r="6" spans="1:11" ht="17.25" customHeight="1" x14ac:dyDescent="0.3">
      <c r="A6" s="16" t="s">
        <v>1</v>
      </c>
      <c r="B6" s="38" t="s">
        <v>16</v>
      </c>
      <c r="C6" s="16" t="s">
        <v>2</v>
      </c>
      <c r="D6" s="18" t="s">
        <v>3</v>
      </c>
      <c r="E6" s="16" t="s">
        <v>7</v>
      </c>
      <c r="F6" s="18" t="s">
        <v>8</v>
      </c>
      <c r="G6" s="18" t="s">
        <v>9</v>
      </c>
      <c r="H6" s="18" t="s">
        <v>10</v>
      </c>
      <c r="I6" s="18" t="s">
        <v>19</v>
      </c>
      <c r="J6" s="54" t="s">
        <v>18</v>
      </c>
      <c r="K6" s="58" t="s">
        <v>20</v>
      </c>
    </row>
    <row r="7" spans="1:11" ht="17.25" customHeight="1" x14ac:dyDescent="0.3">
      <c r="A7" s="19">
        <v>45659</v>
      </c>
      <c r="B7" s="39">
        <v>3</v>
      </c>
      <c r="C7" s="20" t="s">
        <v>4</v>
      </c>
      <c r="D7" s="22">
        <v>594297</v>
      </c>
      <c r="E7" s="21">
        <v>0</v>
      </c>
      <c r="F7" s="23"/>
      <c r="G7" s="24">
        <f>+D7</f>
        <v>594297</v>
      </c>
      <c r="H7" s="25"/>
      <c r="I7" s="26">
        <f>SUM(E7:H7)</f>
        <v>594297</v>
      </c>
      <c r="J7" s="55">
        <f>+D7/63.25</f>
        <v>9396</v>
      </c>
      <c r="K7" s="22">
        <f>SUM(I7:I9)</f>
        <v>1846127</v>
      </c>
    </row>
    <row r="8" spans="1:11" ht="17.25" customHeight="1" x14ac:dyDescent="0.3">
      <c r="A8" s="19">
        <v>45673</v>
      </c>
      <c r="B8" s="39">
        <v>2</v>
      </c>
      <c r="C8" s="20" t="s">
        <v>6</v>
      </c>
      <c r="D8" s="22">
        <v>958350</v>
      </c>
      <c r="E8" s="21"/>
      <c r="F8" s="24">
        <f>+D8</f>
        <v>958350</v>
      </c>
      <c r="G8" s="24"/>
      <c r="H8" s="25"/>
      <c r="I8" s="26">
        <f t="shared" ref="I8:I9" si="1">SUM(E8:H8)</f>
        <v>958350</v>
      </c>
      <c r="J8" s="55">
        <f>+D8/63.25</f>
        <v>15151.778656126482</v>
      </c>
      <c r="K8" s="21"/>
    </row>
    <row r="9" spans="1:11" ht="17.25" customHeight="1" x14ac:dyDescent="0.3">
      <c r="A9" s="19">
        <v>45681</v>
      </c>
      <c r="B9" s="39">
        <v>3</v>
      </c>
      <c r="C9" s="20" t="s">
        <v>4</v>
      </c>
      <c r="D9" s="22">
        <v>293480</v>
      </c>
      <c r="E9" s="21"/>
      <c r="F9" s="23"/>
      <c r="G9" s="24">
        <f>+D9</f>
        <v>293480</v>
      </c>
      <c r="H9" s="25"/>
      <c r="I9" s="26">
        <f t="shared" si="1"/>
        <v>293480</v>
      </c>
      <c r="J9" s="55">
        <f>+D9/63.25</f>
        <v>4640</v>
      </c>
      <c r="K9" s="21"/>
    </row>
    <row r="10" spans="1:11" ht="17.25" customHeight="1" x14ac:dyDescent="0.3">
      <c r="A10" s="16"/>
      <c r="B10" s="38"/>
      <c r="C10" s="16"/>
      <c r="D10" s="17"/>
      <c r="E10" s="16"/>
      <c r="F10" s="18"/>
      <c r="G10" s="17"/>
      <c r="H10" s="18"/>
      <c r="I10" s="47"/>
      <c r="J10" s="56"/>
      <c r="K10" s="56"/>
    </row>
    <row r="11" spans="1:11" ht="17.25" customHeight="1" x14ac:dyDescent="0.3">
      <c r="A11" s="48">
        <v>45713</v>
      </c>
      <c r="B11" s="40">
        <v>3</v>
      </c>
      <c r="C11" s="49" t="s">
        <v>40</v>
      </c>
      <c r="D11" s="22">
        <v>40200</v>
      </c>
      <c r="E11" s="21"/>
      <c r="F11" s="24"/>
      <c r="G11" s="24">
        <f>+D11</f>
        <v>40200</v>
      </c>
      <c r="H11" s="25"/>
      <c r="I11" s="26">
        <f>+D11</f>
        <v>40200</v>
      </c>
      <c r="J11" s="55">
        <f>+D11/67</f>
        <v>600</v>
      </c>
      <c r="K11" s="57">
        <f>+I11</f>
        <v>40200</v>
      </c>
    </row>
    <row r="12" spans="1:11" ht="17.25" customHeight="1" x14ac:dyDescent="0.3">
      <c r="A12" s="42"/>
      <c r="B12" s="50"/>
      <c r="C12" s="51"/>
      <c r="D12" s="44"/>
      <c r="E12" s="43"/>
      <c r="F12" s="45"/>
      <c r="G12" s="45"/>
      <c r="H12" s="46"/>
      <c r="I12" s="47"/>
      <c r="J12" s="56"/>
      <c r="K12" s="56"/>
    </row>
    <row r="13" spans="1:11" ht="17.25" customHeight="1" x14ac:dyDescent="0.3">
      <c r="A13" s="19">
        <v>45720</v>
      </c>
      <c r="B13" s="39">
        <v>3</v>
      </c>
      <c r="C13" s="20" t="s">
        <v>4</v>
      </c>
      <c r="D13" s="22">
        <v>751171</v>
      </c>
      <c r="E13" s="21"/>
      <c r="F13" s="21"/>
      <c r="G13" s="24">
        <f>+D13</f>
        <v>751171</v>
      </c>
      <c r="H13" s="25"/>
      <c r="I13" s="26">
        <f>SUM(E13:H13)</f>
        <v>751171</v>
      </c>
      <c r="J13" s="55">
        <f>+D13/63.25</f>
        <v>11876.221343873518</v>
      </c>
      <c r="K13" s="22">
        <f>SUM(D13:D16)</f>
        <v>2299693</v>
      </c>
    </row>
    <row r="14" spans="1:11" ht="17.25" customHeight="1" x14ac:dyDescent="0.3">
      <c r="A14" s="19">
        <v>45740</v>
      </c>
      <c r="B14" s="39">
        <v>4</v>
      </c>
      <c r="C14" s="20" t="s">
        <v>17</v>
      </c>
      <c r="D14" s="22">
        <f>6942*66</f>
        <v>458172</v>
      </c>
      <c r="E14" s="21"/>
      <c r="F14" s="21"/>
      <c r="G14" s="24"/>
      <c r="H14" s="25">
        <f>+D14</f>
        <v>458172</v>
      </c>
      <c r="I14" s="26">
        <f t="shared" ref="I14:I16" si="2">SUM(E14:H14)</f>
        <v>458172</v>
      </c>
      <c r="J14" s="55">
        <f>+D14/66</f>
        <v>6942</v>
      </c>
      <c r="K14" s="21"/>
    </row>
    <row r="15" spans="1:11" ht="17.25" customHeight="1" x14ac:dyDescent="0.3">
      <c r="A15" s="19">
        <v>45741</v>
      </c>
      <c r="B15" s="39">
        <v>2</v>
      </c>
      <c r="C15" s="20" t="s">
        <v>6</v>
      </c>
      <c r="D15" s="22">
        <v>958350</v>
      </c>
      <c r="E15" s="21"/>
      <c r="F15" s="22">
        <f>+D15</f>
        <v>958350</v>
      </c>
      <c r="G15" s="24"/>
      <c r="H15" s="25"/>
      <c r="I15" s="26">
        <f t="shared" si="2"/>
        <v>958350</v>
      </c>
      <c r="J15" s="55">
        <f>+D15/63.25</f>
        <v>15151.778656126482</v>
      </c>
      <c r="K15" s="21"/>
    </row>
    <row r="16" spans="1:11" ht="17.25" customHeight="1" x14ac:dyDescent="0.3">
      <c r="A16" s="19">
        <v>45741</v>
      </c>
      <c r="B16" s="39">
        <v>3</v>
      </c>
      <c r="C16" s="20" t="s">
        <v>4</v>
      </c>
      <c r="D16" s="22">
        <f>2000*66</f>
        <v>132000</v>
      </c>
      <c r="E16" s="21"/>
      <c r="F16" s="21"/>
      <c r="G16" s="24">
        <f>+D16</f>
        <v>132000</v>
      </c>
      <c r="H16" s="25"/>
      <c r="I16" s="26">
        <f t="shared" si="2"/>
        <v>132000</v>
      </c>
      <c r="J16" s="55">
        <f>+D16/66</f>
        <v>2000</v>
      </c>
      <c r="K16" s="21"/>
    </row>
    <row r="17" spans="1:11" ht="17.25" customHeight="1" x14ac:dyDescent="0.3">
      <c r="A17" s="42"/>
      <c r="B17" s="50"/>
      <c r="C17" s="51"/>
      <c r="D17" s="44"/>
      <c r="E17" s="43"/>
      <c r="F17" s="45"/>
      <c r="G17" s="45"/>
      <c r="H17" s="46"/>
      <c r="I17" s="47"/>
      <c r="J17" s="56"/>
      <c r="K17" s="56"/>
    </row>
    <row r="18" spans="1:11" ht="15.75" customHeight="1" x14ac:dyDescent="0.3">
      <c r="A18" s="19">
        <v>45763</v>
      </c>
      <c r="B18" s="39">
        <v>1</v>
      </c>
      <c r="C18" s="20" t="s">
        <v>26</v>
      </c>
      <c r="D18" s="22">
        <f>6950*67</f>
        <v>465650</v>
      </c>
      <c r="E18" s="22">
        <f>+D18</f>
        <v>465650</v>
      </c>
      <c r="F18" s="21"/>
      <c r="G18" s="22"/>
      <c r="H18" s="92"/>
      <c r="I18" s="158"/>
      <c r="J18" s="55">
        <v>6950</v>
      </c>
      <c r="K18" s="22">
        <f>SUM(D18:D20)</f>
        <v>923170</v>
      </c>
    </row>
    <row r="19" spans="1:11" ht="15.75" customHeight="1" x14ac:dyDescent="0.3">
      <c r="A19" s="19">
        <v>45763</v>
      </c>
      <c r="B19" s="39">
        <v>2</v>
      </c>
      <c r="C19" s="20" t="s">
        <v>27</v>
      </c>
      <c r="D19" s="22">
        <f>560*67</f>
        <v>37520</v>
      </c>
      <c r="E19" s="22"/>
      <c r="F19" s="22">
        <f>+D19</f>
        <v>37520</v>
      </c>
      <c r="G19" s="22"/>
      <c r="H19" s="92"/>
      <c r="I19" s="158"/>
      <c r="J19" s="55">
        <f>7*80</f>
        <v>560</v>
      </c>
      <c r="K19" s="21"/>
    </row>
    <row r="20" spans="1:11" ht="15.75" customHeight="1" x14ac:dyDescent="0.3">
      <c r="A20" s="19">
        <v>45777</v>
      </c>
      <c r="B20" s="39">
        <v>3</v>
      </c>
      <c r="C20" s="20" t="s">
        <v>28</v>
      </c>
      <c r="D20" s="22">
        <f>+'[1]Breakdown of Income'!$C$9</f>
        <v>420000</v>
      </c>
      <c r="E20" s="22"/>
      <c r="F20" s="94"/>
      <c r="G20" s="94">
        <f>+D20</f>
        <v>420000</v>
      </c>
      <c r="H20" s="95"/>
      <c r="I20" s="159"/>
      <c r="J20" s="55">
        <f>+G20/63.25</f>
        <v>6640.316205533597</v>
      </c>
      <c r="K20" s="21"/>
    </row>
    <row r="21" spans="1:11" ht="17.25" customHeight="1" x14ac:dyDescent="0.3">
      <c r="A21" s="42"/>
      <c r="B21" s="50"/>
      <c r="C21" s="51"/>
      <c r="D21" s="44"/>
      <c r="E21" s="44"/>
      <c r="F21" s="44"/>
      <c r="G21" s="44"/>
      <c r="H21" s="44"/>
      <c r="I21" s="44"/>
      <c r="J21" s="56"/>
      <c r="K21" s="56"/>
    </row>
    <row r="22" spans="1:11" ht="15.75" customHeight="1" x14ac:dyDescent="0.3">
      <c r="A22" s="19">
        <v>45800</v>
      </c>
      <c r="B22" s="39">
        <v>1</v>
      </c>
      <c r="C22" s="20" t="s">
        <v>30</v>
      </c>
      <c r="D22" s="22">
        <f>5000*62</f>
        <v>310000</v>
      </c>
      <c r="E22" s="22">
        <f>+D22</f>
        <v>310000</v>
      </c>
      <c r="F22" s="21"/>
      <c r="G22" s="22"/>
      <c r="H22" s="92"/>
      <c r="I22" s="158"/>
      <c r="J22" s="55">
        <v>5000</v>
      </c>
      <c r="K22" s="22">
        <f>SUM(D22:D24)</f>
        <v>1268350</v>
      </c>
    </row>
    <row r="23" spans="1:11" ht="17.25" customHeight="1" x14ac:dyDescent="0.3">
      <c r="A23" s="42"/>
      <c r="B23" s="50"/>
      <c r="C23" s="51"/>
      <c r="D23" s="44"/>
      <c r="E23" s="44"/>
      <c r="F23" s="44"/>
      <c r="G23" s="44"/>
      <c r="H23" s="44"/>
      <c r="I23" s="44"/>
      <c r="J23" s="56"/>
      <c r="K23" s="56"/>
    </row>
    <row r="24" spans="1:11" ht="15.75" customHeight="1" x14ac:dyDescent="0.3">
      <c r="A24" s="19">
        <v>45811</v>
      </c>
      <c r="B24" s="39">
        <v>1</v>
      </c>
      <c r="C24" s="20" t="s">
        <v>4</v>
      </c>
      <c r="D24" s="22">
        <v>958350</v>
      </c>
      <c r="E24" s="22"/>
      <c r="F24" s="21"/>
      <c r="G24" s="22">
        <f>+D24</f>
        <v>958350</v>
      </c>
      <c r="H24" s="92"/>
      <c r="I24" s="158"/>
      <c r="J24" s="55">
        <f>+D24/63.25</f>
        <v>15151.778656126482</v>
      </c>
      <c r="K24" s="22">
        <f>SUM(D24:D26)</f>
        <v>2865450</v>
      </c>
    </row>
    <row r="25" spans="1:11" ht="15.75" customHeight="1" x14ac:dyDescent="0.3">
      <c r="A25" s="19">
        <v>45828</v>
      </c>
      <c r="B25" s="39">
        <v>4</v>
      </c>
      <c r="C25" s="20" t="s">
        <v>31</v>
      </c>
      <c r="D25" s="22">
        <f>15000*63.25</f>
        <v>948750</v>
      </c>
      <c r="E25" s="22"/>
      <c r="F25" s="22"/>
      <c r="G25" s="22"/>
      <c r="H25" s="92">
        <f>+D25</f>
        <v>948750</v>
      </c>
      <c r="I25" s="158"/>
      <c r="J25" s="55">
        <f>+D25/63.25</f>
        <v>15000</v>
      </c>
      <c r="K25" s="21"/>
    </row>
    <row r="26" spans="1:11" ht="15.75" customHeight="1" x14ac:dyDescent="0.3">
      <c r="A26" s="19">
        <v>45829</v>
      </c>
      <c r="B26" s="39">
        <v>3</v>
      </c>
      <c r="C26" s="20" t="s">
        <v>6</v>
      </c>
      <c r="D26" s="22">
        <v>958350</v>
      </c>
      <c r="E26" s="22"/>
      <c r="F26" s="94">
        <f>+D26</f>
        <v>958350</v>
      </c>
      <c r="G26" s="94"/>
      <c r="H26" s="95"/>
      <c r="I26" s="159"/>
      <c r="J26" s="55">
        <f>+D26/63.25</f>
        <v>15151.778656126482</v>
      </c>
      <c r="K26" s="21"/>
    </row>
    <row r="27" spans="1:11" ht="17.25" customHeight="1" x14ac:dyDescent="0.3">
      <c r="A27" s="42"/>
      <c r="B27" s="50"/>
      <c r="C27" s="51"/>
      <c r="D27" s="44"/>
      <c r="E27" s="44"/>
      <c r="F27" s="44"/>
      <c r="G27" s="44"/>
      <c r="H27" s="44"/>
      <c r="I27" s="44"/>
      <c r="J27" s="56"/>
      <c r="K27" s="56"/>
    </row>
    <row r="28" spans="1:11" ht="15.75" customHeight="1" x14ac:dyDescent="0.3">
      <c r="A28" s="19">
        <v>45854</v>
      </c>
      <c r="B28" s="39">
        <v>1</v>
      </c>
      <c r="C28" s="20" t="s">
        <v>38</v>
      </c>
      <c r="D28" s="22">
        <f>+J28*67</f>
        <v>335000</v>
      </c>
      <c r="E28" s="22">
        <f>+D28</f>
        <v>335000</v>
      </c>
      <c r="F28" s="21"/>
      <c r="G28" s="22"/>
      <c r="H28" s="92"/>
      <c r="I28" s="158"/>
      <c r="J28" s="55">
        <v>5000</v>
      </c>
      <c r="K28" s="22">
        <f>SUM(D28:D290)</f>
        <v>7547805</v>
      </c>
    </row>
    <row r="29" spans="1:11" ht="15.75" customHeight="1" x14ac:dyDescent="0.3">
      <c r="A29" s="19">
        <v>45855</v>
      </c>
      <c r="B29" s="39">
        <v>4</v>
      </c>
      <c r="C29" s="20" t="s">
        <v>39</v>
      </c>
      <c r="D29" s="22">
        <f>1470*67</f>
        <v>98490</v>
      </c>
      <c r="E29" s="22"/>
      <c r="F29" s="22"/>
      <c r="G29" s="22"/>
      <c r="H29" s="92">
        <f>+D29</f>
        <v>98490</v>
      </c>
      <c r="I29" s="158"/>
      <c r="J29" s="55">
        <v>1470</v>
      </c>
      <c r="K29" s="21"/>
    </row>
    <row r="30" spans="1:11" ht="17.25" customHeight="1" x14ac:dyDescent="0.3">
      <c r="A30" s="42"/>
      <c r="B30" s="50"/>
      <c r="C30" s="51"/>
      <c r="D30" s="44"/>
      <c r="E30" s="44"/>
      <c r="F30" s="44"/>
      <c r="G30" s="44"/>
      <c r="H30" s="44"/>
      <c r="I30" s="44"/>
      <c r="J30" s="56"/>
      <c r="K30" s="56"/>
    </row>
    <row r="31" spans="1:11" ht="15.75" customHeight="1" x14ac:dyDescent="0.3">
      <c r="A31" s="19">
        <v>45880</v>
      </c>
      <c r="B31" s="39">
        <v>1</v>
      </c>
      <c r="C31" s="124" t="s">
        <v>41</v>
      </c>
      <c r="D31" s="22">
        <f>+J31*68</f>
        <v>68000</v>
      </c>
      <c r="E31" s="22">
        <f>+D31</f>
        <v>68000</v>
      </c>
      <c r="F31" s="21"/>
      <c r="G31" s="22"/>
      <c r="H31" s="92"/>
      <c r="I31" s="158"/>
      <c r="J31" s="55">
        <v>1000</v>
      </c>
      <c r="K31" s="22">
        <f>SUM(D31:D293)</f>
        <v>7114315</v>
      </c>
    </row>
    <row r="32" spans="1:11" ht="15.75" customHeight="1" x14ac:dyDescent="0.3">
      <c r="A32" s="19">
        <v>45894</v>
      </c>
      <c r="B32" s="39">
        <v>2</v>
      </c>
      <c r="C32" s="124" t="s">
        <v>79</v>
      </c>
      <c r="D32" s="22">
        <f>+J32*68</f>
        <v>119000</v>
      </c>
      <c r="E32" s="22"/>
      <c r="F32" s="22">
        <f>+D32</f>
        <v>119000</v>
      </c>
      <c r="G32" s="22"/>
      <c r="H32" s="92"/>
      <c r="I32" s="158"/>
      <c r="J32" s="55">
        <f>1250+500</f>
        <v>1750</v>
      </c>
      <c r="K32" s="22"/>
    </row>
    <row r="33" spans="1:11" ht="17.25" customHeight="1" x14ac:dyDescent="0.3">
      <c r="A33" s="42"/>
      <c r="B33" s="50"/>
      <c r="C33" s="51"/>
      <c r="D33" s="44"/>
      <c r="E33" s="44"/>
      <c r="F33" s="44"/>
      <c r="G33" s="44"/>
      <c r="H33" s="44"/>
      <c r="I33" s="44"/>
      <c r="J33" s="56"/>
      <c r="K33" s="56"/>
    </row>
    <row r="34" spans="1:11" ht="17.25" customHeight="1" x14ac:dyDescent="0.3">
      <c r="A34" s="19">
        <v>45912</v>
      </c>
      <c r="B34" s="39">
        <v>3</v>
      </c>
      <c r="C34" s="20" t="s">
        <v>4</v>
      </c>
      <c r="D34" s="22">
        <v>638900</v>
      </c>
      <c r="E34" s="21"/>
      <c r="F34" s="21"/>
      <c r="G34" s="24">
        <f>+D34</f>
        <v>638900</v>
      </c>
      <c r="H34" s="25"/>
      <c r="I34" s="26">
        <f>SUM(E34:H34)</f>
        <v>638900</v>
      </c>
      <c r="J34" s="55">
        <f>+D34/63.25</f>
        <v>10101.185770750988</v>
      </c>
      <c r="K34" s="22">
        <f>SUM(D34:D37)</f>
        <v>1641540</v>
      </c>
    </row>
    <row r="35" spans="1:11" ht="15.75" customHeight="1" x14ac:dyDescent="0.3">
      <c r="A35" s="19">
        <v>45922</v>
      </c>
      <c r="B35" s="39">
        <v>4</v>
      </c>
      <c r="C35" s="124" t="s">
        <v>45</v>
      </c>
      <c r="D35" s="22">
        <v>60720</v>
      </c>
      <c r="E35" s="22"/>
      <c r="F35" s="22"/>
      <c r="G35" s="22"/>
      <c r="H35" s="92">
        <f>+D35</f>
        <v>60720</v>
      </c>
      <c r="I35" s="158"/>
      <c r="J35" s="55">
        <f>+D35/69</f>
        <v>880</v>
      </c>
      <c r="K35" s="22"/>
    </row>
    <row r="36" spans="1:11" ht="17.25" customHeight="1" x14ac:dyDescent="0.3">
      <c r="A36" s="42"/>
      <c r="B36" s="50"/>
      <c r="C36" s="51"/>
      <c r="D36" s="44"/>
      <c r="E36" s="44"/>
      <c r="F36" s="44"/>
      <c r="G36" s="44"/>
      <c r="H36" s="44"/>
      <c r="I36" s="44"/>
      <c r="J36" s="56"/>
      <c r="K36" s="56"/>
    </row>
    <row r="37" spans="1:11" ht="15.75" customHeight="1" x14ac:dyDescent="0.3">
      <c r="A37" s="19">
        <v>45940</v>
      </c>
      <c r="B37" s="160">
        <v>2</v>
      </c>
      <c r="C37" s="161" t="s">
        <v>80</v>
      </c>
      <c r="D37" s="22">
        <f>617120+324800</f>
        <v>941920</v>
      </c>
      <c r="E37" s="21"/>
      <c r="F37" s="22">
        <f>+D37</f>
        <v>941920</v>
      </c>
      <c r="G37" s="22"/>
      <c r="H37" s="21"/>
      <c r="I37" s="21"/>
      <c r="J37" s="55">
        <f>+D37/63.25</f>
        <v>14892.01581027668</v>
      </c>
      <c r="K37" s="22">
        <f>SUM(D37:D39)</f>
        <v>2112970</v>
      </c>
    </row>
    <row r="38" spans="1:11" ht="15.75" customHeight="1" x14ac:dyDescent="0.3">
      <c r="A38" s="19">
        <v>45953</v>
      </c>
      <c r="B38" s="160">
        <v>3</v>
      </c>
      <c r="C38" s="161" t="s">
        <v>92</v>
      </c>
      <c r="D38" s="22">
        <v>222300</v>
      </c>
      <c r="E38" s="21"/>
      <c r="F38" s="22"/>
      <c r="G38" s="22">
        <f>57000*3.9</f>
        <v>222300</v>
      </c>
      <c r="H38" s="21"/>
      <c r="I38" s="21"/>
      <c r="J38" s="55">
        <v>3000</v>
      </c>
      <c r="K38" s="21"/>
    </row>
    <row r="39" spans="1:11" ht="15.75" customHeight="1" x14ac:dyDescent="0.3">
      <c r="A39" s="19">
        <v>45954</v>
      </c>
      <c r="B39" s="160">
        <v>4</v>
      </c>
      <c r="C39" s="20" t="s">
        <v>31</v>
      </c>
      <c r="D39" s="22">
        <f>15000*63.25</f>
        <v>948750</v>
      </c>
      <c r="E39" s="21"/>
      <c r="F39" s="22"/>
      <c r="G39" s="22"/>
      <c r="H39" s="22">
        <f>15000*63.25</f>
        <v>948750</v>
      </c>
      <c r="I39" s="21"/>
      <c r="J39" s="55">
        <f>+H39/63.25</f>
        <v>15000</v>
      </c>
      <c r="K39" s="21"/>
    </row>
    <row r="40" spans="1:11" ht="17.25" customHeight="1" x14ac:dyDescent="0.3">
      <c r="A40" s="42"/>
      <c r="B40" s="50"/>
      <c r="C40" s="51"/>
      <c r="D40" s="44"/>
      <c r="E40" s="44"/>
      <c r="F40" s="44"/>
      <c r="G40" s="44"/>
      <c r="H40" s="44"/>
      <c r="I40" s="44"/>
      <c r="J40" s="56"/>
      <c r="K40" s="56"/>
    </row>
    <row r="41" spans="1:11" ht="15.75" customHeight="1" x14ac:dyDescent="0.3">
      <c r="A41" s="19">
        <v>45979</v>
      </c>
      <c r="B41" s="160">
        <v>3</v>
      </c>
      <c r="C41" s="161" t="s">
        <v>4</v>
      </c>
      <c r="D41" s="22">
        <v>948750</v>
      </c>
      <c r="E41" s="21"/>
      <c r="F41" s="22"/>
      <c r="G41" s="22">
        <f>+D41</f>
        <v>948750</v>
      </c>
      <c r="H41" s="21"/>
      <c r="I41" s="21"/>
      <c r="J41" s="55">
        <f>+D41/63.25</f>
        <v>15000</v>
      </c>
      <c r="K41" s="22">
        <f>SUM(D41:D44)</f>
        <v>1522150</v>
      </c>
    </row>
    <row r="42" spans="1:11" ht="15.75" customHeight="1" x14ac:dyDescent="0.3">
      <c r="A42" s="19">
        <v>45980</v>
      </c>
      <c r="B42" s="160">
        <v>2</v>
      </c>
      <c r="C42" s="161" t="s">
        <v>89</v>
      </c>
      <c r="D42" s="22">
        <f>320*70</f>
        <v>22400</v>
      </c>
      <c r="E42" s="21"/>
      <c r="F42" s="22">
        <f>+D42</f>
        <v>22400</v>
      </c>
      <c r="G42" s="22"/>
      <c r="H42" s="21"/>
      <c r="I42" s="21"/>
      <c r="J42" s="55">
        <v>320</v>
      </c>
      <c r="K42" s="22"/>
    </row>
    <row r="43" spans="1:11" ht="15.75" customHeight="1" x14ac:dyDescent="0.3">
      <c r="A43" s="19">
        <v>45986</v>
      </c>
      <c r="B43" s="160">
        <v>1</v>
      </c>
      <c r="C43" s="161" t="s">
        <v>86</v>
      </c>
      <c r="D43" s="22">
        <f>551000</f>
        <v>551000</v>
      </c>
      <c r="E43" s="22">
        <f>+D43</f>
        <v>551000</v>
      </c>
      <c r="F43" s="22"/>
      <c r="G43" s="22"/>
      <c r="H43" s="21"/>
      <c r="I43" s="21"/>
      <c r="J43" s="55">
        <f>+D43/63.25</f>
        <v>8711.4624505928859</v>
      </c>
      <c r="K43" s="21"/>
    </row>
    <row r="44" spans="1:11" ht="17.25" customHeight="1" x14ac:dyDescent="0.3">
      <c r="A44" s="42"/>
      <c r="B44" s="50"/>
      <c r="C44" s="51"/>
      <c r="D44" s="44"/>
      <c r="E44" s="44"/>
      <c r="F44" s="44"/>
      <c r="G44" s="44"/>
      <c r="H44" s="44"/>
      <c r="I44" s="44"/>
      <c r="J44" s="56"/>
      <c r="K44" s="56"/>
    </row>
    <row r="45" spans="1:11" ht="15.75" customHeight="1" x14ac:dyDescent="0.3">
      <c r="A45" s="19">
        <v>46007</v>
      </c>
      <c r="B45" s="160">
        <v>2</v>
      </c>
      <c r="C45" s="161" t="s">
        <v>89</v>
      </c>
      <c r="D45" s="22">
        <f>800*69</f>
        <v>55200</v>
      </c>
      <c r="E45" s="21"/>
      <c r="F45" s="22">
        <f>+D45</f>
        <v>55200</v>
      </c>
      <c r="G45" s="22"/>
      <c r="H45" s="21"/>
      <c r="I45" s="21"/>
      <c r="J45" s="55">
        <v>800</v>
      </c>
      <c r="K45" s="22"/>
    </row>
    <row r="46" spans="1:11" ht="15.75" customHeight="1" x14ac:dyDescent="0.3">
      <c r="A46" s="19">
        <v>46020</v>
      </c>
      <c r="B46" s="160">
        <v>1</v>
      </c>
      <c r="C46" s="161" t="s">
        <v>106</v>
      </c>
      <c r="D46" s="22">
        <f>3000*69</f>
        <v>207000</v>
      </c>
      <c r="E46" s="22">
        <f>+D46</f>
        <v>207000</v>
      </c>
      <c r="F46" s="22"/>
      <c r="G46" s="22"/>
      <c r="H46" s="21"/>
      <c r="I46" s="21"/>
      <c r="J46" s="55">
        <v>3000</v>
      </c>
      <c r="K46" s="22"/>
    </row>
    <row r="47" spans="1:11" ht="15.75" customHeight="1" x14ac:dyDescent="0.3">
      <c r="A47" s="19">
        <v>46020</v>
      </c>
      <c r="B47" s="160">
        <v>3</v>
      </c>
      <c r="C47" s="161" t="s">
        <v>93</v>
      </c>
      <c r="D47" s="22"/>
      <c r="E47" s="22"/>
      <c r="F47" s="22"/>
      <c r="G47" s="22">
        <f>+D47</f>
        <v>0</v>
      </c>
      <c r="H47" s="21"/>
      <c r="I47" s="21"/>
      <c r="J47" s="55"/>
      <c r="K47" s="22"/>
    </row>
    <row r="48" spans="1:11" ht="15.75" customHeight="1" x14ac:dyDescent="0.3">
      <c r="A48" s="19">
        <v>46020</v>
      </c>
      <c r="B48" s="160">
        <v>4</v>
      </c>
      <c r="C48" s="161" t="s">
        <v>107</v>
      </c>
      <c r="D48" s="22">
        <f>9000*63.25</f>
        <v>569250</v>
      </c>
      <c r="E48" s="22"/>
      <c r="F48" s="22"/>
      <c r="G48" s="22"/>
      <c r="H48" s="22">
        <f>+D48</f>
        <v>569250</v>
      </c>
      <c r="I48" s="21"/>
      <c r="J48" s="55">
        <v>9000</v>
      </c>
      <c r="K48" s="22"/>
    </row>
    <row r="49" spans="1:11" ht="17.25" customHeight="1" x14ac:dyDescent="0.3">
      <c r="A49" s="42"/>
      <c r="B49" s="50"/>
      <c r="C49" s="51"/>
      <c r="D49" s="44"/>
      <c r="E49" s="44">
        <f t="shared" ref="E49:J49" si="3">SUM(E7:E48)</f>
        <v>1936650</v>
      </c>
      <c r="F49" s="44">
        <f t="shared" si="3"/>
        <v>4051090</v>
      </c>
      <c r="G49" s="44">
        <f t="shared" si="3"/>
        <v>4999448</v>
      </c>
      <c r="H49" s="44">
        <f t="shared" si="3"/>
        <v>3084132</v>
      </c>
      <c r="I49" s="44">
        <f t="shared" si="3"/>
        <v>4824920</v>
      </c>
      <c r="J49" s="56">
        <f t="shared" si="3"/>
        <v>220136.31620553357</v>
      </c>
      <c r="K49" s="44">
        <f>SUM(D50:D51)</f>
        <v>1761125</v>
      </c>
    </row>
    <row r="50" spans="1:11" ht="17.25" customHeight="1" x14ac:dyDescent="0.3">
      <c r="A50" s="311">
        <v>46031</v>
      </c>
      <c r="B50" s="312">
        <v>2</v>
      </c>
      <c r="C50" s="315" t="s">
        <v>169</v>
      </c>
      <c r="D50" s="313">
        <f>SUM('[2]BIM Bank Control Mtn'!$G$15:$G$17)</f>
        <v>948750</v>
      </c>
      <c r="E50" s="313"/>
      <c r="F50" s="313">
        <f>+D50</f>
        <v>948750</v>
      </c>
      <c r="G50" s="313"/>
      <c r="H50" s="313"/>
      <c r="I50" s="313"/>
      <c r="J50" s="314">
        <f>+D50/63.25</f>
        <v>15000</v>
      </c>
      <c r="K50" s="314"/>
    </row>
    <row r="51" spans="1:11" ht="15.75" customHeight="1" x14ac:dyDescent="0.3">
      <c r="A51" s="19">
        <v>46038</v>
      </c>
      <c r="B51" s="160">
        <v>1</v>
      </c>
      <c r="C51" s="161" t="s">
        <v>167</v>
      </c>
      <c r="D51" s="22">
        <f>+J51*67</f>
        <v>812375</v>
      </c>
      <c r="E51" s="22">
        <f>+D51</f>
        <v>812375</v>
      </c>
      <c r="F51" s="22"/>
      <c r="G51" s="22"/>
      <c r="H51" s="21"/>
      <c r="I51" s="21"/>
      <c r="J51" s="55">
        <f>+'[3]LANDCO US$ CASH'!$E$20</f>
        <v>12125</v>
      </c>
      <c r="K51" s="22"/>
    </row>
    <row r="52" spans="1:11" ht="15.75" customHeight="1" x14ac:dyDescent="0.3"/>
    <row r="53" spans="1:11" ht="15.75" customHeight="1" x14ac:dyDescent="0.3"/>
    <row r="54" spans="1:11" ht="15.75" customHeight="1" x14ac:dyDescent="0.3"/>
    <row r="55" spans="1:11" ht="15.75" customHeight="1" x14ac:dyDescent="0.3"/>
    <row r="56" spans="1:11" ht="15.75" customHeight="1" x14ac:dyDescent="0.3"/>
    <row r="57" spans="1:11" ht="15.75" customHeight="1" x14ac:dyDescent="0.3"/>
    <row r="58" spans="1:11" ht="15.75" customHeight="1" x14ac:dyDescent="0.3"/>
    <row r="59" spans="1:11" ht="15.75" customHeight="1" x14ac:dyDescent="0.3"/>
    <row r="60" spans="1:11" ht="15.75" customHeight="1" x14ac:dyDescent="0.3"/>
    <row r="61" spans="1:11" ht="15.75" customHeight="1" x14ac:dyDescent="0.3"/>
    <row r="62" spans="1:11" ht="15.75" customHeight="1" x14ac:dyDescent="0.3"/>
    <row r="63" spans="1:11" ht="15.75" customHeight="1" x14ac:dyDescent="0.3"/>
    <row r="64" spans="1:11" ht="15.75" customHeight="1" x14ac:dyDescent="0.3"/>
    <row r="65" spans="1:9" ht="15.75" customHeight="1" x14ac:dyDescent="0.3"/>
    <row r="66" spans="1:9" ht="15.75" customHeight="1" x14ac:dyDescent="0.3"/>
    <row r="67" spans="1:9" ht="15.75" customHeight="1" x14ac:dyDescent="0.3"/>
    <row r="68" spans="1:9" ht="15.75" customHeight="1" x14ac:dyDescent="0.3">
      <c r="A68" s="5"/>
      <c r="B68" s="35"/>
      <c r="C68" s="4"/>
      <c r="I68" s="27"/>
    </row>
    <row r="69" spans="1:9" ht="15.75" customHeight="1" x14ac:dyDescent="0.3">
      <c r="A69" s="5"/>
      <c r="B69" s="35"/>
      <c r="C69" s="4"/>
      <c r="I69" s="27"/>
    </row>
    <row r="70" spans="1:9" ht="15.75" customHeight="1" x14ac:dyDescent="0.3">
      <c r="A70" s="5"/>
      <c r="B70" s="35"/>
      <c r="C70" s="4"/>
      <c r="I70" s="27"/>
    </row>
    <row r="71" spans="1:9" ht="15.75" customHeight="1" x14ac:dyDescent="0.3">
      <c r="A71" s="5"/>
      <c r="B71" s="35"/>
      <c r="C71" s="4"/>
      <c r="I71" s="27"/>
    </row>
    <row r="72" spans="1:9" ht="15.75" customHeight="1" x14ac:dyDescent="0.3">
      <c r="A72" s="5"/>
      <c r="B72" s="35"/>
      <c r="C72" s="4"/>
      <c r="I72" s="27"/>
    </row>
    <row r="73" spans="1:9" ht="15.75" customHeight="1" x14ac:dyDescent="0.3">
      <c r="A73" s="5"/>
      <c r="B73" s="35"/>
      <c r="C73" s="4"/>
      <c r="I73" s="27"/>
    </row>
    <row r="74" spans="1:9" ht="15.75" customHeight="1" x14ac:dyDescent="0.3">
      <c r="A74" s="5"/>
      <c r="B74" s="35"/>
      <c r="C74" s="4"/>
      <c r="I74" s="27"/>
    </row>
    <row r="75" spans="1:9" ht="15.75" customHeight="1" x14ac:dyDescent="0.3">
      <c r="A75" s="5"/>
      <c r="B75" s="35"/>
      <c r="C75" s="4"/>
      <c r="I75" s="27"/>
    </row>
    <row r="76" spans="1:9" ht="15.75" customHeight="1" x14ac:dyDescent="0.3">
      <c r="A76" s="5"/>
      <c r="B76" s="35"/>
      <c r="C76" s="4"/>
      <c r="I76" s="27"/>
    </row>
    <row r="77" spans="1:9" ht="15.75" customHeight="1" x14ac:dyDescent="0.3">
      <c r="A77" s="5"/>
      <c r="B77" s="35"/>
      <c r="C77" s="4"/>
      <c r="I77" s="27"/>
    </row>
    <row r="78" spans="1:9" ht="15.75" customHeight="1" x14ac:dyDescent="0.3">
      <c r="A78" s="5"/>
      <c r="B78" s="35"/>
      <c r="C78" s="4"/>
      <c r="I78" s="27"/>
    </row>
    <row r="79" spans="1:9" ht="15.75" customHeight="1" x14ac:dyDescent="0.3">
      <c r="A79" s="5"/>
      <c r="B79" s="35"/>
      <c r="C79" s="4"/>
      <c r="I79" s="27"/>
    </row>
    <row r="80" spans="1:9" ht="15.75" customHeight="1" x14ac:dyDescent="0.3">
      <c r="A80" s="5"/>
      <c r="B80" s="35"/>
      <c r="C80" s="4"/>
      <c r="I80" s="27"/>
    </row>
    <row r="81" spans="1:9" ht="15.75" customHeight="1" x14ac:dyDescent="0.3">
      <c r="A81" s="5"/>
      <c r="B81" s="35"/>
      <c r="C81" s="4"/>
      <c r="I81" s="27"/>
    </row>
    <row r="82" spans="1:9" ht="15.75" customHeight="1" x14ac:dyDescent="0.3">
      <c r="A82" s="5"/>
      <c r="B82" s="35"/>
      <c r="C82" s="4"/>
      <c r="I82" s="27"/>
    </row>
    <row r="83" spans="1:9" ht="15.75" customHeight="1" x14ac:dyDescent="0.3">
      <c r="A83" s="5"/>
      <c r="B83" s="35"/>
      <c r="C83" s="4"/>
      <c r="I83" s="27"/>
    </row>
    <row r="84" spans="1:9" ht="15.75" customHeight="1" x14ac:dyDescent="0.3">
      <c r="A84" s="5"/>
      <c r="B84" s="35"/>
      <c r="C84" s="4"/>
      <c r="I84" s="27"/>
    </row>
    <row r="85" spans="1:9" ht="15.75" customHeight="1" x14ac:dyDescent="0.3">
      <c r="A85" s="5"/>
      <c r="B85" s="35"/>
      <c r="C85" s="4"/>
      <c r="I85" s="27"/>
    </row>
    <row r="86" spans="1:9" ht="15.75" customHeight="1" x14ac:dyDescent="0.3">
      <c r="A86" s="5"/>
      <c r="B86" s="35"/>
      <c r="C86" s="4"/>
      <c r="I86" s="27"/>
    </row>
    <row r="87" spans="1:9" ht="15.75" customHeight="1" x14ac:dyDescent="0.3">
      <c r="A87" s="5"/>
      <c r="B87" s="35"/>
      <c r="C87" s="4"/>
      <c r="I87" s="27"/>
    </row>
    <row r="88" spans="1:9" ht="15.75" customHeight="1" x14ac:dyDescent="0.3">
      <c r="A88" s="5"/>
      <c r="B88" s="35"/>
      <c r="C88" s="4"/>
      <c r="I88" s="27"/>
    </row>
    <row r="89" spans="1:9" ht="15.75" customHeight="1" x14ac:dyDescent="0.3">
      <c r="A89" s="5"/>
      <c r="B89" s="35"/>
      <c r="C89" s="4"/>
      <c r="I89" s="27"/>
    </row>
    <row r="90" spans="1:9" ht="15.75" customHeight="1" x14ac:dyDescent="0.3">
      <c r="A90" s="5"/>
      <c r="B90" s="35"/>
      <c r="C90" s="4"/>
      <c r="I90" s="27"/>
    </row>
    <row r="91" spans="1:9" ht="15.75" customHeight="1" x14ac:dyDescent="0.3">
      <c r="A91" s="5"/>
      <c r="B91" s="35"/>
      <c r="C91" s="4"/>
      <c r="I91" s="27"/>
    </row>
    <row r="92" spans="1:9" ht="15.75" customHeight="1" x14ac:dyDescent="0.3">
      <c r="A92" s="5"/>
      <c r="B92" s="35"/>
      <c r="C92" s="4"/>
      <c r="I92" s="27"/>
    </row>
    <row r="93" spans="1:9" ht="15.75" customHeight="1" x14ac:dyDescent="0.3">
      <c r="A93" s="5"/>
      <c r="B93" s="35"/>
      <c r="C93" s="4"/>
      <c r="I93" s="27"/>
    </row>
    <row r="94" spans="1:9" ht="15.75" customHeight="1" x14ac:dyDescent="0.3">
      <c r="A94" s="5"/>
      <c r="B94" s="35"/>
      <c r="C94" s="4"/>
      <c r="I94" s="27"/>
    </row>
    <row r="95" spans="1:9" ht="15.75" customHeight="1" x14ac:dyDescent="0.3">
      <c r="A95" s="5"/>
      <c r="B95" s="35"/>
      <c r="C95" s="4"/>
      <c r="I95" s="27"/>
    </row>
    <row r="96" spans="1:9" ht="15.75" customHeight="1" x14ac:dyDescent="0.3">
      <c r="A96" s="5"/>
      <c r="B96" s="35"/>
      <c r="C96" s="4"/>
      <c r="I96" s="27"/>
    </row>
    <row r="97" spans="1:9" ht="15.75" customHeight="1" x14ac:dyDescent="0.3">
      <c r="A97" s="5"/>
      <c r="B97" s="35"/>
      <c r="C97" s="4"/>
      <c r="I97" s="27"/>
    </row>
    <row r="98" spans="1:9" ht="15.75" customHeight="1" x14ac:dyDescent="0.3">
      <c r="A98" s="5"/>
      <c r="B98" s="35"/>
      <c r="C98" s="4"/>
      <c r="I98" s="27"/>
    </row>
    <row r="99" spans="1:9" ht="15.75" customHeight="1" x14ac:dyDescent="0.3">
      <c r="A99" s="5"/>
      <c r="B99" s="35"/>
      <c r="C99" s="4"/>
      <c r="I99" s="27"/>
    </row>
    <row r="100" spans="1:9" ht="15.75" customHeight="1" x14ac:dyDescent="0.3">
      <c r="A100" s="5"/>
      <c r="B100" s="35"/>
      <c r="C100" s="4"/>
      <c r="I100" s="27"/>
    </row>
    <row r="101" spans="1:9" ht="15.75" customHeight="1" x14ac:dyDescent="0.3">
      <c r="A101" s="5"/>
      <c r="B101" s="35"/>
      <c r="C101" s="4"/>
      <c r="I101" s="27"/>
    </row>
    <row r="102" spans="1:9" ht="15.75" customHeight="1" x14ac:dyDescent="0.3">
      <c r="A102" s="5"/>
      <c r="B102" s="35"/>
      <c r="C102" s="4"/>
      <c r="I102" s="27"/>
    </row>
    <row r="103" spans="1:9" ht="15.75" customHeight="1" x14ac:dyDescent="0.3">
      <c r="A103" s="5"/>
      <c r="B103" s="35"/>
      <c r="C103" s="4"/>
      <c r="I103" s="27"/>
    </row>
    <row r="104" spans="1:9" ht="15.75" customHeight="1" x14ac:dyDescent="0.3">
      <c r="A104" s="5"/>
      <c r="B104" s="35"/>
      <c r="C104" s="4"/>
      <c r="I104" s="27"/>
    </row>
    <row r="105" spans="1:9" ht="15.75" customHeight="1" x14ac:dyDescent="0.3">
      <c r="A105" s="5"/>
      <c r="B105" s="35"/>
      <c r="C105" s="4"/>
      <c r="I105" s="27"/>
    </row>
    <row r="106" spans="1:9" ht="15.75" customHeight="1" x14ac:dyDescent="0.3">
      <c r="A106" s="5"/>
      <c r="B106" s="35"/>
      <c r="C106" s="4"/>
      <c r="I106" s="27"/>
    </row>
    <row r="107" spans="1:9" ht="15.75" customHeight="1" x14ac:dyDescent="0.3">
      <c r="A107" s="5"/>
      <c r="B107" s="35"/>
      <c r="C107" s="4"/>
      <c r="I107" s="27"/>
    </row>
    <row r="108" spans="1:9" ht="15.75" customHeight="1" x14ac:dyDescent="0.3">
      <c r="A108" s="5"/>
      <c r="B108" s="35"/>
      <c r="C108" s="4"/>
      <c r="I108" s="27"/>
    </row>
    <row r="109" spans="1:9" ht="15.75" customHeight="1" x14ac:dyDescent="0.3">
      <c r="A109" s="5"/>
      <c r="B109" s="35"/>
      <c r="C109" s="4"/>
      <c r="I109" s="27"/>
    </row>
    <row r="110" spans="1:9" ht="15.75" customHeight="1" x14ac:dyDescent="0.3">
      <c r="A110" s="5"/>
      <c r="B110" s="35"/>
      <c r="C110" s="4"/>
      <c r="I110" s="27"/>
    </row>
    <row r="111" spans="1:9" ht="15.75" customHeight="1" x14ac:dyDescent="0.3">
      <c r="A111" s="5"/>
      <c r="B111" s="35"/>
      <c r="C111" s="4"/>
      <c r="I111" s="27"/>
    </row>
    <row r="112" spans="1:9" ht="15.75" customHeight="1" x14ac:dyDescent="0.3">
      <c r="A112" s="5"/>
      <c r="B112" s="35"/>
      <c r="C112" s="4"/>
      <c r="I112" s="27"/>
    </row>
    <row r="113" spans="1:9" ht="15.75" customHeight="1" x14ac:dyDescent="0.3">
      <c r="A113" s="5"/>
      <c r="B113" s="35"/>
      <c r="C113" s="4"/>
      <c r="I113" s="27"/>
    </row>
    <row r="114" spans="1:9" ht="15.75" customHeight="1" x14ac:dyDescent="0.3">
      <c r="A114" s="5"/>
      <c r="B114" s="35"/>
      <c r="C114" s="4"/>
      <c r="I114" s="27"/>
    </row>
    <row r="115" spans="1:9" ht="15.75" customHeight="1" x14ac:dyDescent="0.3">
      <c r="A115" s="5"/>
      <c r="B115" s="35"/>
      <c r="C115" s="4"/>
      <c r="I115" s="27"/>
    </row>
    <row r="116" spans="1:9" ht="15.75" customHeight="1" x14ac:dyDescent="0.3">
      <c r="A116" s="5"/>
      <c r="B116" s="35"/>
      <c r="C116" s="4"/>
      <c r="I116" s="27"/>
    </row>
    <row r="117" spans="1:9" ht="15.75" customHeight="1" x14ac:dyDescent="0.3">
      <c r="A117" s="5"/>
      <c r="B117" s="35"/>
      <c r="C117" s="4"/>
      <c r="I117" s="27"/>
    </row>
    <row r="118" spans="1:9" ht="15.75" customHeight="1" x14ac:dyDescent="0.3">
      <c r="A118" s="5"/>
      <c r="B118" s="35"/>
      <c r="C118" s="4"/>
      <c r="I118" s="27"/>
    </row>
    <row r="119" spans="1:9" ht="15.75" customHeight="1" x14ac:dyDescent="0.3">
      <c r="A119" s="5"/>
      <c r="B119" s="35"/>
      <c r="C119" s="4"/>
      <c r="I119" s="27"/>
    </row>
    <row r="120" spans="1:9" ht="15.75" customHeight="1" x14ac:dyDescent="0.3">
      <c r="A120" s="5"/>
      <c r="B120" s="35"/>
      <c r="C120" s="4"/>
      <c r="I120" s="27"/>
    </row>
    <row r="121" spans="1:9" ht="15.75" customHeight="1" x14ac:dyDescent="0.3">
      <c r="A121" s="5"/>
      <c r="B121" s="35"/>
      <c r="C121" s="4"/>
      <c r="I121" s="27"/>
    </row>
    <row r="122" spans="1:9" ht="15.75" customHeight="1" x14ac:dyDescent="0.3">
      <c r="A122" s="5"/>
      <c r="B122" s="35"/>
      <c r="C122" s="4"/>
      <c r="I122" s="27"/>
    </row>
    <row r="123" spans="1:9" ht="15.75" customHeight="1" x14ac:dyDescent="0.3">
      <c r="A123" s="5"/>
      <c r="B123" s="35"/>
      <c r="C123" s="4"/>
      <c r="I123" s="27"/>
    </row>
    <row r="124" spans="1:9" ht="15.75" customHeight="1" x14ac:dyDescent="0.3">
      <c r="A124" s="5"/>
      <c r="B124" s="35"/>
      <c r="C124" s="4"/>
      <c r="I124" s="27"/>
    </row>
    <row r="125" spans="1:9" ht="15.75" customHeight="1" x14ac:dyDescent="0.3">
      <c r="A125" s="5"/>
      <c r="B125" s="35"/>
      <c r="C125" s="4"/>
      <c r="I125" s="27"/>
    </row>
    <row r="126" spans="1:9" ht="15.75" customHeight="1" x14ac:dyDescent="0.3">
      <c r="A126" s="5"/>
      <c r="B126" s="35"/>
      <c r="C126" s="4"/>
      <c r="I126" s="27"/>
    </row>
    <row r="127" spans="1:9" ht="15.75" customHeight="1" x14ac:dyDescent="0.3">
      <c r="A127" s="5"/>
      <c r="B127" s="35"/>
      <c r="C127" s="4"/>
      <c r="I127" s="27"/>
    </row>
    <row r="128" spans="1:9" ht="15.75" customHeight="1" x14ac:dyDescent="0.3">
      <c r="A128" s="5"/>
      <c r="B128" s="35"/>
      <c r="C128" s="4"/>
      <c r="I128" s="27"/>
    </row>
    <row r="129" spans="1:9" ht="15.75" customHeight="1" x14ac:dyDescent="0.3">
      <c r="A129" s="5"/>
      <c r="B129" s="35"/>
      <c r="C129" s="4"/>
      <c r="I129" s="27"/>
    </row>
    <row r="130" spans="1:9" ht="15.75" customHeight="1" x14ac:dyDescent="0.3">
      <c r="A130" s="5"/>
      <c r="B130" s="35"/>
      <c r="C130" s="4"/>
      <c r="I130" s="27"/>
    </row>
    <row r="131" spans="1:9" ht="15.75" customHeight="1" x14ac:dyDescent="0.3">
      <c r="A131" s="5"/>
      <c r="B131" s="35"/>
      <c r="C131" s="4"/>
      <c r="I131" s="27"/>
    </row>
    <row r="132" spans="1:9" ht="15.75" customHeight="1" x14ac:dyDescent="0.3">
      <c r="A132" s="5"/>
      <c r="B132" s="35"/>
      <c r="C132" s="4"/>
      <c r="I132" s="27"/>
    </row>
    <row r="133" spans="1:9" ht="15.75" customHeight="1" x14ac:dyDescent="0.3">
      <c r="A133" s="5"/>
      <c r="B133" s="35"/>
      <c r="C133" s="4"/>
      <c r="I133" s="27"/>
    </row>
    <row r="134" spans="1:9" ht="15.75" customHeight="1" x14ac:dyDescent="0.3">
      <c r="A134" s="5"/>
      <c r="B134" s="35"/>
      <c r="C134" s="4"/>
      <c r="I134" s="27"/>
    </row>
    <row r="135" spans="1:9" ht="15.75" customHeight="1" x14ac:dyDescent="0.3">
      <c r="A135" s="5"/>
      <c r="B135" s="35"/>
      <c r="C135" s="4"/>
      <c r="I135" s="27"/>
    </row>
    <row r="136" spans="1:9" ht="15.75" customHeight="1" x14ac:dyDescent="0.3">
      <c r="A136" s="5"/>
      <c r="B136" s="35"/>
      <c r="C136" s="4"/>
      <c r="I136" s="27"/>
    </row>
    <row r="137" spans="1:9" ht="15.75" customHeight="1" x14ac:dyDescent="0.3">
      <c r="A137" s="5"/>
      <c r="B137" s="35"/>
      <c r="C137" s="4"/>
      <c r="I137" s="27"/>
    </row>
    <row r="138" spans="1:9" ht="15.75" customHeight="1" x14ac:dyDescent="0.3">
      <c r="A138" s="5"/>
      <c r="B138" s="35"/>
      <c r="C138" s="4"/>
      <c r="I138" s="27"/>
    </row>
    <row r="139" spans="1:9" ht="15.75" customHeight="1" x14ac:dyDescent="0.3">
      <c r="A139" s="5"/>
      <c r="B139" s="35"/>
      <c r="C139" s="4"/>
      <c r="I139" s="27"/>
    </row>
    <row r="140" spans="1:9" ht="15.75" customHeight="1" x14ac:dyDescent="0.3">
      <c r="A140" s="5"/>
      <c r="B140" s="35"/>
      <c r="C140" s="4"/>
      <c r="I140" s="27"/>
    </row>
    <row r="141" spans="1:9" ht="15.75" customHeight="1" x14ac:dyDescent="0.3">
      <c r="A141" s="5"/>
      <c r="B141" s="35"/>
      <c r="C141" s="4"/>
      <c r="I141" s="27"/>
    </row>
    <row r="142" spans="1:9" ht="15.75" customHeight="1" x14ac:dyDescent="0.3">
      <c r="A142" s="5"/>
      <c r="B142" s="35"/>
      <c r="C142" s="4"/>
      <c r="I142" s="27"/>
    </row>
    <row r="143" spans="1:9" ht="15.75" customHeight="1" x14ac:dyDescent="0.3">
      <c r="A143" s="5"/>
      <c r="B143" s="35"/>
      <c r="C143" s="4"/>
      <c r="I143" s="27"/>
    </row>
    <row r="144" spans="1:9" ht="15.75" customHeight="1" x14ac:dyDescent="0.3">
      <c r="A144" s="5"/>
      <c r="B144" s="35"/>
      <c r="C144" s="4"/>
      <c r="I144" s="27"/>
    </row>
    <row r="145" spans="1:9" ht="15.75" customHeight="1" x14ac:dyDescent="0.3">
      <c r="A145" s="5"/>
      <c r="B145" s="35"/>
      <c r="C145" s="4"/>
      <c r="I145" s="27"/>
    </row>
    <row r="146" spans="1:9" ht="15.75" customHeight="1" x14ac:dyDescent="0.3">
      <c r="A146" s="5"/>
      <c r="B146" s="35"/>
      <c r="C146" s="4"/>
      <c r="I146" s="27"/>
    </row>
    <row r="147" spans="1:9" ht="15.75" customHeight="1" x14ac:dyDescent="0.3">
      <c r="A147" s="5"/>
      <c r="B147" s="35"/>
      <c r="C147" s="4"/>
      <c r="I147" s="27"/>
    </row>
    <row r="148" spans="1:9" ht="15.75" customHeight="1" x14ac:dyDescent="0.3">
      <c r="A148" s="5"/>
      <c r="B148" s="35"/>
      <c r="C148" s="4"/>
      <c r="I148" s="27"/>
    </row>
    <row r="149" spans="1:9" ht="15.75" customHeight="1" x14ac:dyDescent="0.3">
      <c r="A149" s="5"/>
      <c r="B149" s="35"/>
      <c r="C149" s="4"/>
      <c r="I149" s="27"/>
    </row>
    <row r="150" spans="1:9" ht="15.75" customHeight="1" x14ac:dyDescent="0.3">
      <c r="A150" s="5"/>
      <c r="B150" s="35"/>
      <c r="C150" s="4"/>
      <c r="I150" s="27"/>
    </row>
    <row r="151" spans="1:9" ht="15.75" customHeight="1" x14ac:dyDescent="0.3">
      <c r="A151" s="5"/>
      <c r="B151" s="35"/>
      <c r="C151" s="4"/>
      <c r="I151" s="27"/>
    </row>
    <row r="152" spans="1:9" ht="15.75" customHeight="1" x14ac:dyDescent="0.3">
      <c r="A152" s="5"/>
      <c r="B152" s="35"/>
      <c r="C152" s="4"/>
      <c r="I152" s="27"/>
    </row>
    <row r="153" spans="1:9" ht="15.75" customHeight="1" x14ac:dyDescent="0.3">
      <c r="A153" s="5"/>
      <c r="B153" s="35"/>
      <c r="C153" s="4"/>
      <c r="I153" s="27"/>
    </row>
    <row r="154" spans="1:9" ht="15.75" customHeight="1" x14ac:dyDescent="0.3">
      <c r="A154" s="5"/>
      <c r="B154" s="35"/>
      <c r="C154" s="4"/>
      <c r="I154" s="27"/>
    </row>
    <row r="155" spans="1:9" ht="15.75" customHeight="1" x14ac:dyDescent="0.3">
      <c r="A155" s="5"/>
      <c r="B155" s="35"/>
      <c r="C155" s="4"/>
      <c r="I155" s="27"/>
    </row>
    <row r="156" spans="1:9" ht="15.75" customHeight="1" x14ac:dyDescent="0.3">
      <c r="A156" s="5"/>
      <c r="B156" s="35"/>
      <c r="C156" s="4"/>
      <c r="I156" s="27"/>
    </row>
    <row r="157" spans="1:9" ht="15.75" customHeight="1" x14ac:dyDescent="0.3">
      <c r="A157" s="5"/>
      <c r="B157" s="35"/>
      <c r="C157" s="4"/>
      <c r="I157" s="27"/>
    </row>
    <row r="158" spans="1:9" ht="15.75" customHeight="1" x14ac:dyDescent="0.3">
      <c r="A158" s="5"/>
      <c r="B158" s="35"/>
      <c r="C158" s="4"/>
      <c r="I158" s="27"/>
    </row>
    <row r="159" spans="1:9" ht="15.75" customHeight="1" x14ac:dyDescent="0.3">
      <c r="A159" s="5"/>
      <c r="B159" s="35"/>
      <c r="C159" s="4"/>
      <c r="I159" s="27"/>
    </row>
    <row r="160" spans="1:9" ht="15.75" customHeight="1" x14ac:dyDescent="0.3">
      <c r="A160" s="5"/>
      <c r="B160" s="35"/>
      <c r="C160" s="4"/>
      <c r="I160" s="27"/>
    </row>
    <row r="161" spans="1:9" ht="15.75" customHeight="1" x14ac:dyDescent="0.3">
      <c r="A161" s="5"/>
      <c r="B161" s="35"/>
      <c r="C161" s="4"/>
      <c r="I161" s="27"/>
    </row>
    <row r="162" spans="1:9" ht="15.75" customHeight="1" x14ac:dyDescent="0.3">
      <c r="A162" s="5"/>
      <c r="B162" s="35"/>
      <c r="C162" s="4"/>
      <c r="I162" s="27"/>
    </row>
    <row r="163" spans="1:9" ht="15.75" customHeight="1" x14ac:dyDescent="0.3">
      <c r="A163" s="5"/>
      <c r="B163" s="35"/>
      <c r="C163" s="4"/>
      <c r="I163" s="27"/>
    </row>
    <row r="164" spans="1:9" ht="15.75" customHeight="1" x14ac:dyDescent="0.3">
      <c r="A164" s="5"/>
      <c r="B164" s="35"/>
      <c r="C164" s="4"/>
      <c r="I164" s="27"/>
    </row>
    <row r="165" spans="1:9" ht="15.75" customHeight="1" x14ac:dyDescent="0.3">
      <c r="A165" s="5"/>
      <c r="B165" s="35"/>
      <c r="C165" s="4"/>
      <c r="I165" s="27"/>
    </row>
    <row r="166" spans="1:9" ht="15.75" customHeight="1" x14ac:dyDescent="0.3">
      <c r="A166" s="5"/>
      <c r="B166" s="35"/>
      <c r="C166" s="4"/>
      <c r="I166" s="27"/>
    </row>
    <row r="167" spans="1:9" ht="15.75" customHeight="1" x14ac:dyDescent="0.3">
      <c r="A167" s="5"/>
      <c r="B167" s="35"/>
      <c r="C167" s="4"/>
      <c r="I167" s="27"/>
    </row>
    <row r="168" spans="1:9" ht="15.75" customHeight="1" x14ac:dyDescent="0.3">
      <c r="A168" s="5"/>
      <c r="B168" s="35"/>
      <c r="C168" s="4"/>
      <c r="I168" s="27"/>
    </row>
    <row r="169" spans="1:9" ht="15.75" customHeight="1" x14ac:dyDescent="0.3">
      <c r="A169" s="5"/>
      <c r="B169" s="35"/>
      <c r="C169" s="4"/>
      <c r="I169" s="27"/>
    </row>
    <row r="170" spans="1:9" ht="15.75" customHeight="1" x14ac:dyDescent="0.3">
      <c r="A170" s="5"/>
      <c r="B170" s="35"/>
      <c r="C170" s="4"/>
      <c r="I170" s="27"/>
    </row>
    <row r="171" spans="1:9" ht="15.75" customHeight="1" x14ac:dyDescent="0.3">
      <c r="A171" s="5"/>
      <c r="B171" s="35"/>
      <c r="C171" s="4"/>
      <c r="I171" s="27"/>
    </row>
    <row r="172" spans="1:9" ht="15.75" customHeight="1" x14ac:dyDescent="0.3">
      <c r="A172" s="5"/>
      <c r="B172" s="35"/>
      <c r="C172" s="4"/>
      <c r="I172" s="27"/>
    </row>
    <row r="173" spans="1:9" ht="15.75" customHeight="1" x14ac:dyDescent="0.3">
      <c r="A173" s="5"/>
      <c r="B173" s="35"/>
      <c r="C173" s="4"/>
      <c r="I173" s="27"/>
    </row>
    <row r="174" spans="1:9" ht="15.75" customHeight="1" x14ac:dyDescent="0.3">
      <c r="A174" s="5"/>
      <c r="B174" s="35"/>
      <c r="C174" s="4"/>
      <c r="I174" s="27"/>
    </row>
    <row r="175" spans="1:9" ht="15.75" customHeight="1" x14ac:dyDescent="0.3">
      <c r="A175" s="5"/>
      <c r="B175" s="35"/>
      <c r="C175" s="4"/>
      <c r="I175" s="27"/>
    </row>
    <row r="176" spans="1:9" ht="15.75" customHeight="1" x14ac:dyDescent="0.3">
      <c r="A176" s="5"/>
      <c r="B176" s="35"/>
      <c r="C176" s="4"/>
      <c r="I176" s="27"/>
    </row>
    <row r="177" spans="1:9" ht="15.75" customHeight="1" x14ac:dyDescent="0.3">
      <c r="A177" s="5"/>
      <c r="B177" s="35"/>
      <c r="C177" s="4"/>
      <c r="I177" s="27"/>
    </row>
    <row r="178" spans="1:9" ht="15.75" customHeight="1" x14ac:dyDescent="0.3">
      <c r="A178" s="5"/>
      <c r="B178" s="35"/>
      <c r="C178" s="4"/>
      <c r="I178" s="27"/>
    </row>
    <row r="179" spans="1:9" ht="15.75" customHeight="1" x14ac:dyDescent="0.3">
      <c r="A179" s="5"/>
      <c r="B179" s="35"/>
      <c r="C179" s="4"/>
      <c r="I179" s="27"/>
    </row>
    <row r="180" spans="1:9" ht="15.75" customHeight="1" x14ac:dyDescent="0.3">
      <c r="A180" s="5"/>
      <c r="B180" s="35"/>
      <c r="C180" s="4"/>
      <c r="I180" s="27"/>
    </row>
    <row r="181" spans="1:9" ht="15.75" customHeight="1" x14ac:dyDescent="0.3">
      <c r="A181" s="5"/>
      <c r="B181" s="35"/>
      <c r="C181" s="4"/>
      <c r="I181" s="27"/>
    </row>
    <row r="182" spans="1:9" ht="15.75" customHeight="1" x14ac:dyDescent="0.3">
      <c r="A182" s="5"/>
      <c r="B182" s="35"/>
      <c r="C182" s="4"/>
      <c r="I182" s="27"/>
    </row>
    <row r="183" spans="1:9" ht="15.75" customHeight="1" x14ac:dyDescent="0.3">
      <c r="A183" s="5"/>
      <c r="B183" s="35"/>
      <c r="C183" s="4"/>
      <c r="I183" s="27"/>
    </row>
    <row r="184" spans="1:9" ht="15.75" customHeight="1" x14ac:dyDescent="0.3">
      <c r="A184" s="5"/>
      <c r="B184" s="35"/>
      <c r="C184" s="4"/>
      <c r="I184" s="27"/>
    </row>
    <row r="185" spans="1:9" ht="15.75" customHeight="1" x14ac:dyDescent="0.3">
      <c r="A185" s="5"/>
      <c r="B185" s="35"/>
      <c r="C185" s="4"/>
      <c r="I185" s="27"/>
    </row>
    <row r="186" spans="1:9" ht="15.75" customHeight="1" x14ac:dyDescent="0.3">
      <c r="A186" s="5"/>
      <c r="B186" s="35"/>
      <c r="C186" s="4"/>
      <c r="I186" s="27"/>
    </row>
    <row r="187" spans="1:9" ht="15.75" customHeight="1" x14ac:dyDescent="0.3">
      <c r="A187" s="5"/>
      <c r="B187" s="35"/>
      <c r="C187" s="4"/>
      <c r="I187" s="27"/>
    </row>
    <row r="188" spans="1:9" ht="15.75" customHeight="1" x14ac:dyDescent="0.3">
      <c r="A188" s="5"/>
      <c r="B188" s="35"/>
      <c r="C188" s="4"/>
      <c r="I188" s="27"/>
    </row>
    <row r="189" spans="1:9" ht="15.75" customHeight="1" x14ac:dyDescent="0.3">
      <c r="A189" s="5"/>
      <c r="B189" s="35"/>
      <c r="C189" s="4"/>
      <c r="I189" s="27"/>
    </row>
    <row r="190" spans="1:9" ht="15.75" customHeight="1" x14ac:dyDescent="0.3">
      <c r="A190" s="5"/>
      <c r="B190" s="35"/>
      <c r="C190" s="4"/>
      <c r="I190" s="27"/>
    </row>
    <row r="191" spans="1:9" ht="15.75" customHeight="1" x14ac:dyDescent="0.3">
      <c r="A191" s="5"/>
      <c r="B191" s="35"/>
      <c r="C191" s="4"/>
      <c r="I191" s="27"/>
    </row>
    <row r="192" spans="1:9" ht="15.75" customHeight="1" x14ac:dyDescent="0.3">
      <c r="A192" s="5"/>
      <c r="B192" s="35"/>
      <c r="C192" s="4"/>
      <c r="I192" s="27"/>
    </row>
    <row r="193" spans="1:9" ht="15.75" customHeight="1" x14ac:dyDescent="0.3">
      <c r="A193" s="5"/>
      <c r="B193" s="35"/>
      <c r="C193" s="4"/>
      <c r="I193" s="27"/>
    </row>
    <row r="194" spans="1:9" ht="15.75" customHeight="1" x14ac:dyDescent="0.3">
      <c r="A194" s="5"/>
      <c r="B194" s="35"/>
      <c r="C194" s="4"/>
      <c r="I194" s="27"/>
    </row>
    <row r="195" spans="1:9" ht="15.75" customHeight="1" x14ac:dyDescent="0.3">
      <c r="A195" s="5"/>
      <c r="B195" s="35"/>
      <c r="C195" s="4"/>
      <c r="I195" s="27"/>
    </row>
    <row r="196" spans="1:9" ht="15.75" customHeight="1" x14ac:dyDescent="0.3">
      <c r="A196" s="5"/>
      <c r="B196" s="35"/>
      <c r="C196" s="4"/>
      <c r="I196" s="27"/>
    </row>
    <row r="197" spans="1:9" ht="15.75" customHeight="1" x14ac:dyDescent="0.3">
      <c r="A197" s="5"/>
      <c r="B197" s="35"/>
      <c r="C197" s="4"/>
      <c r="I197" s="27"/>
    </row>
    <row r="198" spans="1:9" ht="15.75" customHeight="1" x14ac:dyDescent="0.3">
      <c r="A198" s="5"/>
      <c r="B198" s="35"/>
      <c r="C198" s="4"/>
      <c r="I198" s="27"/>
    </row>
    <row r="199" spans="1:9" ht="15.75" customHeight="1" x14ac:dyDescent="0.3">
      <c r="A199" s="5"/>
      <c r="B199" s="35"/>
      <c r="C199" s="4"/>
      <c r="I199" s="27"/>
    </row>
    <row r="200" spans="1:9" ht="15.75" customHeight="1" x14ac:dyDescent="0.3">
      <c r="A200" s="5"/>
      <c r="B200" s="35"/>
      <c r="C200" s="4"/>
      <c r="I200" s="27"/>
    </row>
    <row r="201" spans="1:9" ht="15.75" customHeight="1" x14ac:dyDescent="0.3">
      <c r="A201" s="5"/>
      <c r="B201" s="35"/>
      <c r="C201" s="4"/>
      <c r="I201" s="27"/>
    </row>
    <row r="202" spans="1:9" ht="15.75" customHeight="1" x14ac:dyDescent="0.3">
      <c r="A202" s="5"/>
      <c r="B202" s="35"/>
      <c r="C202" s="4"/>
      <c r="I202" s="27"/>
    </row>
    <row r="203" spans="1:9" ht="15.75" customHeight="1" x14ac:dyDescent="0.3">
      <c r="A203" s="5"/>
      <c r="B203" s="35"/>
      <c r="C203" s="4"/>
      <c r="I203" s="27"/>
    </row>
    <row r="204" spans="1:9" ht="15.75" customHeight="1" x14ac:dyDescent="0.3">
      <c r="A204" s="5"/>
      <c r="B204" s="35"/>
      <c r="C204" s="4"/>
      <c r="I204" s="27"/>
    </row>
    <row r="205" spans="1:9" ht="15.75" customHeight="1" x14ac:dyDescent="0.3">
      <c r="A205" s="5"/>
      <c r="B205" s="35"/>
      <c r="C205" s="4"/>
      <c r="I205" s="27"/>
    </row>
    <row r="206" spans="1:9" ht="15.75" customHeight="1" x14ac:dyDescent="0.3">
      <c r="A206" s="5"/>
      <c r="B206" s="35"/>
      <c r="C206" s="4"/>
      <c r="I206" s="27"/>
    </row>
    <row r="207" spans="1:9" ht="15.75" customHeight="1" x14ac:dyDescent="0.3">
      <c r="A207" s="5"/>
      <c r="B207" s="35"/>
      <c r="C207" s="4"/>
      <c r="I207" s="27"/>
    </row>
    <row r="208" spans="1:9" ht="15.75" customHeight="1" x14ac:dyDescent="0.3">
      <c r="A208" s="5"/>
      <c r="B208" s="35"/>
      <c r="C208" s="4"/>
      <c r="I208" s="27"/>
    </row>
    <row r="209" spans="1:9" ht="15.75" customHeight="1" x14ac:dyDescent="0.3">
      <c r="A209" s="5"/>
      <c r="B209" s="35"/>
      <c r="C209" s="4"/>
      <c r="I209" s="27"/>
    </row>
    <row r="210" spans="1:9" ht="15.75" customHeight="1" x14ac:dyDescent="0.3">
      <c r="A210" s="5"/>
      <c r="B210" s="35"/>
      <c r="C210" s="4"/>
      <c r="I210" s="27"/>
    </row>
    <row r="211" spans="1:9" ht="15.75" customHeight="1" x14ac:dyDescent="0.3">
      <c r="A211" s="5"/>
      <c r="B211" s="35"/>
      <c r="C211" s="4"/>
      <c r="I211" s="27"/>
    </row>
    <row r="212" spans="1:9" ht="15.75" customHeight="1" x14ac:dyDescent="0.3">
      <c r="A212" s="5"/>
      <c r="B212" s="35"/>
      <c r="C212" s="4"/>
      <c r="I212" s="27"/>
    </row>
    <row r="213" spans="1:9" ht="15.75" customHeight="1" x14ac:dyDescent="0.3">
      <c r="A213" s="5"/>
      <c r="B213" s="35"/>
      <c r="C213" s="4"/>
      <c r="I213" s="27"/>
    </row>
    <row r="214" spans="1:9" ht="15.75" customHeight="1" x14ac:dyDescent="0.3">
      <c r="A214" s="5"/>
      <c r="B214" s="35"/>
      <c r="C214" s="4"/>
      <c r="I214" s="27"/>
    </row>
    <row r="215" spans="1:9" ht="15.75" customHeight="1" x14ac:dyDescent="0.3">
      <c r="A215" s="5"/>
      <c r="B215" s="35"/>
      <c r="C215" s="4"/>
      <c r="I215" s="27"/>
    </row>
    <row r="216" spans="1:9" ht="15.75" customHeight="1" x14ac:dyDescent="0.3">
      <c r="A216" s="5"/>
      <c r="B216" s="35"/>
      <c r="C216" s="4"/>
      <c r="I216" s="27"/>
    </row>
    <row r="217" spans="1:9" ht="15.75" customHeight="1" x14ac:dyDescent="0.3">
      <c r="A217" s="5"/>
      <c r="B217" s="35"/>
      <c r="C217" s="4"/>
      <c r="I217" s="27"/>
    </row>
    <row r="218" spans="1:9" ht="15.75" customHeight="1" x14ac:dyDescent="0.3">
      <c r="A218" s="5"/>
      <c r="B218" s="35"/>
      <c r="C218" s="4"/>
      <c r="I218" s="27"/>
    </row>
    <row r="219" spans="1:9" ht="15.75" customHeight="1" x14ac:dyDescent="0.3">
      <c r="A219" s="5"/>
      <c r="B219" s="35"/>
      <c r="C219" s="4"/>
      <c r="I219" s="27"/>
    </row>
    <row r="220" spans="1:9" ht="15.75" customHeight="1" x14ac:dyDescent="0.3">
      <c r="A220" s="5"/>
      <c r="B220" s="35"/>
      <c r="C220" s="4"/>
      <c r="I220" s="27"/>
    </row>
    <row r="221" spans="1:9" ht="15.75" customHeight="1" x14ac:dyDescent="0.3">
      <c r="A221" s="5"/>
      <c r="B221" s="35"/>
      <c r="C221" s="4"/>
      <c r="I221" s="27"/>
    </row>
    <row r="222" spans="1:9" ht="15.75" customHeight="1" x14ac:dyDescent="0.3">
      <c r="A222" s="5"/>
      <c r="B222" s="35"/>
      <c r="C222" s="4"/>
      <c r="I222" s="27"/>
    </row>
    <row r="223" spans="1:9" ht="15.75" customHeight="1" x14ac:dyDescent="0.3">
      <c r="A223" s="5"/>
      <c r="B223" s="35"/>
      <c r="C223" s="4"/>
      <c r="I223" s="27"/>
    </row>
    <row r="224" spans="1:9" ht="15.75" customHeight="1" x14ac:dyDescent="0.3">
      <c r="A224" s="5"/>
      <c r="B224" s="35"/>
      <c r="C224" s="4"/>
      <c r="I224" s="27"/>
    </row>
    <row r="225" spans="1:9" ht="15.75" customHeight="1" x14ac:dyDescent="0.3">
      <c r="A225" s="5"/>
      <c r="B225" s="35"/>
      <c r="C225" s="4"/>
      <c r="I225" s="27"/>
    </row>
    <row r="226" spans="1:9" ht="15.75" customHeight="1" x14ac:dyDescent="0.3">
      <c r="A226" s="5"/>
      <c r="B226" s="35"/>
      <c r="C226" s="4"/>
      <c r="I226" s="27"/>
    </row>
    <row r="227" spans="1:9" ht="15.75" customHeight="1" x14ac:dyDescent="0.3">
      <c r="A227" s="5"/>
      <c r="B227" s="35"/>
      <c r="C227" s="4"/>
      <c r="I227" s="27"/>
    </row>
    <row r="228" spans="1:9" ht="15.75" customHeight="1" x14ac:dyDescent="0.3">
      <c r="A228" s="5"/>
      <c r="B228" s="35"/>
      <c r="C228" s="4"/>
      <c r="I228" s="27"/>
    </row>
    <row r="229" spans="1:9" ht="15.75" customHeight="1" x14ac:dyDescent="0.3">
      <c r="A229" s="5"/>
      <c r="B229" s="35"/>
      <c r="C229" s="4"/>
      <c r="I229" s="27"/>
    </row>
    <row r="230" spans="1:9" ht="15.75" customHeight="1" x14ac:dyDescent="0.3">
      <c r="A230" s="5"/>
      <c r="B230" s="35"/>
      <c r="C230" s="4"/>
      <c r="I230" s="27"/>
    </row>
    <row r="231" spans="1:9" ht="15.75" customHeight="1" x14ac:dyDescent="0.3">
      <c r="A231" s="5"/>
      <c r="B231" s="35"/>
      <c r="C231" s="4"/>
      <c r="I231" s="27"/>
    </row>
    <row r="232" spans="1:9" ht="15.75" customHeight="1" x14ac:dyDescent="0.3">
      <c r="A232" s="5"/>
      <c r="B232" s="35"/>
      <c r="C232" s="4"/>
      <c r="I232" s="27"/>
    </row>
    <row r="233" spans="1:9" ht="15.75" customHeight="1" x14ac:dyDescent="0.3">
      <c r="A233" s="5"/>
      <c r="B233" s="35"/>
      <c r="C233" s="4"/>
      <c r="I233" s="27"/>
    </row>
    <row r="234" spans="1:9" ht="15.75" customHeight="1" x14ac:dyDescent="0.3">
      <c r="A234" s="5"/>
      <c r="B234" s="35"/>
      <c r="C234" s="4"/>
      <c r="I234" s="27"/>
    </row>
    <row r="235" spans="1:9" ht="15.75" customHeight="1" x14ac:dyDescent="0.3">
      <c r="A235" s="5"/>
      <c r="B235" s="35"/>
      <c r="C235" s="4"/>
      <c r="I235" s="27"/>
    </row>
    <row r="236" spans="1:9" ht="15.75" customHeight="1" x14ac:dyDescent="0.3">
      <c r="A236" s="5"/>
      <c r="B236" s="35"/>
      <c r="C236" s="4"/>
      <c r="I236" s="27"/>
    </row>
    <row r="237" spans="1:9" ht="15.75" customHeight="1" x14ac:dyDescent="0.3">
      <c r="A237" s="5"/>
      <c r="B237" s="35"/>
      <c r="C237" s="4"/>
      <c r="I237" s="27"/>
    </row>
    <row r="238" spans="1:9" ht="15.75" customHeight="1" x14ac:dyDescent="0.3">
      <c r="A238" s="5"/>
      <c r="B238" s="35"/>
      <c r="C238" s="4"/>
      <c r="I238" s="27"/>
    </row>
    <row r="239" spans="1:9" ht="15.75" customHeight="1" x14ac:dyDescent="0.3">
      <c r="A239" s="5"/>
      <c r="B239" s="35"/>
      <c r="C239" s="4"/>
      <c r="I239" s="27"/>
    </row>
    <row r="240" spans="1:9" ht="15.75" customHeight="1" x14ac:dyDescent="0.3">
      <c r="A240" s="5"/>
      <c r="B240" s="35"/>
      <c r="C240" s="4"/>
      <c r="I240" s="27"/>
    </row>
    <row r="241" spans="1:9" ht="15.75" customHeight="1" x14ac:dyDescent="0.3">
      <c r="A241" s="5"/>
      <c r="B241" s="35"/>
      <c r="C241" s="4"/>
      <c r="I241" s="27"/>
    </row>
    <row r="242" spans="1:9" ht="15.75" customHeight="1" x14ac:dyDescent="0.3">
      <c r="A242" s="5"/>
      <c r="B242" s="35"/>
      <c r="C242" s="4"/>
      <c r="I242" s="27"/>
    </row>
    <row r="243" spans="1:9" ht="15.75" customHeight="1" x14ac:dyDescent="0.3">
      <c r="A243" s="5"/>
      <c r="B243" s="35"/>
      <c r="C243" s="4"/>
      <c r="I243" s="27"/>
    </row>
    <row r="244" spans="1:9" ht="15.75" customHeight="1" x14ac:dyDescent="0.3">
      <c r="A244" s="5"/>
      <c r="B244" s="35"/>
      <c r="C244" s="4"/>
      <c r="I244" s="27"/>
    </row>
    <row r="245" spans="1:9" ht="15.75" customHeight="1" x14ac:dyDescent="0.3">
      <c r="A245" s="5"/>
      <c r="B245" s="35"/>
      <c r="C245" s="4"/>
      <c r="I245" s="27"/>
    </row>
    <row r="246" spans="1:9" ht="15.75" customHeight="1" x14ac:dyDescent="0.3">
      <c r="A246" s="5"/>
      <c r="B246" s="35"/>
      <c r="C246" s="4"/>
      <c r="I246" s="27"/>
    </row>
    <row r="247" spans="1:9" ht="15.75" customHeight="1" x14ac:dyDescent="0.3">
      <c r="A247" s="5"/>
      <c r="B247" s="35"/>
      <c r="C247" s="4"/>
      <c r="I247" s="27"/>
    </row>
    <row r="248" spans="1:9" ht="15.75" customHeight="1" x14ac:dyDescent="0.3">
      <c r="A248" s="5"/>
      <c r="B248" s="35"/>
      <c r="C248" s="4"/>
      <c r="I248" s="27"/>
    </row>
    <row r="249" spans="1:9" ht="15.75" customHeight="1" x14ac:dyDescent="0.3">
      <c r="A249" s="5"/>
      <c r="B249" s="35"/>
      <c r="C249" s="4"/>
      <c r="I249" s="27"/>
    </row>
    <row r="250" spans="1:9" ht="15.75" customHeight="1" x14ac:dyDescent="0.3">
      <c r="A250" s="5"/>
      <c r="B250" s="35"/>
      <c r="C250" s="4"/>
      <c r="I250" s="27"/>
    </row>
    <row r="251" spans="1:9" ht="15.75" customHeight="1" x14ac:dyDescent="0.3">
      <c r="A251" s="5"/>
      <c r="B251" s="35"/>
      <c r="C251" s="4"/>
      <c r="I251" s="27"/>
    </row>
    <row r="252" spans="1:9" ht="15.75" customHeight="1" x14ac:dyDescent="0.3">
      <c r="A252" s="5"/>
      <c r="B252" s="35"/>
      <c r="C252" s="4"/>
      <c r="I252" s="27"/>
    </row>
    <row r="253" spans="1:9" ht="15.75" customHeight="1" x14ac:dyDescent="0.3">
      <c r="A253" s="5"/>
      <c r="B253" s="35"/>
      <c r="C253" s="4"/>
      <c r="I253" s="27"/>
    </row>
    <row r="254" spans="1:9" ht="15.75" customHeight="1" x14ac:dyDescent="0.3">
      <c r="A254" s="5"/>
      <c r="B254" s="35"/>
      <c r="C254" s="4"/>
      <c r="I254" s="27"/>
    </row>
    <row r="255" spans="1:9" ht="15.75" customHeight="1" x14ac:dyDescent="0.3">
      <c r="A255" s="5"/>
      <c r="B255" s="35"/>
      <c r="C255" s="4"/>
      <c r="I255" s="27"/>
    </row>
    <row r="256" spans="1:9" ht="15.75" customHeight="1" x14ac:dyDescent="0.3">
      <c r="A256" s="5"/>
      <c r="B256" s="35"/>
      <c r="C256" s="4"/>
      <c r="I256" s="27"/>
    </row>
    <row r="257" spans="1:9" ht="15.75" customHeight="1" x14ac:dyDescent="0.3">
      <c r="A257" s="5"/>
      <c r="B257" s="35"/>
      <c r="C257" s="4"/>
      <c r="I257" s="27"/>
    </row>
    <row r="258" spans="1:9" ht="15.75" customHeight="1" x14ac:dyDescent="0.3">
      <c r="A258" s="5"/>
      <c r="B258" s="35"/>
      <c r="C258" s="4"/>
      <c r="I258" s="27"/>
    </row>
    <row r="259" spans="1:9" ht="15.75" customHeight="1" x14ac:dyDescent="0.3">
      <c r="A259" s="5"/>
      <c r="B259" s="35"/>
      <c r="C259" s="4"/>
      <c r="I259" s="27"/>
    </row>
    <row r="260" spans="1:9" ht="15.75" customHeight="1" x14ac:dyDescent="0.3">
      <c r="A260" s="5"/>
      <c r="B260" s="35"/>
      <c r="C260" s="4"/>
      <c r="I260" s="27"/>
    </row>
    <row r="261" spans="1:9" ht="15.75" customHeight="1" x14ac:dyDescent="0.3">
      <c r="A261" s="5"/>
      <c r="B261" s="35"/>
      <c r="C261" s="4"/>
      <c r="I261" s="27"/>
    </row>
    <row r="262" spans="1:9" ht="15.75" customHeight="1" x14ac:dyDescent="0.3">
      <c r="A262" s="5"/>
      <c r="B262" s="35"/>
      <c r="C262" s="4"/>
      <c r="I262" s="27"/>
    </row>
    <row r="263" spans="1:9" ht="15.75" customHeight="1" x14ac:dyDescent="0.3">
      <c r="A263" s="5"/>
      <c r="B263" s="35"/>
      <c r="C263" s="4"/>
      <c r="I263" s="27"/>
    </row>
    <row r="264" spans="1:9" ht="15.75" customHeight="1" x14ac:dyDescent="0.3">
      <c r="A264" s="5"/>
      <c r="B264" s="35"/>
      <c r="C264" s="4"/>
      <c r="I264" s="27"/>
    </row>
    <row r="265" spans="1:9" ht="15.75" customHeight="1" x14ac:dyDescent="0.3">
      <c r="A265" s="5"/>
      <c r="B265" s="35"/>
      <c r="C265" s="4"/>
      <c r="I265" s="27"/>
    </row>
    <row r="266" spans="1:9" ht="15.75" customHeight="1" x14ac:dyDescent="0.3">
      <c r="A266" s="5"/>
      <c r="B266" s="35"/>
      <c r="C266" s="4"/>
      <c r="I266" s="27"/>
    </row>
    <row r="267" spans="1:9" ht="15.75" customHeight="1" x14ac:dyDescent="0.3">
      <c r="A267" s="5"/>
      <c r="B267" s="35"/>
      <c r="C267" s="4"/>
      <c r="I267" s="27"/>
    </row>
    <row r="268" spans="1:9" ht="15.75" customHeight="1" x14ac:dyDescent="0.3">
      <c r="A268" s="5"/>
      <c r="B268" s="35"/>
      <c r="C268" s="4"/>
      <c r="I268" s="27"/>
    </row>
    <row r="269" spans="1:9" ht="15.75" customHeight="1" x14ac:dyDescent="0.3">
      <c r="A269" s="5"/>
      <c r="B269" s="35"/>
      <c r="C269" s="4"/>
      <c r="I269" s="27"/>
    </row>
    <row r="270" spans="1:9" ht="15.75" customHeight="1" x14ac:dyDescent="0.3">
      <c r="A270" s="5"/>
      <c r="B270" s="35"/>
      <c r="C270" s="4"/>
      <c r="I270" s="27"/>
    </row>
    <row r="271" spans="1:9" ht="15.75" customHeight="1" x14ac:dyDescent="0.3">
      <c r="A271" s="5"/>
      <c r="B271" s="35"/>
      <c r="C271" s="4"/>
      <c r="I271" s="27"/>
    </row>
    <row r="272" spans="1:9" ht="15.75" customHeight="1" x14ac:dyDescent="0.3">
      <c r="A272" s="5"/>
      <c r="B272" s="35"/>
      <c r="C272" s="4"/>
      <c r="I272" s="27"/>
    </row>
    <row r="273" spans="1:9" ht="15.75" customHeight="1" x14ac:dyDescent="0.3">
      <c r="A273" s="5"/>
      <c r="B273" s="35"/>
      <c r="C273" s="4"/>
      <c r="I273" s="27"/>
    </row>
    <row r="274" spans="1:9" ht="15.75" customHeight="1" x14ac:dyDescent="0.3">
      <c r="A274" s="5"/>
      <c r="B274" s="35"/>
      <c r="C274" s="4"/>
      <c r="I274" s="27"/>
    </row>
    <row r="275" spans="1:9" ht="15.75" customHeight="1" x14ac:dyDescent="0.3">
      <c r="A275" s="5"/>
      <c r="B275" s="35"/>
      <c r="C275" s="4"/>
      <c r="I275" s="27"/>
    </row>
    <row r="276" spans="1:9" ht="15.75" customHeight="1" x14ac:dyDescent="0.3">
      <c r="A276" s="5"/>
      <c r="B276" s="35"/>
      <c r="C276" s="4"/>
      <c r="I276" s="27"/>
    </row>
    <row r="277" spans="1:9" ht="15.75" customHeight="1" x14ac:dyDescent="0.3">
      <c r="A277" s="5"/>
      <c r="B277" s="35"/>
      <c r="C277" s="4"/>
      <c r="I277" s="27"/>
    </row>
    <row r="278" spans="1:9" ht="15.75" customHeight="1" x14ac:dyDescent="0.3">
      <c r="A278" s="5"/>
      <c r="B278" s="35"/>
      <c r="C278" s="4"/>
      <c r="I278" s="27"/>
    </row>
    <row r="279" spans="1:9" ht="15.75" customHeight="1" x14ac:dyDescent="0.3">
      <c r="A279" s="5"/>
      <c r="B279" s="35"/>
      <c r="C279" s="4"/>
      <c r="I279" s="27"/>
    </row>
    <row r="280" spans="1:9" ht="15.75" customHeight="1" x14ac:dyDescent="0.3">
      <c r="A280" s="5"/>
      <c r="B280" s="35"/>
      <c r="C280" s="4"/>
      <c r="I280" s="27"/>
    </row>
    <row r="281" spans="1:9" ht="15.75" customHeight="1" x14ac:dyDescent="0.3">
      <c r="A281" s="5"/>
      <c r="B281" s="35"/>
      <c r="C281" s="4"/>
      <c r="I281" s="27"/>
    </row>
    <row r="282" spans="1:9" ht="15.75" customHeight="1" x14ac:dyDescent="0.3">
      <c r="A282" s="5"/>
      <c r="B282" s="35"/>
      <c r="C282" s="4"/>
      <c r="I282" s="27"/>
    </row>
    <row r="283" spans="1:9" ht="15.75" customHeight="1" x14ac:dyDescent="0.3">
      <c r="A283" s="5"/>
      <c r="B283" s="35"/>
      <c r="C283" s="4"/>
      <c r="I283" s="27"/>
    </row>
    <row r="284" spans="1:9" ht="15.75" customHeight="1" x14ac:dyDescent="0.3">
      <c r="A284" s="5"/>
      <c r="B284" s="35"/>
      <c r="C284" s="4"/>
      <c r="I284" s="27"/>
    </row>
    <row r="285" spans="1:9" ht="15.75" customHeight="1" x14ac:dyDescent="0.3">
      <c r="A285" s="5"/>
      <c r="B285" s="35"/>
      <c r="C285" s="4"/>
      <c r="I285" s="27"/>
    </row>
    <row r="286" spans="1:9" ht="15.75" customHeight="1" x14ac:dyDescent="0.3">
      <c r="A286" s="5"/>
      <c r="B286" s="35"/>
      <c r="C286" s="4"/>
      <c r="I286" s="27"/>
    </row>
    <row r="287" spans="1:9" ht="15.75" customHeight="1" x14ac:dyDescent="0.3">
      <c r="A287" s="5"/>
      <c r="B287" s="35"/>
      <c r="C287" s="4"/>
      <c r="I287" s="27"/>
    </row>
    <row r="288" spans="1:9" ht="15.75" customHeight="1" x14ac:dyDescent="0.3">
      <c r="A288" s="5"/>
      <c r="B288" s="35"/>
      <c r="C288" s="4"/>
      <c r="I288" s="27"/>
    </row>
    <row r="289" spans="1:9" ht="15.75" customHeight="1" x14ac:dyDescent="0.3">
      <c r="A289" s="5"/>
      <c r="B289" s="35"/>
      <c r="C289" s="4"/>
      <c r="I289" s="27"/>
    </row>
    <row r="290" spans="1:9" ht="15.75" customHeight="1" x14ac:dyDescent="0.3">
      <c r="A290" s="5"/>
      <c r="B290" s="35"/>
      <c r="C290" s="4"/>
      <c r="I290" s="27"/>
    </row>
    <row r="291" spans="1:9" ht="15.75" customHeight="1" x14ac:dyDescent="0.3">
      <c r="A291" s="5"/>
      <c r="B291" s="35"/>
      <c r="C291" s="4"/>
      <c r="I291" s="27"/>
    </row>
    <row r="292" spans="1:9" ht="15.75" customHeight="1" x14ac:dyDescent="0.3">
      <c r="A292" s="5"/>
      <c r="B292" s="35"/>
      <c r="C292" s="4"/>
      <c r="I292" s="27"/>
    </row>
    <row r="293" spans="1:9" ht="15.75" customHeight="1" x14ac:dyDescent="0.3">
      <c r="A293" s="5"/>
      <c r="B293" s="35"/>
      <c r="C293" s="4"/>
      <c r="I293" s="27"/>
    </row>
    <row r="294" spans="1:9" ht="15.75" customHeight="1" x14ac:dyDescent="0.3">
      <c r="A294" s="5"/>
      <c r="B294" s="35"/>
      <c r="C294" s="4"/>
      <c r="I294" s="27"/>
    </row>
    <row r="295" spans="1:9" ht="15.75" customHeight="1" x14ac:dyDescent="0.3">
      <c r="A295" s="5"/>
      <c r="B295" s="35"/>
      <c r="C295" s="4"/>
      <c r="I295" s="27"/>
    </row>
    <row r="296" spans="1:9" ht="15.75" customHeight="1" x14ac:dyDescent="0.3">
      <c r="A296" s="5"/>
      <c r="B296" s="35"/>
      <c r="C296" s="4"/>
      <c r="I296" s="27"/>
    </row>
    <row r="297" spans="1:9" ht="15.75" customHeight="1" x14ac:dyDescent="0.3">
      <c r="A297" s="5"/>
      <c r="B297" s="35"/>
      <c r="C297" s="4"/>
      <c r="I297" s="27"/>
    </row>
    <row r="298" spans="1:9" ht="15.75" customHeight="1" x14ac:dyDescent="0.3">
      <c r="A298" s="5"/>
      <c r="B298" s="35"/>
      <c r="C298" s="4"/>
      <c r="I298" s="27"/>
    </row>
    <row r="299" spans="1:9" ht="15.75" customHeight="1" x14ac:dyDescent="0.3">
      <c r="A299" s="5"/>
      <c r="B299" s="35"/>
      <c r="C299" s="4"/>
      <c r="I299" s="27"/>
    </row>
    <row r="300" spans="1:9" ht="15.75" customHeight="1" x14ac:dyDescent="0.3">
      <c r="A300" s="5"/>
      <c r="B300" s="35"/>
      <c r="C300" s="4"/>
      <c r="I300" s="27"/>
    </row>
    <row r="301" spans="1:9" ht="15.75" customHeight="1" x14ac:dyDescent="0.3">
      <c r="A301" s="5"/>
      <c r="B301" s="35"/>
      <c r="C301" s="4"/>
      <c r="I301" s="27"/>
    </row>
    <row r="302" spans="1:9" ht="15.75" customHeight="1" x14ac:dyDescent="0.3">
      <c r="A302" s="5"/>
      <c r="B302" s="35"/>
      <c r="C302" s="4"/>
      <c r="I302" s="27"/>
    </row>
    <row r="303" spans="1:9" ht="15.75" customHeight="1" x14ac:dyDescent="0.3">
      <c r="A303" s="5"/>
      <c r="B303" s="35"/>
      <c r="C303" s="4"/>
      <c r="I303" s="27"/>
    </row>
    <row r="304" spans="1:9" ht="15.75" customHeight="1" x14ac:dyDescent="0.3">
      <c r="A304" s="5"/>
      <c r="B304" s="35"/>
      <c r="C304" s="4"/>
      <c r="I304" s="27"/>
    </row>
    <row r="305" spans="1:9" ht="15.75" customHeight="1" x14ac:dyDescent="0.3">
      <c r="A305" s="5"/>
      <c r="B305" s="35"/>
      <c r="C305" s="4"/>
      <c r="I305" s="27"/>
    </row>
    <row r="306" spans="1:9" ht="15.75" customHeight="1" x14ac:dyDescent="0.3">
      <c r="A306" s="5"/>
      <c r="B306" s="35"/>
      <c r="C306" s="4"/>
      <c r="I306" s="27"/>
    </row>
    <row r="307" spans="1:9" ht="15.75" customHeight="1" x14ac:dyDescent="0.3">
      <c r="A307" s="5"/>
      <c r="B307" s="35"/>
      <c r="C307" s="4"/>
      <c r="I307" s="27"/>
    </row>
    <row r="308" spans="1:9" ht="15.75" customHeight="1" x14ac:dyDescent="0.3">
      <c r="A308" s="5"/>
      <c r="B308" s="35"/>
      <c r="C308" s="4"/>
      <c r="I308" s="27"/>
    </row>
    <row r="309" spans="1:9" ht="15.75" customHeight="1" x14ac:dyDescent="0.3">
      <c r="A309" s="5"/>
      <c r="B309" s="35"/>
      <c r="C309" s="4"/>
      <c r="I309" s="27"/>
    </row>
    <row r="310" spans="1:9" ht="15.75" customHeight="1" x14ac:dyDescent="0.3">
      <c r="A310" s="5"/>
      <c r="B310" s="35"/>
      <c r="C310" s="4"/>
      <c r="I310" s="27"/>
    </row>
    <row r="311" spans="1:9" ht="15.75" customHeight="1" x14ac:dyDescent="0.3">
      <c r="A311" s="5"/>
      <c r="B311" s="35"/>
      <c r="C311" s="4"/>
      <c r="I311" s="27"/>
    </row>
    <row r="312" spans="1:9" ht="15.75" customHeight="1" x14ac:dyDescent="0.3">
      <c r="A312" s="5"/>
      <c r="B312" s="35"/>
      <c r="C312" s="4"/>
      <c r="I312" s="27"/>
    </row>
    <row r="313" spans="1:9" ht="15.75" customHeight="1" x14ac:dyDescent="0.3">
      <c r="A313" s="5"/>
      <c r="B313" s="35"/>
      <c r="C313" s="4"/>
      <c r="I313" s="27"/>
    </row>
    <row r="314" spans="1:9" ht="15.75" customHeight="1" x14ac:dyDescent="0.3">
      <c r="A314" s="5"/>
      <c r="B314" s="35"/>
      <c r="C314" s="4"/>
      <c r="I314" s="27"/>
    </row>
    <row r="315" spans="1:9" ht="15.75" customHeight="1" x14ac:dyDescent="0.3">
      <c r="A315" s="5"/>
      <c r="B315" s="35"/>
      <c r="C315" s="4"/>
      <c r="I315" s="27"/>
    </row>
    <row r="316" spans="1:9" ht="15.75" customHeight="1" x14ac:dyDescent="0.3">
      <c r="A316" s="5"/>
      <c r="B316" s="35"/>
      <c r="C316" s="4"/>
      <c r="I316" s="27"/>
    </row>
    <row r="317" spans="1:9" ht="15.75" customHeight="1" x14ac:dyDescent="0.3">
      <c r="A317" s="5"/>
      <c r="B317" s="35"/>
      <c r="C317" s="4"/>
      <c r="I317" s="27"/>
    </row>
    <row r="318" spans="1:9" ht="15.75" customHeight="1" x14ac:dyDescent="0.3">
      <c r="A318" s="5"/>
      <c r="B318" s="35"/>
      <c r="C318" s="4"/>
      <c r="I318" s="27"/>
    </row>
    <row r="319" spans="1:9" ht="15.75" customHeight="1" x14ac:dyDescent="0.3">
      <c r="A319" s="5"/>
      <c r="B319" s="35"/>
      <c r="C319" s="4"/>
      <c r="I319" s="27"/>
    </row>
    <row r="320" spans="1:9" ht="15.75" customHeight="1" x14ac:dyDescent="0.3">
      <c r="A320" s="5"/>
      <c r="B320" s="35"/>
      <c r="C320" s="4"/>
      <c r="I320" s="27"/>
    </row>
    <row r="321" spans="1:9" ht="15.75" customHeight="1" x14ac:dyDescent="0.3">
      <c r="A321" s="5"/>
      <c r="B321" s="35"/>
      <c r="C321" s="4"/>
      <c r="I321" s="27"/>
    </row>
    <row r="322" spans="1:9" ht="15.75" customHeight="1" x14ac:dyDescent="0.3">
      <c r="A322" s="5"/>
      <c r="B322" s="35"/>
      <c r="C322" s="4"/>
      <c r="I322" s="27"/>
    </row>
    <row r="323" spans="1:9" ht="15.75" customHeight="1" x14ac:dyDescent="0.3">
      <c r="A323" s="5"/>
      <c r="B323" s="35"/>
      <c r="C323" s="4"/>
      <c r="I323" s="27"/>
    </row>
    <row r="324" spans="1:9" ht="15.75" customHeight="1" x14ac:dyDescent="0.3">
      <c r="A324" s="5"/>
      <c r="B324" s="35"/>
      <c r="C324" s="4"/>
      <c r="I324" s="27"/>
    </row>
    <row r="325" spans="1:9" ht="15.75" customHeight="1" x14ac:dyDescent="0.3">
      <c r="A325" s="5"/>
      <c r="B325" s="35"/>
      <c r="C325" s="4"/>
      <c r="I325" s="27"/>
    </row>
    <row r="326" spans="1:9" ht="15.75" customHeight="1" x14ac:dyDescent="0.3">
      <c r="A326" s="5"/>
      <c r="B326" s="35"/>
      <c r="C326" s="4"/>
      <c r="I326" s="27"/>
    </row>
    <row r="327" spans="1:9" ht="15.75" customHeight="1" x14ac:dyDescent="0.3">
      <c r="A327" s="5"/>
      <c r="B327" s="35"/>
      <c r="C327" s="4"/>
      <c r="I327" s="27"/>
    </row>
    <row r="328" spans="1:9" ht="15.75" customHeight="1" x14ac:dyDescent="0.3">
      <c r="A328" s="5"/>
      <c r="B328" s="35"/>
      <c r="C328" s="4"/>
      <c r="I328" s="27"/>
    </row>
    <row r="329" spans="1:9" ht="15.75" customHeight="1" x14ac:dyDescent="0.3">
      <c r="A329" s="5"/>
      <c r="B329" s="35"/>
      <c r="C329" s="4"/>
      <c r="I329" s="27"/>
    </row>
    <row r="330" spans="1:9" ht="15.75" customHeight="1" x14ac:dyDescent="0.3">
      <c r="A330" s="5"/>
      <c r="B330" s="35"/>
      <c r="C330" s="4"/>
      <c r="I330" s="27"/>
    </row>
    <row r="331" spans="1:9" ht="15.75" customHeight="1" x14ac:dyDescent="0.3">
      <c r="A331" s="5"/>
      <c r="B331" s="35"/>
      <c r="C331" s="4"/>
      <c r="I331" s="27"/>
    </row>
    <row r="332" spans="1:9" ht="15.75" customHeight="1" x14ac:dyDescent="0.3">
      <c r="A332" s="5"/>
      <c r="B332" s="35"/>
      <c r="C332" s="4"/>
      <c r="I332" s="27"/>
    </row>
    <row r="333" spans="1:9" ht="15.75" customHeight="1" x14ac:dyDescent="0.3">
      <c r="A333" s="5"/>
      <c r="B333" s="35"/>
      <c r="C333" s="4"/>
      <c r="I333" s="27"/>
    </row>
    <row r="334" spans="1:9" ht="15.75" customHeight="1" x14ac:dyDescent="0.3">
      <c r="A334" s="5"/>
      <c r="B334" s="35"/>
      <c r="C334" s="4"/>
      <c r="I334" s="27"/>
    </row>
    <row r="335" spans="1:9" ht="15.75" customHeight="1" x14ac:dyDescent="0.3">
      <c r="A335" s="5"/>
      <c r="B335" s="35"/>
      <c r="C335" s="4"/>
      <c r="I335" s="27"/>
    </row>
    <row r="336" spans="1:9" ht="15.75" customHeight="1" x14ac:dyDescent="0.3">
      <c r="A336" s="5"/>
      <c r="B336" s="35"/>
      <c r="C336" s="4"/>
      <c r="I336" s="27"/>
    </row>
    <row r="337" spans="1:9" ht="15.75" customHeight="1" x14ac:dyDescent="0.3">
      <c r="A337" s="5"/>
      <c r="B337" s="35"/>
      <c r="C337" s="4"/>
      <c r="I337" s="27"/>
    </row>
    <row r="338" spans="1:9" ht="15.75" customHeight="1" x14ac:dyDescent="0.3">
      <c r="A338" s="5"/>
      <c r="B338" s="35"/>
      <c r="C338" s="4"/>
      <c r="I338" s="27"/>
    </row>
    <row r="339" spans="1:9" ht="15.75" customHeight="1" x14ac:dyDescent="0.3">
      <c r="A339" s="5"/>
      <c r="B339" s="35"/>
      <c r="C339" s="4"/>
      <c r="I339" s="27"/>
    </row>
    <row r="340" spans="1:9" ht="15.75" customHeight="1" x14ac:dyDescent="0.3">
      <c r="A340" s="5"/>
      <c r="B340" s="35"/>
      <c r="C340" s="4"/>
      <c r="I340" s="27"/>
    </row>
    <row r="341" spans="1:9" ht="15.75" customHeight="1" x14ac:dyDescent="0.3">
      <c r="A341" s="5"/>
      <c r="B341" s="35"/>
      <c r="C341" s="4"/>
      <c r="I341" s="27"/>
    </row>
    <row r="342" spans="1:9" ht="15.75" customHeight="1" x14ac:dyDescent="0.3">
      <c r="A342" s="5"/>
      <c r="B342" s="35"/>
      <c r="C342" s="4"/>
      <c r="I342" s="27"/>
    </row>
    <row r="343" spans="1:9" ht="15.75" customHeight="1" x14ac:dyDescent="0.3">
      <c r="A343" s="5"/>
      <c r="B343" s="35"/>
      <c r="C343" s="4"/>
      <c r="I343" s="27"/>
    </row>
    <row r="344" spans="1:9" ht="15.75" customHeight="1" x14ac:dyDescent="0.3">
      <c r="A344" s="5"/>
      <c r="B344" s="35"/>
      <c r="C344" s="4"/>
      <c r="I344" s="27"/>
    </row>
    <row r="345" spans="1:9" ht="15.75" customHeight="1" x14ac:dyDescent="0.3">
      <c r="A345" s="5"/>
      <c r="B345" s="35"/>
      <c r="C345" s="4"/>
      <c r="I345" s="27"/>
    </row>
    <row r="346" spans="1:9" ht="15.75" customHeight="1" x14ac:dyDescent="0.3">
      <c r="A346" s="5"/>
      <c r="B346" s="35"/>
      <c r="C346" s="4"/>
      <c r="I346" s="27"/>
    </row>
    <row r="347" spans="1:9" ht="15.75" customHeight="1" x14ac:dyDescent="0.3">
      <c r="A347" s="5"/>
      <c r="B347" s="35"/>
      <c r="C347" s="4"/>
      <c r="I347" s="27"/>
    </row>
    <row r="348" spans="1:9" ht="15.75" customHeight="1" x14ac:dyDescent="0.3">
      <c r="A348" s="5"/>
      <c r="B348" s="35"/>
      <c r="C348" s="4"/>
      <c r="I348" s="27"/>
    </row>
    <row r="349" spans="1:9" ht="15.75" customHeight="1" x14ac:dyDescent="0.3">
      <c r="A349" s="5"/>
      <c r="B349" s="35"/>
      <c r="C349" s="4"/>
      <c r="I349" s="27"/>
    </row>
    <row r="350" spans="1:9" ht="15.75" customHeight="1" x14ac:dyDescent="0.3">
      <c r="A350" s="5"/>
      <c r="B350" s="35"/>
      <c r="C350" s="4"/>
      <c r="I350" s="27"/>
    </row>
    <row r="351" spans="1:9" ht="15.75" customHeight="1" x14ac:dyDescent="0.3">
      <c r="A351" s="5"/>
      <c r="B351" s="35"/>
      <c r="C351" s="4"/>
      <c r="I351" s="27"/>
    </row>
    <row r="352" spans="1:9" ht="15.75" customHeight="1" x14ac:dyDescent="0.3">
      <c r="A352" s="5"/>
      <c r="B352" s="35"/>
      <c r="C352" s="4"/>
      <c r="I352" s="27"/>
    </row>
    <row r="353" spans="1:9" ht="15.75" customHeight="1" x14ac:dyDescent="0.3">
      <c r="A353" s="5"/>
      <c r="B353" s="35"/>
      <c r="C353" s="4"/>
      <c r="I353" s="27"/>
    </row>
    <row r="354" spans="1:9" ht="15.75" customHeight="1" x14ac:dyDescent="0.3">
      <c r="A354" s="5"/>
      <c r="B354" s="35"/>
      <c r="C354" s="4"/>
      <c r="I354" s="27"/>
    </row>
    <row r="355" spans="1:9" ht="15.75" customHeight="1" x14ac:dyDescent="0.3">
      <c r="A355" s="5"/>
      <c r="B355" s="35"/>
      <c r="C355" s="4"/>
      <c r="I355" s="27"/>
    </row>
    <row r="356" spans="1:9" ht="15.75" customHeight="1" x14ac:dyDescent="0.3">
      <c r="A356" s="5"/>
      <c r="B356" s="35"/>
      <c r="C356" s="4"/>
      <c r="I356" s="27"/>
    </row>
    <row r="357" spans="1:9" ht="15.75" customHeight="1" x14ac:dyDescent="0.3">
      <c r="A357" s="5"/>
      <c r="B357" s="35"/>
      <c r="C357" s="4"/>
      <c r="I357" s="27"/>
    </row>
    <row r="358" spans="1:9" ht="15.75" customHeight="1" x14ac:dyDescent="0.3">
      <c r="A358" s="5"/>
      <c r="B358" s="35"/>
      <c r="C358" s="4"/>
      <c r="I358" s="27"/>
    </row>
    <row r="359" spans="1:9" ht="15.75" customHeight="1" x14ac:dyDescent="0.3">
      <c r="A359" s="5"/>
      <c r="B359" s="35"/>
      <c r="C359" s="4"/>
      <c r="I359" s="27"/>
    </row>
    <row r="360" spans="1:9" ht="15.75" customHeight="1" x14ac:dyDescent="0.3">
      <c r="A360" s="5"/>
      <c r="B360" s="35"/>
      <c r="C360" s="4"/>
      <c r="I360" s="27"/>
    </row>
    <row r="361" spans="1:9" ht="15.75" customHeight="1" x14ac:dyDescent="0.3">
      <c r="A361" s="5"/>
      <c r="B361" s="35"/>
      <c r="C361" s="4"/>
      <c r="I361" s="27"/>
    </row>
    <row r="362" spans="1:9" ht="15.75" customHeight="1" x14ac:dyDescent="0.3">
      <c r="A362" s="5"/>
      <c r="B362" s="35"/>
      <c r="C362" s="4"/>
      <c r="I362" s="27"/>
    </row>
    <row r="363" spans="1:9" ht="15.75" customHeight="1" x14ac:dyDescent="0.3">
      <c r="A363" s="5"/>
      <c r="B363" s="35"/>
      <c r="C363" s="4"/>
      <c r="I363" s="27"/>
    </row>
    <row r="364" spans="1:9" ht="15.75" customHeight="1" x14ac:dyDescent="0.3">
      <c r="A364" s="5"/>
      <c r="B364" s="35"/>
      <c r="C364" s="4"/>
      <c r="I364" s="27"/>
    </row>
    <row r="365" spans="1:9" ht="15.75" customHeight="1" x14ac:dyDescent="0.3">
      <c r="A365" s="5"/>
      <c r="B365" s="35"/>
      <c r="C365" s="4"/>
      <c r="I365" s="27"/>
    </row>
    <row r="366" spans="1:9" ht="15.75" customHeight="1" x14ac:dyDescent="0.3">
      <c r="A366" s="5"/>
      <c r="B366" s="35"/>
      <c r="C366" s="4"/>
      <c r="I366" s="27"/>
    </row>
    <row r="367" spans="1:9" ht="15.75" customHeight="1" x14ac:dyDescent="0.3">
      <c r="A367" s="5"/>
      <c r="B367" s="35"/>
      <c r="C367" s="4"/>
      <c r="I367" s="27"/>
    </row>
    <row r="368" spans="1:9" ht="15.75" customHeight="1" x14ac:dyDescent="0.3">
      <c r="A368" s="5"/>
      <c r="B368" s="35"/>
      <c r="C368" s="4"/>
      <c r="I368" s="27"/>
    </row>
    <row r="369" spans="1:9" ht="15.75" customHeight="1" x14ac:dyDescent="0.3">
      <c r="A369" s="5"/>
      <c r="B369" s="35"/>
      <c r="C369" s="4"/>
      <c r="I369" s="27"/>
    </row>
    <row r="370" spans="1:9" ht="15.75" customHeight="1" x14ac:dyDescent="0.3">
      <c r="A370" s="5"/>
      <c r="B370" s="35"/>
      <c r="C370" s="4"/>
      <c r="I370" s="27"/>
    </row>
    <row r="371" spans="1:9" ht="15.75" customHeight="1" x14ac:dyDescent="0.3">
      <c r="A371" s="5"/>
      <c r="B371" s="35"/>
      <c r="C371" s="4"/>
      <c r="I371" s="27"/>
    </row>
    <row r="372" spans="1:9" ht="15.75" customHeight="1" x14ac:dyDescent="0.3">
      <c r="A372" s="5"/>
      <c r="B372" s="35"/>
      <c r="C372" s="4"/>
      <c r="I372" s="27"/>
    </row>
    <row r="373" spans="1:9" ht="15.75" customHeight="1" x14ac:dyDescent="0.3">
      <c r="A373" s="5"/>
      <c r="B373" s="35"/>
      <c r="C373" s="4"/>
      <c r="I373" s="27"/>
    </row>
    <row r="374" spans="1:9" ht="15.75" customHeight="1" x14ac:dyDescent="0.3">
      <c r="A374" s="5"/>
      <c r="B374" s="35"/>
      <c r="C374" s="4"/>
      <c r="I374" s="27"/>
    </row>
    <row r="375" spans="1:9" ht="15.75" customHeight="1" x14ac:dyDescent="0.3">
      <c r="A375" s="5"/>
      <c r="B375" s="35"/>
      <c r="C375" s="4"/>
      <c r="I375" s="27"/>
    </row>
    <row r="376" spans="1:9" ht="15.75" customHeight="1" x14ac:dyDescent="0.3">
      <c r="A376" s="5"/>
      <c r="B376" s="35"/>
      <c r="C376" s="4"/>
      <c r="I376" s="27"/>
    </row>
    <row r="377" spans="1:9" ht="15.75" customHeight="1" x14ac:dyDescent="0.3">
      <c r="A377" s="5"/>
      <c r="B377" s="35"/>
      <c r="C377" s="4"/>
      <c r="I377" s="27"/>
    </row>
    <row r="378" spans="1:9" ht="15.75" customHeight="1" x14ac:dyDescent="0.3">
      <c r="A378" s="5"/>
      <c r="B378" s="35"/>
      <c r="C378" s="4"/>
      <c r="I378" s="27"/>
    </row>
    <row r="379" spans="1:9" ht="15.75" customHeight="1" x14ac:dyDescent="0.3">
      <c r="A379" s="5"/>
      <c r="B379" s="35"/>
      <c r="C379" s="4"/>
      <c r="I379" s="27"/>
    </row>
    <row r="380" spans="1:9" ht="15.75" customHeight="1" x14ac:dyDescent="0.3">
      <c r="A380" s="5"/>
      <c r="B380" s="35"/>
      <c r="C380" s="4"/>
      <c r="I380" s="27"/>
    </row>
    <row r="381" spans="1:9" ht="15.75" customHeight="1" x14ac:dyDescent="0.3">
      <c r="A381" s="5"/>
      <c r="B381" s="35"/>
      <c r="C381" s="4"/>
      <c r="I381" s="27"/>
    </row>
    <row r="382" spans="1:9" ht="15.75" customHeight="1" x14ac:dyDescent="0.3">
      <c r="A382" s="5"/>
      <c r="B382" s="35"/>
      <c r="C382" s="4"/>
      <c r="I382" s="27"/>
    </row>
    <row r="383" spans="1:9" ht="15.75" customHeight="1" x14ac:dyDescent="0.3">
      <c r="A383" s="5"/>
      <c r="B383" s="35"/>
      <c r="C383" s="4"/>
      <c r="I383" s="27"/>
    </row>
    <row r="384" spans="1:9" ht="15.75" customHeight="1" x14ac:dyDescent="0.3">
      <c r="A384" s="5"/>
      <c r="B384" s="35"/>
      <c r="C384" s="4"/>
      <c r="I384" s="27"/>
    </row>
    <row r="385" spans="1:9" ht="15.75" customHeight="1" x14ac:dyDescent="0.3">
      <c r="A385" s="5"/>
      <c r="B385" s="35"/>
      <c r="C385" s="4"/>
      <c r="I385" s="27"/>
    </row>
    <row r="386" spans="1:9" ht="15.75" customHeight="1" x14ac:dyDescent="0.3">
      <c r="A386" s="5"/>
      <c r="B386" s="35"/>
      <c r="C386" s="4"/>
      <c r="I386" s="27"/>
    </row>
    <row r="387" spans="1:9" ht="15.75" customHeight="1" x14ac:dyDescent="0.3">
      <c r="A387" s="5"/>
      <c r="B387" s="35"/>
      <c r="C387" s="4"/>
      <c r="I387" s="27"/>
    </row>
    <row r="388" spans="1:9" ht="15.75" customHeight="1" x14ac:dyDescent="0.3">
      <c r="A388" s="5"/>
      <c r="B388" s="35"/>
      <c r="C388" s="4"/>
      <c r="I388" s="27"/>
    </row>
    <row r="389" spans="1:9" ht="15.75" customHeight="1" x14ac:dyDescent="0.3">
      <c r="A389" s="5"/>
      <c r="B389" s="35"/>
      <c r="C389" s="4"/>
      <c r="I389" s="27"/>
    </row>
    <row r="390" spans="1:9" ht="15.75" customHeight="1" x14ac:dyDescent="0.3">
      <c r="A390" s="5"/>
      <c r="B390" s="35"/>
      <c r="C390" s="4"/>
      <c r="I390" s="27"/>
    </row>
    <row r="391" spans="1:9" ht="15.75" customHeight="1" x14ac:dyDescent="0.3">
      <c r="A391" s="5"/>
      <c r="B391" s="35"/>
      <c r="C391" s="4"/>
      <c r="I391" s="27"/>
    </row>
    <row r="392" spans="1:9" ht="15.75" customHeight="1" x14ac:dyDescent="0.3">
      <c r="A392" s="5"/>
      <c r="B392" s="35"/>
      <c r="C392" s="4"/>
      <c r="I392" s="27"/>
    </row>
    <row r="393" spans="1:9" ht="15.75" customHeight="1" x14ac:dyDescent="0.3">
      <c r="A393" s="5"/>
      <c r="B393" s="35"/>
      <c r="C393" s="4"/>
      <c r="I393" s="27"/>
    </row>
    <row r="394" spans="1:9" ht="15.75" customHeight="1" x14ac:dyDescent="0.3">
      <c r="A394" s="5"/>
      <c r="B394" s="35"/>
      <c r="C394" s="4"/>
      <c r="I394" s="27"/>
    </row>
    <row r="395" spans="1:9" ht="15.75" customHeight="1" x14ac:dyDescent="0.3">
      <c r="A395" s="5"/>
      <c r="B395" s="35"/>
      <c r="C395" s="4"/>
      <c r="I395" s="27"/>
    </row>
    <row r="396" spans="1:9" ht="15.75" customHeight="1" x14ac:dyDescent="0.3">
      <c r="A396" s="5"/>
      <c r="B396" s="35"/>
      <c r="C396" s="4"/>
      <c r="I396" s="27"/>
    </row>
    <row r="397" spans="1:9" ht="15.75" customHeight="1" x14ac:dyDescent="0.3">
      <c r="A397" s="5"/>
      <c r="B397" s="35"/>
      <c r="C397" s="4"/>
      <c r="I397" s="27"/>
    </row>
    <row r="398" spans="1:9" ht="15.75" customHeight="1" x14ac:dyDescent="0.3">
      <c r="A398" s="5"/>
      <c r="B398" s="35"/>
      <c r="C398" s="4"/>
      <c r="I398" s="27"/>
    </row>
    <row r="399" spans="1:9" ht="15.75" customHeight="1" x14ac:dyDescent="0.3">
      <c r="A399" s="5"/>
      <c r="B399" s="35"/>
      <c r="C399" s="4"/>
      <c r="I399" s="27"/>
    </row>
    <row r="400" spans="1:9" ht="15.75" customHeight="1" x14ac:dyDescent="0.3">
      <c r="A400" s="5"/>
      <c r="B400" s="35"/>
      <c r="C400" s="4"/>
      <c r="I400" s="27"/>
    </row>
    <row r="401" spans="1:9" ht="15.75" customHeight="1" x14ac:dyDescent="0.3">
      <c r="A401" s="5"/>
      <c r="B401" s="35"/>
      <c r="C401" s="4"/>
      <c r="I401" s="27"/>
    </row>
    <row r="402" spans="1:9" ht="15.75" customHeight="1" x14ac:dyDescent="0.3">
      <c r="A402" s="5"/>
      <c r="B402" s="35"/>
      <c r="C402" s="4"/>
      <c r="I402" s="27"/>
    </row>
    <row r="403" spans="1:9" ht="15.75" customHeight="1" x14ac:dyDescent="0.3">
      <c r="A403" s="5"/>
      <c r="B403" s="35"/>
      <c r="C403" s="4"/>
      <c r="I403" s="27"/>
    </row>
    <row r="404" spans="1:9" ht="15.75" customHeight="1" x14ac:dyDescent="0.3">
      <c r="A404" s="5"/>
      <c r="B404" s="35"/>
      <c r="C404" s="4"/>
      <c r="I404" s="27"/>
    </row>
    <row r="405" spans="1:9" ht="15.75" customHeight="1" x14ac:dyDescent="0.3">
      <c r="A405" s="5"/>
      <c r="B405" s="35"/>
      <c r="C405" s="4"/>
      <c r="I405" s="27"/>
    </row>
    <row r="406" spans="1:9" ht="15.75" customHeight="1" x14ac:dyDescent="0.3">
      <c r="A406" s="5"/>
      <c r="B406" s="35"/>
      <c r="C406" s="4"/>
      <c r="I406" s="27"/>
    </row>
    <row r="407" spans="1:9" ht="15.75" customHeight="1" x14ac:dyDescent="0.3">
      <c r="A407" s="5"/>
      <c r="B407" s="35"/>
      <c r="C407" s="4"/>
      <c r="I407" s="27"/>
    </row>
    <row r="408" spans="1:9" ht="15.75" customHeight="1" x14ac:dyDescent="0.3">
      <c r="A408" s="5"/>
      <c r="B408" s="35"/>
      <c r="C408" s="4"/>
      <c r="I408" s="27"/>
    </row>
    <row r="409" spans="1:9" ht="15.75" customHeight="1" x14ac:dyDescent="0.3">
      <c r="A409" s="5"/>
      <c r="B409" s="35"/>
      <c r="C409" s="4"/>
      <c r="I409" s="27"/>
    </row>
    <row r="410" spans="1:9" ht="15.75" customHeight="1" x14ac:dyDescent="0.3">
      <c r="A410" s="5"/>
      <c r="B410" s="35"/>
      <c r="C410" s="4"/>
      <c r="I410" s="27"/>
    </row>
    <row r="411" spans="1:9" ht="15.75" customHeight="1" x14ac:dyDescent="0.3">
      <c r="A411" s="5"/>
      <c r="B411" s="35"/>
      <c r="C411" s="4"/>
      <c r="I411" s="27"/>
    </row>
    <row r="412" spans="1:9" ht="15.75" customHeight="1" x14ac:dyDescent="0.3">
      <c r="A412" s="5"/>
      <c r="B412" s="35"/>
      <c r="C412" s="4"/>
      <c r="I412" s="27"/>
    </row>
    <row r="413" spans="1:9" ht="15.75" customHeight="1" x14ac:dyDescent="0.3">
      <c r="A413" s="5"/>
      <c r="B413" s="35"/>
      <c r="C413" s="4"/>
      <c r="I413" s="27"/>
    </row>
    <row r="414" spans="1:9" ht="15.75" customHeight="1" x14ac:dyDescent="0.3">
      <c r="A414" s="5"/>
      <c r="B414" s="35"/>
      <c r="C414" s="4"/>
      <c r="I414" s="27"/>
    </row>
    <row r="415" spans="1:9" ht="15.75" customHeight="1" x14ac:dyDescent="0.3">
      <c r="A415" s="5"/>
      <c r="B415" s="35"/>
      <c r="C415" s="4"/>
      <c r="I415" s="27"/>
    </row>
    <row r="416" spans="1:9" ht="15.75" customHeight="1" x14ac:dyDescent="0.3">
      <c r="A416" s="5"/>
      <c r="B416" s="35"/>
      <c r="C416" s="4"/>
      <c r="I416" s="27"/>
    </row>
    <row r="417" spans="1:9" ht="15.75" customHeight="1" x14ac:dyDescent="0.3">
      <c r="A417" s="5"/>
      <c r="B417" s="35"/>
      <c r="C417" s="4"/>
      <c r="I417" s="27"/>
    </row>
    <row r="418" spans="1:9" ht="15.75" customHeight="1" x14ac:dyDescent="0.3">
      <c r="A418" s="5"/>
      <c r="B418" s="35"/>
      <c r="C418" s="4"/>
      <c r="I418" s="27"/>
    </row>
    <row r="419" spans="1:9" ht="15.75" customHeight="1" x14ac:dyDescent="0.3">
      <c r="A419" s="5"/>
      <c r="B419" s="35"/>
      <c r="C419" s="4"/>
      <c r="I419" s="27"/>
    </row>
    <row r="420" spans="1:9" ht="15.75" customHeight="1" x14ac:dyDescent="0.3">
      <c r="A420" s="5"/>
      <c r="B420" s="35"/>
      <c r="C420" s="4"/>
      <c r="I420" s="27"/>
    </row>
    <row r="421" spans="1:9" ht="15.75" customHeight="1" x14ac:dyDescent="0.3">
      <c r="A421" s="5"/>
      <c r="B421" s="35"/>
      <c r="C421" s="4"/>
      <c r="I421" s="27"/>
    </row>
    <row r="422" spans="1:9" ht="15.75" customHeight="1" x14ac:dyDescent="0.3">
      <c r="A422" s="5"/>
      <c r="B422" s="35"/>
      <c r="C422" s="4"/>
      <c r="I422" s="27"/>
    </row>
    <row r="423" spans="1:9" ht="15.75" customHeight="1" x14ac:dyDescent="0.3">
      <c r="A423" s="5"/>
      <c r="B423" s="35"/>
      <c r="C423" s="4"/>
      <c r="I423" s="27"/>
    </row>
    <row r="424" spans="1:9" ht="15.75" customHeight="1" x14ac:dyDescent="0.3">
      <c r="A424" s="5"/>
      <c r="B424" s="35"/>
      <c r="C424" s="4"/>
      <c r="I424" s="27"/>
    </row>
    <row r="425" spans="1:9" ht="15.75" customHeight="1" x14ac:dyDescent="0.3">
      <c r="A425" s="5"/>
      <c r="B425" s="35"/>
      <c r="C425" s="4"/>
      <c r="I425" s="27"/>
    </row>
    <row r="426" spans="1:9" ht="15.75" customHeight="1" x14ac:dyDescent="0.3">
      <c r="A426" s="5"/>
      <c r="B426" s="35"/>
      <c r="C426" s="4"/>
      <c r="I426" s="27"/>
    </row>
    <row r="427" spans="1:9" ht="15.75" customHeight="1" x14ac:dyDescent="0.3">
      <c r="A427" s="5"/>
      <c r="B427" s="35"/>
      <c r="C427" s="4"/>
      <c r="I427" s="27"/>
    </row>
    <row r="428" spans="1:9" ht="15.75" customHeight="1" x14ac:dyDescent="0.3">
      <c r="A428" s="5"/>
      <c r="B428" s="35"/>
      <c r="C428" s="4"/>
      <c r="I428" s="27"/>
    </row>
    <row r="429" spans="1:9" ht="15.75" customHeight="1" x14ac:dyDescent="0.3">
      <c r="A429" s="5"/>
      <c r="B429" s="35"/>
      <c r="C429" s="4"/>
      <c r="I429" s="27"/>
    </row>
    <row r="430" spans="1:9" ht="15.75" customHeight="1" x14ac:dyDescent="0.3">
      <c r="A430" s="5"/>
      <c r="B430" s="35"/>
      <c r="C430" s="4"/>
      <c r="I430" s="27"/>
    </row>
    <row r="431" spans="1:9" ht="15.75" customHeight="1" x14ac:dyDescent="0.3">
      <c r="A431" s="5"/>
      <c r="B431" s="35"/>
      <c r="C431" s="4"/>
      <c r="I431" s="27"/>
    </row>
    <row r="432" spans="1:9" ht="15.75" customHeight="1" x14ac:dyDescent="0.3">
      <c r="A432" s="5"/>
      <c r="B432" s="35"/>
      <c r="C432" s="4"/>
      <c r="I432" s="27"/>
    </row>
    <row r="433" spans="1:9" ht="15.75" customHeight="1" x14ac:dyDescent="0.3">
      <c r="A433" s="5"/>
      <c r="B433" s="35"/>
      <c r="C433" s="4"/>
      <c r="I433" s="27"/>
    </row>
    <row r="434" spans="1:9" ht="15.75" customHeight="1" x14ac:dyDescent="0.3">
      <c r="A434" s="5"/>
      <c r="B434" s="35"/>
      <c r="C434" s="4"/>
      <c r="I434" s="27"/>
    </row>
    <row r="435" spans="1:9" ht="15.75" customHeight="1" x14ac:dyDescent="0.3">
      <c r="A435" s="5"/>
      <c r="B435" s="35"/>
      <c r="C435" s="4"/>
      <c r="I435" s="27"/>
    </row>
    <row r="436" spans="1:9" ht="15.75" customHeight="1" x14ac:dyDescent="0.3">
      <c r="A436" s="5"/>
      <c r="B436" s="35"/>
      <c r="C436" s="4"/>
      <c r="I436" s="27"/>
    </row>
    <row r="437" spans="1:9" ht="15.75" customHeight="1" x14ac:dyDescent="0.3">
      <c r="A437" s="5"/>
      <c r="B437" s="35"/>
      <c r="C437" s="4"/>
      <c r="I437" s="27"/>
    </row>
    <row r="438" spans="1:9" ht="15.75" customHeight="1" x14ac:dyDescent="0.3">
      <c r="A438" s="5"/>
      <c r="B438" s="35"/>
      <c r="C438" s="4"/>
      <c r="I438" s="27"/>
    </row>
    <row r="439" spans="1:9" ht="15.75" customHeight="1" x14ac:dyDescent="0.3">
      <c r="A439" s="5"/>
      <c r="B439" s="35"/>
      <c r="C439" s="4"/>
      <c r="I439" s="27"/>
    </row>
    <row r="440" spans="1:9" ht="15.75" customHeight="1" x14ac:dyDescent="0.3">
      <c r="A440" s="5"/>
      <c r="B440" s="35"/>
      <c r="C440" s="4"/>
      <c r="I440" s="27"/>
    </row>
    <row r="441" spans="1:9" ht="15.75" customHeight="1" x14ac:dyDescent="0.3">
      <c r="A441" s="5"/>
      <c r="B441" s="35"/>
      <c r="C441" s="4"/>
      <c r="I441" s="27"/>
    </row>
    <row r="442" spans="1:9" ht="15.75" customHeight="1" x14ac:dyDescent="0.3">
      <c r="A442" s="5"/>
      <c r="B442" s="35"/>
      <c r="C442" s="4"/>
      <c r="I442" s="27"/>
    </row>
    <row r="443" spans="1:9" ht="15.75" customHeight="1" x14ac:dyDescent="0.3">
      <c r="A443" s="5"/>
      <c r="B443" s="35"/>
      <c r="C443" s="4"/>
      <c r="I443" s="27"/>
    </row>
    <row r="444" spans="1:9" ht="15.75" customHeight="1" x14ac:dyDescent="0.3">
      <c r="A444" s="5"/>
      <c r="B444" s="35"/>
      <c r="C444" s="4"/>
      <c r="I444" s="27"/>
    </row>
    <row r="445" spans="1:9" ht="15.75" customHeight="1" x14ac:dyDescent="0.3">
      <c r="A445" s="5"/>
      <c r="B445" s="35"/>
      <c r="C445" s="4"/>
      <c r="I445" s="27"/>
    </row>
    <row r="446" spans="1:9" ht="15.75" customHeight="1" x14ac:dyDescent="0.3">
      <c r="A446" s="5"/>
      <c r="B446" s="35"/>
      <c r="C446" s="4"/>
      <c r="I446" s="27"/>
    </row>
    <row r="447" spans="1:9" ht="15.75" customHeight="1" x14ac:dyDescent="0.3">
      <c r="A447" s="5"/>
      <c r="B447" s="35"/>
      <c r="C447" s="4"/>
      <c r="I447" s="27"/>
    </row>
    <row r="448" spans="1:9" ht="15.75" customHeight="1" x14ac:dyDescent="0.3">
      <c r="A448" s="5"/>
      <c r="B448" s="35"/>
      <c r="C448" s="4"/>
      <c r="I448" s="27"/>
    </row>
    <row r="449" spans="1:9" ht="15.75" customHeight="1" x14ac:dyDescent="0.3">
      <c r="A449" s="5"/>
      <c r="B449" s="35"/>
      <c r="C449" s="4"/>
      <c r="I449" s="27"/>
    </row>
    <row r="450" spans="1:9" ht="15.75" customHeight="1" x14ac:dyDescent="0.3">
      <c r="A450" s="5"/>
      <c r="B450" s="35"/>
      <c r="C450" s="4"/>
      <c r="I450" s="27"/>
    </row>
    <row r="451" spans="1:9" ht="15.75" customHeight="1" x14ac:dyDescent="0.3">
      <c r="A451" s="5"/>
      <c r="B451" s="35"/>
      <c r="C451" s="4"/>
      <c r="I451" s="27"/>
    </row>
    <row r="452" spans="1:9" ht="15.75" customHeight="1" x14ac:dyDescent="0.3">
      <c r="A452" s="5"/>
      <c r="B452" s="35"/>
      <c r="C452" s="4"/>
      <c r="I452" s="27"/>
    </row>
    <row r="453" spans="1:9" ht="15.75" customHeight="1" x14ac:dyDescent="0.3">
      <c r="A453" s="5"/>
      <c r="B453" s="35"/>
      <c r="C453" s="4"/>
      <c r="I453" s="27"/>
    </row>
    <row r="454" spans="1:9" ht="15.75" customHeight="1" x14ac:dyDescent="0.3">
      <c r="A454" s="5"/>
      <c r="B454" s="35"/>
      <c r="C454" s="4"/>
      <c r="I454" s="27"/>
    </row>
    <row r="455" spans="1:9" ht="15.75" customHeight="1" x14ac:dyDescent="0.3">
      <c r="A455" s="5"/>
      <c r="B455" s="35"/>
      <c r="C455" s="4"/>
      <c r="I455" s="27"/>
    </row>
    <row r="456" spans="1:9" ht="15.75" customHeight="1" x14ac:dyDescent="0.3">
      <c r="A456" s="5"/>
      <c r="B456" s="35"/>
      <c r="C456" s="4"/>
      <c r="I456" s="27"/>
    </row>
    <row r="457" spans="1:9" ht="15.75" customHeight="1" x14ac:dyDescent="0.3">
      <c r="A457" s="5"/>
      <c r="B457" s="35"/>
      <c r="C457" s="4"/>
      <c r="I457" s="27"/>
    </row>
    <row r="458" spans="1:9" ht="15.75" customHeight="1" x14ac:dyDescent="0.3">
      <c r="A458" s="5"/>
      <c r="B458" s="35"/>
      <c r="C458" s="4"/>
      <c r="I458" s="27"/>
    </row>
    <row r="459" spans="1:9" ht="15.75" customHeight="1" x14ac:dyDescent="0.3">
      <c r="A459" s="5"/>
      <c r="B459" s="35"/>
      <c r="C459" s="4"/>
      <c r="I459" s="27"/>
    </row>
    <row r="460" spans="1:9" ht="15.75" customHeight="1" x14ac:dyDescent="0.3">
      <c r="A460" s="5"/>
      <c r="B460" s="35"/>
      <c r="C460" s="4"/>
      <c r="I460" s="27"/>
    </row>
    <row r="461" spans="1:9" ht="15.75" customHeight="1" x14ac:dyDescent="0.3">
      <c r="A461" s="5"/>
      <c r="B461" s="35"/>
      <c r="C461" s="4"/>
      <c r="I461" s="27"/>
    </row>
    <row r="462" spans="1:9" ht="15.75" customHeight="1" x14ac:dyDescent="0.3">
      <c r="A462" s="5"/>
      <c r="B462" s="35"/>
      <c r="C462" s="4"/>
      <c r="I462" s="27"/>
    </row>
    <row r="463" spans="1:9" ht="15.75" customHeight="1" x14ac:dyDescent="0.3">
      <c r="A463" s="5"/>
      <c r="B463" s="35"/>
      <c r="C463" s="4"/>
      <c r="I463" s="27"/>
    </row>
    <row r="464" spans="1:9" ht="15.75" customHeight="1" x14ac:dyDescent="0.3">
      <c r="A464" s="5"/>
      <c r="B464" s="35"/>
      <c r="C464" s="4"/>
      <c r="I464" s="27"/>
    </row>
    <row r="465" spans="1:9" ht="15.75" customHeight="1" x14ac:dyDescent="0.3">
      <c r="A465" s="5"/>
      <c r="B465" s="35"/>
      <c r="C465" s="4"/>
      <c r="I465" s="27"/>
    </row>
    <row r="466" spans="1:9" ht="15.75" customHeight="1" x14ac:dyDescent="0.3">
      <c r="A466" s="5"/>
      <c r="B466" s="35"/>
      <c r="C466" s="4"/>
      <c r="I466" s="27"/>
    </row>
    <row r="467" spans="1:9" ht="15.75" customHeight="1" x14ac:dyDescent="0.3">
      <c r="A467" s="5"/>
      <c r="B467" s="35"/>
      <c r="C467" s="4"/>
      <c r="I467" s="27"/>
    </row>
    <row r="468" spans="1:9" ht="15.75" customHeight="1" x14ac:dyDescent="0.3">
      <c r="A468" s="5"/>
      <c r="B468" s="35"/>
      <c r="C468" s="4"/>
      <c r="I468" s="27"/>
    </row>
    <row r="469" spans="1:9" ht="15.75" customHeight="1" x14ac:dyDescent="0.3">
      <c r="A469" s="5"/>
      <c r="B469" s="35"/>
      <c r="C469" s="4"/>
      <c r="I469" s="27"/>
    </row>
    <row r="470" spans="1:9" ht="15.75" customHeight="1" x14ac:dyDescent="0.3">
      <c r="A470" s="5"/>
      <c r="B470" s="35"/>
      <c r="C470" s="4"/>
      <c r="I470" s="27"/>
    </row>
    <row r="471" spans="1:9" ht="15.75" customHeight="1" x14ac:dyDescent="0.3">
      <c r="A471" s="5"/>
      <c r="B471" s="35"/>
      <c r="C471" s="4"/>
      <c r="I471" s="27"/>
    </row>
    <row r="472" spans="1:9" ht="15.75" customHeight="1" x14ac:dyDescent="0.3">
      <c r="A472" s="5"/>
      <c r="B472" s="35"/>
      <c r="C472" s="4"/>
      <c r="I472" s="27"/>
    </row>
    <row r="473" spans="1:9" ht="15.75" customHeight="1" x14ac:dyDescent="0.3">
      <c r="A473" s="5"/>
      <c r="B473" s="35"/>
      <c r="C473" s="4"/>
      <c r="I473" s="27"/>
    </row>
    <row r="474" spans="1:9" ht="15.75" customHeight="1" x14ac:dyDescent="0.3">
      <c r="A474" s="5"/>
      <c r="B474" s="35"/>
      <c r="C474" s="4"/>
      <c r="I474" s="27"/>
    </row>
    <row r="475" spans="1:9" ht="15.75" customHeight="1" x14ac:dyDescent="0.3">
      <c r="A475" s="5"/>
      <c r="B475" s="35"/>
      <c r="C475" s="4"/>
      <c r="I475" s="27"/>
    </row>
    <row r="476" spans="1:9" ht="15.75" customHeight="1" x14ac:dyDescent="0.3">
      <c r="A476" s="5"/>
      <c r="B476" s="35"/>
      <c r="C476" s="4"/>
      <c r="I476" s="27"/>
    </row>
    <row r="477" spans="1:9" ht="15.75" customHeight="1" x14ac:dyDescent="0.3">
      <c r="A477" s="5"/>
      <c r="B477" s="35"/>
      <c r="C477" s="4"/>
      <c r="I477" s="27"/>
    </row>
    <row r="478" spans="1:9" ht="15.75" customHeight="1" x14ac:dyDescent="0.3">
      <c r="A478" s="5"/>
      <c r="B478" s="35"/>
      <c r="C478" s="4"/>
      <c r="I478" s="27"/>
    </row>
    <row r="479" spans="1:9" ht="15.75" customHeight="1" x14ac:dyDescent="0.3">
      <c r="A479" s="5"/>
      <c r="B479" s="35"/>
      <c r="C479" s="4"/>
      <c r="I479" s="27"/>
    </row>
    <row r="480" spans="1:9" ht="15.75" customHeight="1" x14ac:dyDescent="0.3">
      <c r="A480" s="5"/>
      <c r="B480" s="35"/>
      <c r="C480" s="4"/>
      <c r="I480" s="27"/>
    </row>
    <row r="481" spans="1:9" ht="15.75" customHeight="1" x14ac:dyDescent="0.3">
      <c r="A481" s="5"/>
      <c r="B481" s="35"/>
      <c r="C481" s="4"/>
      <c r="I481" s="27"/>
    </row>
    <row r="482" spans="1:9" ht="15.75" customHeight="1" x14ac:dyDescent="0.3">
      <c r="A482" s="5"/>
      <c r="B482" s="35"/>
      <c r="C482" s="4"/>
      <c r="I482" s="27"/>
    </row>
    <row r="483" spans="1:9" ht="15.75" customHeight="1" x14ac:dyDescent="0.3">
      <c r="A483" s="5"/>
      <c r="B483" s="35"/>
      <c r="C483" s="4"/>
      <c r="I483" s="27"/>
    </row>
    <row r="484" spans="1:9" ht="15.75" customHeight="1" x14ac:dyDescent="0.3">
      <c r="A484" s="5"/>
      <c r="B484" s="35"/>
      <c r="C484" s="4"/>
      <c r="I484" s="27"/>
    </row>
    <row r="485" spans="1:9" ht="15.75" customHeight="1" x14ac:dyDescent="0.3">
      <c r="A485" s="5"/>
      <c r="B485" s="35"/>
      <c r="C485" s="4"/>
      <c r="I485" s="27"/>
    </row>
    <row r="486" spans="1:9" ht="15.75" customHeight="1" x14ac:dyDescent="0.3">
      <c r="A486" s="5"/>
      <c r="B486" s="35"/>
      <c r="C486" s="4"/>
      <c r="I486" s="27"/>
    </row>
    <row r="487" spans="1:9" ht="15.75" customHeight="1" x14ac:dyDescent="0.3">
      <c r="A487" s="5"/>
      <c r="B487" s="35"/>
      <c r="C487" s="4"/>
      <c r="I487" s="27"/>
    </row>
    <row r="488" spans="1:9" ht="15.75" customHeight="1" x14ac:dyDescent="0.3">
      <c r="A488" s="5"/>
      <c r="B488" s="35"/>
      <c r="C488" s="4"/>
      <c r="I488" s="27"/>
    </row>
    <row r="489" spans="1:9" ht="15.75" customHeight="1" x14ac:dyDescent="0.3">
      <c r="A489" s="5"/>
      <c r="B489" s="35"/>
      <c r="C489" s="4"/>
      <c r="I489" s="27"/>
    </row>
    <row r="490" spans="1:9" ht="15.75" customHeight="1" x14ac:dyDescent="0.3">
      <c r="A490" s="5"/>
      <c r="B490" s="35"/>
      <c r="C490" s="4"/>
      <c r="I490" s="27"/>
    </row>
    <row r="491" spans="1:9" ht="15.75" customHeight="1" x14ac:dyDescent="0.3">
      <c r="A491" s="5"/>
      <c r="B491" s="35"/>
      <c r="C491" s="4"/>
      <c r="I491" s="27"/>
    </row>
    <row r="492" spans="1:9" ht="15.75" customHeight="1" x14ac:dyDescent="0.3">
      <c r="A492" s="5"/>
      <c r="B492" s="35"/>
      <c r="C492" s="4"/>
      <c r="I492" s="27"/>
    </row>
    <row r="493" spans="1:9" ht="15.75" customHeight="1" x14ac:dyDescent="0.3">
      <c r="A493" s="5"/>
      <c r="B493" s="35"/>
      <c r="C493" s="4"/>
      <c r="I493" s="27"/>
    </row>
    <row r="494" spans="1:9" ht="15.75" customHeight="1" x14ac:dyDescent="0.3">
      <c r="A494" s="5"/>
      <c r="B494" s="35"/>
      <c r="C494" s="4"/>
      <c r="I494" s="27"/>
    </row>
    <row r="495" spans="1:9" ht="15.75" customHeight="1" x14ac:dyDescent="0.3">
      <c r="A495" s="5"/>
      <c r="B495" s="35"/>
      <c r="C495" s="4"/>
      <c r="I495" s="27"/>
    </row>
    <row r="496" spans="1:9" ht="15.75" customHeight="1" x14ac:dyDescent="0.3">
      <c r="A496" s="5"/>
      <c r="B496" s="35"/>
      <c r="C496" s="4"/>
      <c r="I496" s="27"/>
    </row>
    <row r="497" spans="1:9" ht="15.75" customHeight="1" x14ac:dyDescent="0.3">
      <c r="A497" s="5"/>
      <c r="B497" s="35"/>
      <c r="C497" s="4"/>
      <c r="I497" s="27"/>
    </row>
    <row r="498" spans="1:9" ht="15.75" customHeight="1" x14ac:dyDescent="0.3">
      <c r="A498" s="5"/>
      <c r="B498" s="35"/>
      <c r="C498" s="4"/>
      <c r="I498" s="27"/>
    </row>
    <row r="499" spans="1:9" ht="15.75" customHeight="1" x14ac:dyDescent="0.3">
      <c r="A499" s="5"/>
      <c r="B499" s="35"/>
      <c r="C499" s="4"/>
      <c r="I499" s="27"/>
    </row>
    <row r="500" spans="1:9" ht="15.75" customHeight="1" x14ac:dyDescent="0.3">
      <c r="A500" s="5"/>
      <c r="B500" s="35"/>
      <c r="C500" s="4"/>
      <c r="I500" s="27"/>
    </row>
    <row r="501" spans="1:9" ht="15.75" customHeight="1" x14ac:dyDescent="0.3">
      <c r="A501" s="5"/>
      <c r="B501" s="35"/>
      <c r="C501" s="4"/>
      <c r="I501" s="27"/>
    </row>
    <row r="502" spans="1:9" ht="15.75" customHeight="1" x14ac:dyDescent="0.3">
      <c r="A502" s="5"/>
      <c r="B502" s="35"/>
      <c r="C502" s="4"/>
      <c r="I502" s="27"/>
    </row>
    <row r="503" spans="1:9" ht="15.75" customHeight="1" x14ac:dyDescent="0.3">
      <c r="A503" s="5"/>
      <c r="B503" s="35"/>
      <c r="C503" s="4"/>
      <c r="I503" s="27"/>
    </row>
    <row r="504" spans="1:9" ht="15.75" customHeight="1" x14ac:dyDescent="0.3">
      <c r="A504" s="5"/>
      <c r="B504" s="35"/>
      <c r="C504" s="4"/>
      <c r="I504" s="27"/>
    </row>
    <row r="505" spans="1:9" ht="15.75" customHeight="1" x14ac:dyDescent="0.3">
      <c r="A505" s="5"/>
      <c r="B505" s="35"/>
      <c r="C505" s="4"/>
      <c r="I505" s="27"/>
    </row>
    <row r="506" spans="1:9" ht="15.75" customHeight="1" x14ac:dyDescent="0.3">
      <c r="A506" s="5"/>
      <c r="B506" s="35"/>
      <c r="C506" s="4"/>
      <c r="I506" s="27"/>
    </row>
    <row r="507" spans="1:9" ht="15.75" customHeight="1" x14ac:dyDescent="0.3">
      <c r="A507" s="5"/>
      <c r="B507" s="35"/>
      <c r="C507" s="4"/>
      <c r="I507" s="27"/>
    </row>
    <row r="508" spans="1:9" ht="15.75" customHeight="1" x14ac:dyDescent="0.3">
      <c r="A508" s="5"/>
      <c r="B508" s="35"/>
      <c r="C508" s="4"/>
      <c r="I508" s="27"/>
    </row>
    <row r="509" spans="1:9" ht="15.75" customHeight="1" x14ac:dyDescent="0.3">
      <c r="A509" s="5"/>
      <c r="B509" s="35"/>
      <c r="C509" s="4"/>
      <c r="I509" s="27"/>
    </row>
    <row r="510" spans="1:9" ht="15.75" customHeight="1" x14ac:dyDescent="0.3">
      <c r="A510" s="5"/>
      <c r="B510" s="35"/>
      <c r="C510" s="4"/>
      <c r="I510" s="27"/>
    </row>
    <row r="511" spans="1:9" ht="15.75" customHeight="1" x14ac:dyDescent="0.3">
      <c r="A511" s="5"/>
      <c r="B511" s="35"/>
      <c r="C511" s="4"/>
      <c r="I511" s="27"/>
    </row>
    <row r="512" spans="1:9" ht="15.75" customHeight="1" x14ac:dyDescent="0.3">
      <c r="A512" s="5"/>
      <c r="B512" s="35"/>
      <c r="C512" s="4"/>
      <c r="I512" s="27"/>
    </row>
    <row r="513" spans="1:9" ht="15.75" customHeight="1" x14ac:dyDescent="0.3">
      <c r="A513" s="5"/>
      <c r="B513" s="35"/>
      <c r="C513" s="4"/>
      <c r="I513" s="27"/>
    </row>
    <row r="514" spans="1:9" ht="15.75" customHeight="1" x14ac:dyDescent="0.3">
      <c r="A514" s="5"/>
      <c r="B514" s="35"/>
      <c r="C514" s="4"/>
      <c r="I514" s="27"/>
    </row>
    <row r="515" spans="1:9" ht="15.75" customHeight="1" x14ac:dyDescent="0.3">
      <c r="A515" s="5"/>
      <c r="B515" s="35"/>
      <c r="C515" s="4"/>
      <c r="I515" s="27"/>
    </row>
    <row r="516" spans="1:9" ht="15.75" customHeight="1" x14ac:dyDescent="0.3">
      <c r="A516" s="5"/>
      <c r="B516" s="35"/>
      <c r="C516" s="4"/>
      <c r="I516" s="27"/>
    </row>
    <row r="517" spans="1:9" ht="15.75" customHeight="1" x14ac:dyDescent="0.3">
      <c r="A517" s="5"/>
      <c r="B517" s="35"/>
      <c r="C517" s="4"/>
      <c r="I517" s="27"/>
    </row>
    <row r="518" spans="1:9" ht="15.75" customHeight="1" x14ac:dyDescent="0.3">
      <c r="A518" s="5"/>
      <c r="B518" s="35"/>
      <c r="C518" s="4"/>
      <c r="I518" s="27"/>
    </row>
    <row r="519" spans="1:9" ht="15.75" customHeight="1" x14ac:dyDescent="0.3">
      <c r="A519" s="5"/>
      <c r="B519" s="35"/>
      <c r="C519" s="4"/>
      <c r="I519" s="27"/>
    </row>
    <row r="520" spans="1:9" ht="15.75" customHeight="1" x14ac:dyDescent="0.3">
      <c r="A520" s="5"/>
      <c r="B520" s="35"/>
      <c r="C520" s="4"/>
      <c r="I520" s="27"/>
    </row>
    <row r="521" spans="1:9" ht="15.75" customHeight="1" x14ac:dyDescent="0.3">
      <c r="A521" s="5"/>
      <c r="B521" s="35"/>
      <c r="C521" s="4"/>
      <c r="I521" s="27"/>
    </row>
    <row r="522" spans="1:9" ht="15.75" customHeight="1" x14ac:dyDescent="0.3">
      <c r="A522" s="5"/>
      <c r="B522" s="35"/>
      <c r="C522" s="4"/>
      <c r="I522" s="27"/>
    </row>
    <row r="523" spans="1:9" ht="15.75" customHeight="1" x14ac:dyDescent="0.3">
      <c r="A523" s="5"/>
      <c r="B523" s="35"/>
      <c r="C523" s="4"/>
      <c r="I523" s="27"/>
    </row>
    <row r="524" spans="1:9" ht="15.75" customHeight="1" x14ac:dyDescent="0.3">
      <c r="A524" s="5"/>
      <c r="B524" s="35"/>
      <c r="C524" s="4"/>
      <c r="I524" s="27"/>
    </row>
    <row r="525" spans="1:9" ht="15.75" customHeight="1" x14ac:dyDescent="0.3">
      <c r="A525" s="5"/>
      <c r="B525" s="35"/>
      <c r="C525" s="4"/>
      <c r="I525" s="27"/>
    </row>
    <row r="526" spans="1:9" ht="15.75" customHeight="1" x14ac:dyDescent="0.3">
      <c r="A526" s="5"/>
      <c r="B526" s="35"/>
      <c r="C526" s="4"/>
      <c r="I526" s="27"/>
    </row>
    <row r="527" spans="1:9" ht="15.75" customHeight="1" x14ac:dyDescent="0.3">
      <c r="A527" s="5"/>
      <c r="B527" s="35"/>
      <c r="C527" s="4"/>
      <c r="I527" s="27"/>
    </row>
    <row r="528" spans="1:9" ht="15.75" customHeight="1" x14ac:dyDescent="0.3">
      <c r="A528" s="5"/>
      <c r="B528" s="35"/>
      <c r="C528" s="4"/>
      <c r="I528" s="27"/>
    </row>
    <row r="529" spans="1:9" ht="15.75" customHeight="1" x14ac:dyDescent="0.3">
      <c r="A529" s="5"/>
      <c r="B529" s="35"/>
      <c r="C529" s="4"/>
      <c r="I529" s="27"/>
    </row>
    <row r="530" spans="1:9" ht="15.75" customHeight="1" x14ac:dyDescent="0.3">
      <c r="A530" s="5"/>
      <c r="B530" s="35"/>
      <c r="C530" s="4"/>
      <c r="I530" s="27"/>
    </row>
    <row r="531" spans="1:9" ht="15.75" customHeight="1" x14ac:dyDescent="0.3">
      <c r="A531" s="5"/>
      <c r="B531" s="35"/>
      <c r="C531" s="4"/>
      <c r="I531" s="27"/>
    </row>
    <row r="532" spans="1:9" ht="15.75" customHeight="1" x14ac:dyDescent="0.3">
      <c r="A532" s="5"/>
      <c r="B532" s="35"/>
      <c r="C532" s="4"/>
      <c r="I532" s="27"/>
    </row>
    <row r="533" spans="1:9" ht="15.75" customHeight="1" x14ac:dyDescent="0.3">
      <c r="A533" s="5"/>
      <c r="B533" s="35"/>
      <c r="C533" s="4"/>
      <c r="I533" s="27"/>
    </row>
    <row r="534" spans="1:9" ht="15.75" customHeight="1" x14ac:dyDescent="0.3">
      <c r="A534" s="5"/>
      <c r="B534" s="35"/>
      <c r="C534" s="4"/>
      <c r="I534" s="27"/>
    </row>
    <row r="535" spans="1:9" ht="15.75" customHeight="1" x14ac:dyDescent="0.3">
      <c r="A535" s="5"/>
      <c r="B535" s="35"/>
      <c r="C535" s="4"/>
      <c r="I535" s="27"/>
    </row>
    <row r="536" spans="1:9" ht="15.75" customHeight="1" x14ac:dyDescent="0.3">
      <c r="A536" s="5"/>
      <c r="B536" s="35"/>
      <c r="C536" s="4"/>
      <c r="I536" s="27"/>
    </row>
    <row r="537" spans="1:9" ht="15.75" customHeight="1" x14ac:dyDescent="0.3">
      <c r="A537" s="5"/>
      <c r="B537" s="35"/>
      <c r="C537" s="4"/>
      <c r="I537" s="27"/>
    </row>
    <row r="538" spans="1:9" ht="15.75" customHeight="1" x14ac:dyDescent="0.3">
      <c r="A538" s="5"/>
      <c r="B538" s="35"/>
      <c r="C538" s="4"/>
      <c r="I538" s="27"/>
    </row>
    <row r="539" spans="1:9" ht="15.75" customHeight="1" x14ac:dyDescent="0.3">
      <c r="A539" s="5"/>
      <c r="B539" s="35"/>
      <c r="C539" s="4"/>
      <c r="I539" s="27"/>
    </row>
    <row r="540" spans="1:9" ht="15.75" customHeight="1" x14ac:dyDescent="0.3">
      <c r="A540" s="5"/>
      <c r="B540" s="35"/>
      <c r="C540" s="4"/>
      <c r="I540" s="27"/>
    </row>
    <row r="541" spans="1:9" ht="15.75" customHeight="1" x14ac:dyDescent="0.3">
      <c r="A541" s="5"/>
      <c r="B541" s="35"/>
      <c r="C541" s="4"/>
      <c r="I541" s="27"/>
    </row>
    <row r="542" spans="1:9" ht="15.75" customHeight="1" x14ac:dyDescent="0.3">
      <c r="A542" s="5"/>
      <c r="B542" s="35"/>
      <c r="C542" s="4"/>
      <c r="I542" s="27"/>
    </row>
    <row r="543" spans="1:9" ht="15.75" customHeight="1" x14ac:dyDescent="0.3">
      <c r="A543" s="5"/>
      <c r="B543" s="35"/>
      <c r="C543" s="4"/>
      <c r="I543" s="27"/>
    </row>
    <row r="544" spans="1:9" ht="15.75" customHeight="1" x14ac:dyDescent="0.3">
      <c r="A544" s="5"/>
      <c r="B544" s="35"/>
      <c r="C544" s="4"/>
      <c r="I544" s="27"/>
    </row>
    <row r="545" spans="1:9" ht="15.75" customHeight="1" x14ac:dyDescent="0.3">
      <c r="A545" s="5"/>
      <c r="B545" s="35"/>
      <c r="C545" s="4"/>
      <c r="I545" s="27"/>
    </row>
    <row r="546" spans="1:9" ht="15.75" customHeight="1" x14ac:dyDescent="0.3">
      <c r="A546" s="5"/>
      <c r="B546" s="35"/>
      <c r="C546" s="4"/>
      <c r="I546" s="27"/>
    </row>
    <row r="547" spans="1:9" ht="15.75" customHeight="1" x14ac:dyDescent="0.3">
      <c r="A547" s="5"/>
      <c r="B547" s="35"/>
      <c r="C547" s="4"/>
      <c r="I547" s="27"/>
    </row>
    <row r="548" spans="1:9" ht="15.75" customHeight="1" x14ac:dyDescent="0.3">
      <c r="A548" s="5"/>
      <c r="B548" s="35"/>
      <c r="C548" s="4"/>
      <c r="I548" s="27"/>
    </row>
    <row r="549" spans="1:9" ht="15.75" customHeight="1" x14ac:dyDescent="0.3">
      <c r="A549" s="5"/>
      <c r="B549" s="35"/>
      <c r="C549" s="4"/>
      <c r="I549" s="27"/>
    </row>
    <row r="550" spans="1:9" ht="15.75" customHeight="1" x14ac:dyDescent="0.3">
      <c r="A550" s="5"/>
      <c r="B550" s="35"/>
      <c r="C550" s="4"/>
      <c r="I550" s="27"/>
    </row>
    <row r="551" spans="1:9" ht="15.75" customHeight="1" x14ac:dyDescent="0.3">
      <c r="A551" s="5"/>
      <c r="B551" s="35"/>
      <c r="C551" s="4"/>
      <c r="I551" s="27"/>
    </row>
    <row r="552" spans="1:9" ht="15.75" customHeight="1" x14ac:dyDescent="0.3">
      <c r="A552" s="5"/>
      <c r="B552" s="35"/>
      <c r="C552" s="4"/>
      <c r="I552" s="27"/>
    </row>
    <row r="553" spans="1:9" ht="15.75" customHeight="1" x14ac:dyDescent="0.3">
      <c r="A553" s="5"/>
      <c r="B553" s="35"/>
      <c r="C553" s="4"/>
      <c r="I553" s="27"/>
    </row>
    <row r="554" spans="1:9" ht="15.75" customHeight="1" x14ac:dyDescent="0.3">
      <c r="A554" s="5"/>
      <c r="B554" s="35"/>
      <c r="C554" s="4"/>
      <c r="I554" s="27"/>
    </row>
    <row r="555" spans="1:9" ht="15.75" customHeight="1" x14ac:dyDescent="0.3">
      <c r="A555" s="5"/>
      <c r="B555" s="35"/>
      <c r="C555" s="4"/>
      <c r="I555" s="27"/>
    </row>
    <row r="556" spans="1:9" ht="15.75" customHeight="1" x14ac:dyDescent="0.3">
      <c r="A556" s="5"/>
      <c r="B556" s="35"/>
      <c r="C556" s="4"/>
      <c r="I556" s="27"/>
    </row>
    <row r="557" spans="1:9" ht="15.75" customHeight="1" x14ac:dyDescent="0.3">
      <c r="A557" s="5"/>
      <c r="B557" s="35"/>
      <c r="C557" s="4"/>
      <c r="I557" s="27"/>
    </row>
    <row r="558" spans="1:9" ht="15.75" customHeight="1" x14ac:dyDescent="0.3">
      <c r="A558" s="5"/>
      <c r="B558" s="35"/>
      <c r="C558" s="4"/>
      <c r="I558" s="27"/>
    </row>
    <row r="559" spans="1:9" ht="15.75" customHeight="1" x14ac:dyDescent="0.3">
      <c r="A559" s="5"/>
      <c r="B559" s="35"/>
      <c r="C559" s="4"/>
      <c r="I559" s="27"/>
    </row>
    <row r="560" spans="1:9" ht="15.75" customHeight="1" x14ac:dyDescent="0.3">
      <c r="A560" s="5"/>
      <c r="B560" s="35"/>
      <c r="C560" s="4"/>
      <c r="I560" s="27"/>
    </row>
    <row r="561" spans="1:9" ht="15.75" customHeight="1" x14ac:dyDescent="0.3">
      <c r="A561" s="5"/>
      <c r="B561" s="35"/>
      <c r="C561" s="4"/>
      <c r="I561" s="27"/>
    </row>
    <row r="562" spans="1:9" ht="15.75" customHeight="1" x14ac:dyDescent="0.3">
      <c r="A562" s="5"/>
      <c r="B562" s="35"/>
      <c r="C562" s="4"/>
      <c r="I562" s="27"/>
    </row>
    <row r="563" spans="1:9" ht="15.75" customHeight="1" x14ac:dyDescent="0.3">
      <c r="A563" s="5"/>
      <c r="B563" s="35"/>
      <c r="C563" s="4"/>
      <c r="I563" s="27"/>
    </row>
    <row r="564" spans="1:9" ht="15.75" customHeight="1" x14ac:dyDescent="0.3">
      <c r="A564" s="5"/>
      <c r="B564" s="35"/>
      <c r="C564" s="4"/>
      <c r="I564" s="27"/>
    </row>
    <row r="565" spans="1:9" ht="15.75" customHeight="1" x14ac:dyDescent="0.3">
      <c r="A565" s="5"/>
      <c r="B565" s="35"/>
      <c r="C565" s="4"/>
      <c r="I565" s="27"/>
    </row>
    <row r="566" spans="1:9" ht="15.75" customHeight="1" x14ac:dyDescent="0.3">
      <c r="A566" s="5"/>
      <c r="B566" s="35"/>
      <c r="C566" s="4"/>
      <c r="I566" s="27"/>
    </row>
    <row r="567" spans="1:9" ht="15.75" customHeight="1" x14ac:dyDescent="0.3">
      <c r="A567" s="5"/>
      <c r="B567" s="35"/>
      <c r="C567" s="4"/>
      <c r="I567" s="27"/>
    </row>
    <row r="568" spans="1:9" ht="15.75" customHeight="1" x14ac:dyDescent="0.3">
      <c r="A568" s="5"/>
      <c r="B568" s="35"/>
      <c r="C568" s="4"/>
      <c r="I568" s="27"/>
    </row>
    <row r="569" spans="1:9" ht="15.75" customHeight="1" x14ac:dyDescent="0.3">
      <c r="A569" s="5"/>
      <c r="B569" s="35"/>
      <c r="C569" s="4"/>
      <c r="I569" s="27"/>
    </row>
    <row r="570" spans="1:9" ht="15.75" customHeight="1" x14ac:dyDescent="0.3">
      <c r="A570" s="5"/>
      <c r="B570" s="35"/>
      <c r="C570" s="4"/>
      <c r="I570" s="27"/>
    </row>
    <row r="571" spans="1:9" ht="15.75" customHeight="1" x14ac:dyDescent="0.3">
      <c r="A571" s="5"/>
      <c r="B571" s="35"/>
      <c r="C571" s="4"/>
      <c r="I571" s="27"/>
    </row>
    <row r="572" spans="1:9" ht="15.75" customHeight="1" x14ac:dyDescent="0.3">
      <c r="A572" s="5"/>
      <c r="B572" s="35"/>
      <c r="C572" s="4"/>
      <c r="I572" s="27"/>
    </row>
    <row r="573" spans="1:9" ht="15.75" customHeight="1" x14ac:dyDescent="0.3">
      <c r="A573" s="5"/>
      <c r="B573" s="35"/>
      <c r="C573" s="4"/>
      <c r="I573" s="27"/>
    </row>
    <row r="574" spans="1:9" ht="15.75" customHeight="1" x14ac:dyDescent="0.3">
      <c r="A574" s="5"/>
      <c r="B574" s="35"/>
      <c r="C574" s="4"/>
      <c r="I574" s="27"/>
    </row>
    <row r="575" spans="1:9" ht="15.75" customHeight="1" x14ac:dyDescent="0.3">
      <c r="A575" s="5"/>
      <c r="B575" s="35"/>
      <c r="C575" s="4"/>
      <c r="I575" s="27"/>
    </row>
    <row r="576" spans="1:9" ht="15.75" customHeight="1" x14ac:dyDescent="0.3">
      <c r="A576" s="5"/>
      <c r="B576" s="35"/>
      <c r="C576" s="4"/>
      <c r="I576" s="27"/>
    </row>
    <row r="577" spans="1:9" ht="15.75" customHeight="1" x14ac:dyDescent="0.3">
      <c r="A577" s="5"/>
      <c r="B577" s="35"/>
      <c r="C577" s="4"/>
      <c r="I577" s="27"/>
    </row>
    <row r="578" spans="1:9" ht="15.75" customHeight="1" x14ac:dyDescent="0.3">
      <c r="A578" s="5"/>
      <c r="B578" s="35"/>
      <c r="C578" s="4"/>
      <c r="I578" s="27"/>
    </row>
    <row r="579" spans="1:9" ht="15.75" customHeight="1" x14ac:dyDescent="0.3">
      <c r="A579" s="5"/>
      <c r="B579" s="35"/>
      <c r="C579" s="4"/>
      <c r="I579" s="27"/>
    </row>
    <row r="580" spans="1:9" ht="15.75" customHeight="1" x14ac:dyDescent="0.3">
      <c r="A580" s="5"/>
      <c r="B580" s="35"/>
      <c r="C580" s="4"/>
      <c r="I580" s="27"/>
    </row>
    <row r="581" spans="1:9" ht="15.75" customHeight="1" x14ac:dyDescent="0.3">
      <c r="A581" s="5"/>
      <c r="B581" s="35"/>
      <c r="C581" s="4"/>
      <c r="I581" s="27"/>
    </row>
    <row r="582" spans="1:9" ht="15.75" customHeight="1" x14ac:dyDescent="0.3">
      <c r="A582" s="5"/>
      <c r="B582" s="35"/>
      <c r="C582" s="4"/>
      <c r="I582" s="27"/>
    </row>
    <row r="583" spans="1:9" ht="15.75" customHeight="1" x14ac:dyDescent="0.3">
      <c r="A583" s="5"/>
      <c r="B583" s="35"/>
      <c r="C583" s="4"/>
      <c r="I583" s="27"/>
    </row>
    <row r="584" spans="1:9" ht="15.75" customHeight="1" x14ac:dyDescent="0.3">
      <c r="A584" s="5"/>
      <c r="B584" s="35"/>
      <c r="C584" s="4"/>
      <c r="I584" s="27"/>
    </row>
    <row r="585" spans="1:9" ht="15.75" customHeight="1" x14ac:dyDescent="0.3">
      <c r="A585" s="5"/>
      <c r="B585" s="35"/>
      <c r="C585" s="4"/>
      <c r="I585" s="27"/>
    </row>
    <row r="586" spans="1:9" ht="15.75" customHeight="1" x14ac:dyDescent="0.3">
      <c r="A586" s="5"/>
      <c r="B586" s="35"/>
      <c r="C586" s="4"/>
      <c r="I586" s="27"/>
    </row>
    <row r="587" spans="1:9" ht="15.75" customHeight="1" x14ac:dyDescent="0.3">
      <c r="A587" s="5"/>
      <c r="B587" s="35"/>
      <c r="C587" s="4"/>
      <c r="I587" s="27"/>
    </row>
    <row r="588" spans="1:9" ht="15.75" customHeight="1" x14ac:dyDescent="0.3">
      <c r="A588" s="5"/>
      <c r="B588" s="35"/>
      <c r="C588" s="4"/>
      <c r="I588" s="27"/>
    </row>
    <row r="589" spans="1:9" ht="15.75" customHeight="1" x14ac:dyDescent="0.3">
      <c r="A589" s="5"/>
      <c r="B589" s="35"/>
      <c r="C589" s="4"/>
      <c r="I589" s="27"/>
    </row>
    <row r="590" spans="1:9" ht="15.75" customHeight="1" x14ac:dyDescent="0.3">
      <c r="A590" s="5"/>
      <c r="B590" s="35"/>
      <c r="C590" s="4"/>
      <c r="I590" s="27"/>
    </row>
    <row r="591" spans="1:9" ht="15.75" customHeight="1" x14ac:dyDescent="0.3">
      <c r="A591" s="5"/>
      <c r="B591" s="35"/>
      <c r="C591" s="4"/>
      <c r="I591" s="27"/>
    </row>
    <row r="592" spans="1:9" ht="15.75" customHeight="1" x14ac:dyDescent="0.3">
      <c r="A592" s="5"/>
      <c r="B592" s="35"/>
      <c r="C592" s="4"/>
      <c r="I592" s="27"/>
    </row>
    <row r="593" spans="1:9" ht="15.75" customHeight="1" x14ac:dyDescent="0.3">
      <c r="A593" s="5"/>
      <c r="B593" s="35"/>
      <c r="C593" s="4"/>
      <c r="I593" s="27"/>
    </row>
    <row r="594" spans="1:9" ht="15.75" customHeight="1" x14ac:dyDescent="0.3">
      <c r="A594" s="5"/>
      <c r="B594" s="35"/>
      <c r="C594" s="4"/>
      <c r="I594" s="27"/>
    </row>
    <row r="595" spans="1:9" ht="15.75" customHeight="1" x14ac:dyDescent="0.3">
      <c r="A595" s="5"/>
      <c r="B595" s="35"/>
      <c r="C595" s="4"/>
      <c r="I595" s="27"/>
    </row>
    <row r="596" spans="1:9" ht="15.75" customHeight="1" x14ac:dyDescent="0.3">
      <c r="A596" s="5"/>
      <c r="B596" s="35"/>
      <c r="C596" s="4"/>
      <c r="I596" s="27"/>
    </row>
    <row r="597" spans="1:9" ht="15.75" customHeight="1" x14ac:dyDescent="0.3">
      <c r="A597" s="5"/>
      <c r="B597" s="35"/>
      <c r="C597" s="4"/>
      <c r="I597" s="27"/>
    </row>
    <row r="598" spans="1:9" ht="15.75" customHeight="1" x14ac:dyDescent="0.3">
      <c r="A598" s="5"/>
      <c r="B598" s="35"/>
      <c r="C598" s="4"/>
      <c r="I598" s="27"/>
    </row>
    <row r="599" spans="1:9" ht="15.75" customHeight="1" x14ac:dyDescent="0.3">
      <c r="A599" s="5"/>
      <c r="B599" s="35"/>
      <c r="C599" s="4"/>
      <c r="I599" s="27"/>
    </row>
    <row r="600" spans="1:9" ht="15.75" customHeight="1" x14ac:dyDescent="0.3">
      <c r="A600" s="5"/>
      <c r="B600" s="35"/>
      <c r="C600" s="4"/>
      <c r="I600" s="27"/>
    </row>
    <row r="601" spans="1:9" ht="15.75" customHeight="1" x14ac:dyDescent="0.3">
      <c r="A601" s="5"/>
      <c r="B601" s="35"/>
      <c r="C601" s="4"/>
      <c r="I601" s="27"/>
    </row>
    <row r="602" spans="1:9" ht="15.75" customHeight="1" x14ac:dyDescent="0.3">
      <c r="A602" s="5"/>
      <c r="B602" s="35"/>
      <c r="C602" s="4"/>
      <c r="I602" s="27"/>
    </row>
    <row r="603" spans="1:9" ht="15.75" customHeight="1" x14ac:dyDescent="0.3">
      <c r="A603" s="5"/>
      <c r="B603" s="35"/>
      <c r="C603" s="4"/>
      <c r="I603" s="27"/>
    </row>
    <row r="604" spans="1:9" ht="15.75" customHeight="1" x14ac:dyDescent="0.3">
      <c r="A604" s="5"/>
      <c r="B604" s="35"/>
      <c r="C604" s="4"/>
      <c r="I604" s="27"/>
    </row>
    <row r="605" spans="1:9" ht="15.75" customHeight="1" x14ac:dyDescent="0.3">
      <c r="A605" s="5"/>
      <c r="B605" s="35"/>
      <c r="C605" s="4"/>
      <c r="I605" s="27"/>
    </row>
    <row r="606" spans="1:9" ht="15.75" customHeight="1" x14ac:dyDescent="0.3">
      <c r="A606" s="5"/>
      <c r="B606" s="35"/>
      <c r="C606" s="4"/>
      <c r="I606" s="27"/>
    </row>
    <row r="607" spans="1:9" ht="15.75" customHeight="1" x14ac:dyDescent="0.3">
      <c r="A607" s="5"/>
      <c r="B607" s="35"/>
      <c r="C607" s="4"/>
      <c r="I607" s="27"/>
    </row>
    <row r="608" spans="1:9" ht="15.75" customHeight="1" x14ac:dyDescent="0.3">
      <c r="A608" s="5"/>
      <c r="B608" s="35"/>
      <c r="C608" s="4"/>
      <c r="I608" s="27"/>
    </row>
    <row r="609" spans="1:9" ht="15.75" customHeight="1" x14ac:dyDescent="0.3">
      <c r="A609" s="5"/>
      <c r="B609" s="35"/>
      <c r="C609" s="4"/>
      <c r="I609" s="27"/>
    </row>
    <row r="610" spans="1:9" ht="15.75" customHeight="1" x14ac:dyDescent="0.3">
      <c r="A610" s="5"/>
      <c r="B610" s="35"/>
      <c r="C610" s="4"/>
      <c r="I610" s="27"/>
    </row>
    <row r="611" spans="1:9" ht="15.75" customHeight="1" x14ac:dyDescent="0.3">
      <c r="A611" s="5"/>
      <c r="B611" s="35"/>
      <c r="C611" s="4"/>
      <c r="I611" s="27"/>
    </row>
    <row r="612" spans="1:9" ht="15.75" customHeight="1" x14ac:dyDescent="0.3">
      <c r="A612" s="5"/>
      <c r="B612" s="35"/>
      <c r="C612" s="4"/>
      <c r="I612" s="27"/>
    </row>
    <row r="613" spans="1:9" ht="15.75" customHeight="1" x14ac:dyDescent="0.3">
      <c r="A613" s="5"/>
      <c r="B613" s="35"/>
      <c r="C613" s="4"/>
      <c r="I613" s="27"/>
    </row>
    <row r="614" spans="1:9" ht="15.75" customHeight="1" x14ac:dyDescent="0.3">
      <c r="A614" s="5"/>
      <c r="B614" s="35"/>
      <c r="C614" s="4"/>
      <c r="I614" s="27"/>
    </row>
    <row r="615" spans="1:9" ht="15.75" customHeight="1" x14ac:dyDescent="0.3">
      <c r="A615" s="5"/>
      <c r="B615" s="35"/>
      <c r="C615" s="4"/>
      <c r="I615" s="27"/>
    </row>
    <row r="616" spans="1:9" ht="15.75" customHeight="1" x14ac:dyDescent="0.3">
      <c r="A616" s="5"/>
      <c r="B616" s="35"/>
      <c r="C616" s="4"/>
      <c r="I616" s="27"/>
    </row>
    <row r="617" spans="1:9" ht="15.75" customHeight="1" x14ac:dyDescent="0.3">
      <c r="A617" s="5"/>
      <c r="B617" s="35"/>
      <c r="C617" s="4"/>
      <c r="I617" s="27"/>
    </row>
    <row r="618" spans="1:9" ht="15.75" customHeight="1" x14ac:dyDescent="0.3">
      <c r="A618" s="5"/>
      <c r="B618" s="35"/>
      <c r="C618" s="4"/>
      <c r="I618" s="27"/>
    </row>
    <row r="619" spans="1:9" ht="15.75" customHeight="1" x14ac:dyDescent="0.3">
      <c r="A619" s="5"/>
      <c r="B619" s="35"/>
      <c r="C619" s="4"/>
      <c r="I619" s="27"/>
    </row>
    <row r="620" spans="1:9" ht="15.75" customHeight="1" x14ac:dyDescent="0.3">
      <c r="A620" s="5"/>
      <c r="B620" s="35"/>
      <c r="C620" s="4"/>
      <c r="I620" s="27"/>
    </row>
    <row r="621" spans="1:9" ht="15.75" customHeight="1" x14ac:dyDescent="0.3">
      <c r="A621" s="5"/>
      <c r="B621" s="35"/>
      <c r="C621" s="4"/>
      <c r="I621" s="27"/>
    </row>
    <row r="622" spans="1:9" ht="15.75" customHeight="1" x14ac:dyDescent="0.3">
      <c r="A622" s="5"/>
      <c r="B622" s="35"/>
      <c r="C622" s="4"/>
      <c r="I622" s="27"/>
    </row>
    <row r="623" spans="1:9" ht="15.75" customHeight="1" x14ac:dyDescent="0.3">
      <c r="A623" s="5"/>
      <c r="B623" s="35"/>
      <c r="C623" s="4"/>
      <c r="I623" s="27"/>
    </row>
    <row r="624" spans="1:9" ht="15.75" customHeight="1" x14ac:dyDescent="0.3">
      <c r="A624" s="5"/>
      <c r="B624" s="35"/>
      <c r="C624" s="4"/>
      <c r="I624" s="27"/>
    </row>
    <row r="625" spans="1:9" ht="15.75" customHeight="1" x14ac:dyDescent="0.3">
      <c r="A625" s="5"/>
      <c r="B625" s="35"/>
      <c r="C625" s="4"/>
      <c r="I625" s="27"/>
    </row>
    <row r="626" spans="1:9" ht="15.75" customHeight="1" x14ac:dyDescent="0.3">
      <c r="A626" s="5"/>
      <c r="B626" s="35"/>
      <c r="C626" s="4"/>
      <c r="I626" s="27"/>
    </row>
    <row r="627" spans="1:9" ht="15.75" customHeight="1" x14ac:dyDescent="0.3">
      <c r="A627" s="5"/>
      <c r="B627" s="35"/>
      <c r="C627" s="4"/>
      <c r="I627" s="27"/>
    </row>
    <row r="628" spans="1:9" ht="15.75" customHeight="1" x14ac:dyDescent="0.3">
      <c r="A628" s="5"/>
      <c r="B628" s="35"/>
      <c r="C628" s="4"/>
      <c r="I628" s="27"/>
    </row>
    <row r="629" spans="1:9" ht="15.75" customHeight="1" x14ac:dyDescent="0.3">
      <c r="A629" s="5"/>
      <c r="B629" s="35"/>
      <c r="C629" s="4"/>
      <c r="I629" s="27"/>
    </row>
    <row r="630" spans="1:9" ht="15.75" customHeight="1" x14ac:dyDescent="0.3">
      <c r="A630" s="5"/>
      <c r="B630" s="35"/>
      <c r="C630" s="4"/>
      <c r="I630" s="27"/>
    </row>
    <row r="631" spans="1:9" ht="15.75" customHeight="1" x14ac:dyDescent="0.3">
      <c r="A631" s="5"/>
      <c r="B631" s="35"/>
      <c r="C631" s="4"/>
      <c r="I631" s="27"/>
    </row>
    <row r="632" spans="1:9" ht="15.75" customHeight="1" x14ac:dyDescent="0.3">
      <c r="A632" s="5"/>
      <c r="B632" s="35"/>
      <c r="C632" s="4"/>
      <c r="I632" s="27"/>
    </row>
    <row r="633" spans="1:9" ht="15.75" customHeight="1" x14ac:dyDescent="0.3">
      <c r="A633" s="5"/>
      <c r="B633" s="35"/>
      <c r="C633" s="4"/>
      <c r="I633" s="27"/>
    </row>
    <row r="634" spans="1:9" ht="15.75" customHeight="1" x14ac:dyDescent="0.3">
      <c r="A634" s="5"/>
      <c r="B634" s="35"/>
      <c r="C634" s="4"/>
      <c r="I634" s="27"/>
    </row>
    <row r="635" spans="1:9" ht="15.75" customHeight="1" x14ac:dyDescent="0.3">
      <c r="A635" s="5"/>
      <c r="B635" s="35"/>
      <c r="C635" s="4"/>
      <c r="I635" s="27"/>
    </row>
    <row r="636" spans="1:9" ht="15.75" customHeight="1" x14ac:dyDescent="0.3">
      <c r="A636" s="5"/>
      <c r="B636" s="35"/>
      <c r="C636" s="4"/>
      <c r="I636" s="27"/>
    </row>
    <row r="637" spans="1:9" ht="15.75" customHeight="1" x14ac:dyDescent="0.3">
      <c r="A637" s="5"/>
      <c r="B637" s="35"/>
      <c r="C637" s="4"/>
      <c r="I637" s="27"/>
    </row>
    <row r="638" spans="1:9" ht="15.75" customHeight="1" x14ac:dyDescent="0.3">
      <c r="A638" s="5"/>
      <c r="B638" s="35"/>
      <c r="C638" s="4"/>
      <c r="I638" s="27"/>
    </row>
    <row r="639" spans="1:9" ht="15.75" customHeight="1" x14ac:dyDescent="0.3">
      <c r="A639" s="5"/>
      <c r="B639" s="35"/>
      <c r="C639" s="4"/>
      <c r="I639" s="27"/>
    </row>
    <row r="640" spans="1:9" ht="15.75" customHeight="1" x14ac:dyDescent="0.3">
      <c r="A640" s="5"/>
      <c r="B640" s="35"/>
      <c r="C640" s="4"/>
      <c r="I640" s="27"/>
    </row>
    <row r="641" spans="1:9" ht="15.75" customHeight="1" x14ac:dyDescent="0.3">
      <c r="A641" s="5"/>
      <c r="B641" s="35"/>
      <c r="C641" s="4"/>
      <c r="I641" s="27"/>
    </row>
    <row r="642" spans="1:9" ht="15.75" customHeight="1" x14ac:dyDescent="0.3">
      <c r="A642" s="5"/>
      <c r="B642" s="35"/>
      <c r="C642" s="4"/>
      <c r="I642" s="27"/>
    </row>
    <row r="643" spans="1:9" ht="15.75" customHeight="1" x14ac:dyDescent="0.3">
      <c r="A643" s="5"/>
      <c r="B643" s="35"/>
      <c r="C643" s="4"/>
      <c r="I643" s="27"/>
    </row>
    <row r="644" spans="1:9" ht="15.75" customHeight="1" x14ac:dyDescent="0.3">
      <c r="A644" s="5"/>
      <c r="B644" s="35"/>
      <c r="C644" s="4"/>
      <c r="I644" s="27"/>
    </row>
    <row r="645" spans="1:9" ht="15.75" customHeight="1" x14ac:dyDescent="0.3">
      <c r="A645" s="5"/>
      <c r="B645" s="35"/>
      <c r="C645" s="4"/>
      <c r="I645" s="27"/>
    </row>
    <row r="646" spans="1:9" ht="15.75" customHeight="1" x14ac:dyDescent="0.3">
      <c r="A646" s="5"/>
      <c r="B646" s="35"/>
      <c r="C646" s="4"/>
      <c r="I646" s="27"/>
    </row>
    <row r="647" spans="1:9" ht="15.75" customHeight="1" x14ac:dyDescent="0.3">
      <c r="A647" s="5"/>
      <c r="B647" s="35"/>
      <c r="C647" s="4"/>
      <c r="I647" s="27"/>
    </row>
    <row r="648" spans="1:9" ht="15.75" customHeight="1" x14ac:dyDescent="0.3">
      <c r="A648" s="5"/>
      <c r="B648" s="35"/>
      <c r="C648" s="4"/>
      <c r="I648" s="27"/>
    </row>
    <row r="649" spans="1:9" ht="15.75" customHeight="1" x14ac:dyDescent="0.3">
      <c r="A649" s="5"/>
      <c r="B649" s="35"/>
      <c r="C649" s="4"/>
      <c r="I649" s="27"/>
    </row>
    <row r="650" spans="1:9" ht="15.75" customHeight="1" x14ac:dyDescent="0.3">
      <c r="A650" s="5"/>
      <c r="B650" s="35"/>
      <c r="C650" s="4"/>
      <c r="I650" s="27"/>
    </row>
    <row r="651" spans="1:9" ht="15.75" customHeight="1" x14ac:dyDescent="0.3">
      <c r="A651" s="5"/>
      <c r="B651" s="35"/>
      <c r="C651" s="4"/>
      <c r="I651" s="27"/>
    </row>
    <row r="652" spans="1:9" ht="15.75" customHeight="1" x14ac:dyDescent="0.3">
      <c r="A652" s="5"/>
      <c r="B652" s="35"/>
      <c r="C652" s="4"/>
      <c r="I652" s="27"/>
    </row>
    <row r="653" spans="1:9" ht="15.75" customHeight="1" x14ac:dyDescent="0.3">
      <c r="A653" s="5"/>
      <c r="B653" s="35"/>
      <c r="C653" s="4"/>
      <c r="I653" s="27"/>
    </row>
    <row r="654" spans="1:9" ht="15.75" customHeight="1" x14ac:dyDescent="0.3">
      <c r="A654" s="5"/>
      <c r="B654" s="35"/>
      <c r="C654" s="4"/>
      <c r="I654" s="27"/>
    </row>
    <row r="655" spans="1:9" ht="15.75" customHeight="1" x14ac:dyDescent="0.3">
      <c r="A655" s="5"/>
      <c r="B655" s="35"/>
      <c r="C655" s="4"/>
      <c r="I655" s="27"/>
    </row>
    <row r="656" spans="1:9" ht="15.75" customHeight="1" x14ac:dyDescent="0.3">
      <c r="A656" s="5"/>
      <c r="B656" s="35"/>
      <c r="C656" s="4"/>
      <c r="I656" s="27"/>
    </row>
    <row r="657" spans="1:9" ht="15.75" customHeight="1" x14ac:dyDescent="0.3">
      <c r="A657" s="5"/>
      <c r="B657" s="35"/>
      <c r="C657" s="4"/>
      <c r="I657" s="27"/>
    </row>
    <row r="658" spans="1:9" ht="15.75" customHeight="1" x14ac:dyDescent="0.3">
      <c r="A658" s="5"/>
      <c r="B658" s="35"/>
      <c r="C658" s="4"/>
      <c r="I658" s="27"/>
    </row>
    <row r="659" spans="1:9" ht="15.75" customHeight="1" x14ac:dyDescent="0.3">
      <c r="A659" s="5"/>
      <c r="B659" s="35"/>
      <c r="C659" s="4"/>
      <c r="I659" s="27"/>
    </row>
    <row r="660" spans="1:9" ht="15.75" customHeight="1" x14ac:dyDescent="0.3">
      <c r="A660" s="5"/>
      <c r="B660" s="35"/>
      <c r="C660" s="4"/>
      <c r="I660" s="27"/>
    </row>
    <row r="661" spans="1:9" ht="15.75" customHeight="1" x14ac:dyDescent="0.3">
      <c r="A661" s="5"/>
      <c r="B661" s="35"/>
      <c r="C661" s="4"/>
      <c r="I661" s="27"/>
    </row>
    <row r="662" spans="1:9" ht="15.75" customHeight="1" x14ac:dyDescent="0.3">
      <c r="A662" s="5"/>
      <c r="B662" s="35"/>
      <c r="C662" s="4"/>
      <c r="I662" s="27"/>
    </row>
    <row r="663" spans="1:9" ht="15.75" customHeight="1" x14ac:dyDescent="0.3">
      <c r="A663" s="5"/>
      <c r="B663" s="35"/>
      <c r="C663" s="4"/>
      <c r="I663" s="27"/>
    </row>
    <row r="664" spans="1:9" ht="15.75" customHeight="1" x14ac:dyDescent="0.3">
      <c r="A664" s="5"/>
      <c r="B664" s="35"/>
      <c r="C664" s="4"/>
      <c r="I664" s="27"/>
    </row>
    <row r="665" spans="1:9" ht="15.75" customHeight="1" x14ac:dyDescent="0.3">
      <c r="A665" s="5"/>
      <c r="B665" s="35"/>
      <c r="C665" s="4"/>
      <c r="I665" s="27"/>
    </row>
    <row r="666" spans="1:9" ht="15.75" customHeight="1" x14ac:dyDescent="0.3">
      <c r="A666" s="5"/>
      <c r="B666" s="35"/>
      <c r="C666" s="4"/>
      <c r="I666" s="27"/>
    </row>
    <row r="667" spans="1:9" ht="15.75" customHeight="1" x14ac:dyDescent="0.3">
      <c r="A667" s="5"/>
      <c r="B667" s="35"/>
      <c r="C667" s="4"/>
      <c r="I667" s="27"/>
    </row>
    <row r="668" spans="1:9" ht="15.75" customHeight="1" x14ac:dyDescent="0.3">
      <c r="A668" s="5"/>
      <c r="B668" s="35"/>
      <c r="C668" s="4"/>
      <c r="I668" s="27"/>
    </row>
    <row r="669" spans="1:9" ht="15.75" customHeight="1" x14ac:dyDescent="0.3">
      <c r="A669" s="5"/>
      <c r="B669" s="35"/>
      <c r="C669" s="4"/>
      <c r="I669" s="27"/>
    </row>
    <row r="670" spans="1:9" ht="15.75" customHeight="1" x14ac:dyDescent="0.3">
      <c r="A670" s="5"/>
      <c r="B670" s="35"/>
      <c r="C670" s="4"/>
      <c r="I670" s="27"/>
    </row>
    <row r="671" spans="1:9" ht="15.75" customHeight="1" x14ac:dyDescent="0.3">
      <c r="A671" s="5"/>
      <c r="B671" s="35"/>
      <c r="C671" s="4"/>
      <c r="I671" s="27"/>
    </row>
    <row r="672" spans="1:9" ht="15.75" customHeight="1" x14ac:dyDescent="0.3">
      <c r="A672" s="5"/>
      <c r="B672" s="35"/>
      <c r="C672" s="4"/>
      <c r="I672" s="27"/>
    </row>
    <row r="673" spans="1:9" ht="15.75" customHeight="1" x14ac:dyDescent="0.3">
      <c r="A673" s="5"/>
      <c r="B673" s="35"/>
      <c r="C673" s="4"/>
      <c r="I673" s="27"/>
    </row>
    <row r="674" spans="1:9" ht="15.75" customHeight="1" x14ac:dyDescent="0.3">
      <c r="A674" s="5"/>
      <c r="B674" s="35"/>
      <c r="C674" s="4"/>
      <c r="I674" s="27"/>
    </row>
    <row r="675" spans="1:9" ht="15.75" customHeight="1" x14ac:dyDescent="0.3">
      <c r="A675" s="5"/>
      <c r="B675" s="35"/>
      <c r="C675" s="4"/>
      <c r="I675" s="27"/>
    </row>
    <row r="676" spans="1:9" ht="15.75" customHeight="1" x14ac:dyDescent="0.3">
      <c r="A676" s="5"/>
      <c r="B676" s="35"/>
      <c r="C676" s="4"/>
      <c r="I676" s="27"/>
    </row>
    <row r="677" spans="1:9" ht="15.75" customHeight="1" x14ac:dyDescent="0.3">
      <c r="A677" s="5"/>
      <c r="B677" s="35"/>
      <c r="C677" s="4"/>
      <c r="I677" s="27"/>
    </row>
    <row r="678" spans="1:9" ht="15.75" customHeight="1" x14ac:dyDescent="0.3">
      <c r="A678" s="5"/>
      <c r="B678" s="35"/>
      <c r="C678" s="4"/>
      <c r="I678" s="27"/>
    </row>
    <row r="679" spans="1:9" ht="15.75" customHeight="1" x14ac:dyDescent="0.3">
      <c r="A679" s="5"/>
      <c r="B679" s="35"/>
      <c r="C679" s="4"/>
      <c r="I679" s="27"/>
    </row>
    <row r="680" spans="1:9" ht="15.75" customHeight="1" x14ac:dyDescent="0.3">
      <c r="A680" s="5"/>
      <c r="B680" s="35"/>
      <c r="C680" s="4"/>
      <c r="I680" s="27"/>
    </row>
    <row r="681" spans="1:9" ht="15.75" customHeight="1" x14ac:dyDescent="0.3">
      <c r="A681" s="5"/>
      <c r="B681" s="35"/>
      <c r="C681" s="4"/>
      <c r="I681" s="27"/>
    </row>
    <row r="682" spans="1:9" ht="15.75" customHeight="1" x14ac:dyDescent="0.3">
      <c r="A682" s="5"/>
      <c r="B682" s="35"/>
      <c r="C682" s="4"/>
      <c r="I682" s="27"/>
    </row>
    <row r="683" spans="1:9" ht="15.75" customHeight="1" x14ac:dyDescent="0.3">
      <c r="A683" s="5"/>
      <c r="B683" s="35"/>
      <c r="C683" s="4"/>
      <c r="I683" s="27"/>
    </row>
    <row r="684" spans="1:9" ht="15.75" customHeight="1" x14ac:dyDescent="0.3">
      <c r="A684" s="5"/>
      <c r="B684" s="35"/>
      <c r="C684" s="4"/>
      <c r="I684" s="27"/>
    </row>
    <row r="685" spans="1:9" ht="15.75" customHeight="1" x14ac:dyDescent="0.3">
      <c r="A685" s="5"/>
      <c r="B685" s="35"/>
      <c r="C685" s="4"/>
      <c r="I685" s="27"/>
    </row>
    <row r="686" spans="1:9" ht="15.75" customHeight="1" x14ac:dyDescent="0.3">
      <c r="A686" s="5"/>
      <c r="B686" s="35"/>
      <c r="C686" s="4"/>
      <c r="I686" s="27"/>
    </row>
    <row r="687" spans="1:9" ht="15.75" customHeight="1" x14ac:dyDescent="0.3">
      <c r="A687" s="5"/>
      <c r="B687" s="35"/>
      <c r="C687" s="4"/>
      <c r="I687" s="27"/>
    </row>
    <row r="688" spans="1:9" ht="15.75" customHeight="1" x14ac:dyDescent="0.3">
      <c r="A688" s="5"/>
      <c r="B688" s="35"/>
      <c r="C688" s="4"/>
      <c r="I688" s="27"/>
    </row>
    <row r="689" spans="1:9" ht="15.75" customHeight="1" x14ac:dyDescent="0.3">
      <c r="A689" s="5"/>
      <c r="B689" s="35"/>
      <c r="C689" s="4"/>
      <c r="I689" s="27"/>
    </row>
    <row r="690" spans="1:9" ht="15.75" customHeight="1" x14ac:dyDescent="0.3">
      <c r="A690" s="5"/>
      <c r="B690" s="35"/>
      <c r="C690" s="4"/>
      <c r="I690" s="27"/>
    </row>
    <row r="691" spans="1:9" ht="15.75" customHeight="1" x14ac:dyDescent="0.3">
      <c r="A691" s="5"/>
      <c r="B691" s="35"/>
      <c r="C691" s="4"/>
      <c r="I691" s="27"/>
    </row>
    <row r="692" spans="1:9" ht="15.75" customHeight="1" x14ac:dyDescent="0.3">
      <c r="A692" s="5"/>
      <c r="B692" s="35"/>
      <c r="C692" s="4"/>
      <c r="I692" s="27"/>
    </row>
    <row r="693" spans="1:9" ht="15.75" customHeight="1" x14ac:dyDescent="0.3">
      <c r="A693" s="5"/>
      <c r="B693" s="35"/>
      <c r="C693" s="4"/>
      <c r="I693" s="27"/>
    </row>
    <row r="694" spans="1:9" ht="15.75" customHeight="1" x14ac:dyDescent="0.3">
      <c r="A694" s="5"/>
      <c r="B694" s="35"/>
      <c r="C694" s="4"/>
      <c r="I694" s="27"/>
    </row>
    <row r="695" spans="1:9" ht="15.75" customHeight="1" x14ac:dyDescent="0.3">
      <c r="A695" s="5"/>
      <c r="B695" s="35"/>
      <c r="C695" s="4"/>
      <c r="I695" s="27"/>
    </row>
    <row r="696" spans="1:9" ht="15.75" customHeight="1" x14ac:dyDescent="0.3">
      <c r="A696" s="5"/>
      <c r="B696" s="35"/>
      <c r="C696" s="4"/>
      <c r="I696" s="27"/>
    </row>
    <row r="697" spans="1:9" ht="15.75" customHeight="1" x14ac:dyDescent="0.3">
      <c r="A697" s="5"/>
      <c r="B697" s="35"/>
      <c r="C697" s="4"/>
      <c r="I697" s="27"/>
    </row>
    <row r="698" spans="1:9" ht="15.75" customHeight="1" x14ac:dyDescent="0.3">
      <c r="A698" s="5"/>
      <c r="B698" s="35"/>
      <c r="C698" s="4"/>
      <c r="I698" s="27"/>
    </row>
    <row r="699" spans="1:9" ht="15.75" customHeight="1" x14ac:dyDescent="0.3">
      <c r="A699" s="5"/>
      <c r="B699" s="35"/>
      <c r="C699" s="4"/>
      <c r="I699" s="27"/>
    </row>
    <row r="700" spans="1:9" ht="15.75" customHeight="1" x14ac:dyDescent="0.3">
      <c r="A700" s="5"/>
      <c r="B700" s="35"/>
      <c r="C700" s="4"/>
      <c r="I700" s="27"/>
    </row>
    <row r="701" spans="1:9" ht="15.75" customHeight="1" x14ac:dyDescent="0.3">
      <c r="A701" s="5"/>
      <c r="B701" s="35"/>
      <c r="C701" s="4"/>
      <c r="I701" s="27"/>
    </row>
    <row r="702" spans="1:9" ht="15.75" customHeight="1" x14ac:dyDescent="0.3">
      <c r="A702" s="5"/>
      <c r="B702" s="35"/>
      <c r="C702" s="4"/>
      <c r="I702" s="27"/>
    </row>
    <row r="703" spans="1:9" ht="15.75" customHeight="1" x14ac:dyDescent="0.3">
      <c r="A703" s="5"/>
      <c r="B703" s="35"/>
      <c r="C703" s="4"/>
      <c r="I703" s="27"/>
    </row>
    <row r="704" spans="1:9" ht="15.75" customHeight="1" x14ac:dyDescent="0.3">
      <c r="A704" s="5"/>
      <c r="B704" s="35"/>
      <c r="C704" s="4"/>
      <c r="I704" s="27"/>
    </row>
    <row r="705" spans="1:9" ht="15.75" customHeight="1" x14ac:dyDescent="0.3">
      <c r="A705" s="5"/>
      <c r="B705" s="35"/>
      <c r="C705" s="4"/>
      <c r="I705" s="27"/>
    </row>
    <row r="706" spans="1:9" ht="15.75" customHeight="1" x14ac:dyDescent="0.3">
      <c r="A706" s="5"/>
      <c r="B706" s="35"/>
      <c r="C706" s="4"/>
      <c r="I706" s="27"/>
    </row>
    <row r="707" spans="1:9" ht="15.75" customHeight="1" x14ac:dyDescent="0.3">
      <c r="A707" s="5"/>
      <c r="B707" s="35"/>
      <c r="C707" s="4"/>
      <c r="I707" s="27"/>
    </row>
    <row r="708" spans="1:9" ht="15.75" customHeight="1" x14ac:dyDescent="0.3">
      <c r="A708" s="5"/>
      <c r="B708" s="35"/>
      <c r="C708" s="4"/>
      <c r="I708" s="27"/>
    </row>
    <row r="709" spans="1:9" ht="15.75" customHeight="1" x14ac:dyDescent="0.3">
      <c r="A709" s="5"/>
      <c r="B709" s="35"/>
      <c r="C709" s="4"/>
      <c r="I709" s="27"/>
    </row>
    <row r="710" spans="1:9" ht="15.75" customHeight="1" x14ac:dyDescent="0.3">
      <c r="A710" s="5"/>
      <c r="B710" s="35"/>
      <c r="C710" s="4"/>
      <c r="I710" s="27"/>
    </row>
    <row r="711" spans="1:9" ht="15.75" customHeight="1" x14ac:dyDescent="0.3">
      <c r="A711" s="5"/>
      <c r="B711" s="35"/>
      <c r="C711" s="4"/>
      <c r="I711" s="27"/>
    </row>
    <row r="712" spans="1:9" ht="15.75" customHeight="1" x14ac:dyDescent="0.3">
      <c r="A712" s="5"/>
      <c r="B712" s="35"/>
      <c r="C712" s="4"/>
      <c r="I712" s="27"/>
    </row>
    <row r="713" spans="1:9" ht="15.75" customHeight="1" x14ac:dyDescent="0.3">
      <c r="A713" s="5"/>
      <c r="B713" s="35"/>
      <c r="C713" s="4"/>
      <c r="I713" s="27"/>
    </row>
    <row r="714" spans="1:9" ht="15.75" customHeight="1" x14ac:dyDescent="0.3">
      <c r="A714" s="5"/>
      <c r="B714" s="35"/>
      <c r="C714" s="4"/>
      <c r="I714" s="27"/>
    </row>
    <row r="715" spans="1:9" ht="15.75" customHeight="1" x14ac:dyDescent="0.3">
      <c r="A715" s="5"/>
      <c r="B715" s="35"/>
      <c r="C715" s="4"/>
      <c r="I715" s="27"/>
    </row>
    <row r="716" spans="1:9" ht="15.75" customHeight="1" x14ac:dyDescent="0.3">
      <c r="A716" s="5"/>
      <c r="B716" s="35"/>
      <c r="C716" s="4"/>
      <c r="I716" s="27"/>
    </row>
    <row r="717" spans="1:9" ht="15.75" customHeight="1" x14ac:dyDescent="0.3">
      <c r="A717" s="5"/>
      <c r="B717" s="35"/>
      <c r="C717" s="4"/>
      <c r="I717" s="27"/>
    </row>
    <row r="718" spans="1:9" ht="15.75" customHeight="1" x14ac:dyDescent="0.3">
      <c r="A718" s="5"/>
      <c r="B718" s="35"/>
      <c r="C718" s="4"/>
      <c r="I718" s="27"/>
    </row>
    <row r="719" spans="1:9" ht="15.75" customHeight="1" x14ac:dyDescent="0.3">
      <c r="A719" s="5"/>
      <c r="B719" s="35"/>
      <c r="C719" s="4"/>
      <c r="I719" s="27"/>
    </row>
    <row r="720" spans="1:9" ht="15.75" customHeight="1" x14ac:dyDescent="0.3">
      <c r="A720" s="5"/>
      <c r="B720" s="35"/>
      <c r="C720" s="4"/>
      <c r="I720" s="27"/>
    </row>
    <row r="721" spans="1:9" ht="15.75" customHeight="1" x14ac:dyDescent="0.3">
      <c r="A721" s="5"/>
      <c r="B721" s="35"/>
      <c r="C721" s="4"/>
      <c r="I721" s="27"/>
    </row>
    <row r="722" spans="1:9" ht="15.75" customHeight="1" x14ac:dyDescent="0.3">
      <c r="A722" s="5"/>
      <c r="B722" s="35"/>
      <c r="C722" s="4"/>
      <c r="I722" s="27"/>
    </row>
    <row r="723" spans="1:9" ht="15.75" customHeight="1" x14ac:dyDescent="0.3">
      <c r="A723" s="5"/>
      <c r="B723" s="35"/>
      <c r="C723" s="4"/>
      <c r="I723" s="27"/>
    </row>
    <row r="724" spans="1:9" ht="15.75" customHeight="1" x14ac:dyDescent="0.3">
      <c r="A724" s="5"/>
      <c r="B724" s="35"/>
      <c r="C724" s="4"/>
      <c r="I724" s="27"/>
    </row>
    <row r="725" spans="1:9" ht="15.75" customHeight="1" x14ac:dyDescent="0.3">
      <c r="A725" s="5"/>
      <c r="B725" s="35"/>
      <c r="C725" s="4"/>
      <c r="I725" s="27"/>
    </row>
    <row r="726" spans="1:9" ht="15.75" customHeight="1" x14ac:dyDescent="0.3">
      <c r="A726" s="5"/>
      <c r="B726" s="35"/>
      <c r="C726" s="4"/>
      <c r="I726" s="27"/>
    </row>
    <row r="727" spans="1:9" ht="15.75" customHeight="1" x14ac:dyDescent="0.3">
      <c r="A727" s="5"/>
      <c r="B727" s="35"/>
      <c r="C727" s="4"/>
      <c r="I727" s="27"/>
    </row>
    <row r="728" spans="1:9" ht="15.75" customHeight="1" x14ac:dyDescent="0.3">
      <c r="A728" s="5"/>
      <c r="B728" s="35"/>
      <c r="C728" s="4"/>
      <c r="I728" s="27"/>
    </row>
    <row r="729" spans="1:9" ht="15.75" customHeight="1" x14ac:dyDescent="0.3">
      <c r="A729" s="5"/>
      <c r="B729" s="35"/>
      <c r="C729" s="4"/>
      <c r="I729" s="27"/>
    </row>
    <row r="730" spans="1:9" ht="15.75" customHeight="1" x14ac:dyDescent="0.3">
      <c r="A730" s="5"/>
      <c r="B730" s="35"/>
      <c r="C730" s="4"/>
      <c r="I730" s="27"/>
    </row>
    <row r="731" spans="1:9" ht="15.75" customHeight="1" x14ac:dyDescent="0.3">
      <c r="A731" s="5"/>
      <c r="B731" s="35"/>
      <c r="C731" s="4"/>
      <c r="I731" s="27"/>
    </row>
    <row r="732" spans="1:9" ht="15.75" customHeight="1" x14ac:dyDescent="0.3">
      <c r="A732" s="5"/>
      <c r="B732" s="35"/>
      <c r="C732" s="4"/>
      <c r="I732" s="27"/>
    </row>
    <row r="733" spans="1:9" ht="15.75" customHeight="1" x14ac:dyDescent="0.3">
      <c r="A733" s="5"/>
      <c r="B733" s="35"/>
      <c r="C733" s="4"/>
      <c r="I733" s="27"/>
    </row>
    <row r="734" spans="1:9" ht="15.75" customHeight="1" x14ac:dyDescent="0.3">
      <c r="A734" s="5"/>
      <c r="B734" s="35"/>
      <c r="C734" s="4"/>
      <c r="I734" s="27"/>
    </row>
    <row r="735" spans="1:9" ht="15.75" customHeight="1" x14ac:dyDescent="0.3">
      <c r="A735" s="5"/>
      <c r="B735" s="35"/>
      <c r="C735" s="4"/>
      <c r="I735" s="27"/>
    </row>
    <row r="736" spans="1:9" ht="15.75" customHeight="1" x14ac:dyDescent="0.3">
      <c r="A736" s="5"/>
      <c r="B736" s="35"/>
      <c r="C736" s="4"/>
      <c r="I736" s="27"/>
    </row>
    <row r="737" spans="1:9" ht="15.75" customHeight="1" x14ac:dyDescent="0.3">
      <c r="A737" s="5"/>
      <c r="B737" s="35"/>
      <c r="C737" s="4"/>
      <c r="I737" s="27"/>
    </row>
    <row r="738" spans="1:9" ht="15.75" customHeight="1" x14ac:dyDescent="0.3">
      <c r="A738" s="5"/>
      <c r="B738" s="35"/>
      <c r="C738" s="4"/>
      <c r="I738" s="27"/>
    </row>
    <row r="739" spans="1:9" ht="15.75" customHeight="1" x14ac:dyDescent="0.3">
      <c r="A739" s="5"/>
      <c r="B739" s="35"/>
      <c r="C739" s="4"/>
      <c r="I739" s="27"/>
    </row>
    <row r="740" spans="1:9" ht="15.75" customHeight="1" x14ac:dyDescent="0.3">
      <c r="A740" s="5"/>
      <c r="B740" s="35"/>
      <c r="C740" s="4"/>
      <c r="I740" s="27"/>
    </row>
    <row r="741" spans="1:9" ht="15.75" customHeight="1" x14ac:dyDescent="0.3">
      <c r="A741" s="5"/>
      <c r="B741" s="35"/>
      <c r="C741" s="4"/>
      <c r="I741" s="27"/>
    </row>
    <row r="742" spans="1:9" ht="15.75" customHeight="1" x14ac:dyDescent="0.3">
      <c r="A742" s="5"/>
      <c r="B742" s="35"/>
      <c r="C742" s="4"/>
      <c r="I742" s="27"/>
    </row>
    <row r="743" spans="1:9" ht="15.75" customHeight="1" x14ac:dyDescent="0.3">
      <c r="A743" s="5"/>
      <c r="B743" s="35"/>
      <c r="C743" s="4"/>
      <c r="I743" s="27"/>
    </row>
    <row r="744" spans="1:9" ht="15.75" customHeight="1" x14ac:dyDescent="0.3">
      <c r="A744" s="5"/>
      <c r="B744" s="35"/>
      <c r="C744" s="4"/>
      <c r="I744" s="27"/>
    </row>
    <row r="745" spans="1:9" ht="15.75" customHeight="1" x14ac:dyDescent="0.3">
      <c r="A745" s="5"/>
      <c r="B745" s="35"/>
      <c r="C745" s="4"/>
      <c r="I745" s="27"/>
    </row>
    <row r="746" spans="1:9" ht="15.75" customHeight="1" x14ac:dyDescent="0.3">
      <c r="A746" s="5"/>
      <c r="B746" s="35"/>
      <c r="C746" s="4"/>
      <c r="I746" s="27"/>
    </row>
    <row r="747" spans="1:9" ht="15.75" customHeight="1" x14ac:dyDescent="0.3">
      <c r="A747" s="5"/>
      <c r="B747" s="35"/>
      <c r="C747" s="4"/>
      <c r="I747" s="27"/>
    </row>
    <row r="748" spans="1:9" ht="15.75" customHeight="1" x14ac:dyDescent="0.3">
      <c r="A748" s="5"/>
      <c r="B748" s="35"/>
      <c r="C748" s="4"/>
      <c r="I748" s="27"/>
    </row>
    <row r="749" spans="1:9" ht="15.75" customHeight="1" x14ac:dyDescent="0.3">
      <c r="A749" s="5"/>
      <c r="B749" s="35"/>
      <c r="C749" s="4"/>
      <c r="I749" s="27"/>
    </row>
    <row r="750" spans="1:9" ht="15.75" customHeight="1" x14ac:dyDescent="0.3">
      <c r="A750" s="5"/>
      <c r="B750" s="35"/>
      <c r="C750" s="4"/>
      <c r="I750" s="27"/>
    </row>
    <row r="751" spans="1:9" ht="15.75" customHeight="1" x14ac:dyDescent="0.3">
      <c r="A751" s="5"/>
      <c r="B751" s="35"/>
      <c r="C751" s="4"/>
      <c r="I751" s="27"/>
    </row>
    <row r="752" spans="1:9" ht="15.75" customHeight="1" x14ac:dyDescent="0.3">
      <c r="A752" s="5"/>
      <c r="B752" s="35"/>
      <c r="C752" s="4"/>
      <c r="I752" s="27"/>
    </row>
    <row r="753" spans="1:9" ht="15.75" customHeight="1" x14ac:dyDescent="0.3">
      <c r="A753" s="5"/>
      <c r="B753" s="35"/>
      <c r="C753" s="4"/>
      <c r="I753" s="27"/>
    </row>
    <row r="754" spans="1:9" ht="15.75" customHeight="1" x14ac:dyDescent="0.3">
      <c r="A754" s="5"/>
      <c r="B754" s="35"/>
      <c r="C754" s="4"/>
      <c r="I754" s="27"/>
    </row>
    <row r="755" spans="1:9" ht="15.75" customHeight="1" x14ac:dyDescent="0.3">
      <c r="A755" s="5"/>
      <c r="B755" s="35"/>
      <c r="C755" s="4"/>
      <c r="I755" s="27"/>
    </row>
    <row r="756" spans="1:9" ht="15.75" customHeight="1" x14ac:dyDescent="0.3">
      <c r="A756" s="5"/>
      <c r="B756" s="35"/>
      <c r="C756" s="4"/>
      <c r="I756" s="27"/>
    </row>
    <row r="757" spans="1:9" ht="15.75" customHeight="1" x14ac:dyDescent="0.3">
      <c r="A757" s="5"/>
      <c r="B757" s="35"/>
      <c r="C757" s="4"/>
      <c r="I757" s="27"/>
    </row>
    <row r="758" spans="1:9" ht="15.75" customHeight="1" x14ac:dyDescent="0.3">
      <c r="A758" s="5"/>
      <c r="B758" s="35"/>
      <c r="C758" s="4"/>
      <c r="I758" s="27"/>
    </row>
    <row r="759" spans="1:9" ht="15.75" customHeight="1" x14ac:dyDescent="0.3">
      <c r="A759" s="5"/>
      <c r="B759" s="35"/>
      <c r="C759" s="4"/>
      <c r="I759" s="27"/>
    </row>
    <row r="760" spans="1:9" ht="15.75" customHeight="1" x14ac:dyDescent="0.3">
      <c r="A760" s="5"/>
      <c r="B760" s="35"/>
      <c r="C760" s="4"/>
      <c r="I760" s="27"/>
    </row>
    <row r="761" spans="1:9" ht="15.75" customHeight="1" x14ac:dyDescent="0.3">
      <c r="A761" s="5"/>
      <c r="B761" s="35"/>
      <c r="C761" s="4"/>
      <c r="I761" s="27"/>
    </row>
    <row r="762" spans="1:9" ht="15.75" customHeight="1" x14ac:dyDescent="0.3">
      <c r="A762" s="5"/>
      <c r="B762" s="35"/>
      <c r="C762" s="4"/>
      <c r="I762" s="27"/>
    </row>
    <row r="763" spans="1:9" ht="15.75" customHeight="1" x14ac:dyDescent="0.3">
      <c r="A763" s="5"/>
      <c r="B763" s="35"/>
      <c r="C763" s="4"/>
      <c r="I763" s="27"/>
    </row>
    <row r="764" spans="1:9" ht="15.75" customHeight="1" x14ac:dyDescent="0.3">
      <c r="A764" s="5"/>
      <c r="B764" s="35"/>
      <c r="C764" s="4"/>
      <c r="I764" s="27"/>
    </row>
    <row r="765" spans="1:9" ht="15.75" customHeight="1" x14ac:dyDescent="0.3">
      <c r="A765" s="5"/>
      <c r="B765" s="35"/>
      <c r="C765" s="4"/>
      <c r="I765" s="27"/>
    </row>
    <row r="766" spans="1:9" ht="15.75" customHeight="1" x14ac:dyDescent="0.3">
      <c r="A766" s="5"/>
      <c r="B766" s="35"/>
      <c r="C766" s="4"/>
      <c r="I766" s="27"/>
    </row>
    <row r="767" spans="1:9" ht="15.75" customHeight="1" x14ac:dyDescent="0.3">
      <c r="A767" s="5"/>
      <c r="B767" s="35"/>
      <c r="C767" s="4"/>
      <c r="I767" s="27"/>
    </row>
    <row r="768" spans="1:9" ht="15.75" customHeight="1" x14ac:dyDescent="0.3">
      <c r="A768" s="5"/>
      <c r="B768" s="35"/>
      <c r="C768" s="4"/>
      <c r="I768" s="27"/>
    </row>
    <row r="769" spans="1:9" ht="15.75" customHeight="1" x14ac:dyDescent="0.3">
      <c r="A769" s="5"/>
      <c r="B769" s="35"/>
      <c r="C769" s="4"/>
      <c r="I769" s="27"/>
    </row>
    <row r="770" spans="1:9" ht="15.75" customHeight="1" x14ac:dyDescent="0.3">
      <c r="A770" s="5"/>
      <c r="B770" s="35"/>
      <c r="C770" s="4"/>
      <c r="I770" s="27"/>
    </row>
    <row r="771" spans="1:9" ht="15.75" customHeight="1" x14ac:dyDescent="0.3">
      <c r="A771" s="5"/>
      <c r="B771" s="35"/>
      <c r="C771" s="4"/>
      <c r="I771" s="27"/>
    </row>
    <row r="772" spans="1:9" ht="15.75" customHeight="1" x14ac:dyDescent="0.3">
      <c r="A772" s="5"/>
      <c r="B772" s="35"/>
      <c r="C772" s="4"/>
      <c r="I772" s="27"/>
    </row>
    <row r="773" spans="1:9" ht="15.75" customHeight="1" x14ac:dyDescent="0.3">
      <c r="A773" s="5"/>
      <c r="B773" s="35"/>
      <c r="C773" s="4"/>
      <c r="I773" s="27"/>
    </row>
    <row r="774" spans="1:9" ht="15.75" customHeight="1" x14ac:dyDescent="0.3">
      <c r="A774" s="5"/>
      <c r="B774" s="35"/>
      <c r="C774" s="4"/>
      <c r="I774" s="27"/>
    </row>
    <row r="775" spans="1:9" ht="15.75" customHeight="1" x14ac:dyDescent="0.3">
      <c r="A775" s="5"/>
      <c r="B775" s="35"/>
      <c r="C775" s="4"/>
      <c r="I775" s="27"/>
    </row>
    <row r="776" spans="1:9" ht="15.75" customHeight="1" x14ac:dyDescent="0.3">
      <c r="A776" s="5"/>
      <c r="B776" s="35"/>
      <c r="C776" s="4"/>
      <c r="I776" s="27"/>
    </row>
    <row r="777" spans="1:9" ht="15.75" customHeight="1" x14ac:dyDescent="0.3">
      <c r="A777" s="5"/>
      <c r="B777" s="35"/>
      <c r="C777" s="4"/>
      <c r="I777" s="27"/>
    </row>
    <row r="778" spans="1:9" ht="15.75" customHeight="1" x14ac:dyDescent="0.3">
      <c r="A778" s="5"/>
      <c r="B778" s="35"/>
      <c r="C778" s="4"/>
      <c r="I778" s="27"/>
    </row>
    <row r="779" spans="1:9" ht="15.75" customHeight="1" x14ac:dyDescent="0.3">
      <c r="A779" s="5"/>
      <c r="B779" s="35"/>
      <c r="C779" s="4"/>
      <c r="I779" s="27"/>
    </row>
    <row r="780" spans="1:9" ht="15.75" customHeight="1" x14ac:dyDescent="0.3">
      <c r="A780" s="5"/>
      <c r="B780" s="35"/>
      <c r="C780" s="4"/>
      <c r="I780" s="27"/>
    </row>
    <row r="781" spans="1:9" ht="15.75" customHeight="1" x14ac:dyDescent="0.3">
      <c r="A781" s="5"/>
      <c r="B781" s="35"/>
      <c r="C781" s="4"/>
      <c r="I781" s="27"/>
    </row>
    <row r="782" spans="1:9" ht="15.75" customHeight="1" x14ac:dyDescent="0.3">
      <c r="A782" s="5"/>
      <c r="B782" s="35"/>
      <c r="C782" s="4"/>
      <c r="I782" s="27"/>
    </row>
    <row r="783" spans="1:9" ht="15.75" customHeight="1" x14ac:dyDescent="0.3">
      <c r="A783" s="5"/>
      <c r="B783" s="35"/>
      <c r="C783" s="4"/>
      <c r="I783" s="27"/>
    </row>
    <row r="784" spans="1:9" ht="15.75" customHeight="1" x14ac:dyDescent="0.3">
      <c r="A784" s="5"/>
      <c r="B784" s="35"/>
      <c r="C784" s="4"/>
      <c r="I784" s="27"/>
    </row>
    <row r="785" spans="1:9" ht="15.75" customHeight="1" x14ac:dyDescent="0.3">
      <c r="A785" s="5"/>
      <c r="B785" s="35"/>
      <c r="C785" s="4"/>
      <c r="I785" s="27"/>
    </row>
    <row r="786" spans="1:9" ht="15.75" customHeight="1" x14ac:dyDescent="0.3">
      <c r="A786" s="5"/>
      <c r="B786" s="35"/>
      <c r="C786" s="4"/>
      <c r="I786" s="27"/>
    </row>
    <row r="787" spans="1:9" ht="15.75" customHeight="1" x14ac:dyDescent="0.3">
      <c r="A787" s="5"/>
      <c r="B787" s="35"/>
      <c r="C787" s="4"/>
      <c r="I787" s="27"/>
    </row>
    <row r="788" spans="1:9" ht="15.75" customHeight="1" x14ac:dyDescent="0.3">
      <c r="A788" s="5"/>
      <c r="B788" s="35"/>
      <c r="C788" s="4"/>
      <c r="I788" s="27"/>
    </row>
    <row r="789" spans="1:9" ht="15.75" customHeight="1" x14ac:dyDescent="0.3">
      <c r="A789" s="5"/>
      <c r="B789" s="35"/>
      <c r="C789" s="4"/>
      <c r="I789" s="27"/>
    </row>
    <row r="790" spans="1:9" ht="15.75" customHeight="1" x14ac:dyDescent="0.3">
      <c r="A790" s="5"/>
      <c r="B790" s="35"/>
      <c r="C790" s="4"/>
      <c r="I790" s="27"/>
    </row>
    <row r="791" spans="1:9" ht="15.75" customHeight="1" x14ac:dyDescent="0.3">
      <c r="A791" s="5"/>
      <c r="B791" s="35"/>
      <c r="C791" s="4"/>
      <c r="I791" s="27"/>
    </row>
    <row r="792" spans="1:9" ht="15.75" customHeight="1" x14ac:dyDescent="0.3">
      <c r="A792" s="5"/>
      <c r="B792" s="35"/>
      <c r="C792" s="4"/>
      <c r="I792" s="27"/>
    </row>
    <row r="793" spans="1:9" ht="15.75" customHeight="1" x14ac:dyDescent="0.3">
      <c r="A793" s="5"/>
      <c r="B793" s="35"/>
      <c r="C793" s="4"/>
      <c r="I793" s="27"/>
    </row>
    <row r="794" spans="1:9" ht="15.75" customHeight="1" x14ac:dyDescent="0.3">
      <c r="A794" s="5"/>
      <c r="B794" s="35"/>
      <c r="C794" s="4"/>
      <c r="I794" s="27"/>
    </row>
    <row r="795" spans="1:9" ht="15.75" customHeight="1" x14ac:dyDescent="0.3">
      <c r="A795" s="5"/>
      <c r="B795" s="35"/>
      <c r="C795" s="4"/>
      <c r="I795" s="27"/>
    </row>
    <row r="796" spans="1:9" ht="15.75" customHeight="1" x14ac:dyDescent="0.3">
      <c r="A796" s="5"/>
      <c r="B796" s="35"/>
      <c r="C796" s="4"/>
      <c r="I796" s="27"/>
    </row>
  </sheetData>
  <pageMargins left="0.7" right="0.7" top="0.75" bottom="0.75" header="0.511811023622047" footer="0.511811023622047"/>
  <pageSetup paperSize="9" orientation="portrait" horizontalDpi="300" verticalDpi="300" r:id="rId1"/>
  <ignoredErrors>
    <ignoredError sqref="J14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23C3A-58CE-46C6-A479-E2B50090BB24}">
  <sheetPr>
    <pageSetUpPr fitToPage="1"/>
  </sheetPr>
  <dimension ref="B1:N31"/>
  <sheetViews>
    <sheetView topLeftCell="B1" zoomScaleNormal="100" workbookViewId="0">
      <selection activeCell="G29" sqref="G29"/>
    </sheetView>
  </sheetViews>
  <sheetFormatPr defaultColWidth="8.5703125" defaultRowHeight="15" x14ac:dyDescent="0.25"/>
  <cols>
    <col min="1" max="1" width="3.28515625" customWidth="1"/>
    <col min="2" max="2" width="15.140625" customWidth="1"/>
    <col min="3" max="3" width="19.28515625" customWidth="1"/>
    <col min="4" max="4" width="18.85546875" style="28" customWidth="1"/>
    <col min="5" max="5" width="11.7109375" customWidth="1"/>
    <col min="6" max="7" width="15" customWidth="1"/>
    <col min="8" max="8" width="13.7109375" style="28" customWidth="1"/>
    <col min="9" max="9" width="12.7109375" style="28" customWidth="1"/>
    <col min="10" max="10" width="13" style="28" customWidth="1"/>
    <col min="11" max="11" width="14.42578125" customWidth="1"/>
    <col min="13" max="13" width="11.42578125" bestFit="1" customWidth="1"/>
  </cols>
  <sheetData>
    <row r="1" spans="2:13" s="59" customFormat="1" ht="18.75" x14ac:dyDescent="0.3">
      <c r="D1" s="327">
        <v>46023</v>
      </c>
      <c r="E1" s="328"/>
      <c r="F1" s="328"/>
    </row>
    <row r="2" spans="2:13" s="59" customFormat="1" x14ac:dyDescent="0.25">
      <c r="F2" s="60"/>
      <c r="G2" s="60"/>
    </row>
    <row r="3" spans="2:13" s="59" customFormat="1" x14ac:dyDescent="0.25">
      <c r="C3" s="91" t="s">
        <v>162</v>
      </c>
      <c r="D3" s="61" t="s">
        <v>163</v>
      </c>
      <c r="E3" s="61" t="s">
        <v>164</v>
      </c>
      <c r="F3" s="61" t="s">
        <v>165</v>
      </c>
      <c r="I3" s="91"/>
      <c r="J3" s="61"/>
    </row>
    <row r="4" spans="2:13" s="59" customFormat="1" x14ac:dyDescent="0.25">
      <c r="B4" s="123" t="s">
        <v>35</v>
      </c>
      <c r="C4" s="62">
        <f>+[4]RECON!$F$4</f>
        <v>-456526.24419999961</v>
      </c>
      <c r="D4" s="62">
        <f>+INCOME!E51</f>
        <v>812375</v>
      </c>
      <c r="E4" s="62">
        <f>+' EXPENSES HOUSE'!L4</f>
        <v>183410.17249999999</v>
      </c>
      <c r="F4" s="62">
        <f>+C4+D4-E4</f>
        <v>172438.58330000041</v>
      </c>
      <c r="G4" s="62"/>
      <c r="H4" s="62">
        <f>+F4-C21</f>
        <v>0</v>
      </c>
      <c r="I4" s="62"/>
      <c r="J4" s="62"/>
    </row>
    <row r="5" spans="2:13" s="59" customFormat="1" x14ac:dyDescent="0.25">
      <c r="B5" s="125" t="s">
        <v>42</v>
      </c>
      <c r="C5" s="62">
        <f>+[4]RECON!$F$5</f>
        <v>-9572.7775000000838</v>
      </c>
      <c r="D5" s="62">
        <f>+INCOME!F50</f>
        <v>948750</v>
      </c>
      <c r="E5" s="62">
        <f>+' EXPENSES HOUSE'!L5</f>
        <v>211718.57250000001</v>
      </c>
      <c r="F5" s="62">
        <f t="shared" ref="F5:F8" si="0">+C5+D5-E5</f>
        <v>727458.64999999991</v>
      </c>
      <c r="H5" s="62">
        <f>+F5-C22</f>
        <v>-2.4999999441206455E-3</v>
      </c>
      <c r="I5" s="62"/>
      <c r="J5" s="62"/>
    </row>
    <row r="6" spans="2:13" s="59" customFormat="1" x14ac:dyDescent="0.25">
      <c r="B6" s="123" t="s">
        <v>36</v>
      </c>
      <c r="C6" s="62">
        <f>+[4]RECON!$F$6</f>
        <v>724450.72249999992</v>
      </c>
      <c r="D6" s="62">
        <f>+INCOME!G47</f>
        <v>0</v>
      </c>
      <c r="E6" s="62">
        <f>+' EXPENSES HOUSE'!L6</f>
        <v>196921.21249999999</v>
      </c>
      <c r="F6" s="62">
        <f t="shared" si="0"/>
        <v>527529.50999999989</v>
      </c>
      <c r="H6" s="62">
        <f>+F6-C23</f>
        <v>0</v>
      </c>
      <c r="I6" s="62"/>
      <c r="J6" s="62"/>
    </row>
    <row r="7" spans="2:13" s="59" customFormat="1" x14ac:dyDescent="0.25">
      <c r="B7" s="123" t="s">
        <v>37</v>
      </c>
      <c r="C7" s="62">
        <f>+[4]RECON!$F$7</f>
        <v>345627.78249999997</v>
      </c>
      <c r="D7" s="62"/>
      <c r="E7" s="62">
        <f>+' EXPENSES HOUSE'!L7</f>
        <v>193473.21249999999</v>
      </c>
      <c r="F7" s="62">
        <f t="shared" si="0"/>
        <v>152154.56999999998</v>
      </c>
      <c r="H7" s="62">
        <f>+F7-C24</f>
        <v>0</v>
      </c>
      <c r="I7" s="62"/>
      <c r="J7" s="62"/>
    </row>
    <row r="8" spans="2:13" s="59" customFormat="1" x14ac:dyDescent="0.25">
      <c r="B8" s="59" t="s">
        <v>12</v>
      </c>
      <c r="C8" s="62">
        <v>170900</v>
      </c>
      <c r="D8" s="62"/>
      <c r="E8" s="62">
        <v>0</v>
      </c>
      <c r="F8" s="62">
        <f t="shared" si="0"/>
        <v>170900</v>
      </c>
      <c r="I8" s="62"/>
      <c r="J8" s="62"/>
    </row>
    <row r="9" spans="2:13" s="59" customFormat="1" x14ac:dyDescent="0.25">
      <c r="B9" s="59" t="s">
        <v>11</v>
      </c>
      <c r="C9" s="62">
        <f>SUM(C4:C8)</f>
        <v>774879.4833000002</v>
      </c>
      <c r="D9" s="62">
        <f>SUM(D4:D8)</f>
        <v>1761125</v>
      </c>
      <c r="E9" s="62">
        <f>SUM(E4:E8)</f>
        <v>785523.17</v>
      </c>
      <c r="F9" s="62">
        <f>SUM(F4:F8)</f>
        <v>1750481.3133000003</v>
      </c>
      <c r="I9" s="62"/>
      <c r="J9" s="62"/>
    </row>
    <row r="10" spans="2:13" s="59" customFormat="1" ht="15.75" thickBot="1" x14ac:dyDescent="0.3">
      <c r="D10" s="73"/>
      <c r="E10" s="73"/>
      <c r="K10" s="62"/>
    </row>
    <row r="11" spans="2:13" s="59" customFormat="1" x14ac:dyDescent="0.25">
      <c r="B11" s="331" t="s">
        <v>22</v>
      </c>
      <c r="C11" s="332"/>
      <c r="D11" s="63" t="s">
        <v>21</v>
      </c>
      <c r="E11" s="64"/>
      <c r="F11" s="65"/>
      <c r="G11" s="333" t="s">
        <v>23</v>
      </c>
      <c r="H11" s="334"/>
      <c r="I11" s="335" t="s">
        <v>91</v>
      </c>
      <c r="J11" s="334"/>
    </row>
    <row r="12" spans="2:13" s="59" customFormat="1" x14ac:dyDescent="0.25">
      <c r="B12" s="66"/>
      <c r="C12" s="67">
        <f>+[4]RECON!$B$17</f>
        <v>774879.4833000002</v>
      </c>
      <c r="D12" s="62"/>
      <c r="E12" s="68"/>
      <c r="F12" s="62" t="s">
        <v>24</v>
      </c>
      <c r="G12" s="69">
        <f>+'[3]LANDCO MET CASH'!$F$5</f>
        <v>-143050.53749999992</v>
      </c>
      <c r="H12" s="70"/>
      <c r="I12" s="69">
        <v>917929.78</v>
      </c>
      <c r="J12" s="70"/>
      <c r="K12" s="62">
        <f>+C12-G12-I12</f>
        <v>0.24080000002868474</v>
      </c>
      <c r="M12" s="62"/>
    </row>
    <row r="13" spans="2:13" s="59" customFormat="1" x14ac:dyDescent="0.25">
      <c r="B13" s="71"/>
      <c r="C13" s="72">
        <f>+D9</f>
        <v>1761125</v>
      </c>
      <c r="D13" s="73"/>
      <c r="E13" s="74"/>
      <c r="F13" s="73" t="s">
        <v>25</v>
      </c>
      <c r="G13" s="76">
        <f>+'[3]LANDCO MET CASH'!$F$6</f>
        <v>812375</v>
      </c>
      <c r="H13" s="75"/>
      <c r="I13" s="93">
        <f>SUM('[2]BIM Bank Control Mtn'!$G$15:$G$17)</f>
        <v>948750</v>
      </c>
      <c r="J13" s="70"/>
      <c r="K13" s="62">
        <f>+C13-G13-I13</f>
        <v>0</v>
      </c>
      <c r="M13" s="62"/>
    </row>
    <row r="14" spans="2:13" s="59" customFormat="1" x14ac:dyDescent="0.25">
      <c r="B14" s="77"/>
      <c r="C14" s="72"/>
      <c r="D14" s="73"/>
      <c r="E14" s="74"/>
      <c r="F14" s="73" t="s">
        <v>21</v>
      </c>
      <c r="G14" s="78"/>
      <c r="H14" s="70"/>
      <c r="I14" s="79"/>
      <c r="J14" s="70"/>
      <c r="K14" s="62">
        <f t="shared" ref="K14:K15" si="1">+C14-G14-I14</f>
        <v>0</v>
      </c>
    </row>
    <row r="15" spans="2:13" s="59" customFormat="1" x14ac:dyDescent="0.25">
      <c r="B15" s="77"/>
      <c r="C15" s="72"/>
      <c r="D15" s="73"/>
      <c r="E15" s="74"/>
      <c r="F15" s="73"/>
      <c r="G15" s="80"/>
      <c r="H15" s="70"/>
      <c r="I15" s="81"/>
      <c r="J15" s="70"/>
      <c r="K15" s="62">
        <f t="shared" si="1"/>
        <v>0</v>
      </c>
    </row>
    <row r="16" spans="2:13" s="59" customFormat="1" x14ac:dyDescent="0.25">
      <c r="B16" s="82">
        <f>+E9</f>
        <v>785523.17</v>
      </c>
      <c r="C16" s="73"/>
      <c r="D16" s="73"/>
      <c r="E16" s="74"/>
      <c r="F16" s="73" t="s">
        <v>13</v>
      </c>
      <c r="G16" s="79"/>
      <c r="H16" s="83">
        <f>+'[3]LANDCO MET CASH'!$F$8</f>
        <v>111660</v>
      </c>
      <c r="I16" s="79"/>
      <c r="J16" s="84">
        <f>+'[2]BIM Bank Control Mtn'!$L$5+'[2]Petty cash '!$G$7+'[2]Pre-paid'!$G$7-10088</f>
        <v>673863.17000000016</v>
      </c>
      <c r="K16" s="62">
        <f>+B16-H16-J16</f>
        <v>0</v>
      </c>
      <c r="M16" s="62"/>
    </row>
    <row r="17" spans="2:14" s="59" customFormat="1" x14ac:dyDescent="0.25">
      <c r="B17" s="97">
        <f>+F9</f>
        <v>1750481.3133000003</v>
      </c>
      <c r="C17" s="73"/>
      <c r="D17" s="73"/>
      <c r="E17" s="74"/>
      <c r="F17" s="73" t="s">
        <v>14</v>
      </c>
      <c r="G17" s="85"/>
      <c r="H17" s="98">
        <f>+'[3]LANDCO MET CASH'!$F$9</f>
        <v>557664.46250000014</v>
      </c>
      <c r="I17" s="85"/>
      <c r="J17" s="98">
        <f>+'[2]BIM Bank Control USD'!$I$7+'[2]BIM Bank Control Mtn'!$J$6+'[2]Petty cash '!$G$8+'[2]Pre-paid'!$G$8-3464.73</f>
        <v>1192816.6124999998</v>
      </c>
      <c r="K17" s="62">
        <f>+B17-H17-J17</f>
        <v>0.23830000031739473</v>
      </c>
      <c r="M17" s="62"/>
    </row>
    <row r="18" spans="2:14" s="59" customFormat="1" ht="15.75" thickBot="1" x14ac:dyDescent="0.3">
      <c r="B18" s="86">
        <f>SUM(B12:B17)</f>
        <v>2536004.4833000004</v>
      </c>
      <c r="C18" s="87">
        <f>SUM(C12:C17)</f>
        <v>2536004.4833000004</v>
      </c>
      <c r="D18" s="87">
        <f t="shared" ref="D18:E18" si="2">SUM(D13:D17)</f>
        <v>0</v>
      </c>
      <c r="E18" s="88">
        <f t="shared" si="2"/>
        <v>0</v>
      </c>
      <c r="F18" s="89"/>
      <c r="G18" s="90">
        <f t="shared" ref="G18:H18" si="3">SUM(G12:G17)</f>
        <v>669324.46250000014</v>
      </c>
      <c r="H18" s="87">
        <f t="shared" si="3"/>
        <v>669324.46250000014</v>
      </c>
      <c r="I18" s="87">
        <f>SUM(I12:I17)</f>
        <v>1866679.78</v>
      </c>
      <c r="J18" s="87">
        <f>SUM(J12:J17)</f>
        <v>1866679.7825</v>
      </c>
      <c r="K18" s="62"/>
    </row>
    <row r="19" spans="2:14" s="59" customFormat="1" x14ac:dyDescent="0.25">
      <c r="B19" s="73"/>
      <c r="C19" s="73">
        <f>+B18-C18</f>
        <v>0</v>
      </c>
      <c r="D19" s="73"/>
      <c r="E19" s="73"/>
      <c r="F19" s="73"/>
      <c r="G19" s="62"/>
      <c r="H19" s="62">
        <f>+G18-H18</f>
        <v>0</v>
      </c>
      <c r="I19" s="62"/>
      <c r="J19" s="62">
        <f>+I18-J18</f>
        <v>-2.4999999441206455E-3</v>
      </c>
      <c r="K19" s="62">
        <f>SUM(K12:K17)</f>
        <v>0.47910000034607947</v>
      </c>
    </row>
    <row r="20" spans="2:14" s="59" customFormat="1" x14ac:dyDescent="0.25">
      <c r="B20" s="165" t="s">
        <v>166</v>
      </c>
      <c r="C20" s="166"/>
      <c r="D20">
        <v>63.25</v>
      </c>
      <c r="F20" s="316" t="s">
        <v>171</v>
      </c>
      <c r="I20" s="330"/>
      <c r="J20" s="326"/>
      <c r="L20" s="62"/>
      <c r="M20" s="62"/>
      <c r="N20" s="62"/>
    </row>
    <row r="21" spans="2:14" s="59" customFormat="1" x14ac:dyDescent="0.25">
      <c r="B21" s="123" t="s">
        <v>35</v>
      </c>
      <c r="C21" s="62">
        <f>+[5]SUMMERY!$E$19</f>
        <v>172438.58330000041</v>
      </c>
      <c r="D21" s="101">
        <f>+C21/$D$20</f>
        <v>2726.3017122529709</v>
      </c>
      <c r="E21" s="62"/>
      <c r="F21" s="99" t="s">
        <v>5</v>
      </c>
      <c r="G21" s="62">
        <f>+'[2]BIM Bank Control Mtn'!$J$6+'[2]Petty cash '!$G$8+'[2]Pre-paid'!$G$8-3464.49</f>
        <v>775874.74999999988</v>
      </c>
      <c r="H21" s="127"/>
      <c r="I21" s="317" t="s">
        <v>178</v>
      </c>
      <c r="J21" s="317"/>
      <c r="K21" s="317"/>
      <c r="L21" s="318"/>
      <c r="M21" s="62"/>
      <c r="N21" s="62"/>
    </row>
    <row r="22" spans="2:14" s="59" customFormat="1" x14ac:dyDescent="0.25">
      <c r="B22" s="125" t="s">
        <v>42</v>
      </c>
      <c r="C22" s="62">
        <f>+'[6] SUMMERY '!$F$19</f>
        <v>727458.65249999985</v>
      </c>
      <c r="D22" s="101">
        <f>+C22/$D$20</f>
        <v>11501.322569169959</v>
      </c>
      <c r="E22" s="62"/>
      <c r="F22" s="99" t="s">
        <v>15</v>
      </c>
      <c r="G22" s="62">
        <f>+'[3]LANDCO MET CASH'!$F$9</f>
        <v>557664.46250000014</v>
      </c>
      <c r="I22" s="317" t="s">
        <v>6</v>
      </c>
      <c r="J22" s="319">
        <f>1375</f>
        <v>1375</v>
      </c>
      <c r="K22" s="317">
        <f>+J22*70</f>
        <v>96250</v>
      </c>
      <c r="L22" s="320"/>
      <c r="M22" s="62"/>
      <c r="N22" s="62"/>
    </row>
    <row r="23" spans="2:14" s="59" customFormat="1" x14ac:dyDescent="0.25">
      <c r="B23" s="123" t="s">
        <v>36</v>
      </c>
      <c r="C23" s="62">
        <f>+[7]SUMMERY!$F$19</f>
        <v>527529.50999999989</v>
      </c>
      <c r="D23" s="101">
        <f>+C23/$D$20</f>
        <v>8340.3875098814206</v>
      </c>
      <c r="E23" s="62"/>
      <c r="F23" s="99" t="s">
        <v>29</v>
      </c>
      <c r="G23" s="62">
        <f>+'[2]BIM Bank Control USD'!$I$7</f>
        <v>416942.10249999998</v>
      </c>
      <c r="I23" s="317" t="s">
        <v>86</v>
      </c>
      <c r="J23" s="319">
        <v>1375</v>
      </c>
      <c r="K23" s="317">
        <f>+J23*70</f>
        <v>96250</v>
      </c>
      <c r="L23" s="318" t="s">
        <v>172</v>
      </c>
    </row>
    <row r="24" spans="2:14" s="59" customFormat="1" x14ac:dyDescent="0.25">
      <c r="B24" s="123" t="s">
        <v>37</v>
      </c>
      <c r="C24" s="62">
        <f>+'[8]SUMMERY '!$F$19</f>
        <v>152154.56999999998</v>
      </c>
      <c r="D24" s="101">
        <f>+C24/$D$20</f>
        <v>2405.6058498023713</v>
      </c>
      <c r="E24" s="62"/>
      <c r="F24" s="125"/>
      <c r="G24" s="62"/>
      <c r="I24" s="317" t="s">
        <v>173</v>
      </c>
      <c r="J24" s="319">
        <v>0</v>
      </c>
      <c r="K24" s="317">
        <f>+J24*69</f>
        <v>0</v>
      </c>
      <c r="L24" s="321"/>
    </row>
    <row r="25" spans="2:14" s="59" customFormat="1" x14ac:dyDescent="0.25">
      <c r="B25" s="125" t="s">
        <v>43</v>
      </c>
      <c r="C25" s="62">
        <v>170900</v>
      </c>
      <c r="D25" s="101">
        <f>+C25/$D$20</f>
        <v>2701.97628458498</v>
      </c>
      <c r="E25" s="62"/>
      <c r="F25" s="126"/>
      <c r="G25" s="62"/>
      <c r="I25" s="317" t="s">
        <v>174</v>
      </c>
      <c r="J25" s="319">
        <v>0</v>
      </c>
      <c r="K25" s="317"/>
      <c r="L25" s="318"/>
    </row>
    <row r="26" spans="2:14" s="59" customFormat="1" ht="15.75" thickBot="1" x14ac:dyDescent="0.3">
      <c r="C26" s="100">
        <f>SUM(C21:C25)</f>
        <v>1750481.3158000002</v>
      </c>
      <c r="D26" s="102">
        <f>SUM(D21:D25)</f>
        <v>27675.593925691701</v>
      </c>
      <c r="G26" s="100">
        <f>SUM(G21:G25)</f>
        <v>1750481.3149999999</v>
      </c>
      <c r="I26" s="317"/>
      <c r="J26" s="319"/>
      <c r="K26" s="317"/>
      <c r="L26" s="317"/>
    </row>
    <row r="27" spans="2:14" ht="15.75" thickTop="1" x14ac:dyDescent="0.25">
      <c r="I27" s="329" t="s">
        <v>175</v>
      </c>
      <c r="J27" s="326"/>
      <c r="K27" s="323">
        <f>SUM(K22:K25)</f>
        <v>192500</v>
      </c>
      <c r="L27" s="317"/>
    </row>
    <row r="28" spans="2:14" x14ac:dyDescent="0.25">
      <c r="C28" s="32"/>
      <c r="G28" s="28"/>
      <c r="I28" s="322" t="s">
        <v>23</v>
      </c>
      <c r="J28" s="324"/>
      <c r="K28" s="322">
        <v>-140925.9</v>
      </c>
      <c r="L28" s="317"/>
    </row>
    <row r="29" spans="2:14" x14ac:dyDescent="0.25">
      <c r="G29" s="28">
        <f>+G26-F9</f>
        <v>1.6999996732920408E-3</v>
      </c>
      <c r="I29" s="322" t="s">
        <v>176</v>
      </c>
      <c r="J29" s="324"/>
      <c r="K29" s="322">
        <v>-70000</v>
      </c>
      <c r="L29" s="317"/>
    </row>
    <row r="30" spans="2:14" x14ac:dyDescent="0.25">
      <c r="G30" s="32"/>
      <c r="I30" s="322" t="s">
        <v>177</v>
      </c>
      <c r="J30" s="322"/>
      <c r="K30" s="322">
        <v>-170900</v>
      </c>
      <c r="L30" s="317"/>
    </row>
    <row r="31" spans="2:14" x14ac:dyDescent="0.25">
      <c r="I31" s="322"/>
      <c r="J31" s="324">
        <f>SUM(J22:J30)</f>
        <v>2750</v>
      </c>
      <c r="K31" s="322">
        <f>SUM(K27:K30)</f>
        <v>-189325.9</v>
      </c>
      <c r="L31" s="317"/>
    </row>
  </sheetData>
  <mergeCells count="6">
    <mergeCell ref="D1:F1"/>
    <mergeCell ref="I27:J27"/>
    <mergeCell ref="I20:J20"/>
    <mergeCell ref="B11:C11"/>
    <mergeCell ref="G11:H11"/>
    <mergeCell ref="I11:J11"/>
  </mergeCells>
  <pageMargins left="0.7" right="0.7" top="0.75" bottom="0.75" header="0.511811023622047" footer="0.511811023622047"/>
  <pageSetup scale="91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83FFF-0D47-44E8-AC90-C13547BF15EE}">
  <dimension ref="A1:CL738"/>
  <sheetViews>
    <sheetView zoomScale="80" zoomScaleNormal="80" workbookViewId="0">
      <pane xSplit="5" ySplit="6" topLeftCell="F128" activePane="bottomRight" state="frozen"/>
      <selection pane="topRight" activeCell="F1" sqref="F1"/>
      <selection pane="bottomLeft" activeCell="A8" sqref="A8"/>
      <selection pane="bottomRight" activeCell="E108" sqref="E108"/>
    </sheetView>
  </sheetViews>
  <sheetFormatPr defaultColWidth="14.42578125" defaultRowHeight="17.25" x14ac:dyDescent="0.35"/>
  <cols>
    <col min="1" max="1" width="14.28515625" style="152" customWidth="1"/>
    <col min="2" max="2" width="26.5703125" style="29" customWidth="1"/>
    <col min="3" max="3" width="42.5703125" style="29" customWidth="1"/>
    <col min="4" max="4" width="7.5703125" style="29" customWidth="1"/>
    <col min="5" max="5" width="18.7109375" style="153" customWidth="1"/>
    <col min="6" max="7" width="13.5703125" style="132" customWidth="1"/>
    <col min="8" max="8" width="14.7109375" style="132" customWidth="1"/>
    <col min="9" max="9" width="13" style="132" customWidth="1"/>
    <col min="10" max="10" width="14.42578125" style="132"/>
    <col min="11" max="11" width="13.7109375" style="132" customWidth="1"/>
    <col min="12" max="12" width="13.28515625" style="132" customWidth="1"/>
    <col min="13" max="13" width="12.42578125" style="132" customWidth="1"/>
    <col min="14" max="14" width="11.140625" style="132" customWidth="1"/>
    <col min="15" max="15" width="14.7109375" style="132" customWidth="1"/>
    <col min="16" max="18" width="11.140625" style="132" customWidth="1"/>
    <col min="19" max="26" width="14.42578125" style="132"/>
    <col min="27" max="27" width="15.85546875" style="132" customWidth="1"/>
    <col min="28" max="28" width="13" style="154" customWidth="1"/>
    <col min="29" max="16384" width="14.42578125" style="29"/>
  </cols>
  <sheetData>
    <row r="1" spans="1:90" ht="23.25" x14ac:dyDescent="0.35">
      <c r="A1" s="128" t="s">
        <v>46</v>
      </c>
      <c r="B1" s="52"/>
      <c r="C1" s="129"/>
      <c r="D1" s="129"/>
      <c r="E1" s="130"/>
      <c r="F1" s="131" t="s">
        <v>7</v>
      </c>
      <c r="G1" s="131" t="s">
        <v>8</v>
      </c>
      <c r="I1" s="131" t="s">
        <v>9</v>
      </c>
      <c r="J1" s="131" t="s">
        <v>10</v>
      </c>
      <c r="M1" s="131"/>
      <c r="N1" s="133"/>
      <c r="O1" s="133"/>
      <c r="P1" s="131"/>
      <c r="Q1" s="131"/>
      <c r="AB1" s="134"/>
    </row>
    <row r="2" spans="1:90" ht="23.25" x14ac:dyDescent="0.35">
      <c r="A2" s="135"/>
      <c r="B2" s="52"/>
      <c r="C2" s="129" t="s">
        <v>47</v>
      </c>
      <c r="D2" s="129"/>
      <c r="E2" s="130">
        <f>SUM(E8:E82)</f>
        <v>683863.17000000016</v>
      </c>
      <c r="F2" s="131"/>
      <c r="G2" s="131"/>
      <c r="M2" s="131"/>
      <c r="N2" s="133"/>
      <c r="O2" s="133"/>
      <c r="P2" s="131"/>
      <c r="Q2" s="131"/>
      <c r="X2" s="130"/>
      <c r="AB2" s="134"/>
    </row>
    <row r="3" spans="1:90" ht="23.25" x14ac:dyDescent="0.35">
      <c r="A3" s="135"/>
      <c r="B3" s="52"/>
      <c r="C3" s="129" t="s">
        <v>48</v>
      </c>
      <c r="D3" s="129"/>
      <c r="E3" s="130">
        <f>SUM(E84:E103)</f>
        <v>101660</v>
      </c>
      <c r="F3" s="131"/>
      <c r="G3" s="131"/>
      <c r="M3" s="131"/>
      <c r="N3" s="133"/>
      <c r="O3" s="133"/>
      <c r="P3" s="131"/>
      <c r="Q3" s="131"/>
      <c r="W3" s="132" t="e">
        <f>+#REF!-E2</f>
        <v>#REF!</v>
      </c>
      <c r="AB3" s="134"/>
    </row>
    <row r="4" spans="1:90" ht="23.25" x14ac:dyDescent="0.35">
      <c r="A4" s="135"/>
      <c r="B4" s="52"/>
      <c r="C4" s="129" t="s">
        <v>49</v>
      </c>
      <c r="D4" s="129"/>
      <c r="E4" s="136">
        <f>SUM(E2:E3)</f>
        <v>785523.17000000016</v>
      </c>
      <c r="F4" s="131"/>
      <c r="G4" s="131">
        <f>+E4/4</f>
        <v>196380.79250000004</v>
      </c>
      <c r="H4" s="132">
        <f>+G4/63.25</f>
        <v>3104.8346640316213</v>
      </c>
      <c r="M4" s="131"/>
      <c r="N4" s="133"/>
      <c r="O4" s="133"/>
      <c r="P4" s="131"/>
      <c r="Q4" s="131"/>
      <c r="AB4" s="134"/>
    </row>
    <row r="5" spans="1:90" ht="19.5" x14ac:dyDescent="0.4">
      <c r="A5" s="137"/>
      <c r="B5" s="134"/>
      <c r="C5" s="129"/>
      <c r="D5" s="129"/>
      <c r="E5" s="130"/>
      <c r="F5" s="336" t="s">
        <v>50</v>
      </c>
      <c r="G5" s="337"/>
      <c r="H5" s="337"/>
      <c r="I5" s="337"/>
      <c r="J5" s="337"/>
      <c r="K5" s="337"/>
      <c r="L5" s="337"/>
      <c r="M5" s="337"/>
      <c r="N5" s="337"/>
      <c r="O5" s="337"/>
      <c r="P5" s="337"/>
      <c r="Q5" s="337"/>
      <c r="R5" s="337"/>
      <c r="S5" s="337"/>
      <c r="T5" s="337"/>
      <c r="U5" s="337"/>
      <c r="AB5" s="134"/>
    </row>
    <row r="6" spans="1:90" ht="66.599999999999994" customHeight="1" x14ac:dyDescent="0.35">
      <c r="A6" s="138" t="s">
        <v>1</v>
      </c>
      <c r="B6" s="139" t="s">
        <v>51</v>
      </c>
      <c r="C6" s="139" t="s">
        <v>52</v>
      </c>
      <c r="D6" s="139"/>
      <c r="E6" s="140" t="s">
        <v>49</v>
      </c>
      <c r="F6" s="141" t="s">
        <v>53</v>
      </c>
      <c r="G6" s="142" t="s">
        <v>82</v>
      </c>
      <c r="H6" s="143" t="s">
        <v>55</v>
      </c>
      <c r="I6" s="144" t="s">
        <v>56</v>
      </c>
      <c r="J6" s="145" t="s">
        <v>57</v>
      </c>
      <c r="K6" s="142" t="s">
        <v>58</v>
      </c>
      <c r="L6" s="142" t="s">
        <v>59</v>
      </c>
      <c r="M6" s="142" t="s">
        <v>60</v>
      </c>
      <c r="N6" s="142" t="s">
        <v>61</v>
      </c>
      <c r="O6" s="142" t="s">
        <v>94</v>
      </c>
      <c r="P6" s="142" t="s">
        <v>62</v>
      </c>
      <c r="Q6" s="142" t="s">
        <v>63</v>
      </c>
      <c r="R6" s="142" t="s">
        <v>64</v>
      </c>
      <c r="S6" s="142" t="s">
        <v>65</v>
      </c>
      <c r="T6" s="142" t="s">
        <v>66</v>
      </c>
      <c r="U6" s="142" t="s">
        <v>159</v>
      </c>
      <c r="V6" s="143" t="s">
        <v>67</v>
      </c>
      <c r="W6" s="143" t="s">
        <v>68</v>
      </c>
      <c r="X6" s="143" t="s">
        <v>69</v>
      </c>
      <c r="Y6" s="143" t="s">
        <v>70</v>
      </c>
      <c r="Z6" s="143" t="s">
        <v>71</v>
      </c>
      <c r="AA6" s="146" t="s">
        <v>14</v>
      </c>
      <c r="AB6" s="147"/>
    </row>
    <row r="7" spans="1:90" ht="19.899999999999999" customHeight="1" x14ac:dyDescent="0.35">
      <c r="A7" s="173"/>
      <c r="B7" s="174"/>
      <c r="C7" s="175" t="s">
        <v>72</v>
      </c>
      <c r="D7" s="175"/>
      <c r="E7" s="176"/>
      <c r="F7" s="177"/>
      <c r="G7" s="189"/>
      <c r="H7" s="190"/>
      <c r="I7" s="191"/>
      <c r="J7" s="191"/>
      <c r="K7" s="189"/>
      <c r="L7" s="189"/>
      <c r="M7" s="189"/>
      <c r="N7" s="189"/>
      <c r="O7" s="189"/>
      <c r="P7" s="177"/>
      <c r="Q7" s="177"/>
      <c r="R7" s="189"/>
      <c r="S7" s="189"/>
      <c r="T7" s="189"/>
      <c r="U7" s="189"/>
      <c r="V7" s="190"/>
      <c r="W7" s="190"/>
      <c r="X7" s="190"/>
      <c r="Y7" s="190"/>
      <c r="Z7" s="190"/>
      <c r="AA7" s="177"/>
      <c r="AB7" s="178"/>
      <c r="AC7" s="192"/>
      <c r="AD7" s="192"/>
      <c r="AE7" s="192"/>
      <c r="AF7" s="192"/>
      <c r="AG7" s="192"/>
      <c r="AH7" s="192"/>
      <c r="AI7" s="192"/>
      <c r="AJ7" s="192"/>
      <c r="AK7" s="192"/>
      <c r="AL7" s="192"/>
      <c r="AM7" s="192"/>
      <c r="AN7" s="192"/>
      <c r="AO7" s="192"/>
      <c r="AP7" s="192"/>
      <c r="AQ7" s="192"/>
      <c r="AR7" s="192"/>
      <c r="AS7" s="192"/>
      <c r="AT7" s="192"/>
      <c r="AU7" s="192"/>
      <c r="AV7" s="192"/>
    </row>
    <row r="8" spans="1:90" ht="19.899999999999999" customHeight="1" x14ac:dyDescent="0.35">
      <c r="A8" s="235">
        <v>46025</v>
      </c>
      <c r="B8" s="239" t="s">
        <v>109</v>
      </c>
      <c r="C8" s="240" t="s">
        <v>110</v>
      </c>
      <c r="D8" s="175"/>
      <c r="E8" s="252">
        <v>6426.95</v>
      </c>
      <c r="F8" s="193"/>
      <c r="G8" s="194"/>
      <c r="H8" s="193"/>
      <c r="I8" s="195"/>
      <c r="J8" s="191"/>
      <c r="K8" s="194">
        <f>+E8</f>
        <v>6426.95</v>
      </c>
      <c r="L8" s="196"/>
      <c r="M8" s="196"/>
      <c r="N8" s="196"/>
      <c r="O8" s="194"/>
      <c r="P8" s="193"/>
      <c r="Q8" s="193"/>
      <c r="R8" s="196"/>
      <c r="S8" s="196"/>
      <c r="T8" s="196"/>
      <c r="U8" s="194"/>
      <c r="V8" s="197"/>
      <c r="W8" s="197"/>
      <c r="X8" s="198"/>
      <c r="Y8" s="197"/>
      <c r="Z8" s="197"/>
      <c r="AA8" s="199">
        <f t="shared" ref="AA8:AA44" si="0">SUM(F8:Z8)</f>
        <v>6426.95</v>
      </c>
      <c r="AB8" s="200" t="s">
        <v>5</v>
      </c>
      <c r="AC8" s="188">
        <f t="shared" ref="AC8:AC70" si="1">+E8-AA8</f>
        <v>0</v>
      </c>
      <c r="AD8" s="188"/>
      <c r="AE8" s="192"/>
      <c r="AF8" s="188"/>
      <c r="AG8" s="192"/>
      <c r="AH8" s="192"/>
      <c r="AI8" s="192"/>
      <c r="AJ8" s="192"/>
      <c r="AK8" s="192"/>
      <c r="AL8" s="192"/>
      <c r="AM8" s="192"/>
      <c r="AN8" s="192"/>
      <c r="AO8" s="192"/>
      <c r="AP8" s="192"/>
      <c r="AQ8" s="192"/>
      <c r="AR8" s="192"/>
      <c r="AS8" s="192"/>
      <c r="AT8" s="192"/>
      <c r="AU8" s="192"/>
      <c r="AV8" s="192"/>
    </row>
    <row r="9" spans="1:90" ht="19.899999999999999" customHeight="1" x14ac:dyDescent="0.35">
      <c r="A9" s="235">
        <v>46025</v>
      </c>
      <c r="B9" s="241" t="s">
        <v>111</v>
      </c>
      <c r="C9" s="240" t="s">
        <v>81</v>
      </c>
      <c r="D9" s="175"/>
      <c r="E9" s="253"/>
      <c r="F9" s="193"/>
      <c r="G9" s="194"/>
      <c r="H9" s="193"/>
      <c r="I9" s="284"/>
      <c r="J9" s="191"/>
      <c r="K9" s="196"/>
      <c r="L9" s="196"/>
      <c r="M9" s="196"/>
      <c r="N9" s="196"/>
      <c r="O9" s="196"/>
      <c r="P9" s="193"/>
      <c r="Q9" s="193"/>
      <c r="R9" s="196"/>
      <c r="S9" s="196"/>
      <c r="T9" s="196"/>
      <c r="U9" s="194"/>
      <c r="V9" s="197"/>
      <c r="W9" s="197"/>
      <c r="X9" s="198"/>
      <c r="Y9" s="197"/>
      <c r="Z9" s="197"/>
      <c r="AA9" s="199">
        <f t="shared" si="0"/>
        <v>0</v>
      </c>
      <c r="AB9" s="200" t="s">
        <v>5</v>
      </c>
      <c r="AC9" s="188">
        <f t="shared" si="1"/>
        <v>0</v>
      </c>
      <c r="AD9" s="188"/>
      <c r="AE9" s="192"/>
      <c r="AF9" s="188"/>
      <c r="AG9" s="192"/>
      <c r="AH9" s="192"/>
      <c r="AI9" s="192"/>
      <c r="AJ9" s="192"/>
      <c r="AK9" s="192"/>
      <c r="AL9" s="192"/>
      <c r="AM9" s="192"/>
      <c r="AN9" s="192"/>
      <c r="AO9" s="192"/>
      <c r="AP9" s="192"/>
      <c r="AQ9" s="192"/>
      <c r="AR9" s="192"/>
      <c r="AS9" s="192"/>
      <c r="AT9" s="192"/>
      <c r="AU9" s="192"/>
      <c r="AV9" s="192"/>
    </row>
    <row r="10" spans="1:90" ht="19.5" customHeight="1" x14ac:dyDescent="0.35">
      <c r="A10" s="235">
        <v>46028</v>
      </c>
      <c r="B10" s="240" t="s">
        <v>112</v>
      </c>
      <c r="C10" s="240" t="s">
        <v>113</v>
      </c>
      <c r="D10" s="179"/>
      <c r="E10" s="252">
        <v>1420.24</v>
      </c>
      <c r="F10" s="201"/>
      <c r="G10" s="202"/>
      <c r="H10" s="202"/>
      <c r="I10" s="202"/>
      <c r="J10" s="202"/>
      <c r="K10" s="202"/>
      <c r="L10" s="202">
        <f>+E10</f>
        <v>1420.24</v>
      </c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199">
        <f t="shared" si="0"/>
        <v>1420.24</v>
      </c>
      <c r="AB10" s="200" t="s">
        <v>5</v>
      </c>
      <c r="AC10" s="188">
        <f t="shared" si="1"/>
        <v>0</v>
      </c>
      <c r="AD10" s="188"/>
      <c r="AE10" s="192"/>
      <c r="AF10" s="188"/>
      <c r="AG10" s="192"/>
      <c r="AH10" s="192"/>
      <c r="AI10" s="192"/>
      <c r="AJ10" s="192"/>
      <c r="AK10" s="192"/>
      <c r="AL10" s="192"/>
      <c r="AM10" s="192"/>
      <c r="AN10" s="192"/>
      <c r="AO10" s="192"/>
      <c r="AP10" s="192"/>
      <c r="AQ10" s="192"/>
      <c r="AR10" s="192"/>
      <c r="AS10" s="192"/>
      <c r="AT10" s="192"/>
      <c r="AU10" s="192"/>
      <c r="AV10" s="192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</row>
    <row r="11" spans="1:90" ht="19.5" customHeight="1" x14ac:dyDescent="0.35">
      <c r="A11" s="235">
        <v>46031</v>
      </c>
      <c r="B11" s="241" t="s">
        <v>6</v>
      </c>
      <c r="C11" s="240" t="s">
        <v>114</v>
      </c>
      <c r="D11" s="179"/>
      <c r="E11" s="253"/>
      <c r="F11" s="201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199">
        <f t="shared" si="0"/>
        <v>0</v>
      </c>
      <c r="AB11" s="200" t="s">
        <v>5</v>
      </c>
      <c r="AC11" s="188">
        <f t="shared" si="1"/>
        <v>0</v>
      </c>
      <c r="AD11" s="192"/>
      <c r="AE11" s="192"/>
      <c r="AF11" s="188"/>
      <c r="AG11" s="192"/>
      <c r="AH11" s="192"/>
      <c r="AI11" s="192"/>
      <c r="AJ11" s="192"/>
      <c r="AK11" s="192"/>
      <c r="AL11" s="192"/>
      <c r="AM11" s="192"/>
      <c r="AN11" s="192"/>
      <c r="AO11" s="192"/>
      <c r="AP11" s="192"/>
      <c r="AQ11" s="192"/>
      <c r="AR11" s="192"/>
      <c r="AS11" s="192"/>
      <c r="AT11" s="192"/>
      <c r="AU11" s="192"/>
      <c r="AV11" s="192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</row>
    <row r="12" spans="1:90" ht="19.5" customHeight="1" x14ac:dyDescent="0.35">
      <c r="A12" s="235">
        <v>46031</v>
      </c>
      <c r="B12" s="241" t="s">
        <v>6</v>
      </c>
      <c r="C12" s="240" t="s">
        <v>115</v>
      </c>
      <c r="D12" s="179"/>
      <c r="E12" s="253"/>
      <c r="F12" s="201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199">
        <f t="shared" si="0"/>
        <v>0</v>
      </c>
      <c r="AB12" s="200" t="s">
        <v>5</v>
      </c>
      <c r="AC12" s="188">
        <f t="shared" si="1"/>
        <v>0</v>
      </c>
      <c r="AD12" s="192"/>
      <c r="AE12" s="192"/>
      <c r="AF12" s="188"/>
      <c r="AG12" s="192"/>
      <c r="AH12" s="192"/>
      <c r="AI12" s="192"/>
      <c r="AJ12" s="192"/>
      <c r="AK12" s="192"/>
      <c r="AL12" s="192"/>
      <c r="AM12" s="192"/>
      <c r="AN12" s="192"/>
      <c r="AO12" s="192"/>
      <c r="AP12" s="192"/>
      <c r="AQ12" s="192"/>
      <c r="AR12" s="192"/>
      <c r="AS12" s="192"/>
      <c r="AT12" s="192"/>
      <c r="AU12" s="192"/>
      <c r="AV12" s="19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</row>
    <row r="13" spans="1:90" ht="19.5" customHeight="1" x14ac:dyDescent="0.35">
      <c r="A13" s="235">
        <v>46031</v>
      </c>
      <c r="B13" s="241" t="s">
        <v>6</v>
      </c>
      <c r="C13" s="240" t="s">
        <v>114</v>
      </c>
      <c r="D13" s="179"/>
      <c r="E13" s="252"/>
      <c r="F13" s="201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199">
        <f t="shared" si="0"/>
        <v>0</v>
      </c>
      <c r="AB13" s="200" t="s">
        <v>5</v>
      </c>
      <c r="AC13" s="188">
        <f t="shared" si="1"/>
        <v>0</v>
      </c>
      <c r="AD13" s="192"/>
      <c r="AE13" s="192"/>
      <c r="AF13" s="188"/>
      <c r="AG13" s="192"/>
      <c r="AH13" s="192"/>
      <c r="AI13" s="192"/>
      <c r="AJ13" s="192"/>
      <c r="AK13" s="192"/>
      <c r="AL13" s="192"/>
      <c r="AM13" s="192"/>
      <c r="AN13" s="192"/>
      <c r="AO13" s="192"/>
      <c r="AP13" s="192"/>
      <c r="AQ13" s="192"/>
      <c r="AR13" s="192"/>
      <c r="AS13" s="192"/>
      <c r="AT13" s="192"/>
      <c r="AU13" s="192"/>
      <c r="AV13" s="192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</row>
    <row r="14" spans="1:90" ht="19.5" customHeight="1" x14ac:dyDescent="0.35">
      <c r="A14" s="236">
        <v>46033</v>
      </c>
      <c r="B14" s="242" t="s">
        <v>116</v>
      </c>
      <c r="C14" s="242" t="s">
        <v>73</v>
      </c>
      <c r="D14" s="179"/>
      <c r="E14" s="254">
        <v>2500</v>
      </c>
      <c r="F14" s="201"/>
      <c r="G14" s="202"/>
      <c r="H14" s="202">
        <f>+E14</f>
        <v>2500</v>
      </c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199">
        <f t="shared" si="0"/>
        <v>2500</v>
      </c>
      <c r="AB14" s="200" t="s">
        <v>5</v>
      </c>
      <c r="AC14" s="188">
        <f t="shared" si="1"/>
        <v>0</v>
      </c>
      <c r="AD14" s="192"/>
      <c r="AE14" s="192"/>
      <c r="AF14" s="188"/>
      <c r="AG14" s="192"/>
      <c r="AH14" s="192"/>
      <c r="AI14" s="192"/>
      <c r="AJ14" s="192"/>
      <c r="AK14" s="192"/>
      <c r="AL14" s="192"/>
      <c r="AM14" s="192"/>
      <c r="AN14" s="192"/>
      <c r="AO14" s="192"/>
      <c r="AP14" s="192"/>
      <c r="AQ14" s="192"/>
      <c r="AR14" s="192"/>
      <c r="AS14" s="192"/>
      <c r="AT14" s="192"/>
      <c r="AU14" s="192"/>
      <c r="AV14" s="192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</row>
    <row r="15" spans="1:90" ht="19.5" customHeight="1" x14ac:dyDescent="0.35">
      <c r="A15" s="236">
        <v>46033</v>
      </c>
      <c r="B15" s="241" t="s">
        <v>74</v>
      </c>
      <c r="C15" s="240" t="s">
        <v>88</v>
      </c>
      <c r="D15" s="179"/>
      <c r="E15" s="254">
        <v>7</v>
      </c>
      <c r="F15" s="201"/>
      <c r="G15" s="202"/>
      <c r="H15" s="202"/>
      <c r="I15" s="202">
        <f>+E15</f>
        <v>7</v>
      </c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199">
        <f t="shared" si="0"/>
        <v>7</v>
      </c>
      <c r="AB15" s="200" t="s">
        <v>5</v>
      </c>
      <c r="AC15" s="188">
        <f t="shared" si="1"/>
        <v>0</v>
      </c>
      <c r="AD15" s="192"/>
      <c r="AE15" s="192"/>
      <c r="AF15" s="188"/>
      <c r="AG15" s="192"/>
      <c r="AH15" s="192"/>
      <c r="AI15" s="192"/>
      <c r="AJ15" s="192"/>
      <c r="AK15" s="192"/>
      <c r="AL15" s="192"/>
      <c r="AM15" s="192"/>
      <c r="AN15" s="192"/>
      <c r="AO15" s="192"/>
      <c r="AP15" s="192"/>
      <c r="AQ15" s="192"/>
      <c r="AR15" s="192"/>
      <c r="AS15" s="192"/>
      <c r="AT15" s="192"/>
      <c r="AU15" s="192"/>
      <c r="AV15" s="192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</row>
    <row r="16" spans="1:90" ht="19.5" customHeight="1" x14ac:dyDescent="0.35">
      <c r="A16" s="236">
        <v>46033</v>
      </c>
      <c r="B16" s="240" t="s">
        <v>117</v>
      </c>
      <c r="C16" s="240" t="s">
        <v>118</v>
      </c>
      <c r="D16" s="179"/>
      <c r="E16" s="252">
        <v>146740</v>
      </c>
      <c r="F16" s="201"/>
      <c r="G16" s="202"/>
      <c r="H16" s="202"/>
      <c r="I16" s="202"/>
      <c r="J16" s="202">
        <f>+E16</f>
        <v>146740</v>
      </c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199">
        <f t="shared" si="0"/>
        <v>146740</v>
      </c>
      <c r="AB16" s="200" t="s">
        <v>5</v>
      </c>
      <c r="AC16" s="188">
        <f t="shared" si="1"/>
        <v>0</v>
      </c>
      <c r="AD16" s="192"/>
      <c r="AE16" s="192"/>
      <c r="AF16" s="188"/>
      <c r="AG16" s="192"/>
      <c r="AH16" s="192"/>
      <c r="AI16" s="192"/>
      <c r="AJ16" s="192"/>
      <c r="AK16" s="192"/>
      <c r="AL16" s="192"/>
      <c r="AM16" s="192"/>
      <c r="AN16" s="192"/>
      <c r="AO16" s="192"/>
      <c r="AP16" s="192"/>
      <c r="AQ16" s="192"/>
      <c r="AR16" s="192"/>
      <c r="AS16" s="192"/>
      <c r="AT16" s="192"/>
      <c r="AU16" s="192"/>
      <c r="AV16" s="192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</row>
    <row r="17" spans="1:90" ht="19.5" customHeight="1" x14ac:dyDescent="0.35">
      <c r="A17" s="236">
        <v>46033</v>
      </c>
      <c r="B17" s="241" t="s">
        <v>74</v>
      </c>
      <c r="C17" s="240" t="s">
        <v>88</v>
      </c>
      <c r="D17" s="179"/>
      <c r="E17" s="254">
        <v>7</v>
      </c>
      <c r="F17" s="201"/>
      <c r="G17" s="202"/>
      <c r="H17" s="202"/>
      <c r="I17" s="202">
        <f>+E17</f>
        <v>7</v>
      </c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199">
        <f t="shared" si="0"/>
        <v>7</v>
      </c>
      <c r="AB17" s="200" t="s">
        <v>5</v>
      </c>
      <c r="AC17" s="188">
        <f t="shared" si="1"/>
        <v>0</v>
      </c>
      <c r="AD17" s="192"/>
      <c r="AE17" s="192"/>
      <c r="AF17" s="188"/>
      <c r="AG17" s="192"/>
      <c r="AH17" s="192"/>
      <c r="AI17" s="192"/>
      <c r="AJ17" s="192"/>
      <c r="AK17" s="192"/>
      <c r="AL17" s="192"/>
      <c r="AM17" s="192"/>
      <c r="AN17" s="192"/>
      <c r="AO17" s="192"/>
      <c r="AP17" s="192"/>
      <c r="AQ17" s="192"/>
      <c r="AR17" s="192"/>
      <c r="AS17" s="192"/>
      <c r="AT17" s="192"/>
      <c r="AU17" s="192"/>
      <c r="AV17" s="192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</row>
    <row r="18" spans="1:90" ht="19.5" customHeight="1" x14ac:dyDescent="0.35">
      <c r="A18" s="236">
        <v>46033</v>
      </c>
      <c r="B18" s="240" t="s">
        <v>119</v>
      </c>
      <c r="C18" s="240" t="s">
        <v>87</v>
      </c>
      <c r="D18" s="179"/>
      <c r="E18" s="254">
        <v>77851.16</v>
      </c>
      <c r="F18" s="201"/>
      <c r="G18" s="202"/>
      <c r="H18" s="202"/>
      <c r="I18" s="202"/>
      <c r="J18" s="202"/>
      <c r="K18" s="202">
        <f>+E18</f>
        <v>77851.16</v>
      </c>
      <c r="L18" s="202"/>
      <c r="M18" s="202"/>
      <c r="N18" s="202"/>
      <c r="O18" s="203"/>
      <c r="P18" s="188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199">
        <f t="shared" si="0"/>
        <v>77851.16</v>
      </c>
      <c r="AB18" s="200" t="s">
        <v>5</v>
      </c>
      <c r="AC18" s="188">
        <f t="shared" si="1"/>
        <v>0</v>
      </c>
      <c r="AD18" s="192"/>
      <c r="AE18" s="192"/>
      <c r="AF18" s="188"/>
      <c r="AG18" s="192"/>
      <c r="AH18" s="192"/>
      <c r="AI18" s="192"/>
      <c r="AJ18" s="192"/>
      <c r="AK18" s="192"/>
      <c r="AL18" s="192"/>
      <c r="AM18" s="192"/>
      <c r="AN18" s="192"/>
      <c r="AO18" s="192"/>
      <c r="AP18" s="192"/>
      <c r="AQ18" s="192"/>
      <c r="AR18" s="192"/>
      <c r="AS18" s="192"/>
      <c r="AT18" s="192"/>
      <c r="AU18" s="192"/>
      <c r="AV18" s="192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</row>
    <row r="19" spans="1:90" ht="19.5" customHeight="1" x14ac:dyDescent="0.35">
      <c r="A19" s="236">
        <v>46033</v>
      </c>
      <c r="B19" s="241" t="s">
        <v>74</v>
      </c>
      <c r="C19" s="240" t="s">
        <v>88</v>
      </c>
      <c r="D19" s="179"/>
      <c r="E19" s="252">
        <v>7</v>
      </c>
      <c r="F19" s="201"/>
      <c r="G19" s="202"/>
      <c r="H19" s="202"/>
      <c r="I19" s="202">
        <f>+E19</f>
        <v>7</v>
      </c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199">
        <f t="shared" si="0"/>
        <v>7</v>
      </c>
      <c r="AB19" s="200" t="s">
        <v>5</v>
      </c>
      <c r="AC19" s="188">
        <f t="shared" si="1"/>
        <v>0</v>
      </c>
      <c r="AD19" s="192"/>
      <c r="AE19" s="192"/>
      <c r="AF19" s="188"/>
      <c r="AG19" s="192"/>
      <c r="AH19" s="192"/>
      <c r="AI19" s="192"/>
      <c r="AJ19" s="192"/>
      <c r="AK19" s="192"/>
      <c r="AL19" s="192"/>
      <c r="AM19" s="192"/>
      <c r="AN19" s="192"/>
      <c r="AO19" s="192"/>
      <c r="AP19" s="192"/>
      <c r="AQ19" s="192"/>
      <c r="AR19" s="192"/>
      <c r="AS19" s="192"/>
      <c r="AT19" s="192"/>
      <c r="AU19" s="192"/>
      <c r="AV19" s="192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</row>
    <row r="20" spans="1:90" ht="19.5" customHeight="1" x14ac:dyDescent="0.35">
      <c r="A20" s="236">
        <v>46034</v>
      </c>
      <c r="B20" s="240" t="s">
        <v>116</v>
      </c>
      <c r="C20" s="240" t="s">
        <v>120</v>
      </c>
      <c r="D20" s="179"/>
      <c r="E20" s="254">
        <v>3000</v>
      </c>
      <c r="F20" s="201"/>
      <c r="G20" s="202"/>
      <c r="H20" s="202">
        <f>+E20</f>
        <v>3000</v>
      </c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202"/>
      <c r="AA20" s="199">
        <f t="shared" si="0"/>
        <v>3000</v>
      </c>
      <c r="AB20" s="200" t="s">
        <v>5</v>
      </c>
      <c r="AC20" s="188">
        <f t="shared" si="1"/>
        <v>0</v>
      </c>
      <c r="AD20" s="192"/>
      <c r="AE20" s="192"/>
      <c r="AF20" s="188"/>
      <c r="AG20" s="192"/>
      <c r="AH20" s="192"/>
      <c r="AI20" s="192"/>
      <c r="AJ20" s="192"/>
      <c r="AK20" s="192"/>
      <c r="AL20" s="192"/>
      <c r="AM20" s="192"/>
      <c r="AN20" s="192"/>
      <c r="AO20" s="192"/>
      <c r="AP20" s="192"/>
      <c r="AQ20" s="192"/>
      <c r="AR20" s="192"/>
      <c r="AS20" s="192"/>
      <c r="AT20" s="192"/>
      <c r="AU20" s="192"/>
      <c r="AV20" s="192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</row>
    <row r="21" spans="1:90" ht="19.5" customHeight="1" x14ac:dyDescent="0.35">
      <c r="A21" s="236">
        <v>46034</v>
      </c>
      <c r="B21" s="241" t="s">
        <v>74</v>
      </c>
      <c r="C21" s="240" t="s">
        <v>88</v>
      </c>
      <c r="D21" s="179"/>
      <c r="E21" s="254">
        <v>7</v>
      </c>
      <c r="F21" s="201"/>
      <c r="G21" s="202"/>
      <c r="H21" s="202"/>
      <c r="I21" s="202">
        <f>+E21</f>
        <v>7</v>
      </c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199">
        <f t="shared" si="0"/>
        <v>7</v>
      </c>
      <c r="AB21" s="200" t="s">
        <v>5</v>
      </c>
      <c r="AC21" s="188">
        <f t="shared" si="1"/>
        <v>0</v>
      </c>
      <c r="AD21" s="192"/>
      <c r="AE21" s="192"/>
      <c r="AF21" s="188"/>
      <c r="AG21" s="192"/>
      <c r="AH21" s="192"/>
      <c r="AI21" s="192"/>
      <c r="AJ21" s="192"/>
      <c r="AK21" s="192"/>
      <c r="AL21" s="192"/>
      <c r="AM21" s="192"/>
      <c r="AN21" s="192"/>
      <c r="AO21" s="192"/>
      <c r="AP21" s="192"/>
      <c r="AQ21" s="192"/>
      <c r="AR21" s="192"/>
      <c r="AS21" s="192"/>
      <c r="AT21" s="192"/>
      <c r="AU21" s="192"/>
      <c r="AV21" s="192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</row>
    <row r="22" spans="1:90" ht="19.5" customHeight="1" x14ac:dyDescent="0.35">
      <c r="A22" s="236">
        <v>46038</v>
      </c>
      <c r="B22" s="240" t="s">
        <v>121</v>
      </c>
      <c r="C22" s="240" t="s">
        <v>73</v>
      </c>
      <c r="D22" s="179"/>
      <c r="E22" s="254">
        <v>1500</v>
      </c>
      <c r="F22" s="201"/>
      <c r="G22" s="202"/>
      <c r="H22" s="202">
        <f>+E22</f>
        <v>1500</v>
      </c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199">
        <f t="shared" si="0"/>
        <v>1500</v>
      </c>
      <c r="AB22" s="200" t="s">
        <v>5</v>
      </c>
      <c r="AC22" s="188">
        <f t="shared" si="1"/>
        <v>0</v>
      </c>
      <c r="AD22" s="192"/>
      <c r="AE22" s="192"/>
      <c r="AF22" s="188"/>
      <c r="AG22" s="192"/>
      <c r="AH22" s="192"/>
      <c r="AI22" s="192"/>
      <c r="AJ22" s="192"/>
      <c r="AK22" s="192"/>
      <c r="AL22" s="192"/>
      <c r="AM22" s="192"/>
      <c r="AN22" s="192"/>
      <c r="AO22" s="192"/>
      <c r="AP22" s="192"/>
      <c r="AQ22" s="192"/>
      <c r="AR22" s="192"/>
      <c r="AS22" s="192"/>
      <c r="AT22" s="192"/>
      <c r="AU22" s="192"/>
      <c r="AV22" s="19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</row>
    <row r="23" spans="1:90" ht="19.5" customHeight="1" x14ac:dyDescent="0.35">
      <c r="A23" s="236">
        <v>46038</v>
      </c>
      <c r="B23" s="241" t="s">
        <v>74</v>
      </c>
      <c r="C23" s="240" t="s">
        <v>98</v>
      </c>
      <c r="D23" s="179"/>
      <c r="E23" s="254">
        <v>7</v>
      </c>
      <c r="F23" s="201"/>
      <c r="G23" s="202"/>
      <c r="H23" s="202"/>
      <c r="I23" s="202">
        <f>+E23</f>
        <v>7</v>
      </c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199">
        <f t="shared" si="0"/>
        <v>7</v>
      </c>
      <c r="AB23" s="200" t="s">
        <v>5</v>
      </c>
      <c r="AC23" s="188">
        <f t="shared" si="1"/>
        <v>0</v>
      </c>
      <c r="AD23" s="192"/>
      <c r="AE23" s="192"/>
      <c r="AF23" s="188"/>
      <c r="AG23" s="192"/>
      <c r="AH23" s="192"/>
      <c r="AI23" s="192"/>
      <c r="AJ23" s="192"/>
      <c r="AK23" s="192"/>
      <c r="AL23" s="192"/>
      <c r="AM23" s="192"/>
      <c r="AN23" s="192"/>
      <c r="AO23" s="192"/>
      <c r="AP23" s="192"/>
      <c r="AQ23" s="192"/>
      <c r="AR23" s="192"/>
      <c r="AS23" s="192"/>
      <c r="AT23" s="192"/>
      <c r="AU23" s="192"/>
      <c r="AV23" s="192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</row>
    <row r="24" spans="1:90" ht="19.5" customHeight="1" x14ac:dyDescent="0.35">
      <c r="A24" s="236">
        <v>46042</v>
      </c>
      <c r="B24" s="240" t="s">
        <v>122</v>
      </c>
      <c r="C24" s="240" t="s">
        <v>123</v>
      </c>
      <c r="D24" s="179"/>
      <c r="E24" s="252">
        <v>37385.800000000003</v>
      </c>
      <c r="F24" s="201"/>
      <c r="G24" s="202"/>
      <c r="H24" s="202"/>
      <c r="I24" s="202"/>
      <c r="J24" s="202">
        <f>+E24</f>
        <v>37385.800000000003</v>
      </c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199">
        <f t="shared" si="0"/>
        <v>37385.800000000003</v>
      </c>
      <c r="AB24" s="200" t="s">
        <v>5</v>
      </c>
      <c r="AC24" s="188">
        <f t="shared" si="1"/>
        <v>0</v>
      </c>
      <c r="AD24" s="192"/>
      <c r="AE24" s="192"/>
      <c r="AF24" s="188"/>
      <c r="AG24" s="192"/>
      <c r="AH24" s="192"/>
      <c r="AI24" s="192"/>
      <c r="AJ24" s="192"/>
      <c r="AK24" s="192"/>
      <c r="AL24" s="192"/>
      <c r="AM24" s="192"/>
      <c r="AN24" s="192"/>
      <c r="AO24" s="192"/>
      <c r="AP24" s="192"/>
      <c r="AQ24" s="192"/>
      <c r="AR24" s="192"/>
      <c r="AS24" s="192"/>
      <c r="AT24" s="192"/>
      <c r="AU24" s="192"/>
      <c r="AV24" s="192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</row>
    <row r="25" spans="1:90" ht="19.5" customHeight="1" x14ac:dyDescent="0.35">
      <c r="A25" s="236">
        <v>46042</v>
      </c>
      <c r="B25" s="241" t="s">
        <v>74</v>
      </c>
      <c r="C25" s="240" t="s">
        <v>98</v>
      </c>
      <c r="D25" s="179"/>
      <c r="E25" s="254">
        <v>7</v>
      </c>
      <c r="F25" s="201"/>
      <c r="G25" s="202"/>
      <c r="H25" s="202"/>
      <c r="I25" s="202">
        <f>+E25</f>
        <v>7</v>
      </c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199">
        <f t="shared" si="0"/>
        <v>7</v>
      </c>
      <c r="AB25" s="200" t="s">
        <v>5</v>
      </c>
      <c r="AC25" s="188">
        <f t="shared" si="1"/>
        <v>0</v>
      </c>
      <c r="AD25" s="192"/>
      <c r="AE25" s="192"/>
      <c r="AF25" s="188"/>
      <c r="AG25" s="192"/>
      <c r="AH25" s="192"/>
      <c r="AI25" s="192"/>
      <c r="AJ25" s="192"/>
      <c r="AK25" s="192"/>
      <c r="AL25" s="192"/>
      <c r="AM25" s="192"/>
      <c r="AN25" s="192"/>
      <c r="AO25" s="192"/>
      <c r="AP25" s="192"/>
      <c r="AQ25" s="192"/>
      <c r="AR25" s="192"/>
      <c r="AS25" s="192"/>
      <c r="AT25" s="192"/>
      <c r="AU25" s="192"/>
      <c r="AV25" s="192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</row>
    <row r="26" spans="1:90" ht="19.5" customHeight="1" x14ac:dyDescent="0.35">
      <c r="A26" s="236">
        <v>46044</v>
      </c>
      <c r="B26" s="240" t="s">
        <v>124</v>
      </c>
      <c r="C26" s="240" t="s">
        <v>125</v>
      </c>
      <c r="D26" s="179"/>
      <c r="E26" s="254">
        <v>1500</v>
      </c>
      <c r="F26" s="201"/>
      <c r="G26" s="202"/>
      <c r="H26" s="202"/>
      <c r="I26" s="202">
        <f>+E26</f>
        <v>1500</v>
      </c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199">
        <f t="shared" si="0"/>
        <v>1500</v>
      </c>
      <c r="AB26" s="200" t="s">
        <v>5</v>
      </c>
      <c r="AC26" s="188">
        <f t="shared" si="1"/>
        <v>0</v>
      </c>
      <c r="AD26" s="192"/>
      <c r="AE26" s="192"/>
      <c r="AF26" s="188"/>
      <c r="AG26" s="192"/>
      <c r="AH26" s="192"/>
      <c r="AI26" s="192"/>
      <c r="AJ26" s="192"/>
      <c r="AK26" s="192"/>
      <c r="AL26" s="192"/>
      <c r="AM26" s="192"/>
      <c r="AN26" s="192"/>
      <c r="AO26" s="192"/>
      <c r="AP26" s="192"/>
      <c r="AQ26" s="192"/>
      <c r="AR26" s="192"/>
      <c r="AS26" s="192"/>
      <c r="AT26" s="192"/>
      <c r="AU26" s="192"/>
      <c r="AV26" s="192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</row>
    <row r="27" spans="1:90" ht="19.5" customHeight="1" x14ac:dyDescent="0.35">
      <c r="A27" s="236">
        <v>46044</v>
      </c>
      <c r="B27" s="241" t="s">
        <v>74</v>
      </c>
      <c r="C27" s="240" t="s">
        <v>98</v>
      </c>
      <c r="D27" s="179"/>
      <c r="E27" s="294">
        <v>7</v>
      </c>
      <c r="F27" s="201"/>
      <c r="G27" s="202"/>
      <c r="H27" s="202"/>
      <c r="I27" s="202">
        <f>+E27</f>
        <v>7</v>
      </c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199">
        <f t="shared" si="0"/>
        <v>7</v>
      </c>
      <c r="AB27" s="200" t="s">
        <v>5</v>
      </c>
      <c r="AC27" s="188">
        <f t="shared" si="1"/>
        <v>0</v>
      </c>
      <c r="AD27" s="192"/>
      <c r="AE27" s="192"/>
      <c r="AF27" s="188"/>
      <c r="AG27" s="192"/>
      <c r="AH27" s="192"/>
      <c r="AI27" s="192"/>
      <c r="AJ27" s="192"/>
      <c r="AK27" s="192"/>
      <c r="AL27" s="192"/>
      <c r="AM27" s="192"/>
      <c r="AN27" s="192"/>
      <c r="AO27" s="192"/>
      <c r="AP27" s="192"/>
      <c r="AQ27" s="192"/>
      <c r="AR27" s="192"/>
      <c r="AS27" s="192"/>
      <c r="AT27" s="192"/>
      <c r="AU27" s="192"/>
      <c r="AV27" s="192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</row>
    <row r="28" spans="1:90" ht="19.5" customHeight="1" x14ac:dyDescent="0.35">
      <c r="A28" s="236">
        <v>46045</v>
      </c>
      <c r="B28" s="240" t="s">
        <v>126</v>
      </c>
      <c r="C28" s="240" t="s">
        <v>127</v>
      </c>
      <c r="D28" s="179"/>
      <c r="E28" s="254">
        <v>1037.3900000000001</v>
      </c>
      <c r="F28" s="201"/>
      <c r="G28" s="202"/>
      <c r="H28" s="202"/>
      <c r="I28" s="202"/>
      <c r="J28" s="202"/>
      <c r="K28" s="202"/>
      <c r="L28" s="202">
        <f>+E28</f>
        <v>1037.3900000000001</v>
      </c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199">
        <f t="shared" si="0"/>
        <v>1037.3900000000001</v>
      </c>
      <c r="AB28" s="200" t="s">
        <v>5</v>
      </c>
      <c r="AC28" s="188">
        <f t="shared" si="1"/>
        <v>0</v>
      </c>
      <c r="AD28" s="192"/>
      <c r="AE28" s="192"/>
      <c r="AF28" s="188"/>
      <c r="AG28" s="192"/>
      <c r="AH28" s="192"/>
      <c r="AI28" s="192"/>
      <c r="AJ28" s="192"/>
      <c r="AK28" s="192"/>
      <c r="AL28" s="192"/>
      <c r="AM28" s="192"/>
      <c r="AN28" s="192"/>
      <c r="AO28" s="192"/>
      <c r="AP28" s="192"/>
      <c r="AQ28" s="192"/>
      <c r="AR28" s="192"/>
      <c r="AS28" s="192"/>
      <c r="AT28" s="192"/>
      <c r="AU28" s="192"/>
      <c r="AV28" s="192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</row>
    <row r="29" spans="1:90" ht="19.5" customHeight="1" x14ac:dyDescent="0.35">
      <c r="A29" s="236">
        <v>46044</v>
      </c>
      <c r="B29" s="241" t="s">
        <v>128</v>
      </c>
      <c r="C29" s="240" t="s">
        <v>71</v>
      </c>
      <c r="D29" s="179"/>
      <c r="E29" s="254">
        <v>10000</v>
      </c>
      <c r="F29" s="201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>
        <f>+E29</f>
        <v>10000</v>
      </c>
      <c r="AA29" s="199">
        <f t="shared" si="0"/>
        <v>10000</v>
      </c>
      <c r="AB29" s="200" t="s">
        <v>5</v>
      </c>
      <c r="AC29" s="188">
        <f t="shared" si="1"/>
        <v>0</v>
      </c>
      <c r="AD29" s="192"/>
      <c r="AE29" s="192"/>
      <c r="AF29" s="188"/>
      <c r="AG29" s="192"/>
      <c r="AH29" s="192"/>
      <c r="AI29" s="192"/>
      <c r="AJ29" s="192"/>
      <c r="AK29" s="192"/>
      <c r="AL29" s="192"/>
      <c r="AM29" s="192"/>
      <c r="AN29" s="192"/>
      <c r="AO29" s="192"/>
      <c r="AP29" s="192"/>
      <c r="AQ29" s="192"/>
      <c r="AR29" s="192"/>
      <c r="AS29" s="192"/>
      <c r="AT29" s="192"/>
      <c r="AU29" s="192"/>
      <c r="AV29" s="192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</row>
    <row r="30" spans="1:90" ht="19.5" customHeight="1" x14ac:dyDescent="0.35">
      <c r="A30" s="236">
        <v>46045</v>
      </c>
      <c r="B30" s="241" t="s">
        <v>129</v>
      </c>
      <c r="C30" s="240" t="s">
        <v>73</v>
      </c>
      <c r="D30" s="179"/>
      <c r="E30" s="254">
        <v>315176.58</v>
      </c>
      <c r="F30" s="201">
        <v>174740</v>
      </c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>
        <v>33449</v>
      </c>
      <c r="W30" s="202">
        <v>58534</v>
      </c>
      <c r="X30" s="202">
        <v>36625</v>
      </c>
      <c r="Y30" s="202">
        <v>43125</v>
      </c>
      <c r="Z30" s="202"/>
      <c r="AA30" s="199">
        <f t="shared" si="0"/>
        <v>346473</v>
      </c>
      <c r="AB30" s="200" t="s">
        <v>5</v>
      </c>
      <c r="AC30" s="188">
        <f t="shared" si="1"/>
        <v>-31296.419999999984</v>
      </c>
      <c r="AD30" s="192"/>
      <c r="AE30" s="304">
        <f>+AC30+AA105</f>
        <v>0</v>
      </c>
      <c r="AF30" s="188"/>
      <c r="AG30" s="192"/>
      <c r="AH30" s="192"/>
      <c r="AI30" s="192"/>
      <c r="AJ30" s="192"/>
      <c r="AK30" s="192"/>
      <c r="AL30" s="192"/>
      <c r="AM30" s="192"/>
      <c r="AN30" s="192"/>
      <c r="AO30" s="192"/>
      <c r="AP30" s="192"/>
      <c r="AQ30" s="192"/>
      <c r="AR30" s="192"/>
      <c r="AS30" s="192"/>
      <c r="AT30" s="192"/>
      <c r="AU30" s="192"/>
      <c r="AV30" s="192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</row>
    <row r="31" spans="1:90" ht="19.5" customHeight="1" x14ac:dyDescent="0.35">
      <c r="A31" s="236">
        <v>46045</v>
      </c>
      <c r="B31" s="241" t="s">
        <v>130</v>
      </c>
      <c r="C31" s="240" t="s">
        <v>131</v>
      </c>
      <c r="D31" s="179"/>
      <c r="E31" s="254">
        <v>257</v>
      </c>
      <c r="F31" s="201"/>
      <c r="G31" s="202"/>
      <c r="H31" s="202"/>
      <c r="I31" s="202">
        <f>+E31</f>
        <v>257</v>
      </c>
      <c r="J31" s="202"/>
      <c r="K31" s="202"/>
      <c r="L31" s="202"/>
      <c r="M31" s="202"/>
      <c r="N31" s="202"/>
      <c r="O31" s="202"/>
      <c r="P31" s="202"/>
      <c r="Q31" s="202"/>
      <c r="R31" s="202"/>
      <c r="S31" s="202"/>
      <c r="T31" s="202"/>
      <c r="U31" s="202"/>
      <c r="V31" s="202"/>
      <c r="W31" s="202"/>
      <c r="X31" s="202"/>
      <c r="Y31" s="202"/>
      <c r="Z31" s="202"/>
      <c r="AA31" s="199">
        <f t="shared" si="0"/>
        <v>257</v>
      </c>
      <c r="AB31" s="200" t="s">
        <v>5</v>
      </c>
      <c r="AC31" s="188">
        <f t="shared" si="1"/>
        <v>0</v>
      </c>
      <c r="AD31" s="192"/>
      <c r="AE31" s="192"/>
      <c r="AF31" s="188"/>
      <c r="AG31" s="192"/>
      <c r="AH31" s="192"/>
      <c r="AI31" s="192"/>
      <c r="AJ31" s="192"/>
      <c r="AK31" s="192"/>
      <c r="AL31" s="192"/>
      <c r="AM31" s="192"/>
      <c r="AN31" s="192"/>
      <c r="AO31" s="192"/>
      <c r="AP31" s="192"/>
      <c r="AQ31" s="192"/>
      <c r="AR31" s="192"/>
      <c r="AS31" s="192"/>
      <c r="AT31" s="192"/>
      <c r="AU31" s="192"/>
      <c r="AV31" s="192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</row>
    <row r="32" spans="1:90" ht="19.5" customHeight="1" x14ac:dyDescent="0.35">
      <c r="A32" s="236">
        <v>46045</v>
      </c>
      <c r="B32" s="240" t="s">
        <v>96</v>
      </c>
      <c r="C32" s="240" t="s">
        <v>97</v>
      </c>
      <c r="D32" s="179"/>
      <c r="E32" s="255">
        <v>12000</v>
      </c>
      <c r="F32" s="201"/>
      <c r="G32" s="202">
        <f>+E32</f>
        <v>12000</v>
      </c>
      <c r="H32" s="202"/>
      <c r="I32" s="202"/>
      <c r="J32" s="202"/>
      <c r="K32" s="202"/>
      <c r="L32" s="202"/>
      <c r="M32" s="202"/>
      <c r="N32" s="202"/>
      <c r="O32" s="202"/>
      <c r="P32" s="202"/>
      <c r="Q32" s="202"/>
      <c r="R32" s="202"/>
      <c r="S32" s="202"/>
      <c r="T32" s="202"/>
      <c r="U32" s="202"/>
      <c r="V32" s="202"/>
      <c r="W32" s="202"/>
      <c r="X32" s="202"/>
      <c r="Y32" s="202"/>
      <c r="Z32" s="202"/>
      <c r="AA32" s="199">
        <f t="shared" si="0"/>
        <v>12000</v>
      </c>
      <c r="AB32" s="200" t="s">
        <v>5</v>
      </c>
      <c r="AC32" s="188">
        <f t="shared" si="1"/>
        <v>0</v>
      </c>
      <c r="AD32" s="192"/>
      <c r="AE32" s="192"/>
      <c r="AF32" s="188"/>
      <c r="AG32" s="192"/>
      <c r="AH32" s="192"/>
      <c r="AI32" s="192"/>
      <c r="AJ32" s="192"/>
      <c r="AK32" s="192"/>
      <c r="AL32" s="192"/>
      <c r="AM32" s="192"/>
      <c r="AN32" s="192"/>
      <c r="AO32" s="192"/>
      <c r="AP32" s="192"/>
      <c r="AQ32" s="192"/>
      <c r="AR32" s="192"/>
      <c r="AS32" s="192"/>
      <c r="AT32" s="192"/>
      <c r="AU32" s="192"/>
      <c r="AV32" s="19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</row>
    <row r="33" spans="1:90" ht="19.5" customHeight="1" x14ac:dyDescent="0.35">
      <c r="A33" s="236">
        <v>46048</v>
      </c>
      <c r="B33" s="241" t="s">
        <v>99</v>
      </c>
      <c r="C33" s="240" t="s">
        <v>132</v>
      </c>
      <c r="D33" s="179"/>
      <c r="E33" s="240">
        <v>10437.5</v>
      </c>
      <c r="F33" s="201"/>
      <c r="G33" s="202"/>
      <c r="H33" s="202">
        <f>+E33</f>
        <v>10437.5</v>
      </c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  <c r="AA33" s="199">
        <f t="shared" si="0"/>
        <v>10437.5</v>
      </c>
      <c r="AB33" s="200" t="s">
        <v>5</v>
      </c>
      <c r="AC33" s="188">
        <f t="shared" si="1"/>
        <v>0</v>
      </c>
      <c r="AD33" s="192"/>
      <c r="AE33" s="192"/>
      <c r="AF33" s="188"/>
      <c r="AG33" s="192"/>
      <c r="AH33" s="192"/>
      <c r="AI33" s="192"/>
      <c r="AJ33" s="192"/>
      <c r="AK33" s="192"/>
      <c r="AL33" s="192"/>
      <c r="AM33" s="192"/>
      <c r="AN33" s="192"/>
      <c r="AO33" s="192"/>
      <c r="AP33" s="192"/>
      <c r="AQ33" s="192"/>
      <c r="AR33" s="192"/>
      <c r="AS33" s="192"/>
      <c r="AT33" s="192"/>
      <c r="AU33" s="192"/>
      <c r="AV33" s="192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</row>
    <row r="34" spans="1:90" ht="19.5" customHeight="1" x14ac:dyDescent="0.35">
      <c r="A34" s="236">
        <v>46048</v>
      </c>
      <c r="B34" s="241" t="s">
        <v>100</v>
      </c>
      <c r="C34" s="240" t="s">
        <v>132</v>
      </c>
      <c r="D34" s="179"/>
      <c r="E34" s="240">
        <v>24253.11</v>
      </c>
      <c r="F34" s="201">
        <f>+F30*0.04</f>
        <v>6989.6</v>
      </c>
      <c r="G34" s="202"/>
      <c r="H34" s="202">
        <f>+'[9]Folha de salarios'!$AB$31</f>
        <v>10394.19</v>
      </c>
      <c r="I34" s="202"/>
      <c r="J34" s="202"/>
      <c r="K34" s="202"/>
      <c r="L34" s="202"/>
      <c r="M34" s="202"/>
      <c r="N34" s="202"/>
      <c r="O34" s="202"/>
      <c r="P34" s="202"/>
      <c r="Q34" s="202"/>
      <c r="R34" s="202"/>
      <c r="S34" s="202"/>
      <c r="T34" s="202"/>
      <c r="U34" s="202"/>
      <c r="V34" s="202">
        <f>+V30*0.04</f>
        <v>1337.96</v>
      </c>
      <c r="W34" s="202">
        <f>+W30*0.04</f>
        <v>2341.36</v>
      </c>
      <c r="X34" s="202">
        <f>+X30*0.04</f>
        <v>1465</v>
      </c>
      <c r="Y34" s="202">
        <f>+Y30*0.04</f>
        <v>1725</v>
      </c>
      <c r="Z34" s="202"/>
      <c r="AA34" s="199">
        <f t="shared" si="0"/>
        <v>24253.11</v>
      </c>
      <c r="AB34" s="200" t="s">
        <v>5</v>
      </c>
      <c r="AC34" s="188">
        <f t="shared" si="1"/>
        <v>0</v>
      </c>
      <c r="AD34" s="192"/>
      <c r="AE34" s="192"/>
      <c r="AF34" s="188"/>
      <c r="AG34" s="192"/>
      <c r="AH34" s="192"/>
      <c r="AI34" s="192"/>
      <c r="AJ34" s="192"/>
      <c r="AK34" s="192"/>
      <c r="AL34" s="192"/>
      <c r="AM34" s="192"/>
      <c r="AN34" s="192"/>
      <c r="AO34" s="192"/>
      <c r="AP34" s="192"/>
      <c r="AQ34" s="192"/>
      <c r="AR34" s="192"/>
      <c r="AS34" s="192"/>
      <c r="AT34" s="192"/>
      <c r="AU34" s="192"/>
      <c r="AV34" s="192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</row>
    <row r="35" spans="1:90" ht="19.5" customHeight="1" x14ac:dyDescent="0.35">
      <c r="A35" s="236">
        <v>46050</v>
      </c>
      <c r="B35" s="291" t="s">
        <v>133</v>
      </c>
      <c r="C35" s="292" t="s">
        <v>95</v>
      </c>
      <c r="D35" s="179"/>
      <c r="E35" s="240">
        <v>524</v>
      </c>
      <c r="F35" s="201"/>
      <c r="G35" s="202"/>
      <c r="H35" s="202"/>
      <c r="I35" s="202"/>
      <c r="J35" s="202"/>
      <c r="K35" s="202"/>
      <c r="L35" s="202">
        <f>+E35</f>
        <v>524</v>
      </c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  <c r="X35" s="202"/>
      <c r="Y35" s="202"/>
      <c r="Z35" s="202"/>
      <c r="AA35" s="199">
        <f t="shared" si="0"/>
        <v>524</v>
      </c>
      <c r="AB35" s="200" t="s">
        <v>5</v>
      </c>
      <c r="AC35" s="188">
        <f t="shared" si="1"/>
        <v>0</v>
      </c>
      <c r="AD35" s="192"/>
      <c r="AE35" s="192"/>
      <c r="AF35" s="188"/>
      <c r="AG35" s="192"/>
      <c r="AH35" s="192"/>
      <c r="AI35" s="192"/>
      <c r="AJ35" s="192"/>
      <c r="AK35" s="192"/>
      <c r="AL35" s="192"/>
      <c r="AM35" s="192"/>
      <c r="AN35" s="192"/>
      <c r="AO35" s="192"/>
      <c r="AP35" s="192"/>
      <c r="AQ35" s="192"/>
      <c r="AR35" s="192"/>
      <c r="AS35" s="192"/>
      <c r="AT35" s="192"/>
      <c r="AU35" s="192"/>
      <c r="AV35" s="192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</row>
    <row r="36" spans="1:90" ht="19.5" customHeight="1" x14ac:dyDescent="0.35">
      <c r="A36" s="236">
        <v>46051</v>
      </c>
      <c r="B36" s="241" t="s">
        <v>134</v>
      </c>
      <c r="C36" s="240" t="s">
        <v>87</v>
      </c>
      <c r="D36" s="179"/>
      <c r="E36" s="240">
        <v>4833.1499999999996</v>
      </c>
      <c r="F36" s="201"/>
      <c r="G36" s="202"/>
      <c r="H36" s="202"/>
      <c r="I36" s="202"/>
      <c r="J36" s="202"/>
      <c r="K36" s="202">
        <f>+E36</f>
        <v>4833.1499999999996</v>
      </c>
      <c r="L36" s="202"/>
      <c r="M36" s="202"/>
      <c r="N36" s="202"/>
      <c r="O36" s="202"/>
      <c r="P36" s="202"/>
      <c r="Q36" s="202"/>
      <c r="R36" s="202"/>
      <c r="S36" s="202"/>
      <c r="T36" s="202"/>
      <c r="U36" s="202"/>
      <c r="V36" s="202"/>
      <c r="W36" s="202"/>
      <c r="X36" s="202"/>
      <c r="Y36" s="202"/>
      <c r="Z36" s="202"/>
      <c r="AA36" s="199">
        <f t="shared" si="0"/>
        <v>4833.1499999999996</v>
      </c>
      <c r="AB36" s="200" t="s">
        <v>5</v>
      </c>
      <c r="AC36" s="188">
        <f t="shared" si="1"/>
        <v>0</v>
      </c>
      <c r="AD36" s="192"/>
      <c r="AE36" s="192"/>
      <c r="AF36" s="188"/>
      <c r="AG36" s="192"/>
      <c r="AH36" s="192"/>
      <c r="AI36" s="192"/>
      <c r="AJ36" s="192"/>
      <c r="AK36" s="192"/>
      <c r="AL36" s="192"/>
      <c r="AM36" s="192"/>
      <c r="AN36" s="192"/>
      <c r="AO36" s="192"/>
      <c r="AP36" s="192"/>
      <c r="AQ36" s="192"/>
      <c r="AR36" s="192"/>
      <c r="AS36" s="192"/>
      <c r="AT36" s="192"/>
      <c r="AU36" s="192"/>
      <c r="AV36" s="192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</row>
    <row r="37" spans="1:90" ht="19.5" customHeight="1" x14ac:dyDescent="0.35">
      <c r="A37" s="236">
        <v>46051</v>
      </c>
      <c r="B37" s="241" t="s">
        <v>74</v>
      </c>
      <c r="C37" s="240" t="s">
        <v>88</v>
      </c>
      <c r="D37" s="179"/>
      <c r="E37" s="240">
        <v>7</v>
      </c>
      <c r="F37" s="201"/>
      <c r="G37" s="202"/>
      <c r="H37" s="202"/>
      <c r="I37" s="202">
        <f>+E37</f>
        <v>7</v>
      </c>
      <c r="J37" s="202"/>
      <c r="K37" s="202"/>
      <c r="L37" s="202"/>
      <c r="M37" s="202"/>
      <c r="N37" s="202"/>
      <c r="O37" s="202"/>
      <c r="P37" s="202"/>
      <c r="Q37" s="202"/>
      <c r="R37" s="202"/>
      <c r="S37" s="202"/>
      <c r="T37" s="202"/>
      <c r="U37" s="202"/>
      <c r="V37" s="202"/>
      <c r="W37" s="202"/>
      <c r="X37" s="202"/>
      <c r="Y37" s="202"/>
      <c r="Z37" s="202"/>
      <c r="AA37" s="199">
        <f t="shared" si="0"/>
        <v>7</v>
      </c>
      <c r="AB37" s="200" t="s">
        <v>5</v>
      </c>
      <c r="AC37" s="188">
        <f t="shared" si="1"/>
        <v>0</v>
      </c>
      <c r="AD37" s="192"/>
      <c r="AE37" s="192"/>
      <c r="AF37" s="188"/>
      <c r="AG37" s="192"/>
      <c r="AH37" s="192"/>
      <c r="AI37" s="192"/>
      <c r="AJ37" s="192"/>
      <c r="AK37" s="192"/>
      <c r="AL37" s="192"/>
      <c r="AM37" s="192"/>
      <c r="AN37" s="192"/>
      <c r="AO37" s="192"/>
      <c r="AP37" s="192"/>
      <c r="AQ37" s="192"/>
      <c r="AR37" s="192"/>
      <c r="AS37" s="192"/>
      <c r="AT37" s="192"/>
      <c r="AU37" s="192"/>
      <c r="AV37" s="192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</row>
    <row r="38" spans="1:90" ht="19.5" customHeight="1" x14ac:dyDescent="0.35">
      <c r="A38" s="236">
        <v>46051</v>
      </c>
      <c r="B38" s="301" t="s">
        <v>135</v>
      </c>
      <c r="C38" s="300" t="s">
        <v>95</v>
      </c>
      <c r="D38" s="179"/>
      <c r="E38" s="240">
        <v>2025</v>
      </c>
      <c r="F38" s="201"/>
      <c r="G38" s="202"/>
      <c r="H38" s="202"/>
      <c r="I38" s="202"/>
      <c r="J38" s="202"/>
      <c r="K38" s="202"/>
      <c r="L38" s="202">
        <f>+E38</f>
        <v>2025</v>
      </c>
      <c r="M38" s="202"/>
      <c r="N38" s="202"/>
      <c r="O38" s="202"/>
      <c r="P38" s="202"/>
      <c r="Q38" s="202"/>
      <c r="R38" s="202"/>
      <c r="S38" s="202"/>
      <c r="T38" s="202"/>
      <c r="U38" s="202"/>
      <c r="V38" s="202"/>
      <c r="W38" s="202"/>
      <c r="X38" s="202"/>
      <c r="Y38" s="202"/>
      <c r="Z38" s="202"/>
      <c r="AA38" s="199">
        <f t="shared" si="0"/>
        <v>2025</v>
      </c>
      <c r="AB38" s="200" t="s">
        <v>5</v>
      </c>
      <c r="AC38" s="188">
        <f t="shared" si="1"/>
        <v>0</v>
      </c>
      <c r="AD38" s="192"/>
      <c r="AE38" s="192"/>
      <c r="AF38" s="188"/>
      <c r="AG38" s="192"/>
      <c r="AH38" s="192"/>
      <c r="AI38" s="192"/>
      <c r="AJ38" s="192"/>
      <c r="AK38" s="192"/>
      <c r="AL38" s="192"/>
      <c r="AM38" s="192"/>
      <c r="AN38" s="192"/>
      <c r="AO38" s="192"/>
      <c r="AP38" s="192"/>
      <c r="AQ38" s="192"/>
      <c r="AR38" s="192"/>
      <c r="AS38" s="192"/>
      <c r="AT38" s="192"/>
      <c r="AU38" s="192"/>
      <c r="AV38" s="192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</row>
    <row r="39" spans="1:90" ht="19.5" customHeight="1" x14ac:dyDescent="0.35">
      <c r="A39" s="236">
        <v>46051</v>
      </c>
      <c r="B39" s="293" t="s">
        <v>136</v>
      </c>
      <c r="C39" s="300" t="s">
        <v>95</v>
      </c>
      <c r="D39" s="179"/>
      <c r="E39" s="240">
        <v>900</v>
      </c>
      <c r="F39" s="201"/>
      <c r="G39" s="202"/>
      <c r="H39" s="202"/>
      <c r="I39" s="202"/>
      <c r="J39" s="202"/>
      <c r="K39" s="202"/>
      <c r="L39" s="202">
        <f>+E39</f>
        <v>900</v>
      </c>
      <c r="M39" s="202"/>
      <c r="N39" s="202"/>
      <c r="O39" s="202"/>
      <c r="P39" s="202"/>
      <c r="Q39" s="202"/>
      <c r="R39" s="202"/>
      <c r="S39" s="202"/>
      <c r="T39" s="202"/>
      <c r="U39" s="202"/>
      <c r="V39" s="202"/>
      <c r="W39" s="202"/>
      <c r="X39" s="202"/>
      <c r="Y39" s="202"/>
      <c r="Z39" s="202"/>
      <c r="AA39" s="199">
        <f t="shared" si="0"/>
        <v>900</v>
      </c>
      <c r="AB39" s="200" t="s">
        <v>5</v>
      </c>
      <c r="AC39" s="188">
        <f t="shared" si="1"/>
        <v>0</v>
      </c>
      <c r="AD39" s="192"/>
      <c r="AE39" s="192"/>
      <c r="AF39" s="188"/>
      <c r="AG39" s="192"/>
      <c r="AH39" s="192"/>
      <c r="AI39" s="192"/>
      <c r="AJ39" s="192"/>
      <c r="AK39" s="192"/>
      <c r="AL39" s="192"/>
      <c r="AM39" s="192"/>
      <c r="AN39" s="192"/>
      <c r="AO39" s="192"/>
      <c r="AP39" s="192"/>
      <c r="AQ39" s="192"/>
      <c r="AR39" s="192"/>
      <c r="AS39" s="192"/>
      <c r="AT39" s="192"/>
      <c r="AU39" s="192"/>
      <c r="AV39" s="192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</row>
    <row r="40" spans="1:90" ht="19.5" customHeight="1" x14ac:dyDescent="0.35">
      <c r="A40" s="236">
        <v>46059</v>
      </c>
      <c r="B40" s="293" t="s">
        <v>157</v>
      </c>
      <c r="C40" s="300" t="s">
        <v>158</v>
      </c>
      <c r="D40" s="179"/>
      <c r="E40" s="240">
        <f>+'[9]Folha de salarios'!$AC$31</f>
        <v>3464.73</v>
      </c>
      <c r="F40" s="201"/>
      <c r="G40" s="202"/>
      <c r="H40" s="202">
        <f>+E40</f>
        <v>3464.73</v>
      </c>
      <c r="I40" s="202"/>
      <c r="J40" s="202"/>
      <c r="K40" s="202"/>
      <c r="L40" s="202"/>
      <c r="M40" s="202"/>
      <c r="N40" s="202"/>
      <c r="O40" s="202"/>
      <c r="P40" s="202"/>
      <c r="Q40" s="202"/>
      <c r="R40" s="202"/>
      <c r="S40" s="202"/>
      <c r="T40" s="202"/>
      <c r="U40" s="202"/>
      <c r="V40" s="202"/>
      <c r="W40" s="202"/>
      <c r="X40" s="202"/>
      <c r="Y40" s="202"/>
      <c r="Z40" s="202"/>
      <c r="AA40" s="199">
        <f t="shared" si="0"/>
        <v>3464.73</v>
      </c>
      <c r="AB40" s="200" t="s">
        <v>5</v>
      </c>
      <c r="AC40" s="188">
        <f t="shared" si="1"/>
        <v>0</v>
      </c>
      <c r="AD40" s="192"/>
      <c r="AE40" s="192"/>
      <c r="AF40" s="188"/>
      <c r="AG40" s="192"/>
      <c r="AH40" s="192"/>
      <c r="AI40" s="192"/>
      <c r="AJ40" s="192"/>
      <c r="AK40" s="192"/>
      <c r="AL40" s="192"/>
      <c r="AM40" s="192"/>
      <c r="AN40" s="192"/>
      <c r="AO40" s="192"/>
      <c r="AP40" s="192"/>
      <c r="AQ40" s="192"/>
      <c r="AR40" s="192"/>
      <c r="AS40" s="192"/>
      <c r="AT40" s="192"/>
      <c r="AU40" s="192"/>
      <c r="AV40" s="192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</row>
    <row r="41" spans="1:90" ht="19.5" customHeight="1" x14ac:dyDescent="0.35">
      <c r="A41" s="236"/>
      <c r="B41" s="241"/>
      <c r="C41" s="240"/>
      <c r="D41" s="179"/>
      <c r="E41" s="254"/>
      <c r="F41" s="201"/>
      <c r="G41" s="202"/>
      <c r="H41" s="202"/>
      <c r="I41" s="202"/>
      <c r="J41" s="202"/>
      <c r="K41" s="202"/>
      <c r="L41" s="202"/>
      <c r="M41" s="202"/>
      <c r="N41" s="202"/>
      <c r="O41" s="202"/>
      <c r="P41" s="202"/>
      <c r="Q41" s="202"/>
      <c r="R41" s="202"/>
      <c r="S41" s="202"/>
      <c r="T41" s="202"/>
      <c r="U41" s="202"/>
      <c r="V41" s="202"/>
      <c r="W41" s="202"/>
      <c r="X41" s="202"/>
      <c r="Y41" s="202"/>
      <c r="Z41" s="202"/>
      <c r="AA41" s="199">
        <f t="shared" si="0"/>
        <v>0</v>
      </c>
      <c r="AB41" s="200"/>
      <c r="AC41" s="188">
        <f t="shared" si="1"/>
        <v>0</v>
      </c>
      <c r="AD41" s="192"/>
      <c r="AE41" s="192"/>
      <c r="AF41" s="188"/>
      <c r="AG41" s="192"/>
      <c r="AH41" s="192"/>
      <c r="AI41" s="192"/>
      <c r="AJ41" s="192"/>
      <c r="AK41" s="192"/>
      <c r="AL41" s="192"/>
      <c r="AM41" s="192"/>
      <c r="AN41" s="192"/>
      <c r="AO41" s="192"/>
      <c r="AP41" s="192"/>
      <c r="AQ41" s="192"/>
      <c r="AR41" s="192"/>
      <c r="AS41" s="192"/>
      <c r="AT41" s="192"/>
      <c r="AU41" s="192"/>
      <c r="AV41" s="192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</row>
    <row r="42" spans="1:90" ht="19.5" customHeight="1" x14ac:dyDescent="0.35">
      <c r="A42" s="307">
        <v>46028</v>
      </c>
      <c r="B42" s="260" t="s">
        <v>139</v>
      </c>
      <c r="C42" s="306" t="s">
        <v>101</v>
      </c>
      <c r="D42" s="179"/>
      <c r="E42" s="250">
        <v>575</v>
      </c>
      <c r="F42" s="201"/>
      <c r="G42" s="202"/>
      <c r="H42" s="202"/>
      <c r="I42" s="202">
        <f>+E42</f>
        <v>575</v>
      </c>
      <c r="J42" s="202"/>
      <c r="K42" s="202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202"/>
      <c r="W42" s="202"/>
      <c r="X42" s="202"/>
      <c r="Y42" s="202"/>
      <c r="Z42" s="202"/>
      <c r="AA42" s="199">
        <f t="shared" si="0"/>
        <v>575</v>
      </c>
      <c r="AB42" s="200" t="s">
        <v>137</v>
      </c>
      <c r="AC42" s="188">
        <f t="shared" si="1"/>
        <v>0</v>
      </c>
      <c r="AD42" s="192"/>
      <c r="AE42" s="192"/>
      <c r="AF42" s="188"/>
      <c r="AG42" s="192"/>
      <c r="AH42" s="192"/>
      <c r="AI42" s="192"/>
      <c r="AJ42" s="192"/>
      <c r="AK42" s="192"/>
      <c r="AL42" s="192"/>
      <c r="AM42" s="192"/>
      <c r="AN42" s="192"/>
      <c r="AO42" s="192"/>
      <c r="AP42" s="192"/>
      <c r="AQ42" s="192"/>
      <c r="AR42" s="192"/>
      <c r="AS42" s="192"/>
      <c r="AT42" s="192"/>
      <c r="AU42" s="192"/>
      <c r="AV42" s="19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</row>
    <row r="43" spans="1:90" ht="19.5" customHeight="1" x14ac:dyDescent="0.35">
      <c r="A43" s="307">
        <v>46028</v>
      </c>
      <c r="B43" s="305" t="s">
        <v>85</v>
      </c>
      <c r="C43" s="306" t="s">
        <v>161</v>
      </c>
      <c r="D43" s="179"/>
      <c r="E43" s="250">
        <v>10000</v>
      </c>
      <c r="F43" s="201"/>
      <c r="G43" s="202"/>
      <c r="H43" s="202"/>
      <c r="I43" s="202"/>
      <c r="J43" s="202"/>
      <c r="K43" s="202"/>
      <c r="L43" s="202">
        <f>+E43</f>
        <v>10000</v>
      </c>
      <c r="M43" s="202"/>
      <c r="N43" s="202"/>
      <c r="O43" s="202"/>
      <c r="P43" s="202"/>
      <c r="Q43" s="202"/>
      <c r="R43" s="202"/>
      <c r="S43" s="202"/>
      <c r="T43" s="202"/>
      <c r="U43" s="202"/>
      <c r="V43" s="202"/>
      <c r="W43" s="202"/>
      <c r="X43" s="202"/>
      <c r="Y43" s="202"/>
      <c r="Z43" s="202"/>
      <c r="AA43" s="199">
        <f t="shared" si="0"/>
        <v>10000</v>
      </c>
      <c r="AB43" s="200" t="s">
        <v>137</v>
      </c>
      <c r="AC43" s="188">
        <f t="shared" si="1"/>
        <v>0</v>
      </c>
      <c r="AD43" s="192"/>
      <c r="AE43" s="192"/>
      <c r="AF43" s="188"/>
      <c r="AG43" s="192"/>
      <c r="AH43" s="192"/>
      <c r="AI43" s="192"/>
      <c r="AJ43" s="192"/>
      <c r="AK43" s="192"/>
      <c r="AL43" s="192"/>
      <c r="AM43" s="192"/>
      <c r="AN43" s="192"/>
      <c r="AO43" s="192"/>
      <c r="AP43" s="192"/>
      <c r="AQ43" s="192"/>
      <c r="AR43" s="192"/>
      <c r="AS43" s="192"/>
      <c r="AT43" s="192"/>
      <c r="AU43" s="192"/>
      <c r="AV43" s="192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</row>
    <row r="44" spans="1:90" ht="19.5" customHeight="1" x14ac:dyDescent="0.35">
      <c r="A44" s="307">
        <v>46036</v>
      </c>
      <c r="B44" s="308" t="s">
        <v>140</v>
      </c>
      <c r="C44" s="309" t="s">
        <v>141</v>
      </c>
      <c r="D44" s="179"/>
      <c r="E44" s="250">
        <v>1462.56</v>
      </c>
      <c r="F44" s="201"/>
      <c r="G44" s="202"/>
      <c r="H44" s="202"/>
      <c r="I44" s="202">
        <f>+E44</f>
        <v>1462.56</v>
      </c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  <c r="X44" s="202"/>
      <c r="Y44" s="202"/>
      <c r="Z44" s="202"/>
      <c r="AA44" s="199">
        <f t="shared" si="0"/>
        <v>1462.56</v>
      </c>
      <c r="AB44" s="200" t="s">
        <v>137</v>
      </c>
      <c r="AC44" s="188">
        <f t="shared" si="1"/>
        <v>0</v>
      </c>
      <c r="AD44" s="192"/>
      <c r="AE44" s="192"/>
      <c r="AF44" s="188"/>
      <c r="AG44" s="192"/>
      <c r="AH44" s="192"/>
      <c r="AI44" s="192"/>
      <c r="AJ44" s="192"/>
      <c r="AK44" s="192"/>
      <c r="AL44" s="192"/>
      <c r="AM44" s="192"/>
      <c r="AN44" s="192"/>
      <c r="AO44" s="192"/>
      <c r="AP44" s="192"/>
      <c r="AQ44" s="192"/>
      <c r="AR44" s="192"/>
      <c r="AS44" s="192"/>
      <c r="AT44" s="192"/>
      <c r="AU44" s="192"/>
      <c r="AV44" s="192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</row>
    <row r="45" spans="1:90" ht="19.5" customHeight="1" x14ac:dyDescent="0.35">
      <c r="A45" s="310">
        <v>46044</v>
      </c>
      <c r="B45" s="260" t="s">
        <v>142</v>
      </c>
      <c r="C45" s="306"/>
      <c r="D45" s="179"/>
      <c r="E45" s="251">
        <v>-10000</v>
      </c>
      <c r="F45" s="201"/>
      <c r="G45" s="202"/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>
        <f>+E45</f>
        <v>-10000</v>
      </c>
      <c r="AA45" s="199">
        <f t="shared" ref="AA45:AA73" si="2">SUM(F45:Z45)</f>
        <v>-10000</v>
      </c>
      <c r="AB45" s="200" t="s">
        <v>137</v>
      </c>
      <c r="AC45" s="188">
        <f t="shared" si="1"/>
        <v>0</v>
      </c>
      <c r="AD45" s="192"/>
      <c r="AE45" s="192"/>
      <c r="AF45" s="188"/>
      <c r="AG45" s="192"/>
      <c r="AH45" s="192"/>
      <c r="AI45" s="192"/>
      <c r="AJ45" s="192"/>
      <c r="AK45" s="192"/>
      <c r="AL45" s="192"/>
      <c r="AM45" s="192"/>
      <c r="AN45" s="192"/>
      <c r="AO45" s="192"/>
      <c r="AP45" s="192"/>
      <c r="AQ45" s="192"/>
      <c r="AR45" s="192"/>
      <c r="AS45" s="192"/>
      <c r="AT45" s="192"/>
      <c r="AU45" s="192"/>
      <c r="AV45" s="192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</row>
    <row r="46" spans="1:90" ht="19.5" customHeight="1" x14ac:dyDescent="0.35">
      <c r="A46" s="310">
        <v>46045</v>
      </c>
      <c r="B46" s="260" t="s">
        <v>143</v>
      </c>
      <c r="C46" s="306" t="s">
        <v>81</v>
      </c>
      <c r="D46" s="180"/>
      <c r="E46" s="251">
        <v>88</v>
      </c>
      <c r="F46" s="201"/>
      <c r="G46" s="202"/>
      <c r="H46" s="202"/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2"/>
      <c r="X46" s="202"/>
      <c r="Y46" s="180"/>
      <c r="Z46" s="181">
        <f>+E46</f>
        <v>88</v>
      </c>
      <c r="AA46" s="199">
        <f t="shared" si="2"/>
        <v>88</v>
      </c>
      <c r="AB46" s="200" t="s">
        <v>137</v>
      </c>
      <c r="AC46" s="188">
        <f t="shared" si="1"/>
        <v>0</v>
      </c>
      <c r="AD46" s="192"/>
      <c r="AE46" s="192"/>
      <c r="AF46" s="188"/>
      <c r="AG46" s="192"/>
      <c r="AH46" s="192"/>
      <c r="AI46" s="192"/>
      <c r="AJ46" s="192"/>
      <c r="AK46" s="192"/>
      <c r="AL46" s="192"/>
      <c r="AM46" s="192"/>
      <c r="AN46" s="192"/>
      <c r="AO46" s="192"/>
      <c r="AP46" s="192"/>
      <c r="AQ46" s="192"/>
      <c r="AR46" s="192"/>
      <c r="AS46" s="192"/>
      <c r="AT46" s="192"/>
      <c r="AU46" s="192"/>
      <c r="AV46" s="192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</row>
    <row r="47" spans="1:90" ht="19.5" customHeight="1" x14ac:dyDescent="0.35">
      <c r="A47" s="236"/>
      <c r="B47" s="240"/>
      <c r="C47" s="240"/>
      <c r="D47" s="179"/>
      <c r="E47" s="256"/>
      <c r="F47" s="201"/>
      <c r="G47" s="202"/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  <c r="AA47" s="199">
        <f t="shared" si="2"/>
        <v>0</v>
      </c>
      <c r="AB47" s="200"/>
      <c r="AC47" s="188">
        <f t="shared" si="1"/>
        <v>0</v>
      </c>
      <c r="AD47" s="192"/>
      <c r="AE47" s="192"/>
      <c r="AF47" s="188"/>
      <c r="AG47" s="192"/>
      <c r="AH47" s="192"/>
      <c r="AI47" s="192"/>
      <c r="AJ47" s="192"/>
      <c r="AK47" s="192"/>
      <c r="AL47" s="192"/>
      <c r="AM47" s="192"/>
      <c r="AN47" s="192"/>
      <c r="AO47" s="192"/>
      <c r="AP47" s="192"/>
      <c r="AQ47" s="192"/>
      <c r="AR47" s="192"/>
      <c r="AS47" s="192"/>
      <c r="AT47" s="192"/>
      <c r="AU47" s="192"/>
      <c r="AV47" s="192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</row>
    <row r="48" spans="1:90" ht="19.5" customHeight="1" x14ac:dyDescent="0.35">
      <c r="A48" s="259">
        <v>46029</v>
      </c>
      <c r="B48" s="260" t="s">
        <v>144</v>
      </c>
      <c r="C48" s="260" t="s">
        <v>127</v>
      </c>
      <c r="D48" s="179"/>
      <c r="E48" s="264">
        <v>8329</v>
      </c>
      <c r="F48" s="264"/>
      <c r="G48" s="202"/>
      <c r="H48" s="202"/>
      <c r="I48" s="202"/>
      <c r="J48" s="202"/>
      <c r="K48" s="202"/>
      <c r="L48" s="202">
        <f>+E48</f>
        <v>8329</v>
      </c>
      <c r="M48" s="202"/>
      <c r="N48" s="202"/>
      <c r="O48" s="202"/>
      <c r="P48" s="202"/>
      <c r="Q48" s="202"/>
      <c r="R48" s="202"/>
      <c r="S48" s="202"/>
      <c r="T48" s="202"/>
      <c r="U48" s="202"/>
      <c r="V48" s="202"/>
      <c r="W48" s="202"/>
      <c r="X48" s="202"/>
      <c r="Y48" s="202"/>
      <c r="Z48" s="202"/>
      <c r="AA48" s="199">
        <f t="shared" si="2"/>
        <v>8329</v>
      </c>
      <c r="AB48" s="200" t="s">
        <v>138</v>
      </c>
      <c r="AC48" s="188">
        <f t="shared" si="1"/>
        <v>0</v>
      </c>
      <c r="AD48" s="192"/>
      <c r="AE48" s="192"/>
      <c r="AF48" s="188"/>
      <c r="AG48" s="192"/>
      <c r="AH48" s="192"/>
      <c r="AI48" s="192"/>
      <c r="AJ48" s="192"/>
      <c r="AK48" s="192"/>
      <c r="AL48" s="192"/>
      <c r="AM48" s="192"/>
      <c r="AN48" s="192"/>
      <c r="AO48" s="192"/>
      <c r="AP48" s="192"/>
      <c r="AQ48" s="192"/>
      <c r="AR48" s="192"/>
      <c r="AS48" s="192"/>
      <c r="AT48" s="192"/>
      <c r="AU48" s="192"/>
      <c r="AV48" s="192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</row>
    <row r="49" spans="1:90" ht="19.5" customHeight="1" x14ac:dyDescent="0.35">
      <c r="A49" s="259">
        <v>46045</v>
      </c>
      <c r="B49" s="261" t="s">
        <v>145</v>
      </c>
      <c r="C49" s="261" t="s">
        <v>146</v>
      </c>
      <c r="D49" s="179"/>
      <c r="E49" s="264">
        <v>10208</v>
      </c>
      <c r="F49" s="264"/>
      <c r="G49" s="202"/>
      <c r="H49" s="202"/>
      <c r="I49" s="202"/>
      <c r="J49" s="202"/>
      <c r="K49" s="202"/>
      <c r="L49" s="202"/>
      <c r="M49" s="202"/>
      <c r="N49" s="202"/>
      <c r="O49" s="202"/>
      <c r="P49" s="202"/>
      <c r="Q49" s="202"/>
      <c r="R49" s="202"/>
      <c r="S49" s="202"/>
      <c r="T49" s="202"/>
      <c r="U49" s="202"/>
      <c r="V49" s="202"/>
      <c r="W49" s="202"/>
      <c r="X49" s="202">
        <f>+E49</f>
        <v>10208</v>
      </c>
      <c r="Y49" s="202"/>
      <c r="Z49" s="202"/>
      <c r="AA49" s="199">
        <f t="shared" si="2"/>
        <v>10208</v>
      </c>
      <c r="AB49" s="200" t="s">
        <v>138</v>
      </c>
      <c r="AC49" s="188">
        <f t="shared" si="1"/>
        <v>0</v>
      </c>
      <c r="AD49" s="192"/>
      <c r="AE49" s="192"/>
      <c r="AF49" s="188"/>
      <c r="AG49" s="192"/>
      <c r="AH49" s="192"/>
      <c r="AI49" s="192"/>
      <c r="AJ49" s="192"/>
      <c r="AK49" s="192"/>
      <c r="AL49" s="192"/>
      <c r="AM49" s="192"/>
      <c r="AN49" s="192"/>
      <c r="AO49" s="192"/>
      <c r="AP49" s="192"/>
      <c r="AQ49" s="192"/>
      <c r="AR49" s="192"/>
      <c r="AS49" s="192"/>
      <c r="AT49" s="192"/>
      <c r="AU49" s="192"/>
      <c r="AV49" s="192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</row>
    <row r="50" spans="1:90" ht="19.5" customHeight="1" x14ac:dyDescent="0.35">
      <c r="A50" s="259">
        <v>46045</v>
      </c>
      <c r="B50" s="260" t="s">
        <v>147</v>
      </c>
      <c r="C50" s="262" t="s">
        <v>81</v>
      </c>
      <c r="D50" s="179"/>
      <c r="E50" s="264">
        <v>-88</v>
      </c>
      <c r="F50" s="264"/>
      <c r="G50" s="202"/>
      <c r="H50" s="202"/>
      <c r="I50" s="202"/>
      <c r="J50" s="202"/>
      <c r="K50" s="202"/>
      <c r="L50" s="202"/>
      <c r="M50" s="202"/>
      <c r="N50" s="202"/>
      <c r="O50" s="202"/>
      <c r="P50" s="202"/>
      <c r="Q50" s="202"/>
      <c r="R50" s="202"/>
      <c r="S50" s="202"/>
      <c r="T50" s="202"/>
      <c r="U50" s="202"/>
      <c r="V50" s="202"/>
      <c r="W50" s="202"/>
      <c r="X50" s="202"/>
      <c r="Y50" s="202"/>
      <c r="Z50" s="202">
        <f>+E50</f>
        <v>-88</v>
      </c>
      <c r="AA50" s="199">
        <f t="shared" si="2"/>
        <v>-88</v>
      </c>
      <c r="AB50" s="200" t="s">
        <v>138</v>
      </c>
      <c r="AC50" s="188">
        <f t="shared" si="1"/>
        <v>0</v>
      </c>
      <c r="AD50" s="192"/>
      <c r="AE50" s="192"/>
      <c r="AF50" s="188"/>
      <c r="AG50" s="192"/>
      <c r="AH50" s="192"/>
      <c r="AI50" s="192"/>
      <c r="AJ50" s="192"/>
      <c r="AK50" s="192"/>
      <c r="AL50" s="192"/>
      <c r="AM50" s="192"/>
      <c r="AN50" s="192"/>
      <c r="AO50" s="192"/>
      <c r="AP50" s="192"/>
      <c r="AQ50" s="192"/>
      <c r="AR50" s="192"/>
      <c r="AS50" s="192"/>
      <c r="AT50" s="192"/>
      <c r="AU50" s="192"/>
      <c r="AV50" s="192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</row>
    <row r="51" spans="1:90" ht="19.5" customHeight="1" x14ac:dyDescent="0.35">
      <c r="A51" s="237"/>
      <c r="B51" s="241"/>
      <c r="C51" s="240"/>
      <c r="D51" s="179"/>
      <c r="E51" s="255"/>
      <c r="F51" s="201"/>
      <c r="G51" s="202"/>
      <c r="H51" s="202"/>
      <c r="I51" s="202"/>
      <c r="J51" s="202"/>
      <c r="K51" s="202"/>
      <c r="L51" s="202"/>
      <c r="M51" s="202"/>
      <c r="N51" s="202"/>
      <c r="O51" s="202"/>
      <c r="P51" s="202"/>
      <c r="Q51" s="202"/>
      <c r="R51" s="202"/>
      <c r="S51" s="202"/>
      <c r="T51" s="202"/>
      <c r="U51" s="202"/>
      <c r="V51" s="202"/>
      <c r="W51" s="202"/>
      <c r="X51" s="202"/>
      <c r="Y51" s="202"/>
      <c r="Z51" s="202"/>
      <c r="AA51" s="199">
        <f t="shared" si="2"/>
        <v>0</v>
      </c>
      <c r="AB51" s="200" t="s">
        <v>5</v>
      </c>
      <c r="AC51" s="188">
        <f t="shared" si="1"/>
        <v>0</v>
      </c>
      <c r="AD51" s="192"/>
      <c r="AE51" s="192"/>
      <c r="AF51" s="188"/>
      <c r="AG51" s="192"/>
      <c r="AH51" s="192"/>
      <c r="AI51" s="192"/>
      <c r="AJ51" s="192"/>
      <c r="AK51" s="192"/>
      <c r="AL51" s="192"/>
      <c r="AM51" s="192"/>
      <c r="AN51" s="192"/>
      <c r="AO51" s="192"/>
      <c r="AP51" s="192"/>
      <c r="AQ51" s="192"/>
      <c r="AR51" s="192"/>
      <c r="AS51" s="192"/>
      <c r="AT51" s="192"/>
      <c r="AU51" s="192"/>
      <c r="AV51" s="192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</row>
    <row r="52" spans="1:90" ht="19.5" customHeight="1" x14ac:dyDescent="0.35">
      <c r="A52" s="237"/>
      <c r="B52" s="241"/>
      <c r="C52" s="240"/>
      <c r="D52" s="179"/>
      <c r="E52" s="255"/>
      <c r="F52" s="201"/>
      <c r="G52" s="202"/>
      <c r="H52" s="202"/>
      <c r="I52" s="202"/>
      <c r="J52" s="202"/>
      <c r="K52" s="202"/>
      <c r="L52" s="202"/>
      <c r="M52" s="202"/>
      <c r="N52" s="202"/>
      <c r="O52" s="202"/>
      <c r="P52" s="202"/>
      <c r="Q52" s="202"/>
      <c r="R52" s="202"/>
      <c r="S52" s="202"/>
      <c r="T52" s="202"/>
      <c r="U52" s="202"/>
      <c r="V52" s="202"/>
      <c r="W52" s="202"/>
      <c r="X52" s="202"/>
      <c r="Y52" s="202"/>
      <c r="Z52" s="202"/>
      <c r="AA52" s="199">
        <f t="shared" si="2"/>
        <v>0</v>
      </c>
      <c r="AB52" s="200" t="s">
        <v>5</v>
      </c>
      <c r="AC52" s="188">
        <f t="shared" si="1"/>
        <v>0</v>
      </c>
      <c r="AD52" s="192"/>
      <c r="AE52" s="192"/>
      <c r="AF52" s="188"/>
      <c r="AG52" s="192"/>
      <c r="AH52" s="192"/>
      <c r="AI52" s="192"/>
      <c r="AJ52" s="192"/>
      <c r="AK52" s="192"/>
      <c r="AL52" s="192"/>
      <c r="AM52" s="192"/>
      <c r="AN52" s="192"/>
      <c r="AO52" s="192"/>
      <c r="AP52" s="192"/>
      <c r="AQ52" s="192"/>
      <c r="AR52" s="192"/>
      <c r="AS52" s="192"/>
      <c r="AT52" s="192"/>
      <c r="AU52" s="192"/>
      <c r="AV52" s="19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</row>
    <row r="53" spans="1:90" ht="19.5" customHeight="1" x14ac:dyDescent="0.35">
      <c r="A53" s="237"/>
      <c r="B53" s="240"/>
      <c r="C53" s="240"/>
      <c r="D53" s="179"/>
      <c r="E53" s="254"/>
      <c r="F53" s="201"/>
      <c r="G53" s="202"/>
      <c r="H53" s="202"/>
      <c r="I53" s="202"/>
      <c r="J53" s="202"/>
      <c r="K53" s="202"/>
      <c r="L53" s="202"/>
      <c r="M53" s="202"/>
      <c r="N53" s="202"/>
      <c r="O53" s="202"/>
      <c r="P53" s="202"/>
      <c r="Q53" s="202"/>
      <c r="R53" s="202"/>
      <c r="S53" s="202"/>
      <c r="T53" s="202"/>
      <c r="U53" s="202"/>
      <c r="V53" s="202"/>
      <c r="W53" s="202"/>
      <c r="X53" s="202"/>
      <c r="Y53" s="202"/>
      <c r="Z53" s="202"/>
      <c r="AA53" s="199">
        <f t="shared" si="2"/>
        <v>0</v>
      </c>
      <c r="AB53" s="200" t="s">
        <v>5</v>
      </c>
      <c r="AC53" s="188">
        <f t="shared" si="1"/>
        <v>0</v>
      </c>
      <c r="AD53" s="192"/>
      <c r="AE53" s="192"/>
      <c r="AF53" s="188"/>
      <c r="AG53" s="192"/>
      <c r="AH53" s="192"/>
      <c r="AI53" s="192"/>
      <c r="AJ53" s="192"/>
      <c r="AK53" s="192"/>
      <c r="AL53" s="192"/>
      <c r="AM53" s="192"/>
      <c r="AN53" s="192"/>
      <c r="AO53" s="192"/>
      <c r="AP53" s="192"/>
      <c r="AQ53" s="192"/>
      <c r="AR53" s="192"/>
      <c r="AS53" s="192"/>
      <c r="AT53" s="192"/>
      <c r="AU53" s="192"/>
      <c r="AV53" s="192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</row>
    <row r="54" spans="1:90" ht="19.5" customHeight="1" x14ac:dyDescent="0.35">
      <c r="A54" s="237"/>
      <c r="B54" s="241"/>
      <c r="C54" s="240"/>
      <c r="D54" s="179"/>
      <c r="E54" s="254"/>
      <c r="F54" s="201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  <c r="X54" s="202"/>
      <c r="Y54" s="202"/>
      <c r="Z54" s="202"/>
      <c r="AA54" s="199">
        <f t="shared" si="2"/>
        <v>0</v>
      </c>
      <c r="AB54" s="200" t="s">
        <v>5</v>
      </c>
      <c r="AC54" s="188">
        <f t="shared" si="1"/>
        <v>0</v>
      </c>
      <c r="AD54" s="192"/>
      <c r="AE54" s="192"/>
      <c r="AF54" s="188"/>
      <c r="AG54" s="192"/>
      <c r="AH54" s="192"/>
      <c r="AI54" s="192"/>
      <c r="AJ54" s="192"/>
      <c r="AK54" s="192"/>
      <c r="AL54" s="192"/>
      <c r="AM54" s="192"/>
      <c r="AN54" s="192"/>
      <c r="AO54" s="192"/>
      <c r="AP54" s="192"/>
      <c r="AQ54" s="192"/>
      <c r="AR54" s="192"/>
      <c r="AS54" s="192"/>
      <c r="AT54" s="192"/>
      <c r="AU54" s="192"/>
      <c r="AV54" s="192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</row>
    <row r="55" spans="1:90" ht="19.5" customHeight="1" x14ac:dyDescent="0.35">
      <c r="A55" s="237"/>
      <c r="B55" s="241"/>
      <c r="C55" s="240"/>
      <c r="D55" s="179"/>
      <c r="E55" s="254"/>
      <c r="F55" s="201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  <c r="X55" s="202"/>
      <c r="Y55" s="202"/>
      <c r="Z55" s="202"/>
      <c r="AA55" s="199">
        <f t="shared" si="2"/>
        <v>0</v>
      </c>
      <c r="AB55" s="200" t="s">
        <v>5</v>
      </c>
      <c r="AC55" s="188">
        <f t="shared" si="1"/>
        <v>0</v>
      </c>
      <c r="AD55" s="192"/>
      <c r="AE55" s="192"/>
      <c r="AF55" s="188"/>
      <c r="AG55" s="192"/>
      <c r="AH55" s="192"/>
      <c r="AI55" s="192"/>
      <c r="AJ55" s="192"/>
      <c r="AK55" s="192"/>
      <c r="AL55" s="192"/>
      <c r="AM55" s="192"/>
      <c r="AN55" s="192"/>
      <c r="AO55" s="192"/>
      <c r="AP55" s="192"/>
      <c r="AQ55" s="192"/>
      <c r="AR55" s="192"/>
      <c r="AS55" s="192"/>
      <c r="AT55" s="192"/>
      <c r="AU55" s="192"/>
      <c r="AV55" s="192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</row>
    <row r="56" spans="1:90" ht="19.5" customHeight="1" x14ac:dyDescent="0.35">
      <c r="A56" s="237"/>
      <c r="B56" s="240"/>
      <c r="C56" s="240"/>
      <c r="D56" s="179"/>
      <c r="E56" s="254"/>
      <c r="F56" s="201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199">
        <f t="shared" si="2"/>
        <v>0</v>
      </c>
      <c r="AB56" s="200" t="s">
        <v>5</v>
      </c>
      <c r="AC56" s="188">
        <f t="shared" si="1"/>
        <v>0</v>
      </c>
      <c r="AD56" s="192"/>
      <c r="AE56" s="192"/>
      <c r="AF56" s="188"/>
      <c r="AG56" s="192"/>
      <c r="AH56" s="192"/>
      <c r="AI56" s="192"/>
      <c r="AJ56" s="192"/>
      <c r="AK56" s="192"/>
      <c r="AL56" s="192"/>
      <c r="AM56" s="192"/>
      <c r="AN56" s="192"/>
      <c r="AO56" s="192"/>
      <c r="AP56" s="192"/>
      <c r="AQ56" s="192"/>
      <c r="AR56" s="192"/>
      <c r="AS56" s="192"/>
      <c r="AT56" s="192"/>
      <c r="AU56" s="192"/>
      <c r="AV56" s="192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</row>
    <row r="57" spans="1:90" ht="19.5" customHeight="1" x14ac:dyDescent="0.35">
      <c r="A57" s="237"/>
      <c r="B57" s="241"/>
      <c r="C57" s="240"/>
      <c r="D57" s="179"/>
      <c r="E57" s="254"/>
      <c r="F57" s="201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202"/>
      <c r="V57" s="202"/>
      <c r="W57" s="202"/>
      <c r="X57" s="202"/>
      <c r="Y57" s="202"/>
      <c r="Z57" s="202"/>
      <c r="AA57" s="199">
        <f t="shared" si="2"/>
        <v>0</v>
      </c>
      <c r="AB57" s="200" t="s">
        <v>5</v>
      </c>
      <c r="AC57" s="188">
        <f t="shared" si="1"/>
        <v>0</v>
      </c>
      <c r="AD57" s="192"/>
      <c r="AE57" s="192"/>
      <c r="AF57" s="188"/>
      <c r="AG57" s="192"/>
      <c r="AH57" s="192"/>
      <c r="AI57" s="192"/>
      <c r="AJ57" s="192"/>
      <c r="AK57" s="192"/>
      <c r="AL57" s="192"/>
      <c r="AM57" s="192"/>
      <c r="AN57" s="192"/>
      <c r="AO57" s="192"/>
      <c r="AP57" s="192"/>
      <c r="AQ57" s="192"/>
      <c r="AR57" s="192"/>
      <c r="AS57" s="192"/>
      <c r="AT57" s="192"/>
      <c r="AU57" s="192"/>
      <c r="AV57" s="192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</row>
    <row r="58" spans="1:90" ht="19.5" customHeight="1" x14ac:dyDescent="0.35">
      <c r="A58" s="237"/>
      <c r="B58" s="240"/>
      <c r="C58" s="242"/>
      <c r="D58" s="179"/>
      <c r="E58" s="254"/>
      <c r="F58" s="201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2"/>
      <c r="Z58" s="202"/>
      <c r="AA58" s="199">
        <f t="shared" si="2"/>
        <v>0</v>
      </c>
      <c r="AB58" s="200" t="s">
        <v>5</v>
      </c>
      <c r="AC58" s="188">
        <f t="shared" si="1"/>
        <v>0</v>
      </c>
      <c r="AD58" s="192"/>
      <c r="AE58" s="192"/>
      <c r="AF58" s="188"/>
      <c r="AG58" s="192"/>
      <c r="AH58" s="192"/>
      <c r="AI58" s="192"/>
      <c r="AJ58" s="192"/>
      <c r="AK58" s="192"/>
      <c r="AL58" s="192"/>
      <c r="AM58" s="192"/>
      <c r="AN58" s="192"/>
      <c r="AO58" s="192"/>
      <c r="AP58" s="192"/>
      <c r="AQ58" s="192"/>
      <c r="AR58" s="192"/>
      <c r="AS58" s="192"/>
      <c r="AT58" s="192"/>
      <c r="AU58" s="192"/>
      <c r="AV58" s="192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</row>
    <row r="59" spans="1:90" ht="19.5" customHeight="1" x14ac:dyDescent="0.35">
      <c r="A59" s="237"/>
      <c r="B59" s="240"/>
      <c r="C59" s="240"/>
      <c r="D59" s="179"/>
      <c r="E59" s="254"/>
      <c r="F59" s="201"/>
      <c r="G59" s="202"/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202"/>
      <c r="Z59" s="202"/>
      <c r="AA59" s="199">
        <f t="shared" si="2"/>
        <v>0</v>
      </c>
      <c r="AB59" s="200" t="s">
        <v>5</v>
      </c>
      <c r="AC59" s="188">
        <f t="shared" si="1"/>
        <v>0</v>
      </c>
      <c r="AD59" s="192"/>
      <c r="AE59" s="192"/>
      <c r="AF59" s="188"/>
      <c r="AG59" s="192"/>
      <c r="AH59" s="192"/>
      <c r="AI59" s="192"/>
      <c r="AJ59" s="192"/>
      <c r="AK59" s="192"/>
      <c r="AL59" s="192"/>
      <c r="AM59" s="192"/>
      <c r="AN59" s="192"/>
      <c r="AO59" s="192"/>
      <c r="AP59" s="192"/>
      <c r="AQ59" s="192"/>
      <c r="AR59" s="192"/>
      <c r="AS59" s="192"/>
      <c r="AT59" s="192"/>
      <c r="AU59" s="192"/>
      <c r="AV59" s="192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</row>
    <row r="60" spans="1:90" ht="19.5" customHeight="1" x14ac:dyDescent="0.35">
      <c r="A60" s="237"/>
      <c r="B60" s="240"/>
      <c r="C60" s="240"/>
      <c r="D60" s="179"/>
      <c r="E60" s="257"/>
      <c r="F60" s="201"/>
      <c r="G60" s="202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202"/>
      <c r="V60" s="202"/>
      <c r="W60" s="202"/>
      <c r="X60" s="202"/>
      <c r="Y60" s="202"/>
      <c r="Z60" s="202"/>
      <c r="AA60" s="199">
        <f t="shared" si="2"/>
        <v>0</v>
      </c>
      <c r="AB60" s="200" t="s">
        <v>5</v>
      </c>
      <c r="AC60" s="188">
        <f t="shared" si="1"/>
        <v>0</v>
      </c>
      <c r="AD60" s="204"/>
      <c r="AE60" s="204"/>
      <c r="AF60" s="203"/>
      <c r="AG60" s="204"/>
      <c r="AH60" s="204"/>
      <c r="AI60" s="204"/>
      <c r="AJ60" s="204"/>
      <c r="AK60" s="192"/>
      <c r="AL60" s="192"/>
      <c r="AM60" s="192"/>
      <c r="AN60" s="192"/>
      <c r="AO60" s="192"/>
      <c r="AP60" s="192"/>
      <c r="AQ60" s="192"/>
      <c r="AR60" s="192"/>
      <c r="AS60" s="192"/>
      <c r="AT60" s="192"/>
      <c r="AU60" s="192"/>
      <c r="AV60" s="192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</row>
    <row r="61" spans="1:90" ht="19.5" customHeight="1" x14ac:dyDescent="0.35">
      <c r="A61" s="237"/>
      <c r="B61" s="243"/>
      <c r="C61" s="243"/>
      <c r="D61" s="179"/>
      <c r="E61" s="253"/>
      <c r="F61" s="201"/>
      <c r="G61" s="202"/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202"/>
      <c r="V61" s="202"/>
      <c r="W61" s="202"/>
      <c r="X61" s="202"/>
      <c r="Y61" s="202"/>
      <c r="Z61" s="202"/>
      <c r="AA61" s="199">
        <f t="shared" si="2"/>
        <v>0</v>
      </c>
      <c r="AB61" s="200" t="s">
        <v>5</v>
      </c>
      <c r="AC61" s="188">
        <f t="shared" si="1"/>
        <v>0</v>
      </c>
      <c r="AD61" s="188"/>
      <c r="AE61" s="192"/>
      <c r="AF61" s="192"/>
      <c r="AG61" s="192"/>
      <c r="AH61" s="192"/>
      <c r="AI61" s="192"/>
      <c r="AJ61" s="192"/>
      <c r="AK61" s="192"/>
      <c r="AL61" s="192"/>
      <c r="AM61" s="192"/>
      <c r="AN61" s="192"/>
      <c r="AO61" s="192"/>
      <c r="AP61" s="192"/>
      <c r="AQ61" s="192"/>
      <c r="AR61" s="192"/>
      <c r="AS61" s="192"/>
      <c r="AT61" s="192"/>
      <c r="AU61" s="192"/>
      <c r="AV61" s="192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</row>
    <row r="62" spans="1:90" ht="19.5" customHeight="1" x14ac:dyDescent="0.35">
      <c r="A62" s="238"/>
      <c r="B62" s="243"/>
      <c r="C62" s="243"/>
      <c r="D62" s="179"/>
      <c r="E62" s="258"/>
      <c r="F62" s="201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202"/>
      <c r="V62" s="202"/>
      <c r="W62" s="202"/>
      <c r="X62" s="202"/>
      <c r="Y62" s="202"/>
      <c r="Z62" s="202"/>
      <c r="AA62" s="199">
        <f t="shared" si="2"/>
        <v>0</v>
      </c>
      <c r="AB62" s="200" t="s">
        <v>5</v>
      </c>
      <c r="AC62" s="188">
        <f t="shared" si="1"/>
        <v>0</v>
      </c>
      <c r="AD62" s="192"/>
      <c r="AE62" s="192"/>
      <c r="AF62" s="192"/>
      <c r="AG62" s="192"/>
      <c r="AH62" s="192"/>
      <c r="AI62" s="192"/>
      <c r="AJ62" s="192"/>
      <c r="AK62" s="192"/>
      <c r="AL62" s="192"/>
      <c r="AM62" s="192"/>
      <c r="AN62" s="192"/>
      <c r="AO62" s="192"/>
      <c r="AP62" s="192"/>
      <c r="AQ62" s="192"/>
      <c r="AR62" s="192"/>
      <c r="AS62" s="192"/>
      <c r="AT62" s="192"/>
      <c r="AU62" s="192"/>
      <c r="AV62" s="19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</row>
    <row r="63" spans="1:90" ht="19.5" customHeight="1" x14ac:dyDescent="0.35">
      <c r="A63" s="238"/>
      <c r="B63" s="243"/>
      <c r="C63" s="243"/>
      <c r="D63" s="179"/>
      <c r="E63" s="258"/>
      <c r="F63" s="201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202"/>
      <c r="V63" s="202"/>
      <c r="W63" s="202"/>
      <c r="X63" s="202"/>
      <c r="Y63" s="202"/>
      <c r="Z63" s="202"/>
      <c r="AA63" s="199">
        <f t="shared" si="2"/>
        <v>0</v>
      </c>
      <c r="AB63" s="200" t="s">
        <v>5</v>
      </c>
      <c r="AC63" s="188">
        <f t="shared" si="1"/>
        <v>0</v>
      </c>
      <c r="AD63" s="192"/>
      <c r="AE63" s="192"/>
      <c r="AF63" s="192"/>
      <c r="AG63" s="192"/>
      <c r="AH63" s="192"/>
      <c r="AI63" s="192"/>
      <c r="AJ63" s="192"/>
      <c r="AK63" s="192"/>
      <c r="AL63" s="192"/>
      <c r="AM63" s="192"/>
      <c r="AN63" s="192"/>
      <c r="AO63" s="192"/>
      <c r="AP63" s="192"/>
      <c r="AQ63" s="192"/>
      <c r="AR63" s="192"/>
      <c r="AS63" s="192"/>
      <c r="AT63" s="192"/>
      <c r="AU63" s="192"/>
      <c r="AV63" s="192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</row>
    <row r="64" spans="1:90" ht="19.5" customHeight="1" x14ac:dyDescent="0.35">
      <c r="A64" s="238"/>
      <c r="B64" s="243"/>
      <c r="C64" s="243"/>
      <c r="D64" s="179"/>
      <c r="E64" s="258"/>
      <c r="F64" s="201"/>
      <c r="G64" s="202"/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202"/>
      <c r="V64" s="202"/>
      <c r="W64" s="202"/>
      <c r="X64" s="202"/>
      <c r="Y64" s="202"/>
      <c r="Z64" s="202"/>
      <c r="AA64" s="199">
        <f t="shared" si="2"/>
        <v>0</v>
      </c>
      <c r="AB64" s="200" t="s">
        <v>5</v>
      </c>
      <c r="AC64" s="188">
        <f t="shared" si="1"/>
        <v>0</v>
      </c>
      <c r="AD64" s="192"/>
      <c r="AE64" s="192"/>
      <c r="AF64" s="192"/>
      <c r="AG64" s="192"/>
      <c r="AH64" s="192"/>
      <c r="AI64" s="192"/>
      <c r="AJ64" s="192"/>
      <c r="AK64" s="192"/>
      <c r="AL64" s="192"/>
      <c r="AM64" s="192"/>
      <c r="AN64" s="192"/>
      <c r="AO64" s="192"/>
      <c r="AP64" s="192"/>
      <c r="AQ64" s="192"/>
      <c r="AR64" s="192"/>
      <c r="AS64" s="192"/>
      <c r="AT64" s="192"/>
      <c r="AU64" s="192"/>
      <c r="AV64" s="192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</row>
    <row r="65" spans="1:90" ht="19.5" customHeight="1" x14ac:dyDescent="0.35">
      <c r="A65" s="238"/>
      <c r="B65" s="243"/>
      <c r="C65" s="243"/>
      <c r="D65" s="179"/>
      <c r="E65" s="258"/>
      <c r="F65" s="201"/>
      <c r="G65" s="202"/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2"/>
      <c r="X65" s="202"/>
      <c r="Y65" s="202"/>
      <c r="Z65" s="202"/>
      <c r="AA65" s="199">
        <f t="shared" si="2"/>
        <v>0</v>
      </c>
      <c r="AB65" s="200" t="s">
        <v>5</v>
      </c>
      <c r="AC65" s="188">
        <f t="shared" si="1"/>
        <v>0</v>
      </c>
      <c r="AD65" s="192"/>
      <c r="AE65" s="192"/>
      <c r="AF65" s="192"/>
      <c r="AG65" s="192"/>
      <c r="AH65" s="192"/>
      <c r="AI65" s="192"/>
      <c r="AJ65" s="192"/>
      <c r="AK65" s="192"/>
      <c r="AL65" s="192"/>
      <c r="AM65" s="192"/>
      <c r="AN65" s="192"/>
      <c r="AO65" s="192"/>
      <c r="AP65" s="192"/>
      <c r="AQ65" s="192"/>
      <c r="AR65" s="192"/>
      <c r="AS65" s="192"/>
      <c r="AT65" s="192"/>
      <c r="AU65" s="192"/>
      <c r="AV65" s="192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</row>
    <row r="66" spans="1:90" ht="19.5" customHeight="1" x14ac:dyDescent="0.35">
      <c r="A66" s="238"/>
      <c r="B66" s="243"/>
      <c r="C66" s="243"/>
      <c r="D66" s="179"/>
      <c r="E66" s="258"/>
      <c r="F66" s="201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  <c r="X66" s="202"/>
      <c r="Y66" s="202"/>
      <c r="Z66" s="202"/>
      <c r="AA66" s="199">
        <f t="shared" si="2"/>
        <v>0</v>
      </c>
      <c r="AB66" s="200" t="s">
        <v>5</v>
      </c>
      <c r="AC66" s="188">
        <f t="shared" si="1"/>
        <v>0</v>
      </c>
      <c r="AD66" s="188"/>
      <c r="AE66" s="192"/>
      <c r="AF66" s="192"/>
      <c r="AG66" s="192"/>
      <c r="AH66" s="192"/>
      <c r="AI66" s="192"/>
      <c r="AJ66" s="192"/>
      <c r="AK66" s="192"/>
      <c r="AL66" s="192"/>
      <c r="AM66" s="192"/>
      <c r="AN66" s="192"/>
      <c r="AO66" s="192"/>
      <c r="AP66" s="192"/>
      <c r="AQ66" s="192"/>
      <c r="AR66" s="192"/>
      <c r="AS66" s="192"/>
      <c r="AT66" s="192"/>
      <c r="AU66" s="192"/>
      <c r="AV66" s="192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</row>
    <row r="67" spans="1:90" ht="19.5" customHeight="1" x14ac:dyDescent="0.35">
      <c r="A67" s="238"/>
      <c r="B67" s="241"/>
      <c r="C67" s="240"/>
      <c r="D67" s="205"/>
      <c r="E67" s="258"/>
      <c r="F67" s="201"/>
      <c r="G67" s="202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202"/>
      <c r="V67" s="202"/>
      <c r="W67" s="202"/>
      <c r="X67" s="202"/>
      <c r="Y67" s="202"/>
      <c r="Z67" s="202"/>
      <c r="AA67" s="199">
        <f t="shared" si="2"/>
        <v>0</v>
      </c>
      <c r="AB67" s="200" t="s">
        <v>5</v>
      </c>
      <c r="AC67" s="188">
        <f t="shared" si="1"/>
        <v>0</v>
      </c>
      <c r="AD67" s="188"/>
      <c r="AE67" s="192"/>
      <c r="AF67" s="192"/>
      <c r="AG67" s="192"/>
      <c r="AH67" s="192"/>
      <c r="AI67" s="192"/>
      <c r="AJ67" s="192"/>
      <c r="AK67" s="192"/>
      <c r="AL67" s="192"/>
      <c r="AM67" s="192"/>
      <c r="AN67" s="192"/>
      <c r="AO67" s="192"/>
      <c r="AP67" s="192"/>
      <c r="AQ67" s="192"/>
      <c r="AR67" s="192"/>
      <c r="AS67" s="192"/>
      <c r="AT67" s="192"/>
      <c r="AU67" s="192"/>
      <c r="AV67" s="192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</row>
    <row r="68" spans="1:90" ht="19.5" customHeight="1" x14ac:dyDescent="0.35">
      <c r="A68" s="238"/>
      <c r="B68" s="243"/>
      <c r="C68" s="243"/>
      <c r="D68" s="205"/>
      <c r="E68" s="258"/>
      <c r="F68" s="201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  <c r="AA68" s="199">
        <f t="shared" si="2"/>
        <v>0</v>
      </c>
      <c r="AB68" s="200" t="s">
        <v>5</v>
      </c>
      <c r="AC68" s="188">
        <f t="shared" si="1"/>
        <v>0</v>
      </c>
      <c r="AD68" s="188"/>
      <c r="AE68" s="192"/>
      <c r="AF68" s="192"/>
      <c r="AG68" s="192"/>
      <c r="AH68" s="192"/>
      <c r="AI68" s="192"/>
      <c r="AJ68" s="192"/>
      <c r="AK68" s="192"/>
      <c r="AL68" s="192"/>
      <c r="AM68" s="192"/>
      <c r="AN68" s="192"/>
      <c r="AO68" s="192"/>
      <c r="AP68" s="192"/>
      <c r="AQ68" s="192"/>
      <c r="AR68" s="192"/>
      <c r="AS68" s="192"/>
      <c r="AT68" s="192"/>
      <c r="AU68" s="192"/>
      <c r="AV68" s="192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</row>
    <row r="69" spans="1:90" ht="19.5" customHeight="1" x14ac:dyDescent="0.35">
      <c r="A69" s="238"/>
      <c r="B69" s="243"/>
      <c r="C69" s="243"/>
      <c r="D69" s="205"/>
      <c r="E69" s="258"/>
      <c r="F69" s="201"/>
      <c r="G69" s="202"/>
      <c r="H69" s="20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202"/>
      <c r="V69" s="202"/>
      <c r="W69" s="202"/>
      <c r="X69" s="202"/>
      <c r="Y69" s="202"/>
      <c r="Z69" s="202"/>
      <c r="AA69" s="199">
        <f t="shared" si="2"/>
        <v>0</v>
      </c>
      <c r="AB69" s="200" t="s">
        <v>5</v>
      </c>
      <c r="AC69" s="188">
        <f t="shared" si="1"/>
        <v>0</v>
      </c>
      <c r="AD69" s="188"/>
      <c r="AE69" s="192"/>
      <c r="AF69" s="192"/>
      <c r="AG69" s="192"/>
      <c r="AH69" s="192"/>
      <c r="AI69" s="192"/>
      <c r="AJ69" s="192"/>
      <c r="AK69" s="192"/>
      <c r="AL69" s="192"/>
      <c r="AM69" s="192"/>
      <c r="AN69" s="192"/>
      <c r="AO69" s="192"/>
      <c r="AP69" s="192"/>
      <c r="AQ69" s="192"/>
      <c r="AR69" s="192"/>
      <c r="AS69" s="192"/>
      <c r="AT69" s="192"/>
      <c r="AU69" s="192"/>
      <c r="AV69" s="192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</row>
    <row r="70" spans="1:90" ht="19.5" customHeight="1" x14ac:dyDescent="0.35">
      <c r="A70" s="244"/>
      <c r="B70" s="246"/>
      <c r="C70" s="248"/>
      <c r="D70" s="205"/>
      <c r="E70" s="250"/>
      <c r="F70" s="201"/>
      <c r="G70" s="202"/>
      <c r="H70" s="202"/>
      <c r="I70" s="202"/>
      <c r="J70" s="202"/>
      <c r="K70" s="202"/>
      <c r="L70" s="202"/>
      <c r="M70" s="202"/>
      <c r="N70" s="202"/>
      <c r="O70" s="202"/>
      <c r="P70" s="202"/>
      <c r="Q70" s="202"/>
      <c r="R70" s="202"/>
      <c r="S70" s="202"/>
      <c r="T70" s="202"/>
      <c r="U70" s="202"/>
      <c r="V70" s="202"/>
      <c r="W70" s="202"/>
      <c r="X70" s="202"/>
      <c r="Y70" s="202"/>
      <c r="Z70" s="202"/>
      <c r="AA70" s="199">
        <f t="shared" si="2"/>
        <v>0</v>
      </c>
      <c r="AB70" s="200" t="s">
        <v>5</v>
      </c>
      <c r="AC70" s="188">
        <f t="shared" si="1"/>
        <v>0</v>
      </c>
      <c r="AD70" s="188"/>
      <c r="AE70" s="192"/>
      <c r="AF70" s="192"/>
      <c r="AG70" s="192"/>
      <c r="AH70" s="192"/>
      <c r="AI70" s="192"/>
      <c r="AJ70" s="192"/>
      <c r="AK70" s="192"/>
      <c r="AL70" s="192"/>
      <c r="AM70" s="192"/>
      <c r="AN70" s="192"/>
      <c r="AO70" s="192"/>
      <c r="AP70" s="192"/>
      <c r="AQ70" s="192"/>
      <c r="AR70" s="192"/>
      <c r="AS70" s="192"/>
      <c r="AT70" s="192"/>
      <c r="AU70" s="192"/>
      <c r="AV70" s="192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</row>
    <row r="71" spans="1:90" ht="19.5" customHeight="1" x14ac:dyDescent="0.35">
      <c r="A71" s="244"/>
      <c r="B71" s="246"/>
      <c r="C71" s="248"/>
      <c r="D71" s="205"/>
      <c r="E71" s="250"/>
      <c r="F71" s="201"/>
      <c r="G71" s="202"/>
      <c r="H71" s="202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02"/>
      <c r="T71" s="202"/>
      <c r="U71" s="202"/>
      <c r="V71" s="202"/>
      <c r="W71" s="202"/>
      <c r="X71" s="202"/>
      <c r="Y71" s="202"/>
      <c r="Z71" s="202"/>
      <c r="AA71" s="199">
        <f t="shared" si="2"/>
        <v>0</v>
      </c>
      <c r="AB71" s="200" t="s">
        <v>5</v>
      </c>
      <c r="AC71" s="188">
        <f t="shared" ref="AC71:AC73" si="3">+E71-AA71</f>
        <v>0</v>
      </c>
      <c r="AD71" s="188"/>
      <c r="AE71" s="192"/>
      <c r="AF71" s="192"/>
      <c r="AG71" s="192"/>
      <c r="AH71" s="192"/>
      <c r="AI71" s="192"/>
      <c r="AJ71" s="192"/>
      <c r="AK71" s="192"/>
      <c r="AL71" s="192"/>
      <c r="AM71" s="192"/>
      <c r="AN71" s="192"/>
      <c r="AO71" s="192"/>
      <c r="AP71" s="192"/>
      <c r="AQ71" s="192"/>
      <c r="AR71" s="192"/>
      <c r="AS71" s="192"/>
      <c r="AT71" s="192"/>
      <c r="AU71" s="192"/>
      <c r="AV71" s="192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</row>
    <row r="72" spans="1:90" ht="19.5" customHeight="1" x14ac:dyDescent="0.35">
      <c r="A72" s="245"/>
      <c r="B72" s="247"/>
      <c r="C72" s="249"/>
      <c r="D72" s="205"/>
      <c r="E72" s="251"/>
      <c r="F72" s="201"/>
      <c r="G72" s="202"/>
      <c r="H72" s="202"/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202"/>
      <c r="T72" s="202"/>
      <c r="U72" s="202"/>
      <c r="V72" s="202"/>
      <c r="W72" s="202"/>
      <c r="X72" s="202"/>
      <c r="Y72" s="202"/>
      <c r="Z72" s="202"/>
      <c r="AA72" s="199">
        <f t="shared" si="2"/>
        <v>0</v>
      </c>
      <c r="AB72" s="200" t="s">
        <v>5</v>
      </c>
      <c r="AC72" s="188">
        <f t="shared" si="3"/>
        <v>0</v>
      </c>
      <c r="AD72" s="188"/>
      <c r="AE72" s="192"/>
      <c r="AF72" s="192"/>
      <c r="AG72" s="192"/>
      <c r="AH72" s="192"/>
      <c r="AI72" s="192"/>
      <c r="AJ72" s="192"/>
      <c r="AK72" s="192"/>
      <c r="AL72" s="192"/>
      <c r="AM72" s="192"/>
      <c r="AN72" s="192"/>
      <c r="AO72" s="192"/>
      <c r="AP72" s="192"/>
      <c r="AQ72" s="192"/>
      <c r="AR72" s="192"/>
      <c r="AS72" s="192"/>
      <c r="AT72" s="192"/>
      <c r="AU72" s="192"/>
      <c r="AV72" s="19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</row>
    <row r="73" spans="1:90" ht="19.5" customHeight="1" x14ac:dyDescent="0.35">
      <c r="A73" s="245"/>
      <c r="B73" s="247"/>
      <c r="C73" s="249"/>
      <c r="D73" s="205"/>
      <c r="E73" s="251"/>
      <c r="F73" s="201"/>
      <c r="G73" s="202"/>
      <c r="H73" s="202"/>
      <c r="I73" s="202"/>
      <c r="J73" s="202"/>
      <c r="K73" s="202"/>
      <c r="L73" s="202"/>
      <c r="M73" s="202"/>
      <c r="N73" s="202"/>
      <c r="O73" s="202"/>
      <c r="P73" s="202"/>
      <c r="Q73" s="202"/>
      <c r="R73" s="202"/>
      <c r="S73" s="202"/>
      <c r="T73" s="202"/>
      <c r="U73" s="202"/>
      <c r="V73" s="202"/>
      <c r="W73" s="202"/>
      <c r="X73" s="202"/>
      <c r="Y73" s="202"/>
      <c r="Z73" s="202"/>
      <c r="AA73" s="199">
        <f t="shared" si="2"/>
        <v>0</v>
      </c>
      <c r="AB73" s="200" t="s">
        <v>5</v>
      </c>
      <c r="AC73" s="188">
        <f t="shared" si="3"/>
        <v>0</v>
      </c>
      <c r="AD73" s="188"/>
      <c r="AE73" s="192"/>
      <c r="AF73" s="192"/>
      <c r="AG73" s="192"/>
      <c r="AH73" s="192"/>
      <c r="AI73" s="192"/>
      <c r="AJ73" s="192"/>
      <c r="AK73" s="192"/>
      <c r="AL73" s="192"/>
      <c r="AM73" s="192"/>
      <c r="AN73" s="192"/>
      <c r="AO73" s="192"/>
      <c r="AP73" s="192"/>
      <c r="AQ73" s="192"/>
      <c r="AR73" s="192"/>
      <c r="AS73" s="192"/>
      <c r="AT73" s="192"/>
      <c r="AU73" s="192"/>
      <c r="AV73" s="192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</row>
    <row r="74" spans="1:90" ht="19.5" customHeight="1" x14ac:dyDescent="0.35">
      <c r="A74" s="245"/>
      <c r="B74" s="247"/>
      <c r="C74" s="249"/>
      <c r="D74" s="205"/>
      <c r="E74" s="251"/>
      <c r="F74" s="201"/>
      <c r="G74" s="202"/>
      <c r="H74" s="202"/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202"/>
      <c r="T74" s="202"/>
      <c r="U74" s="202"/>
      <c r="V74" s="202"/>
      <c r="W74" s="202"/>
      <c r="X74" s="202"/>
      <c r="Y74" s="202"/>
      <c r="Z74" s="202"/>
      <c r="AA74" s="199">
        <f t="shared" ref="AA74:AA82" si="4">SUM(F74:Z74)</f>
        <v>0</v>
      </c>
      <c r="AB74" s="200" t="s">
        <v>5</v>
      </c>
      <c r="AC74" s="188">
        <f t="shared" ref="AC74:AC82" si="5">+E74-AA74</f>
        <v>0</v>
      </c>
      <c r="AD74" s="188"/>
      <c r="AE74" s="192"/>
      <c r="AF74" s="192"/>
      <c r="AG74" s="192"/>
      <c r="AH74" s="192"/>
      <c r="AI74" s="192"/>
      <c r="AJ74" s="192"/>
      <c r="AK74" s="192"/>
      <c r="AL74" s="192"/>
      <c r="AM74" s="192"/>
      <c r="AN74" s="192"/>
      <c r="AO74" s="192"/>
      <c r="AP74" s="192"/>
      <c r="AQ74" s="192"/>
      <c r="AR74" s="192"/>
      <c r="AS74" s="192"/>
      <c r="AT74" s="192"/>
      <c r="AU74" s="192"/>
      <c r="AV74" s="192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</row>
    <row r="75" spans="1:90" ht="19.5" customHeight="1" x14ac:dyDescent="0.35">
      <c r="A75" s="245"/>
      <c r="B75" s="247"/>
      <c r="C75" s="249"/>
      <c r="D75" s="205"/>
      <c r="E75" s="251"/>
      <c r="F75" s="201"/>
      <c r="G75" s="202"/>
      <c r="H75" s="202"/>
      <c r="I75" s="202"/>
      <c r="J75" s="202"/>
      <c r="K75" s="202"/>
      <c r="L75" s="202"/>
      <c r="M75" s="202"/>
      <c r="N75" s="202"/>
      <c r="O75" s="202"/>
      <c r="P75" s="202"/>
      <c r="Q75" s="202"/>
      <c r="R75" s="202"/>
      <c r="S75" s="202"/>
      <c r="T75" s="202"/>
      <c r="U75" s="202"/>
      <c r="V75" s="202"/>
      <c r="W75" s="202"/>
      <c r="X75" s="202"/>
      <c r="Y75" s="202"/>
      <c r="Z75" s="202"/>
      <c r="AA75" s="199">
        <f t="shared" si="4"/>
        <v>0</v>
      </c>
      <c r="AB75" s="200" t="s">
        <v>5</v>
      </c>
      <c r="AC75" s="188">
        <f t="shared" si="5"/>
        <v>0</v>
      </c>
      <c r="AD75" s="188"/>
      <c r="AE75" s="192"/>
      <c r="AF75" s="192"/>
      <c r="AG75" s="192"/>
      <c r="AH75" s="192"/>
      <c r="AI75" s="192"/>
      <c r="AJ75" s="192"/>
      <c r="AK75" s="192"/>
      <c r="AL75" s="192"/>
      <c r="AM75" s="192"/>
      <c r="AN75" s="192"/>
      <c r="AO75" s="192"/>
      <c r="AP75" s="192"/>
      <c r="AQ75" s="192"/>
      <c r="AR75" s="192"/>
      <c r="AS75" s="192"/>
      <c r="AT75" s="192"/>
      <c r="AU75" s="192"/>
      <c r="AV75" s="192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</row>
    <row r="76" spans="1:90" ht="19.5" customHeight="1" x14ac:dyDescent="0.35">
      <c r="A76" s="245"/>
      <c r="B76" s="247"/>
      <c r="C76" s="249"/>
      <c r="D76" s="205"/>
      <c r="E76" s="251"/>
      <c r="F76" s="201"/>
      <c r="G76" s="202"/>
      <c r="H76" s="202"/>
      <c r="I76" s="202"/>
      <c r="J76" s="202"/>
      <c r="K76" s="202"/>
      <c r="L76" s="202"/>
      <c r="M76" s="202"/>
      <c r="N76" s="202"/>
      <c r="O76" s="202"/>
      <c r="P76" s="202"/>
      <c r="Q76" s="202"/>
      <c r="R76" s="202"/>
      <c r="S76" s="202"/>
      <c r="T76" s="202"/>
      <c r="U76" s="202"/>
      <c r="V76" s="202"/>
      <c r="W76" s="202"/>
      <c r="X76" s="202"/>
      <c r="Y76" s="202"/>
      <c r="Z76" s="202"/>
      <c r="AA76" s="199">
        <f t="shared" si="4"/>
        <v>0</v>
      </c>
      <c r="AB76" s="200" t="s">
        <v>5</v>
      </c>
      <c r="AC76" s="188">
        <f t="shared" si="5"/>
        <v>0</v>
      </c>
      <c r="AD76" s="188"/>
      <c r="AE76" s="192"/>
      <c r="AF76" s="192"/>
      <c r="AG76" s="192"/>
      <c r="AH76" s="192"/>
      <c r="AI76" s="192"/>
      <c r="AJ76" s="192"/>
      <c r="AK76" s="192"/>
      <c r="AL76" s="192"/>
      <c r="AM76" s="192"/>
      <c r="AN76" s="192"/>
      <c r="AO76" s="192"/>
      <c r="AP76" s="192"/>
      <c r="AQ76" s="192"/>
      <c r="AR76" s="192"/>
      <c r="AS76" s="192"/>
      <c r="AT76" s="192"/>
      <c r="AU76" s="192"/>
      <c r="AV76" s="192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</row>
    <row r="77" spans="1:90" ht="19.5" customHeight="1" x14ac:dyDescent="0.35">
      <c r="A77" s="259"/>
      <c r="B77" s="260"/>
      <c r="C77" s="261"/>
      <c r="D77" s="205"/>
      <c r="E77" s="264"/>
      <c r="F77" s="201"/>
      <c r="G77" s="202"/>
      <c r="H77" s="202"/>
      <c r="I77" s="202"/>
      <c r="J77" s="202"/>
      <c r="K77" s="202"/>
      <c r="L77" s="202"/>
      <c r="M77" s="202"/>
      <c r="N77" s="202"/>
      <c r="O77" s="202"/>
      <c r="P77" s="202"/>
      <c r="Q77" s="202"/>
      <c r="R77" s="202">
        <f>+E77</f>
        <v>0</v>
      </c>
      <c r="S77" s="202"/>
      <c r="T77" s="202"/>
      <c r="U77" s="202"/>
      <c r="V77" s="202"/>
      <c r="W77" s="202"/>
      <c r="X77" s="202"/>
      <c r="Y77" s="202"/>
      <c r="Z77" s="202"/>
      <c r="AA77" s="199">
        <f t="shared" si="4"/>
        <v>0</v>
      </c>
      <c r="AB77" s="200" t="s">
        <v>5</v>
      </c>
      <c r="AC77" s="188">
        <f t="shared" si="5"/>
        <v>0</v>
      </c>
      <c r="AD77" s="188"/>
      <c r="AE77" s="192"/>
      <c r="AF77" s="192"/>
      <c r="AG77" s="192"/>
      <c r="AH77" s="192"/>
      <c r="AI77" s="192"/>
      <c r="AJ77" s="192"/>
      <c r="AK77" s="192"/>
      <c r="AL77" s="192"/>
      <c r="AM77" s="192"/>
      <c r="AN77" s="192"/>
      <c r="AO77" s="192"/>
      <c r="AP77" s="192"/>
      <c r="AQ77" s="192"/>
      <c r="AR77" s="192"/>
      <c r="AS77" s="192"/>
      <c r="AT77" s="192"/>
      <c r="AU77" s="192"/>
      <c r="AV77" s="192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</row>
    <row r="78" spans="1:90" ht="19.5" customHeight="1" x14ac:dyDescent="0.35">
      <c r="A78" s="259"/>
      <c r="B78" s="260"/>
      <c r="C78" s="260"/>
      <c r="D78" s="205"/>
      <c r="E78" s="264"/>
      <c r="F78" s="201"/>
      <c r="G78" s="202"/>
      <c r="H78" s="202"/>
      <c r="I78" s="202"/>
      <c r="J78" s="202"/>
      <c r="K78" s="202"/>
      <c r="L78" s="202"/>
      <c r="M78" s="202"/>
      <c r="N78" s="202"/>
      <c r="O78" s="202"/>
      <c r="P78" s="202"/>
      <c r="Q78" s="202"/>
      <c r="R78" s="202"/>
      <c r="S78" s="202"/>
      <c r="T78" s="202"/>
      <c r="U78" s="202"/>
      <c r="V78" s="202"/>
      <c r="W78" s="202"/>
      <c r="X78" s="202"/>
      <c r="Y78" s="202"/>
      <c r="Z78" s="202"/>
      <c r="AA78" s="199">
        <f t="shared" si="4"/>
        <v>0</v>
      </c>
      <c r="AB78" s="200" t="s">
        <v>5</v>
      </c>
      <c r="AC78" s="188">
        <f t="shared" si="5"/>
        <v>0</v>
      </c>
      <c r="AD78" s="188"/>
      <c r="AE78" s="192"/>
      <c r="AF78" s="192"/>
      <c r="AG78" s="192"/>
      <c r="AH78" s="192"/>
      <c r="AI78" s="192"/>
      <c r="AJ78" s="192"/>
      <c r="AK78" s="192"/>
      <c r="AL78" s="192"/>
      <c r="AM78" s="192"/>
      <c r="AN78" s="192"/>
      <c r="AO78" s="192"/>
      <c r="AP78" s="192"/>
      <c r="AQ78" s="192"/>
      <c r="AR78" s="192"/>
      <c r="AS78" s="192"/>
      <c r="AT78" s="192"/>
      <c r="AU78" s="192"/>
      <c r="AV78" s="192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</row>
    <row r="79" spans="1:90" ht="19.5" customHeight="1" x14ac:dyDescent="0.35">
      <c r="A79" s="259"/>
      <c r="B79" s="261"/>
      <c r="C79" s="261"/>
      <c r="D79" s="205"/>
      <c r="E79" s="264"/>
      <c r="F79" s="201"/>
      <c r="G79" s="202"/>
      <c r="H79" s="202"/>
      <c r="I79" s="202"/>
      <c r="J79" s="202"/>
      <c r="K79" s="202"/>
      <c r="L79" s="202"/>
      <c r="M79" s="202"/>
      <c r="N79" s="202"/>
      <c r="O79" s="202"/>
      <c r="P79" s="202"/>
      <c r="Q79" s="202"/>
      <c r="R79" s="202"/>
      <c r="S79" s="202"/>
      <c r="T79" s="202"/>
      <c r="U79" s="202"/>
      <c r="V79" s="202"/>
      <c r="W79" s="202"/>
      <c r="X79" s="202"/>
      <c r="Y79" s="202"/>
      <c r="Z79" s="202"/>
      <c r="AA79" s="199">
        <f t="shared" si="4"/>
        <v>0</v>
      </c>
      <c r="AB79" s="200" t="s">
        <v>5</v>
      </c>
      <c r="AC79" s="188">
        <f t="shared" si="5"/>
        <v>0</v>
      </c>
      <c r="AD79" s="188"/>
      <c r="AE79" s="192"/>
      <c r="AF79" s="192"/>
      <c r="AG79" s="192"/>
      <c r="AH79" s="192"/>
      <c r="AI79" s="192"/>
      <c r="AJ79" s="192"/>
      <c r="AK79" s="192"/>
      <c r="AL79" s="192"/>
      <c r="AM79" s="192"/>
      <c r="AN79" s="192"/>
      <c r="AO79" s="192"/>
      <c r="AP79" s="192"/>
      <c r="AQ79" s="192"/>
      <c r="AR79" s="192"/>
      <c r="AS79" s="192"/>
      <c r="AT79" s="192"/>
      <c r="AU79" s="192"/>
      <c r="AV79" s="192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</row>
    <row r="80" spans="1:90" ht="19.5" customHeight="1" x14ac:dyDescent="0.35">
      <c r="A80" s="259"/>
      <c r="B80" s="260"/>
      <c r="C80" s="262"/>
      <c r="D80" s="205"/>
      <c r="E80" s="264"/>
      <c r="F80" s="201"/>
      <c r="G80" s="202"/>
      <c r="H80" s="202"/>
      <c r="I80" s="202"/>
      <c r="J80" s="202"/>
      <c r="K80" s="202"/>
      <c r="L80" s="202"/>
      <c r="M80" s="202"/>
      <c r="N80" s="202"/>
      <c r="O80" s="202"/>
      <c r="P80" s="202"/>
      <c r="Q80" s="202"/>
      <c r="R80" s="202"/>
      <c r="S80" s="202"/>
      <c r="T80" s="202"/>
      <c r="U80" s="202"/>
      <c r="V80" s="202"/>
      <c r="W80" s="202"/>
      <c r="X80" s="202"/>
      <c r="Y80" s="202"/>
      <c r="Z80" s="202"/>
      <c r="AA80" s="199">
        <f t="shared" si="4"/>
        <v>0</v>
      </c>
      <c r="AB80" s="200" t="s">
        <v>5</v>
      </c>
      <c r="AC80" s="188">
        <f t="shared" si="5"/>
        <v>0</v>
      </c>
      <c r="AD80" s="188"/>
      <c r="AE80" s="192"/>
      <c r="AF80" s="192"/>
      <c r="AG80" s="192"/>
      <c r="AH80" s="192"/>
      <c r="AI80" s="192"/>
      <c r="AJ80" s="192"/>
      <c r="AK80" s="192"/>
      <c r="AL80" s="192"/>
      <c r="AM80" s="192"/>
      <c r="AN80" s="192"/>
      <c r="AO80" s="192"/>
      <c r="AP80" s="192"/>
      <c r="AQ80" s="192"/>
      <c r="AR80" s="192"/>
      <c r="AS80" s="192"/>
      <c r="AT80" s="192"/>
      <c r="AU80" s="192"/>
      <c r="AV80" s="192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</row>
    <row r="81" spans="1:90" ht="19.5" customHeight="1" x14ac:dyDescent="0.35">
      <c r="A81" s="259"/>
      <c r="B81" s="263"/>
      <c r="C81" s="262"/>
      <c r="D81" s="205"/>
      <c r="E81" s="264"/>
      <c r="F81" s="201"/>
      <c r="G81" s="202"/>
      <c r="H81" s="202"/>
      <c r="I81" s="202"/>
      <c r="J81" s="202"/>
      <c r="K81" s="202"/>
      <c r="L81" s="202"/>
      <c r="M81" s="202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  <c r="Y81" s="202"/>
      <c r="Z81" s="202"/>
      <c r="AA81" s="199">
        <f t="shared" si="4"/>
        <v>0</v>
      </c>
      <c r="AB81" s="200" t="s">
        <v>5</v>
      </c>
      <c r="AC81" s="188">
        <f t="shared" si="5"/>
        <v>0</v>
      </c>
      <c r="AD81" s="188"/>
      <c r="AE81" s="192"/>
      <c r="AF81" s="192"/>
      <c r="AG81" s="192"/>
      <c r="AH81" s="192"/>
      <c r="AI81" s="192"/>
      <c r="AJ81" s="192"/>
      <c r="AK81" s="192"/>
      <c r="AL81" s="192"/>
      <c r="AM81" s="192"/>
      <c r="AN81" s="192"/>
      <c r="AO81" s="192"/>
      <c r="AP81" s="192"/>
      <c r="AQ81" s="192"/>
      <c r="AR81" s="192"/>
      <c r="AS81" s="192"/>
      <c r="AT81" s="192"/>
      <c r="AU81" s="192"/>
      <c r="AV81" s="192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</row>
    <row r="82" spans="1:90" ht="19.5" customHeight="1" x14ac:dyDescent="0.35">
      <c r="A82" s="238"/>
      <c r="B82" s="243"/>
      <c r="C82" s="243"/>
      <c r="D82" s="205"/>
      <c r="E82" s="206"/>
      <c r="F82" s="201"/>
      <c r="G82" s="202"/>
      <c r="H82" s="202"/>
      <c r="I82" s="202"/>
      <c r="J82" s="202"/>
      <c r="K82" s="202"/>
      <c r="L82" s="202"/>
      <c r="M82" s="202"/>
      <c r="N82" s="202"/>
      <c r="O82" s="202"/>
      <c r="P82" s="202"/>
      <c r="Q82" s="202"/>
      <c r="R82" s="202"/>
      <c r="S82" s="202"/>
      <c r="T82" s="202"/>
      <c r="U82" s="202"/>
      <c r="V82" s="202"/>
      <c r="W82" s="202"/>
      <c r="X82" s="202"/>
      <c r="Y82" s="202"/>
      <c r="Z82" s="202"/>
      <c r="AA82" s="199">
        <f t="shared" si="4"/>
        <v>0</v>
      </c>
      <c r="AB82" s="200" t="s">
        <v>5</v>
      </c>
      <c r="AC82" s="188">
        <f t="shared" si="5"/>
        <v>0</v>
      </c>
      <c r="AD82" s="188"/>
      <c r="AE82" s="192"/>
      <c r="AF82" s="192"/>
      <c r="AG82" s="192"/>
      <c r="AH82" s="192"/>
      <c r="AI82" s="192"/>
      <c r="AJ82" s="192"/>
      <c r="AK82" s="192"/>
      <c r="AL82" s="192"/>
      <c r="AM82" s="192"/>
      <c r="AN82" s="192"/>
      <c r="AO82" s="192"/>
      <c r="AP82" s="192"/>
      <c r="AQ82" s="192"/>
      <c r="AR82" s="192"/>
      <c r="AS82" s="192"/>
      <c r="AT82" s="192"/>
      <c r="AU82" s="192"/>
      <c r="AV82" s="19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</row>
    <row r="83" spans="1:90" ht="19.5" customHeight="1" x14ac:dyDescent="0.35">
      <c r="A83" s="207"/>
      <c r="B83" s="208"/>
      <c r="C83" s="209"/>
      <c r="D83" s="210"/>
      <c r="E83" s="210"/>
      <c r="F83" s="211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  <c r="AA83" s="210"/>
      <c r="AB83" s="200"/>
      <c r="AC83" s="188">
        <f t="shared" ref="AC83:AC96" si="6">+E83-AA83</f>
        <v>0</v>
      </c>
      <c r="AD83" s="192"/>
      <c r="AE83" s="192"/>
      <c r="AF83" s="192"/>
      <c r="AG83" s="192"/>
      <c r="AH83" s="192"/>
      <c r="AI83" s="192"/>
      <c r="AJ83" s="192"/>
      <c r="AK83" s="192"/>
      <c r="AL83" s="192"/>
      <c r="AM83" s="192"/>
      <c r="AN83" s="192"/>
      <c r="AO83" s="192"/>
      <c r="AP83" s="192"/>
      <c r="AQ83" s="192"/>
      <c r="AR83" s="192"/>
      <c r="AS83" s="192"/>
      <c r="AT83" s="192"/>
      <c r="AU83" s="192"/>
      <c r="AV83" s="192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</row>
    <row r="84" spans="1:90" ht="19.5" customHeight="1" x14ac:dyDescent="0.35">
      <c r="A84" s="295">
        <v>46023</v>
      </c>
      <c r="B84" s="266" t="s">
        <v>4</v>
      </c>
      <c r="C84" s="266" t="s">
        <v>148</v>
      </c>
      <c r="D84" s="267"/>
      <c r="E84" s="268">
        <v>3000</v>
      </c>
      <c r="F84" s="212"/>
      <c r="G84" s="202"/>
      <c r="H84" s="202"/>
      <c r="I84" s="202">
        <f>+E84</f>
        <v>3000</v>
      </c>
      <c r="J84" s="202"/>
      <c r="K84" s="202"/>
      <c r="L84" s="202"/>
      <c r="M84" s="202"/>
      <c r="N84" s="202"/>
      <c r="O84" s="202"/>
      <c r="P84" s="202"/>
      <c r="Q84" s="202"/>
      <c r="R84" s="202"/>
      <c r="S84" s="202"/>
      <c r="T84" s="202"/>
      <c r="U84" s="202"/>
      <c r="V84" s="202"/>
      <c r="W84" s="202"/>
      <c r="X84" s="202"/>
      <c r="Y84" s="202"/>
      <c r="Z84" s="202"/>
      <c r="AA84" s="199">
        <f t="shared" ref="AA84:AA103" si="7">SUM(F84:Z84)</f>
        <v>3000</v>
      </c>
      <c r="AB84" s="200" t="s">
        <v>15</v>
      </c>
      <c r="AC84" s="188">
        <f t="shared" si="6"/>
        <v>0</v>
      </c>
      <c r="AD84" s="192"/>
      <c r="AE84" s="192"/>
      <c r="AF84" s="192"/>
      <c r="AG84" s="192"/>
      <c r="AH84" s="192"/>
      <c r="AI84" s="192"/>
      <c r="AJ84" s="192"/>
      <c r="AK84" s="192"/>
      <c r="AL84" s="192"/>
      <c r="AM84" s="192"/>
      <c r="AN84" s="192"/>
      <c r="AO84" s="192"/>
      <c r="AP84" s="192"/>
      <c r="AQ84" s="192"/>
      <c r="AR84" s="192"/>
      <c r="AS84" s="192"/>
      <c r="AT84" s="192"/>
      <c r="AU84" s="192"/>
      <c r="AV84" s="192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</row>
    <row r="85" spans="1:90" ht="19.5" customHeight="1" x14ac:dyDescent="0.35">
      <c r="A85" s="295">
        <v>46025</v>
      </c>
      <c r="B85" s="269" t="s">
        <v>149</v>
      </c>
      <c r="C85" s="269" t="s">
        <v>150</v>
      </c>
      <c r="D85" s="267"/>
      <c r="E85" s="270">
        <v>3000</v>
      </c>
      <c r="F85" s="212"/>
      <c r="G85" s="202"/>
      <c r="H85" s="202"/>
      <c r="I85" s="202"/>
      <c r="J85" s="202"/>
      <c r="K85" s="202"/>
      <c r="L85" s="202"/>
      <c r="M85" s="202"/>
      <c r="N85" s="202"/>
      <c r="O85" s="202"/>
      <c r="P85" s="202"/>
      <c r="Q85" s="202"/>
      <c r="R85" s="202"/>
      <c r="S85" s="202"/>
      <c r="T85" s="202"/>
      <c r="U85" s="202">
        <f>+E85</f>
        <v>3000</v>
      </c>
      <c r="V85" s="202"/>
      <c r="W85" s="202"/>
      <c r="X85" s="202"/>
      <c r="Y85" s="202"/>
      <c r="Z85" s="202"/>
      <c r="AA85" s="199">
        <f t="shared" si="7"/>
        <v>3000</v>
      </c>
      <c r="AB85" s="200" t="s">
        <v>15</v>
      </c>
      <c r="AC85" s="188">
        <f t="shared" si="6"/>
        <v>0</v>
      </c>
      <c r="AD85" s="192"/>
      <c r="AE85" s="192"/>
      <c r="AF85" s="192"/>
      <c r="AG85" s="192"/>
      <c r="AH85" s="192"/>
      <c r="AI85" s="192"/>
      <c r="AJ85" s="192"/>
      <c r="AK85" s="192"/>
      <c r="AL85" s="192"/>
      <c r="AM85" s="192"/>
      <c r="AN85" s="192"/>
      <c r="AO85" s="192"/>
      <c r="AP85" s="192"/>
      <c r="AQ85" s="192"/>
      <c r="AR85" s="192"/>
      <c r="AS85" s="192"/>
      <c r="AT85" s="192"/>
      <c r="AU85" s="192"/>
      <c r="AV85" s="192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</row>
    <row r="86" spans="1:90" ht="19.5" customHeight="1" x14ac:dyDescent="0.35">
      <c r="A86" s="296">
        <v>46034</v>
      </c>
      <c r="B86" s="269" t="s">
        <v>102</v>
      </c>
      <c r="C86" s="269" t="s">
        <v>151</v>
      </c>
      <c r="D86" s="267"/>
      <c r="E86" s="271">
        <v>7000</v>
      </c>
      <c r="F86" s="212"/>
      <c r="G86" s="202">
        <f>+E86</f>
        <v>7000</v>
      </c>
      <c r="H86" s="202"/>
      <c r="I86" s="202"/>
      <c r="J86" s="202"/>
      <c r="K86" s="202"/>
      <c r="L86" s="202"/>
      <c r="M86" s="202"/>
      <c r="N86" s="202"/>
      <c r="O86" s="202"/>
      <c r="P86" s="202"/>
      <c r="Q86" s="202"/>
      <c r="R86" s="202"/>
      <c r="S86" s="202"/>
      <c r="T86" s="202"/>
      <c r="U86" s="202"/>
      <c r="V86" s="202"/>
      <c r="W86" s="202"/>
      <c r="X86" s="202"/>
      <c r="Y86" s="202"/>
      <c r="Z86" s="202"/>
      <c r="AA86" s="199">
        <f t="shared" si="7"/>
        <v>7000</v>
      </c>
      <c r="AB86" s="200" t="s">
        <v>15</v>
      </c>
      <c r="AC86" s="188">
        <f t="shared" si="6"/>
        <v>0</v>
      </c>
      <c r="AD86" s="192"/>
      <c r="AE86" s="192"/>
      <c r="AF86" s="192"/>
      <c r="AG86" s="192"/>
      <c r="AH86" s="192"/>
      <c r="AI86" s="192"/>
      <c r="AJ86" s="192"/>
      <c r="AK86" s="192"/>
      <c r="AL86" s="192"/>
      <c r="AM86" s="192"/>
      <c r="AN86" s="192"/>
      <c r="AO86" s="192"/>
      <c r="AP86" s="192"/>
      <c r="AQ86" s="192"/>
      <c r="AR86" s="192"/>
      <c r="AS86" s="192"/>
      <c r="AT86" s="192"/>
      <c r="AU86" s="192"/>
      <c r="AV86" s="192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</row>
    <row r="87" spans="1:90" ht="19.5" customHeight="1" x14ac:dyDescent="0.35">
      <c r="A87" s="296">
        <v>46043</v>
      </c>
      <c r="B87" s="272" t="s">
        <v>85</v>
      </c>
      <c r="C87" s="273" t="s">
        <v>152</v>
      </c>
      <c r="D87" s="274"/>
      <c r="E87" s="271">
        <v>21000</v>
      </c>
      <c r="F87" s="212"/>
      <c r="G87" s="202">
        <f>+E87</f>
        <v>21000</v>
      </c>
      <c r="H87" s="202"/>
      <c r="I87" s="202"/>
      <c r="J87" s="202"/>
      <c r="K87" s="202"/>
      <c r="L87" s="202"/>
      <c r="M87" s="202"/>
      <c r="N87" s="202"/>
      <c r="O87" s="202"/>
      <c r="P87" s="202"/>
      <c r="Q87" s="202"/>
      <c r="R87" s="202"/>
      <c r="S87" s="202"/>
      <c r="T87" s="202"/>
      <c r="U87" s="202"/>
      <c r="V87" s="202"/>
      <c r="W87" s="202"/>
      <c r="X87" s="202"/>
      <c r="Y87" s="202"/>
      <c r="Z87" s="202"/>
      <c r="AA87" s="199">
        <f t="shared" si="7"/>
        <v>21000</v>
      </c>
      <c r="AB87" s="200" t="s">
        <v>15</v>
      </c>
      <c r="AC87" s="188">
        <f t="shared" si="6"/>
        <v>0</v>
      </c>
      <c r="AD87" s="192"/>
      <c r="AE87" s="192"/>
      <c r="AF87" s="192"/>
      <c r="AG87" s="192"/>
      <c r="AH87" s="192"/>
      <c r="AI87" s="192"/>
      <c r="AJ87" s="192"/>
      <c r="AK87" s="192"/>
      <c r="AL87" s="192"/>
      <c r="AM87" s="192"/>
      <c r="AN87" s="192"/>
      <c r="AO87" s="192"/>
      <c r="AP87" s="192"/>
      <c r="AQ87" s="192"/>
      <c r="AR87" s="192"/>
      <c r="AS87" s="192"/>
      <c r="AT87" s="192"/>
      <c r="AU87" s="192"/>
      <c r="AV87" s="192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</row>
    <row r="88" spans="1:90" ht="19.5" customHeight="1" x14ac:dyDescent="0.35">
      <c r="A88" s="296">
        <v>46046</v>
      </c>
      <c r="B88" s="272" t="s">
        <v>18</v>
      </c>
      <c r="C88" s="273" t="s">
        <v>153</v>
      </c>
      <c r="D88" s="274"/>
      <c r="E88" s="271"/>
      <c r="F88" s="212"/>
      <c r="G88" s="202"/>
      <c r="H88" s="202"/>
      <c r="I88" s="202"/>
      <c r="J88" s="202"/>
      <c r="K88" s="202"/>
      <c r="L88" s="202"/>
      <c r="M88" s="202"/>
      <c r="N88" s="202"/>
      <c r="O88" s="202"/>
      <c r="P88" s="202"/>
      <c r="Q88" s="202"/>
      <c r="R88" s="202"/>
      <c r="S88" s="202"/>
      <c r="T88" s="202"/>
      <c r="U88" s="202"/>
      <c r="V88" s="202"/>
      <c r="W88" s="202"/>
      <c r="X88" s="202"/>
      <c r="Y88" s="202"/>
      <c r="Z88" s="202"/>
      <c r="AA88" s="199">
        <f t="shared" si="7"/>
        <v>0</v>
      </c>
      <c r="AB88" s="200" t="s">
        <v>15</v>
      </c>
      <c r="AC88" s="188">
        <f t="shared" si="6"/>
        <v>0</v>
      </c>
      <c r="AD88" s="192"/>
      <c r="AE88" s="192"/>
      <c r="AF88" s="192"/>
      <c r="AG88" s="192"/>
      <c r="AH88" s="192"/>
      <c r="AI88" s="192"/>
      <c r="AJ88" s="192"/>
      <c r="AK88" s="192"/>
      <c r="AL88" s="192"/>
      <c r="AM88" s="192"/>
      <c r="AN88" s="192"/>
      <c r="AO88" s="192"/>
      <c r="AP88" s="192"/>
      <c r="AQ88" s="192"/>
      <c r="AR88" s="192"/>
      <c r="AS88" s="192"/>
      <c r="AT88" s="192"/>
      <c r="AU88" s="192"/>
      <c r="AV88" s="192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</row>
    <row r="89" spans="1:90" ht="19.5" customHeight="1" x14ac:dyDescent="0.35">
      <c r="A89" s="297">
        <v>46052</v>
      </c>
      <c r="B89" s="272" t="s">
        <v>154</v>
      </c>
      <c r="C89" s="273" t="s">
        <v>155</v>
      </c>
      <c r="D89" s="267"/>
      <c r="E89" s="271">
        <v>9000</v>
      </c>
      <c r="F89" s="212"/>
      <c r="G89" s="202">
        <f>+E89</f>
        <v>9000</v>
      </c>
      <c r="H89" s="202"/>
      <c r="I89" s="202"/>
      <c r="J89" s="202"/>
      <c r="K89" s="202"/>
      <c r="L89" s="202"/>
      <c r="M89" s="202"/>
      <c r="N89" s="202"/>
      <c r="O89" s="202"/>
      <c r="P89" s="202"/>
      <c r="Q89" s="202"/>
      <c r="R89" s="202"/>
      <c r="S89" s="202"/>
      <c r="T89" s="202"/>
      <c r="U89" s="202"/>
      <c r="V89" s="202"/>
      <c r="W89" s="202"/>
      <c r="X89" s="202"/>
      <c r="Y89" s="202"/>
      <c r="Z89" s="202"/>
      <c r="AA89" s="199">
        <f t="shared" si="7"/>
        <v>9000</v>
      </c>
      <c r="AB89" s="200" t="s">
        <v>15</v>
      </c>
      <c r="AC89" s="188">
        <f t="shared" si="6"/>
        <v>0</v>
      </c>
      <c r="AD89" s="192"/>
      <c r="AE89" s="192"/>
      <c r="AF89" s="192"/>
      <c r="AG89" s="192"/>
      <c r="AH89" s="192"/>
      <c r="AI89" s="192"/>
      <c r="AJ89" s="192"/>
      <c r="AK89" s="192"/>
      <c r="AL89" s="192"/>
      <c r="AM89" s="192"/>
      <c r="AN89" s="192"/>
      <c r="AO89" s="192"/>
      <c r="AP89" s="192"/>
      <c r="AQ89" s="192"/>
      <c r="AR89" s="192"/>
      <c r="AS89" s="192"/>
      <c r="AT89" s="192"/>
      <c r="AU89" s="192"/>
      <c r="AV89" s="192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</row>
    <row r="90" spans="1:90" ht="19.5" customHeight="1" x14ac:dyDescent="0.35">
      <c r="A90" s="297">
        <v>46053</v>
      </c>
      <c r="B90" s="272" t="s">
        <v>75</v>
      </c>
      <c r="C90" s="272" t="s">
        <v>156</v>
      </c>
      <c r="D90" s="267"/>
      <c r="E90" s="275">
        <f>500*70</f>
        <v>35000</v>
      </c>
      <c r="F90" s="212">
        <f>+E90</f>
        <v>35000</v>
      </c>
      <c r="G90" s="202"/>
      <c r="H90" s="202"/>
      <c r="I90" s="202"/>
      <c r="J90" s="202"/>
      <c r="K90" s="202"/>
      <c r="L90" s="202"/>
      <c r="M90" s="202"/>
      <c r="N90" s="202"/>
      <c r="O90" s="202"/>
      <c r="P90" s="202"/>
      <c r="Q90" s="202"/>
      <c r="R90" s="202"/>
      <c r="S90" s="202"/>
      <c r="T90" s="202"/>
      <c r="U90" s="202"/>
      <c r="V90" s="202"/>
      <c r="W90" s="202"/>
      <c r="X90" s="202"/>
      <c r="Y90" s="202"/>
      <c r="Z90" s="202"/>
      <c r="AA90" s="199">
        <f t="shared" si="7"/>
        <v>35000</v>
      </c>
      <c r="AB90" s="200" t="s">
        <v>15</v>
      </c>
      <c r="AC90" s="188">
        <f t="shared" si="6"/>
        <v>0</v>
      </c>
      <c r="AD90" s="192"/>
      <c r="AE90" s="192"/>
      <c r="AF90" s="192"/>
      <c r="AG90" s="192"/>
      <c r="AH90" s="192"/>
      <c r="AI90" s="192"/>
      <c r="AJ90" s="192"/>
      <c r="AK90" s="192"/>
      <c r="AL90" s="192"/>
      <c r="AM90" s="192"/>
      <c r="AN90" s="192"/>
      <c r="AO90" s="192"/>
      <c r="AP90" s="192"/>
      <c r="AQ90" s="192"/>
      <c r="AR90" s="192"/>
      <c r="AS90" s="192"/>
      <c r="AT90" s="192"/>
      <c r="AU90" s="192"/>
      <c r="AV90" s="192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</row>
    <row r="91" spans="1:90" ht="19.5" customHeight="1" x14ac:dyDescent="0.35">
      <c r="A91" s="297">
        <v>46053</v>
      </c>
      <c r="B91" s="269" t="s">
        <v>79</v>
      </c>
      <c r="C91" s="269" t="str">
        <f>+'[3]LANDCO MET CASH'!$C$23</f>
        <v>Shortfall on Ronny money from Warren</v>
      </c>
      <c r="D91" s="267"/>
      <c r="E91" s="270">
        <f>+'[3]LANDCO MET CASH'!$F$23</f>
        <v>2220</v>
      </c>
      <c r="F91" s="212"/>
      <c r="G91" s="202"/>
      <c r="H91" s="202"/>
      <c r="I91" s="202"/>
      <c r="J91" s="202"/>
      <c r="K91" s="202"/>
      <c r="L91" s="202"/>
      <c r="M91" s="202"/>
      <c r="N91" s="202"/>
      <c r="O91" s="202"/>
      <c r="P91" s="202"/>
      <c r="Q91" s="202"/>
      <c r="R91" s="202"/>
      <c r="S91" s="202"/>
      <c r="T91" s="202"/>
      <c r="U91" s="202"/>
      <c r="V91" s="202"/>
      <c r="W91" s="202">
        <f>+E91</f>
        <v>2220</v>
      </c>
      <c r="X91" s="202"/>
      <c r="Y91" s="202"/>
      <c r="Z91" s="202"/>
      <c r="AA91" s="199">
        <f t="shared" si="7"/>
        <v>2220</v>
      </c>
      <c r="AB91" s="200" t="s">
        <v>15</v>
      </c>
      <c r="AC91" s="188">
        <f t="shared" si="6"/>
        <v>0</v>
      </c>
      <c r="AD91" s="192"/>
      <c r="AE91" s="192"/>
      <c r="AF91" s="192"/>
      <c r="AG91" s="192"/>
      <c r="AH91" s="192"/>
      <c r="AI91" s="192"/>
      <c r="AJ91" s="192"/>
      <c r="AK91" s="192"/>
      <c r="AL91" s="192"/>
      <c r="AM91" s="192"/>
      <c r="AN91" s="192"/>
      <c r="AO91" s="192"/>
      <c r="AP91" s="192"/>
      <c r="AQ91" s="192"/>
      <c r="AR91" s="192"/>
      <c r="AS91" s="192"/>
      <c r="AT91" s="192"/>
      <c r="AU91" s="192"/>
      <c r="AV91" s="192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</row>
    <row r="92" spans="1:90" ht="19.5" customHeight="1" x14ac:dyDescent="0.35">
      <c r="A92" s="297">
        <v>46053</v>
      </c>
      <c r="B92" s="269" t="s">
        <v>85</v>
      </c>
      <c r="C92" s="273" t="s">
        <v>170</v>
      </c>
      <c r="D92" s="274"/>
      <c r="E92" s="271">
        <f>320*67</f>
        <v>21440</v>
      </c>
      <c r="F92" s="212">
        <f>+E92</f>
        <v>21440</v>
      </c>
      <c r="G92" s="202"/>
      <c r="H92" s="202"/>
      <c r="I92" s="202"/>
      <c r="J92" s="202"/>
      <c r="K92" s="202"/>
      <c r="L92" s="202"/>
      <c r="M92" s="202"/>
      <c r="N92" s="202"/>
      <c r="O92" s="202"/>
      <c r="P92" s="202"/>
      <c r="Q92" s="202"/>
      <c r="R92" s="202"/>
      <c r="S92" s="202"/>
      <c r="T92" s="202"/>
      <c r="U92" s="202"/>
      <c r="V92" s="202"/>
      <c r="W92" s="202"/>
      <c r="X92" s="202"/>
      <c r="Y92" s="202"/>
      <c r="Z92" s="202"/>
      <c r="AA92" s="199">
        <f t="shared" si="7"/>
        <v>21440</v>
      </c>
      <c r="AB92" s="200" t="s">
        <v>15</v>
      </c>
      <c r="AC92" s="188">
        <f t="shared" si="6"/>
        <v>0</v>
      </c>
      <c r="AD92" s="192"/>
      <c r="AE92" s="192"/>
      <c r="AF92" s="192"/>
      <c r="AG92" s="192"/>
      <c r="AH92" s="192"/>
      <c r="AI92" s="192"/>
      <c r="AJ92" s="192"/>
      <c r="AK92" s="192"/>
      <c r="AL92" s="192"/>
      <c r="AM92" s="192"/>
      <c r="AN92" s="192"/>
      <c r="AO92" s="192"/>
      <c r="AP92" s="192"/>
      <c r="AQ92" s="192"/>
      <c r="AR92" s="192"/>
      <c r="AS92" s="192"/>
      <c r="AT92" s="192"/>
      <c r="AU92" s="192"/>
      <c r="AV92" s="1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</row>
    <row r="93" spans="1:90" ht="19.149999999999999" customHeight="1" x14ac:dyDescent="0.35">
      <c r="A93" s="265"/>
      <c r="B93" s="269"/>
      <c r="C93" s="276"/>
      <c r="D93" s="274"/>
      <c r="E93" s="275"/>
      <c r="F93" s="286"/>
      <c r="G93" s="170"/>
      <c r="H93" s="285"/>
      <c r="I93" s="170"/>
      <c r="J93" s="170"/>
      <c r="K93" s="170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Z93" s="172"/>
      <c r="AA93" s="199">
        <f t="shared" si="7"/>
        <v>0</v>
      </c>
      <c r="AB93" s="200" t="s">
        <v>15</v>
      </c>
      <c r="AC93" s="188">
        <f t="shared" si="6"/>
        <v>0</v>
      </c>
      <c r="AD93" s="192"/>
      <c r="AE93" s="192"/>
      <c r="AF93" s="192"/>
      <c r="AG93" s="192"/>
      <c r="AH93" s="192"/>
      <c r="AI93" s="192"/>
      <c r="AJ93" s="192"/>
      <c r="AK93" s="192"/>
      <c r="AL93" s="192"/>
      <c r="AM93" s="192"/>
      <c r="AN93" s="192"/>
      <c r="AO93" s="192"/>
      <c r="AP93" s="192"/>
      <c r="AQ93" s="192"/>
      <c r="AR93" s="192"/>
      <c r="AS93" s="192"/>
      <c r="AT93" s="192"/>
      <c r="AU93" s="192"/>
      <c r="AV93" s="192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</row>
    <row r="94" spans="1:90" ht="19.149999999999999" customHeight="1" x14ac:dyDescent="0.35">
      <c r="A94" s="265"/>
      <c r="B94" s="269"/>
      <c r="C94" s="277"/>
      <c r="D94" s="278"/>
      <c r="E94" s="275"/>
      <c r="F94" s="286"/>
      <c r="G94" s="170"/>
      <c r="H94" s="285"/>
      <c r="I94" s="170"/>
      <c r="J94" s="170"/>
      <c r="K94" s="170"/>
      <c r="L94" s="172"/>
      <c r="M94" s="172"/>
      <c r="N94" s="172"/>
      <c r="O94" s="172"/>
      <c r="P94" s="172"/>
      <c r="Q94" s="172"/>
      <c r="R94" s="172"/>
      <c r="S94" s="172"/>
      <c r="T94" s="172"/>
      <c r="U94" s="172"/>
      <c r="V94" s="172"/>
      <c r="W94" s="172"/>
      <c r="X94" s="172"/>
      <c r="Y94" s="172"/>
      <c r="Z94" s="172"/>
      <c r="AA94" s="199">
        <f t="shared" si="7"/>
        <v>0</v>
      </c>
      <c r="AB94" s="200" t="s">
        <v>15</v>
      </c>
      <c r="AC94" s="188">
        <f t="shared" si="6"/>
        <v>0</v>
      </c>
      <c r="AD94" s="192"/>
      <c r="AE94" s="192"/>
      <c r="AF94" s="192"/>
      <c r="AG94" s="192"/>
      <c r="AH94" s="192"/>
      <c r="AI94" s="192"/>
      <c r="AJ94" s="192"/>
      <c r="AK94" s="192"/>
      <c r="AL94" s="192"/>
      <c r="AM94" s="192"/>
      <c r="AN94" s="192"/>
      <c r="AO94" s="192"/>
      <c r="AP94" s="192"/>
      <c r="AQ94" s="192"/>
      <c r="AR94" s="192"/>
      <c r="AS94" s="192"/>
      <c r="AT94" s="192"/>
      <c r="AU94" s="192"/>
      <c r="AV94" s="192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</row>
    <row r="95" spans="1:90" ht="19.149999999999999" customHeight="1" x14ac:dyDescent="0.35">
      <c r="A95" s="279"/>
      <c r="B95" s="280"/>
      <c r="C95" s="281"/>
      <c r="D95" s="282"/>
      <c r="E95" s="283"/>
      <c r="F95" s="286"/>
      <c r="G95" s="170"/>
      <c r="H95" s="285"/>
      <c r="I95" s="170"/>
      <c r="J95" s="170"/>
      <c r="K95" s="170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Z95" s="172"/>
      <c r="AA95" s="199">
        <f t="shared" si="7"/>
        <v>0</v>
      </c>
      <c r="AB95" s="200" t="s">
        <v>15</v>
      </c>
      <c r="AC95" s="188">
        <f t="shared" si="6"/>
        <v>0</v>
      </c>
      <c r="AD95" s="192"/>
      <c r="AE95" s="192"/>
      <c r="AF95" s="192"/>
      <c r="AG95" s="192"/>
      <c r="AH95" s="192"/>
      <c r="AI95" s="192"/>
      <c r="AJ95" s="192"/>
      <c r="AK95" s="192"/>
      <c r="AL95" s="192"/>
      <c r="AM95" s="192"/>
      <c r="AN95" s="192"/>
      <c r="AO95" s="192"/>
      <c r="AP95" s="192"/>
      <c r="AQ95" s="192"/>
      <c r="AR95" s="192"/>
      <c r="AS95" s="192"/>
      <c r="AT95" s="192"/>
      <c r="AU95" s="192"/>
      <c r="AV95" s="192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</row>
    <row r="96" spans="1:90" ht="19.149999999999999" customHeight="1" x14ac:dyDescent="0.35">
      <c r="A96" s="279"/>
      <c r="B96" s="232"/>
      <c r="C96" s="234"/>
      <c r="D96" s="282"/>
      <c r="E96" s="182"/>
      <c r="F96" s="170"/>
      <c r="G96" s="170"/>
      <c r="H96" s="285"/>
      <c r="I96" s="170"/>
      <c r="J96" s="170"/>
      <c r="K96" s="170"/>
      <c r="L96" s="172"/>
      <c r="M96" s="172"/>
      <c r="N96" s="172"/>
      <c r="O96" s="172"/>
      <c r="P96" s="172"/>
      <c r="Q96" s="172"/>
      <c r="R96" s="172"/>
      <c r="S96" s="172"/>
      <c r="T96" s="172"/>
      <c r="U96" s="172"/>
      <c r="V96" s="170"/>
      <c r="W96" s="172"/>
      <c r="X96" s="172"/>
      <c r="Y96" s="172"/>
      <c r="Z96" s="172"/>
      <c r="AA96" s="199">
        <f t="shared" si="7"/>
        <v>0</v>
      </c>
      <c r="AB96" s="200" t="s">
        <v>15</v>
      </c>
      <c r="AC96" s="188">
        <f t="shared" si="6"/>
        <v>0</v>
      </c>
      <c r="AD96" s="192"/>
      <c r="AE96" s="192"/>
      <c r="AF96" s="192"/>
      <c r="AG96" s="192"/>
      <c r="AH96" s="192"/>
      <c r="AI96" s="192"/>
      <c r="AJ96" s="192"/>
      <c r="AK96" s="192"/>
      <c r="AL96" s="192"/>
      <c r="AM96" s="192"/>
      <c r="AN96" s="192"/>
      <c r="AO96" s="192"/>
      <c r="AP96" s="192"/>
      <c r="AQ96" s="192"/>
      <c r="AR96" s="192"/>
      <c r="AS96" s="192"/>
      <c r="AT96" s="192"/>
      <c r="AU96" s="192"/>
      <c r="AV96" s="192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</row>
    <row r="97" spans="1:90" ht="19.149999999999999" customHeight="1" x14ac:dyDescent="0.35">
      <c r="A97" s="279"/>
      <c r="B97" s="232"/>
      <c r="C97" s="289"/>
      <c r="D97" s="288"/>
      <c r="E97" s="298"/>
      <c r="F97" s="286"/>
      <c r="G97" s="170"/>
      <c r="H97" s="285"/>
      <c r="I97" s="170"/>
      <c r="J97" s="170"/>
      <c r="K97" s="170"/>
      <c r="L97" s="172"/>
      <c r="M97" s="172"/>
      <c r="N97" s="172"/>
      <c r="O97" s="172"/>
      <c r="P97" s="172"/>
      <c r="Q97" s="172"/>
      <c r="R97" s="172"/>
      <c r="S97" s="172"/>
      <c r="T97" s="172"/>
      <c r="U97" s="172"/>
      <c r="V97" s="290"/>
      <c r="W97" s="172"/>
      <c r="X97" s="172"/>
      <c r="Y97" s="172"/>
      <c r="Z97" s="172"/>
      <c r="AA97" s="199">
        <f t="shared" si="7"/>
        <v>0</v>
      </c>
      <c r="AB97" s="200" t="s">
        <v>15</v>
      </c>
      <c r="AC97" s="188"/>
      <c r="AD97" s="192"/>
      <c r="AE97" s="192"/>
      <c r="AF97" s="192"/>
      <c r="AG97" s="192"/>
      <c r="AH97" s="192"/>
      <c r="AI97" s="192"/>
      <c r="AJ97" s="192"/>
      <c r="AK97" s="192"/>
      <c r="AL97" s="192"/>
      <c r="AM97" s="192"/>
      <c r="AN97" s="192"/>
      <c r="AO97" s="192"/>
      <c r="AP97" s="192"/>
      <c r="AQ97" s="192"/>
      <c r="AR97" s="192"/>
      <c r="AS97" s="192"/>
      <c r="AT97" s="192"/>
      <c r="AU97" s="192"/>
      <c r="AV97" s="192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</row>
    <row r="98" spans="1:90" ht="19.149999999999999" customHeight="1" x14ac:dyDescent="0.35">
      <c r="A98" s="279"/>
      <c r="B98" s="232"/>
      <c r="C98" s="289"/>
      <c r="D98" s="288"/>
      <c r="E98" s="271"/>
      <c r="F98" s="286"/>
      <c r="G98" s="170"/>
      <c r="H98" s="285"/>
      <c r="I98" s="170"/>
      <c r="J98" s="170"/>
      <c r="K98" s="170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290"/>
      <c r="W98" s="172"/>
      <c r="X98" s="172"/>
      <c r="Y98" s="172"/>
      <c r="Z98" s="172"/>
      <c r="AA98" s="199">
        <f t="shared" si="7"/>
        <v>0</v>
      </c>
      <c r="AB98" s="200" t="s">
        <v>15</v>
      </c>
      <c r="AC98" s="188"/>
      <c r="AD98" s="192"/>
      <c r="AE98" s="192"/>
      <c r="AF98" s="192"/>
      <c r="AG98" s="192"/>
      <c r="AH98" s="192"/>
      <c r="AI98" s="192"/>
      <c r="AJ98" s="192"/>
      <c r="AK98" s="192"/>
      <c r="AL98" s="192"/>
      <c r="AM98" s="192"/>
      <c r="AN98" s="192"/>
      <c r="AO98" s="192"/>
      <c r="AP98" s="192"/>
      <c r="AQ98" s="192"/>
      <c r="AR98" s="192"/>
      <c r="AS98" s="192"/>
      <c r="AT98" s="192"/>
      <c r="AU98" s="192"/>
      <c r="AV98" s="192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</row>
    <row r="99" spans="1:90" ht="19.149999999999999" customHeight="1" x14ac:dyDescent="0.35">
      <c r="A99" s="279"/>
      <c r="B99" s="232"/>
      <c r="C99" s="289"/>
      <c r="D99" s="288"/>
      <c r="E99" s="271"/>
      <c r="F99" s="286"/>
      <c r="G99" s="170"/>
      <c r="H99" s="285"/>
      <c r="I99" s="170"/>
      <c r="J99" s="170"/>
      <c r="K99" s="170"/>
      <c r="L99" s="172"/>
      <c r="M99" s="172"/>
      <c r="N99" s="172"/>
      <c r="O99" s="172"/>
      <c r="P99" s="172"/>
      <c r="Q99" s="172"/>
      <c r="R99" s="172"/>
      <c r="S99" s="172"/>
      <c r="T99" s="172"/>
      <c r="U99" s="172"/>
      <c r="V99" s="290"/>
      <c r="W99" s="172"/>
      <c r="X99" s="172"/>
      <c r="Y99" s="172"/>
      <c r="Z99" s="172"/>
      <c r="AA99" s="199">
        <f t="shared" si="7"/>
        <v>0</v>
      </c>
      <c r="AB99" s="200" t="s">
        <v>15</v>
      </c>
      <c r="AC99" s="188"/>
      <c r="AD99" s="192"/>
      <c r="AE99" s="192"/>
      <c r="AF99" s="192"/>
      <c r="AG99" s="192"/>
      <c r="AH99" s="192"/>
      <c r="AI99" s="192"/>
      <c r="AJ99" s="192"/>
      <c r="AK99" s="192"/>
      <c r="AL99" s="192"/>
      <c r="AM99" s="192"/>
      <c r="AN99" s="192"/>
      <c r="AO99" s="192"/>
      <c r="AP99" s="192"/>
      <c r="AQ99" s="192"/>
      <c r="AR99" s="192"/>
      <c r="AS99" s="192"/>
      <c r="AT99" s="192"/>
      <c r="AU99" s="192"/>
      <c r="AV99" s="192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</row>
    <row r="100" spans="1:90" ht="19.149999999999999" customHeight="1" x14ac:dyDescent="0.35">
      <c r="A100" s="279"/>
      <c r="B100" s="232"/>
      <c r="C100" s="289"/>
      <c r="D100" s="288"/>
      <c r="E100" s="299"/>
      <c r="F100" s="286"/>
      <c r="G100" s="170"/>
      <c r="H100" s="285"/>
      <c r="I100" s="170"/>
      <c r="J100" s="170"/>
      <c r="K100" s="170"/>
      <c r="L100" s="172"/>
      <c r="M100" s="172"/>
      <c r="N100" s="172"/>
      <c r="O100" s="172"/>
      <c r="P100" s="172"/>
      <c r="Q100" s="172"/>
      <c r="R100" s="172"/>
      <c r="S100" s="172"/>
      <c r="T100" s="172"/>
      <c r="U100" s="172"/>
      <c r="V100" s="290"/>
      <c r="W100" s="172"/>
      <c r="X100" s="172"/>
      <c r="Y100" s="172"/>
      <c r="Z100" s="172"/>
      <c r="AA100" s="199">
        <f t="shared" si="7"/>
        <v>0</v>
      </c>
      <c r="AB100" s="200" t="s">
        <v>15</v>
      </c>
      <c r="AC100" s="188"/>
      <c r="AD100" s="192"/>
      <c r="AE100" s="192"/>
      <c r="AF100" s="192"/>
      <c r="AG100" s="192"/>
      <c r="AH100" s="192"/>
      <c r="AI100" s="192"/>
      <c r="AJ100" s="192"/>
      <c r="AK100" s="192"/>
      <c r="AL100" s="192"/>
      <c r="AM100" s="192"/>
      <c r="AN100" s="192"/>
      <c r="AO100" s="192"/>
      <c r="AP100" s="192"/>
      <c r="AQ100" s="192"/>
      <c r="AR100" s="192"/>
      <c r="AS100" s="192"/>
      <c r="AT100" s="192"/>
      <c r="AU100" s="192"/>
      <c r="AV100" s="192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</row>
    <row r="101" spans="1:90" ht="19.149999999999999" customHeight="1" x14ac:dyDescent="0.35">
      <c r="A101" s="287"/>
      <c r="B101" s="232"/>
      <c r="C101" s="234"/>
      <c r="D101" s="288"/>
      <c r="E101" s="182"/>
      <c r="F101" s="170"/>
      <c r="G101" s="170"/>
      <c r="H101" s="285"/>
      <c r="I101" s="170"/>
      <c r="J101" s="170"/>
      <c r="K101" s="170"/>
      <c r="L101" s="172"/>
      <c r="M101" s="172"/>
      <c r="N101" s="172"/>
      <c r="O101" s="172"/>
      <c r="P101" s="172"/>
      <c r="Q101" s="172"/>
      <c r="R101" s="172"/>
      <c r="S101" s="172"/>
      <c r="T101" s="172"/>
      <c r="U101" s="172"/>
      <c r="V101" s="172"/>
      <c r="W101" s="172"/>
      <c r="X101" s="172"/>
      <c r="Y101" s="172"/>
      <c r="Z101" s="172"/>
      <c r="AA101" s="199">
        <f t="shared" ref="AA101:AA102" si="8">SUM(F101:Z101)</f>
        <v>0</v>
      </c>
      <c r="AB101" s="200" t="s">
        <v>15</v>
      </c>
      <c r="AC101" s="188"/>
      <c r="AD101" s="192"/>
      <c r="AE101" s="192"/>
      <c r="AF101" s="192"/>
      <c r="AG101" s="192"/>
      <c r="AH101" s="192"/>
      <c r="AI101" s="192"/>
      <c r="AJ101" s="192"/>
      <c r="AK101" s="192"/>
      <c r="AL101" s="192"/>
      <c r="AM101" s="192"/>
      <c r="AN101" s="192"/>
      <c r="AO101" s="192"/>
      <c r="AP101" s="192"/>
      <c r="AQ101" s="192"/>
      <c r="AR101" s="192"/>
      <c r="AS101" s="192"/>
      <c r="AT101" s="192"/>
      <c r="AU101" s="192"/>
      <c r="AV101" s="192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</row>
    <row r="102" spans="1:90" ht="19.149999999999999" customHeight="1" x14ac:dyDescent="0.35">
      <c r="A102" s="287"/>
      <c r="B102" s="232"/>
      <c r="C102" s="234"/>
      <c r="D102" s="288"/>
      <c r="E102" s="182"/>
      <c r="F102" s="170"/>
      <c r="G102" s="170"/>
      <c r="H102" s="285"/>
      <c r="I102" s="170"/>
      <c r="J102" s="170"/>
      <c r="K102" s="170"/>
      <c r="L102" s="172"/>
      <c r="M102" s="172"/>
      <c r="N102" s="172"/>
      <c r="O102" s="172"/>
      <c r="P102" s="172"/>
      <c r="Q102" s="172"/>
      <c r="R102" s="172"/>
      <c r="S102" s="172"/>
      <c r="T102" s="172"/>
      <c r="U102" s="172"/>
      <c r="V102" s="172"/>
      <c r="W102" s="172"/>
      <c r="X102" s="172"/>
      <c r="Y102" s="172"/>
      <c r="Z102" s="172"/>
      <c r="AA102" s="199">
        <f t="shared" si="8"/>
        <v>0</v>
      </c>
      <c r="AB102" s="200" t="s">
        <v>15</v>
      </c>
      <c r="AC102" s="188"/>
      <c r="AD102" s="192"/>
      <c r="AE102" s="192"/>
      <c r="AF102" s="192"/>
      <c r="AG102" s="192"/>
      <c r="AH102" s="192"/>
      <c r="AI102" s="192"/>
      <c r="AJ102" s="192"/>
      <c r="AK102" s="192"/>
      <c r="AL102" s="192"/>
      <c r="AM102" s="192"/>
      <c r="AN102" s="192"/>
      <c r="AO102" s="192"/>
      <c r="AP102" s="192"/>
      <c r="AQ102" s="192"/>
      <c r="AR102" s="192"/>
      <c r="AS102" s="192"/>
      <c r="AT102" s="192"/>
      <c r="AU102" s="192"/>
      <c r="AV102" s="19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</row>
    <row r="103" spans="1:90" ht="19.149999999999999" customHeight="1" x14ac:dyDescent="0.35">
      <c r="A103" s="231"/>
      <c r="B103" s="232"/>
      <c r="C103" s="234"/>
      <c r="D103" s="213"/>
      <c r="E103" s="182"/>
      <c r="F103" s="167"/>
      <c r="G103" s="167"/>
      <c r="H103" s="233"/>
      <c r="I103" s="167"/>
      <c r="J103" s="167"/>
      <c r="K103" s="167"/>
      <c r="L103" s="167"/>
      <c r="M103" s="286"/>
      <c r="N103" s="303"/>
      <c r="O103" s="303"/>
      <c r="P103" s="303"/>
      <c r="Q103" s="303"/>
      <c r="R103" s="303"/>
      <c r="S103" s="303"/>
      <c r="T103" s="303"/>
      <c r="U103" s="303"/>
      <c r="V103" s="303"/>
      <c r="W103" s="303"/>
      <c r="X103" s="303"/>
      <c r="Y103" s="303"/>
      <c r="Z103" s="303"/>
      <c r="AA103" s="199">
        <f t="shared" si="7"/>
        <v>0</v>
      </c>
      <c r="AB103" s="200" t="s">
        <v>15</v>
      </c>
      <c r="AC103" s="188"/>
      <c r="AD103" s="192"/>
      <c r="AE103" s="192"/>
      <c r="AF103" s="192"/>
      <c r="AG103" s="192"/>
      <c r="AH103" s="192"/>
      <c r="AI103" s="192"/>
      <c r="AJ103" s="192"/>
      <c r="AK103" s="192"/>
      <c r="AL103" s="192"/>
      <c r="AM103" s="192"/>
      <c r="AN103" s="192"/>
      <c r="AO103" s="192"/>
      <c r="AP103" s="192"/>
      <c r="AQ103" s="192"/>
      <c r="AR103" s="192"/>
      <c r="AS103" s="192"/>
      <c r="AT103" s="192"/>
      <c r="AU103" s="192"/>
      <c r="AV103" s="192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</row>
    <row r="104" spans="1:90" ht="18.600000000000001" customHeight="1" thickBot="1" x14ac:dyDescent="0.4">
      <c r="A104" s="183"/>
      <c r="B104" s="216"/>
      <c r="C104" s="217" t="s">
        <v>49</v>
      </c>
      <c r="D104" s="230"/>
      <c r="E104" s="220">
        <f t="shared" ref="E104:W104" si="9">SUM(E8:E103)</f>
        <v>785523.17000000016</v>
      </c>
      <c r="F104" s="220">
        <f t="shared" si="9"/>
        <v>238169.60000000001</v>
      </c>
      <c r="G104" s="220">
        <f t="shared" si="9"/>
        <v>49000</v>
      </c>
      <c r="H104" s="220">
        <f t="shared" si="9"/>
        <v>31296.420000000002</v>
      </c>
      <c r="I104" s="220">
        <f t="shared" si="9"/>
        <v>6850.5599999999995</v>
      </c>
      <c r="J104" s="220">
        <f t="shared" si="9"/>
        <v>184125.8</v>
      </c>
      <c r="K104" s="220">
        <f t="shared" si="9"/>
        <v>89111.26</v>
      </c>
      <c r="L104" s="220">
        <f t="shared" si="9"/>
        <v>24235.63</v>
      </c>
      <c r="M104" s="220">
        <f t="shared" si="9"/>
        <v>0</v>
      </c>
      <c r="N104" s="220">
        <f t="shared" si="9"/>
        <v>0</v>
      </c>
      <c r="O104" s="220">
        <f t="shared" si="9"/>
        <v>0</v>
      </c>
      <c r="P104" s="220">
        <f t="shared" si="9"/>
        <v>0</v>
      </c>
      <c r="Q104" s="220">
        <f t="shared" si="9"/>
        <v>0</v>
      </c>
      <c r="R104" s="220">
        <f t="shared" si="9"/>
        <v>0</v>
      </c>
      <c r="S104" s="220">
        <f t="shared" si="9"/>
        <v>0</v>
      </c>
      <c r="T104" s="220">
        <f t="shared" si="9"/>
        <v>0</v>
      </c>
      <c r="U104" s="220">
        <f t="shared" si="9"/>
        <v>3000</v>
      </c>
      <c r="V104" s="220">
        <f t="shared" si="9"/>
        <v>34786.959999999999</v>
      </c>
      <c r="W104" s="220">
        <f t="shared" si="9"/>
        <v>63095.360000000001</v>
      </c>
      <c r="X104" s="220">
        <f>SUM(X7:X103)</f>
        <v>48298</v>
      </c>
      <c r="Y104" s="220">
        <f>SUM(Y8:Y103)</f>
        <v>44850</v>
      </c>
      <c r="Z104" s="220">
        <f>SUM(Z8:Z103)</f>
        <v>0</v>
      </c>
      <c r="AA104" s="302">
        <f>SUM(AA8:AA103)</f>
        <v>816819.59000000008</v>
      </c>
      <c r="AB104" s="168"/>
      <c r="AC104" s="169"/>
      <c r="AD104" s="192"/>
      <c r="AE104" s="192"/>
      <c r="AF104" s="192"/>
      <c r="AG104" s="192"/>
      <c r="AH104" s="192"/>
      <c r="AI104" s="192"/>
      <c r="AJ104" s="192"/>
      <c r="AK104" s="192"/>
      <c r="AL104" s="192"/>
      <c r="AM104" s="192"/>
      <c r="AN104" s="192"/>
      <c r="AO104" s="192"/>
      <c r="AP104" s="192"/>
      <c r="AQ104" s="192"/>
      <c r="AR104" s="192"/>
      <c r="AS104" s="192"/>
      <c r="AT104" s="192"/>
      <c r="AU104" s="192"/>
      <c r="AV104" s="192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</row>
    <row r="105" spans="1:90" ht="18.600000000000001" customHeight="1" thickTop="1" x14ac:dyDescent="0.35">
      <c r="A105" s="183"/>
      <c r="B105" s="218"/>
      <c r="C105" s="219"/>
      <c r="D105" s="213"/>
      <c r="E105" s="167"/>
      <c r="F105" s="214"/>
      <c r="G105" s="215"/>
      <c r="H105" s="171"/>
      <c r="I105" s="171"/>
      <c r="J105" s="171"/>
      <c r="K105" s="171"/>
      <c r="L105" s="220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20"/>
      <c r="X105" s="220"/>
      <c r="Y105" s="220"/>
      <c r="Z105" s="220"/>
      <c r="AA105" s="220">
        <f>+H104</f>
        <v>31296.420000000002</v>
      </c>
      <c r="AB105" s="168"/>
      <c r="AC105" s="169"/>
      <c r="AD105" s="192"/>
      <c r="AE105" s="192"/>
      <c r="AF105" s="192"/>
      <c r="AG105" s="192"/>
      <c r="AH105" s="192"/>
      <c r="AI105" s="192"/>
      <c r="AJ105" s="192"/>
      <c r="AK105" s="192"/>
      <c r="AL105" s="192"/>
      <c r="AM105" s="192"/>
      <c r="AN105" s="192"/>
      <c r="AO105" s="192"/>
      <c r="AP105" s="192"/>
      <c r="AQ105" s="192"/>
      <c r="AR105" s="192"/>
      <c r="AS105" s="192"/>
      <c r="AT105" s="192"/>
      <c r="AU105" s="192"/>
      <c r="AV105" s="192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</row>
    <row r="106" spans="1:90" ht="18.600000000000001" customHeight="1" x14ac:dyDescent="0.35">
      <c r="A106" s="183"/>
      <c r="B106" s="218"/>
      <c r="C106" s="219"/>
      <c r="D106" s="213"/>
      <c r="E106" s="167"/>
      <c r="F106" s="214"/>
      <c r="G106" s="215"/>
      <c r="H106" s="171"/>
      <c r="I106" s="215"/>
      <c r="J106" s="215"/>
      <c r="K106" s="215"/>
      <c r="L106" s="220"/>
      <c r="M106" s="220"/>
      <c r="N106" s="220"/>
      <c r="O106" s="220"/>
      <c r="P106" s="220"/>
      <c r="Q106" s="220"/>
      <c r="R106" s="220"/>
      <c r="S106" s="220"/>
      <c r="T106" s="220"/>
      <c r="U106" s="220"/>
      <c r="V106" s="220"/>
      <c r="W106" s="220"/>
      <c r="X106" s="220"/>
      <c r="Y106" s="220"/>
      <c r="Z106" s="220"/>
      <c r="AA106" s="220">
        <f>+AA104-AA105</f>
        <v>785523.17</v>
      </c>
      <c r="AB106" s="168"/>
      <c r="AC106" s="169"/>
      <c r="AD106" s="192"/>
      <c r="AE106" s="192"/>
      <c r="AF106" s="192"/>
      <c r="AG106" s="192"/>
      <c r="AH106" s="192"/>
      <c r="AI106" s="192"/>
      <c r="AJ106" s="192"/>
      <c r="AK106" s="192"/>
      <c r="AL106" s="192"/>
      <c r="AM106" s="192"/>
      <c r="AN106" s="192"/>
      <c r="AO106" s="192"/>
      <c r="AP106" s="192"/>
      <c r="AQ106" s="192"/>
      <c r="AR106" s="192"/>
      <c r="AS106" s="192"/>
      <c r="AT106" s="192"/>
      <c r="AU106" s="192"/>
      <c r="AV106" s="192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</row>
    <row r="107" spans="1:90" ht="29.45" customHeight="1" x14ac:dyDescent="0.35">
      <c r="A107" s="173"/>
      <c r="B107" s="218"/>
      <c r="C107" s="221" t="s">
        <v>50</v>
      </c>
      <c r="D107" s="213"/>
      <c r="E107" s="222"/>
      <c r="F107" s="199"/>
      <c r="G107" s="199"/>
      <c r="H107" s="199"/>
      <c r="I107" s="199"/>
      <c r="J107" s="199"/>
      <c r="K107" s="199"/>
      <c r="L107" s="223"/>
      <c r="M107" s="223"/>
      <c r="N107" s="223"/>
      <c r="O107" s="223"/>
      <c r="P107" s="223"/>
      <c r="Q107" s="223"/>
      <c r="R107" s="223"/>
      <c r="S107" s="223"/>
      <c r="T107" s="223"/>
      <c r="U107" s="223"/>
      <c r="V107" s="223"/>
      <c r="W107" s="223"/>
      <c r="X107" s="223"/>
      <c r="Y107" s="223"/>
      <c r="Z107" s="223"/>
      <c r="AA107" s="223">
        <f>+E104-AA106</f>
        <v>0</v>
      </c>
      <c r="AB107" s="168"/>
      <c r="AC107" s="224"/>
      <c r="AD107" s="192"/>
      <c r="AE107" s="192"/>
      <c r="AF107" s="192"/>
      <c r="AG107" s="192"/>
      <c r="AH107" s="192"/>
      <c r="AI107" s="192"/>
      <c r="AJ107" s="192"/>
      <c r="AK107" s="192"/>
      <c r="AL107" s="192"/>
      <c r="AM107" s="192"/>
      <c r="AN107" s="192"/>
      <c r="AO107" s="192"/>
      <c r="AP107" s="192"/>
      <c r="AQ107" s="192"/>
      <c r="AR107" s="192"/>
      <c r="AS107" s="192"/>
      <c r="AT107" s="192"/>
      <c r="AU107" s="192"/>
      <c r="AV107" s="192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</row>
    <row r="108" spans="1:90" ht="19.5" customHeight="1" x14ac:dyDescent="0.35">
      <c r="A108" s="173"/>
      <c r="B108" s="218"/>
      <c r="C108" s="213" t="s">
        <v>73</v>
      </c>
      <c r="D108" s="213"/>
      <c r="E108" s="222">
        <f>+F104</f>
        <v>238169.60000000001</v>
      </c>
      <c r="F108" s="199"/>
      <c r="G108" s="199"/>
      <c r="H108" s="225"/>
      <c r="I108" s="199"/>
      <c r="J108" s="199"/>
      <c r="K108" s="199"/>
      <c r="L108" s="199"/>
      <c r="M108" s="199"/>
      <c r="N108" s="199"/>
      <c r="O108" s="199"/>
      <c r="P108" s="199"/>
      <c r="Q108" s="199"/>
      <c r="R108" s="199"/>
      <c r="S108" s="199"/>
      <c r="T108" s="199"/>
      <c r="U108" s="199"/>
      <c r="V108" s="199"/>
      <c r="W108" s="199"/>
      <c r="X108" s="199"/>
      <c r="Y108" s="199"/>
      <c r="Z108" s="199"/>
      <c r="AA108" s="199"/>
      <c r="AB108" s="168"/>
      <c r="AC108" s="226"/>
      <c r="AD108" s="192"/>
      <c r="AE108" s="192"/>
      <c r="AF108" s="192"/>
      <c r="AG108" s="192"/>
      <c r="AH108" s="192"/>
      <c r="AI108" s="192"/>
      <c r="AJ108" s="192"/>
      <c r="AK108" s="192"/>
      <c r="AL108" s="192"/>
      <c r="AM108" s="192"/>
      <c r="AN108" s="192"/>
      <c r="AO108" s="192"/>
      <c r="AP108" s="192"/>
      <c r="AQ108" s="192"/>
      <c r="AR108" s="192"/>
      <c r="AS108" s="192"/>
      <c r="AT108" s="192"/>
      <c r="AU108" s="192"/>
      <c r="AV108" s="192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</row>
    <row r="109" spans="1:90" ht="19.5" customHeight="1" x14ac:dyDescent="0.35">
      <c r="A109" s="173"/>
      <c r="B109" s="218"/>
      <c r="C109" s="213" t="s">
        <v>54</v>
      </c>
      <c r="D109" s="213"/>
      <c r="E109" s="222">
        <f>+G104</f>
        <v>49000</v>
      </c>
      <c r="F109" s="199"/>
      <c r="G109" s="199"/>
      <c r="H109" s="199"/>
      <c r="I109" s="199"/>
      <c r="J109" s="199"/>
      <c r="K109" s="199"/>
      <c r="L109" s="199"/>
      <c r="M109" s="199"/>
      <c r="N109" s="199"/>
      <c r="O109" s="199"/>
      <c r="P109" s="199"/>
      <c r="Q109" s="199"/>
      <c r="R109" s="199"/>
      <c r="S109" s="199"/>
      <c r="T109" s="199"/>
      <c r="U109" s="199"/>
      <c r="V109" s="199"/>
      <c r="W109" s="199"/>
      <c r="X109" s="199"/>
      <c r="Y109" s="199"/>
      <c r="Z109" s="199"/>
      <c r="AA109" s="199"/>
      <c r="AB109" s="168"/>
      <c r="AC109" s="192"/>
      <c r="AD109" s="192"/>
      <c r="AE109" s="192"/>
      <c r="AF109" s="192"/>
      <c r="AG109" s="192"/>
      <c r="AH109" s="192"/>
      <c r="AI109" s="192"/>
      <c r="AJ109" s="192"/>
      <c r="AK109" s="192"/>
      <c r="AL109" s="192"/>
      <c r="AM109" s="192"/>
      <c r="AN109" s="192"/>
      <c r="AO109" s="192"/>
      <c r="AP109" s="192"/>
      <c r="AQ109" s="192"/>
      <c r="AR109" s="192"/>
      <c r="AS109" s="192"/>
      <c r="AT109" s="192"/>
      <c r="AU109" s="192"/>
      <c r="AV109" s="192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</row>
    <row r="110" spans="1:90" ht="19.5" customHeight="1" x14ac:dyDescent="0.35">
      <c r="A110" s="173"/>
      <c r="B110" s="218"/>
      <c r="C110" s="213" t="s">
        <v>56</v>
      </c>
      <c r="D110" s="213"/>
      <c r="E110" s="222">
        <f>+I104</f>
        <v>6850.5599999999995</v>
      </c>
      <c r="F110" s="199"/>
      <c r="G110" s="199"/>
      <c r="H110" s="199"/>
      <c r="I110" s="199"/>
      <c r="J110" s="199"/>
      <c r="K110" s="199"/>
      <c r="L110" s="199"/>
      <c r="M110" s="199"/>
      <c r="N110" s="199"/>
      <c r="O110" s="199"/>
      <c r="P110" s="199"/>
      <c r="Q110" s="199"/>
      <c r="R110" s="199"/>
      <c r="S110" s="199"/>
      <c r="T110" s="199"/>
      <c r="U110" s="199"/>
      <c r="V110" s="199"/>
      <c r="W110" s="199"/>
      <c r="X110" s="199"/>
      <c r="Y110" s="199"/>
      <c r="Z110" s="199"/>
      <c r="AA110" s="199"/>
      <c r="AB110" s="168"/>
      <c r="AC110" s="192"/>
      <c r="AD110" s="192"/>
      <c r="AE110" s="192"/>
      <c r="AF110" s="192"/>
      <c r="AG110" s="192"/>
      <c r="AH110" s="192"/>
      <c r="AI110" s="192"/>
      <c r="AJ110" s="192"/>
      <c r="AK110" s="192"/>
      <c r="AL110" s="192"/>
      <c r="AM110" s="192"/>
      <c r="AN110" s="192"/>
      <c r="AO110" s="192"/>
      <c r="AP110" s="192"/>
      <c r="AQ110" s="192"/>
      <c r="AR110" s="192"/>
      <c r="AS110" s="192"/>
      <c r="AT110" s="192"/>
      <c r="AU110" s="192"/>
      <c r="AV110" s="192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</row>
    <row r="111" spans="1:90" ht="19.5" customHeight="1" x14ac:dyDescent="0.35">
      <c r="A111" s="173"/>
      <c r="B111" s="218"/>
      <c r="C111" s="213" t="s">
        <v>76</v>
      </c>
      <c r="D111" s="213"/>
      <c r="E111" s="222">
        <f>+J104</f>
        <v>184125.8</v>
      </c>
      <c r="F111" s="199"/>
      <c r="G111" s="199"/>
      <c r="H111" s="199"/>
      <c r="I111" s="199"/>
      <c r="J111" s="199"/>
      <c r="K111" s="199"/>
      <c r="L111" s="199"/>
      <c r="M111" s="199"/>
      <c r="N111" s="199"/>
      <c r="O111" s="199"/>
      <c r="P111" s="199"/>
      <c r="Q111" s="199"/>
      <c r="R111" s="199"/>
      <c r="S111" s="199"/>
      <c r="T111" s="199"/>
      <c r="U111" s="199"/>
      <c r="V111" s="199"/>
      <c r="W111" s="199"/>
      <c r="X111" s="199"/>
      <c r="Y111" s="199"/>
      <c r="Z111" s="199"/>
      <c r="AA111" s="199"/>
      <c r="AB111" s="168"/>
      <c r="AC111" s="192"/>
      <c r="AD111" s="192"/>
      <c r="AE111" s="192"/>
      <c r="AF111" s="192"/>
      <c r="AG111" s="192"/>
      <c r="AH111" s="192"/>
      <c r="AI111" s="192"/>
      <c r="AJ111" s="192"/>
      <c r="AK111" s="192"/>
      <c r="AL111" s="192"/>
      <c r="AM111" s="192"/>
      <c r="AN111" s="192"/>
      <c r="AO111" s="192"/>
      <c r="AP111" s="192"/>
      <c r="AQ111" s="192"/>
      <c r="AR111" s="192"/>
      <c r="AS111" s="192"/>
      <c r="AT111" s="192"/>
      <c r="AU111" s="192"/>
      <c r="AV111" s="192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</row>
    <row r="112" spans="1:90" ht="19.5" customHeight="1" x14ac:dyDescent="0.35">
      <c r="A112" s="173"/>
      <c r="B112" s="218"/>
      <c r="C112" s="213" t="s">
        <v>58</v>
      </c>
      <c r="D112" s="213"/>
      <c r="E112" s="222">
        <f>+K104</f>
        <v>89111.26</v>
      </c>
      <c r="F112" s="199"/>
      <c r="G112" s="199"/>
      <c r="H112" s="199"/>
      <c r="I112" s="199"/>
      <c r="J112" s="199"/>
      <c r="K112" s="199"/>
      <c r="L112" s="199"/>
      <c r="M112" s="199"/>
      <c r="N112" s="199"/>
      <c r="O112" s="199"/>
      <c r="P112" s="199"/>
      <c r="Q112" s="199"/>
      <c r="R112" s="199"/>
      <c r="S112" s="199"/>
      <c r="T112" s="199"/>
      <c r="U112" s="199"/>
      <c r="V112" s="199"/>
      <c r="W112" s="199"/>
      <c r="X112" s="199"/>
      <c r="Y112" s="199"/>
      <c r="Z112" s="199"/>
      <c r="AA112" s="199"/>
      <c r="AB112" s="168"/>
      <c r="AC112" s="192"/>
      <c r="AD112" s="192"/>
      <c r="AE112" s="192"/>
      <c r="AF112" s="192"/>
      <c r="AG112" s="192"/>
      <c r="AH112" s="192"/>
      <c r="AI112" s="192"/>
      <c r="AJ112" s="192"/>
      <c r="AK112" s="192"/>
      <c r="AL112" s="192"/>
      <c r="AM112" s="192"/>
      <c r="AN112" s="192"/>
      <c r="AO112" s="192"/>
      <c r="AP112" s="192"/>
      <c r="AQ112" s="192"/>
      <c r="AR112" s="192"/>
      <c r="AS112" s="192"/>
      <c r="AT112" s="192"/>
      <c r="AU112" s="192"/>
      <c r="AV112" s="19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</row>
    <row r="113" spans="1:90" ht="19.5" customHeight="1" x14ac:dyDescent="0.35">
      <c r="A113" s="173"/>
      <c r="B113" s="218"/>
      <c r="C113" s="227" t="s">
        <v>59</v>
      </c>
      <c r="D113" s="213"/>
      <c r="E113" s="222">
        <f>+L104</f>
        <v>24235.63</v>
      </c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199"/>
      <c r="S113" s="199"/>
      <c r="T113" s="199"/>
      <c r="U113" s="199"/>
      <c r="V113" s="199"/>
      <c r="W113" s="199"/>
      <c r="X113" s="199"/>
      <c r="Y113" s="199"/>
      <c r="Z113" s="199"/>
      <c r="AA113" s="199"/>
      <c r="AB113" s="168"/>
      <c r="AC113" s="192"/>
      <c r="AD113" s="192"/>
      <c r="AE113" s="192"/>
      <c r="AF113" s="192"/>
      <c r="AG113" s="192"/>
      <c r="AH113" s="192"/>
      <c r="AI113" s="192"/>
      <c r="AJ113" s="192"/>
      <c r="AK113" s="192"/>
      <c r="AL113" s="192"/>
      <c r="AM113" s="192"/>
      <c r="AN113" s="192"/>
      <c r="AO113" s="192"/>
      <c r="AP113" s="192"/>
      <c r="AQ113" s="192"/>
      <c r="AR113" s="192"/>
      <c r="AS113" s="192"/>
      <c r="AT113" s="192"/>
      <c r="AU113" s="192"/>
      <c r="AV113" s="192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</row>
    <row r="114" spans="1:90" ht="19.5" customHeight="1" x14ac:dyDescent="0.35">
      <c r="A114" s="173"/>
      <c r="B114" s="218"/>
      <c r="C114" s="213" t="s">
        <v>60</v>
      </c>
      <c r="D114" s="213"/>
      <c r="E114" s="222">
        <f>+M104</f>
        <v>0</v>
      </c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9"/>
      <c r="V114" s="199"/>
      <c r="W114" s="199"/>
      <c r="X114" s="199"/>
      <c r="Y114" s="199"/>
      <c r="Z114" s="199"/>
      <c r="AA114" s="199"/>
      <c r="AB114" s="168"/>
      <c r="AC114" s="192"/>
      <c r="AD114" s="192"/>
      <c r="AE114" s="192"/>
      <c r="AF114" s="192"/>
      <c r="AG114" s="192"/>
      <c r="AH114" s="192"/>
      <c r="AI114" s="192"/>
      <c r="AJ114" s="192"/>
      <c r="AK114" s="192"/>
      <c r="AL114" s="192"/>
      <c r="AM114" s="192"/>
      <c r="AN114" s="192"/>
      <c r="AO114" s="192"/>
      <c r="AP114" s="192"/>
      <c r="AQ114" s="192"/>
      <c r="AR114" s="192"/>
      <c r="AS114" s="192"/>
      <c r="AT114" s="192"/>
      <c r="AU114" s="192"/>
      <c r="AV114" s="192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</row>
    <row r="115" spans="1:90" ht="19.5" customHeight="1" x14ac:dyDescent="0.35">
      <c r="A115" s="173"/>
      <c r="B115" s="218"/>
      <c r="C115" s="213" t="s">
        <v>61</v>
      </c>
      <c r="D115" s="213"/>
      <c r="E115" s="222">
        <f>+N104</f>
        <v>0</v>
      </c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  <c r="S115" s="199"/>
      <c r="T115" s="199"/>
      <c r="U115" s="199"/>
      <c r="V115" s="199"/>
      <c r="W115" s="199"/>
      <c r="X115" s="199"/>
      <c r="Y115" s="199"/>
      <c r="Z115" s="199"/>
      <c r="AA115" s="199"/>
      <c r="AB115" s="168"/>
      <c r="AC115" s="192"/>
      <c r="AD115" s="192"/>
      <c r="AE115" s="192"/>
      <c r="AF115" s="192"/>
      <c r="AG115" s="192"/>
      <c r="AH115" s="192"/>
      <c r="AI115" s="192"/>
      <c r="AJ115" s="192"/>
      <c r="AK115" s="192"/>
      <c r="AL115" s="192"/>
      <c r="AM115" s="192"/>
      <c r="AN115" s="192"/>
      <c r="AO115" s="192"/>
      <c r="AP115" s="192"/>
      <c r="AQ115" s="192"/>
      <c r="AR115" s="192"/>
      <c r="AS115" s="192"/>
      <c r="AT115" s="192"/>
      <c r="AU115" s="192"/>
      <c r="AV115" s="192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</row>
    <row r="116" spans="1:90" ht="19.5" customHeight="1" x14ac:dyDescent="0.35">
      <c r="A116" s="173"/>
      <c r="B116" s="218"/>
      <c r="C116" s="213" t="s">
        <v>103</v>
      </c>
      <c r="D116" s="213"/>
      <c r="E116" s="222">
        <f>+O104</f>
        <v>0</v>
      </c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199"/>
      <c r="X116" s="199"/>
      <c r="Y116" s="199"/>
      <c r="Z116" s="199"/>
      <c r="AA116" s="199"/>
      <c r="AB116" s="168"/>
      <c r="AC116" s="192"/>
      <c r="AD116" s="192"/>
      <c r="AE116" s="192"/>
      <c r="AF116" s="192"/>
      <c r="AG116" s="192"/>
      <c r="AH116" s="192"/>
      <c r="AI116" s="192"/>
      <c r="AJ116" s="192"/>
      <c r="AK116" s="192"/>
      <c r="AL116" s="192"/>
      <c r="AM116" s="192"/>
      <c r="AN116" s="192"/>
      <c r="AO116" s="192"/>
      <c r="AP116" s="192"/>
      <c r="AQ116" s="192"/>
      <c r="AR116" s="192"/>
      <c r="AS116" s="192"/>
      <c r="AT116" s="192"/>
      <c r="AU116" s="192"/>
      <c r="AV116" s="192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</row>
    <row r="117" spans="1:90" ht="19.5" customHeight="1" x14ac:dyDescent="0.35">
      <c r="A117" s="173"/>
      <c r="B117" s="218"/>
      <c r="C117" s="213" t="s">
        <v>62</v>
      </c>
      <c r="D117" s="213"/>
      <c r="E117" s="222">
        <f>+P104</f>
        <v>0</v>
      </c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9"/>
      <c r="X117" s="199"/>
      <c r="Y117" s="199"/>
      <c r="Z117" s="199"/>
      <c r="AA117" s="199"/>
      <c r="AB117" s="168"/>
      <c r="AC117" s="192"/>
      <c r="AD117" s="192"/>
      <c r="AE117" s="192"/>
      <c r="AF117" s="192"/>
      <c r="AG117" s="192"/>
      <c r="AH117" s="192"/>
      <c r="AI117" s="192"/>
      <c r="AJ117" s="192"/>
      <c r="AK117" s="192"/>
      <c r="AL117" s="192"/>
      <c r="AM117" s="192"/>
      <c r="AN117" s="192"/>
      <c r="AO117" s="192"/>
      <c r="AP117" s="192"/>
      <c r="AQ117" s="192"/>
      <c r="AR117" s="192"/>
      <c r="AS117" s="192"/>
      <c r="AT117" s="192"/>
      <c r="AU117" s="192"/>
      <c r="AV117" s="192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</row>
    <row r="118" spans="1:90" ht="19.5" customHeight="1" x14ac:dyDescent="0.35">
      <c r="A118" s="173"/>
      <c r="B118" s="218"/>
      <c r="C118" s="213" t="s">
        <v>63</v>
      </c>
      <c r="D118" s="213"/>
      <c r="E118" s="222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199"/>
      <c r="X118" s="199"/>
      <c r="Y118" s="199"/>
      <c r="Z118" s="199"/>
      <c r="AA118" s="199"/>
      <c r="AB118" s="168"/>
      <c r="AC118" s="192"/>
      <c r="AD118" s="192"/>
      <c r="AE118" s="192"/>
      <c r="AF118" s="192"/>
      <c r="AG118" s="192"/>
      <c r="AH118" s="192"/>
      <c r="AI118" s="192"/>
      <c r="AJ118" s="192"/>
      <c r="AK118" s="192"/>
      <c r="AL118" s="192"/>
      <c r="AM118" s="192"/>
      <c r="AN118" s="192"/>
      <c r="AO118" s="192"/>
      <c r="AP118" s="192"/>
      <c r="AQ118" s="192"/>
      <c r="AR118" s="192"/>
      <c r="AS118" s="192"/>
      <c r="AT118" s="192"/>
      <c r="AU118" s="192"/>
      <c r="AV118" s="192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</row>
    <row r="119" spans="1:90" ht="19.5" customHeight="1" x14ac:dyDescent="0.35">
      <c r="A119" s="173"/>
      <c r="B119" s="218"/>
      <c r="C119" s="213" t="s">
        <v>64</v>
      </c>
      <c r="D119" s="213"/>
      <c r="E119" s="222">
        <v>0</v>
      </c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9"/>
      <c r="X119" s="199"/>
      <c r="Y119" s="199"/>
      <c r="Z119" s="199"/>
      <c r="AA119" s="199"/>
      <c r="AB119" s="168"/>
      <c r="AC119" s="192"/>
      <c r="AD119" s="192"/>
      <c r="AE119" s="192"/>
      <c r="AF119" s="192"/>
      <c r="AG119" s="192"/>
      <c r="AH119" s="192"/>
      <c r="AI119" s="192"/>
      <c r="AJ119" s="192"/>
      <c r="AK119" s="192"/>
      <c r="AL119" s="192"/>
      <c r="AM119" s="192"/>
      <c r="AN119" s="192"/>
      <c r="AO119" s="192"/>
      <c r="AP119" s="192"/>
      <c r="AQ119" s="192"/>
      <c r="AR119" s="192"/>
      <c r="AS119" s="192"/>
      <c r="AT119" s="192"/>
      <c r="AU119" s="192"/>
      <c r="AV119" s="192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</row>
    <row r="120" spans="1:90" ht="19.5" customHeight="1" x14ac:dyDescent="0.35">
      <c r="A120" s="173"/>
      <c r="B120" s="218"/>
      <c r="C120" s="213" t="s">
        <v>65</v>
      </c>
      <c r="D120" s="213"/>
      <c r="E120" s="222">
        <f>+S104</f>
        <v>0</v>
      </c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199"/>
      <c r="X120" s="199"/>
      <c r="Y120" s="199"/>
      <c r="Z120" s="199"/>
      <c r="AA120" s="199"/>
      <c r="AB120" s="168"/>
      <c r="AC120" s="192"/>
      <c r="AD120" s="192"/>
      <c r="AE120" s="192"/>
      <c r="AF120" s="192"/>
      <c r="AG120" s="192"/>
      <c r="AH120" s="192"/>
      <c r="AI120" s="192"/>
      <c r="AJ120" s="192"/>
      <c r="AK120" s="192"/>
      <c r="AL120" s="192"/>
      <c r="AM120" s="192"/>
      <c r="AN120" s="192"/>
      <c r="AO120" s="192"/>
      <c r="AP120" s="192"/>
      <c r="AQ120" s="192"/>
      <c r="AR120" s="192"/>
      <c r="AS120" s="192"/>
      <c r="AT120" s="192"/>
      <c r="AU120" s="192"/>
      <c r="AV120" s="192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</row>
    <row r="121" spans="1:90" ht="19.5" customHeight="1" x14ac:dyDescent="0.35">
      <c r="A121" s="173"/>
      <c r="B121" s="218"/>
      <c r="C121" s="189" t="s">
        <v>66</v>
      </c>
      <c r="D121" s="213"/>
      <c r="E121" s="222">
        <f>+T104</f>
        <v>0</v>
      </c>
      <c r="F121" s="199"/>
      <c r="G121" s="199"/>
      <c r="H121" s="199"/>
      <c r="I121" s="199"/>
      <c r="J121" s="199"/>
      <c r="K121" s="199"/>
      <c r="L121" s="199"/>
      <c r="M121" s="199"/>
      <c r="N121" s="199"/>
      <c r="O121" s="199"/>
      <c r="P121" s="199"/>
      <c r="Q121" s="199"/>
      <c r="R121" s="199"/>
      <c r="S121" s="199"/>
      <c r="T121" s="199"/>
      <c r="U121" s="199"/>
      <c r="V121" s="199"/>
      <c r="W121" s="199"/>
      <c r="X121" s="199"/>
      <c r="Y121" s="199"/>
      <c r="Z121" s="199"/>
      <c r="AA121" s="199"/>
      <c r="AB121" s="168"/>
      <c r="AC121" s="192"/>
      <c r="AD121" s="192"/>
      <c r="AE121" s="192"/>
      <c r="AF121" s="192"/>
      <c r="AG121" s="192"/>
      <c r="AH121" s="192"/>
      <c r="AI121" s="192"/>
      <c r="AJ121" s="192"/>
      <c r="AK121" s="192"/>
      <c r="AL121" s="192"/>
      <c r="AM121" s="192"/>
      <c r="AN121" s="192"/>
      <c r="AO121" s="192"/>
      <c r="AP121" s="192"/>
      <c r="AQ121" s="192"/>
      <c r="AR121" s="192"/>
      <c r="AS121" s="192"/>
      <c r="AT121" s="192"/>
      <c r="AU121" s="192"/>
      <c r="AV121" s="192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</row>
    <row r="122" spans="1:90" ht="19.5" customHeight="1" x14ac:dyDescent="0.35">
      <c r="A122" s="173"/>
      <c r="B122" s="218"/>
      <c r="C122" s="213" t="s">
        <v>160</v>
      </c>
      <c r="D122" s="213"/>
      <c r="E122" s="222">
        <f>+U104</f>
        <v>3000</v>
      </c>
      <c r="F122" s="199"/>
      <c r="G122" s="199"/>
      <c r="H122" s="199"/>
      <c r="I122" s="199"/>
      <c r="J122" s="199"/>
      <c r="K122" s="199"/>
      <c r="L122" s="199"/>
      <c r="M122" s="199"/>
      <c r="N122" s="199"/>
      <c r="O122" s="199"/>
      <c r="P122" s="199"/>
      <c r="Q122" s="199"/>
      <c r="R122" s="199"/>
      <c r="S122" s="199"/>
      <c r="T122" s="199"/>
      <c r="U122" s="199"/>
      <c r="V122" s="199"/>
      <c r="W122" s="199"/>
      <c r="X122" s="199"/>
      <c r="Y122" s="199"/>
      <c r="Z122" s="199"/>
      <c r="AA122" s="199"/>
      <c r="AB122" s="168"/>
      <c r="AC122" s="192"/>
      <c r="AD122" s="192"/>
      <c r="AE122" s="192"/>
      <c r="AF122" s="192"/>
      <c r="AG122" s="192"/>
      <c r="AH122" s="192"/>
      <c r="AI122" s="192"/>
      <c r="AJ122" s="192"/>
      <c r="AK122" s="192"/>
      <c r="AL122" s="192"/>
      <c r="AM122" s="192"/>
      <c r="AN122" s="192"/>
      <c r="AO122" s="192"/>
      <c r="AP122" s="192"/>
      <c r="AQ122" s="192"/>
      <c r="AR122" s="192"/>
      <c r="AS122" s="192"/>
      <c r="AT122" s="192"/>
      <c r="AU122" s="192"/>
      <c r="AV122" s="19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</row>
    <row r="123" spans="1:90" ht="19.5" customHeight="1" x14ac:dyDescent="0.35">
      <c r="A123" s="173"/>
      <c r="B123" s="218"/>
      <c r="C123" s="213" t="s">
        <v>67</v>
      </c>
      <c r="D123" s="213"/>
      <c r="E123" s="222">
        <f>+V104</f>
        <v>34786.959999999999</v>
      </c>
      <c r="F123" s="199"/>
      <c r="G123" s="199"/>
      <c r="H123" s="199"/>
      <c r="I123" s="199"/>
      <c r="J123" s="199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199"/>
      <c r="X123" s="199"/>
      <c r="Y123" s="199"/>
      <c r="Z123" s="199"/>
      <c r="AA123" s="199"/>
      <c r="AB123" s="168"/>
      <c r="AC123" s="192"/>
      <c r="AD123" s="192"/>
      <c r="AE123" s="192"/>
      <c r="AF123" s="192"/>
      <c r="AG123" s="192"/>
      <c r="AH123" s="192"/>
      <c r="AI123" s="192"/>
      <c r="AJ123" s="192"/>
      <c r="AK123" s="192"/>
      <c r="AL123" s="192"/>
      <c r="AM123" s="192"/>
      <c r="AN123" s="192"/>
      <c r="AO123" s="192"/>
      <c r="AP123" s="192"/>
      <c r="AQ123" s="192"/>
      <c r="AR123" s="192"/>
      <c r="AS123" s="192"/>
      <c r="AT123" s="192"/>
      <c r="AU123" s="192"/>
      <c r="AV123" s="192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</row>
    <row r="124" spans="1:90" ht="19.5" customHeight="1" x14ac:dyDescent="0.35">
      <c r="A124" s="173"/>
      <c r="B124" s="218"/>
      <c r="C124" s="213" t="s">
        <v>68</v>
      </c>
      <c r="D124" s="213"/>
      <c r="E124" s="222">
        <f>+W104</f>
        <v>63095.360000000001</v>
      </c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68"/>
      <c r="AC124" s="192"/>
      <c r="AD124" s="192"/>
      <c r="AE124" s="192"/>
      <c r="AF124" s="192"/>
      <c r="AG124" s="192"/>
      <c r="AH124" s="192"/>
      <c r="AI124" s="192"/>
      <c r="AJ124" s="192"/>
      <c r="AK124" s="192"/>
      <c r="AL124" s="192"/>
      <c r="AM124" s="192"/>
      <c r="AN124" s="192"/>
      <c r="AO124" s="192"/>
      <c r="AP124" s="192"/>
      <c r="AQ124" s="192"/>
      <c r="AR124" s="192"/>
      <c r="AS124" s="192"/>
      <c r="AT124" s="192"/>
      <c r="AU124" s="192"/>
      <c r="AV124" s="192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</row>
    <row r="125" spans="1:90" ht="19.5" customHeight="1" x14ac:dyDescent="0.35">
      <c r="A125" s="173"/>
      <c r="B125" s="218"/>
      <c r="C125" s="213" t="s">
        <v>69</v>
      </c>
      <c r="D125" s="213"/>
      <c r="E125" s="222">
        <f>+X104</f>
        <v>48298</v>
      </c>
      <c r="F125" s="199"/>
      <c r="G125" s="199"/>
      <c r="H125" s="199"/>
      <c r="I125" s="199"/>
      <c r="J125" s="199"/>
      <c r="K125" s="199"/>
      <c r="L125" s="199"/>
      <c r="M125" s="199"/>
      <c r="N125" s="199"/>
      <c r="O125" s="199"/>
      <c r="P125" s="199"/>
      <c r="Q125" s="199"/>
      <c r="R125" s="199"/>
      <c r="S125" s="199"/>
      <c r="T125" s="199"/>
      <c r="U125" s="199"/>
      <c r="V125" s="199"/>
      <c r="W125" s="199"/>
      <c r="X125" s="199"/>
      <c r="Y125" s="199"/>
      <c r="Z125" s="199"/>
      <c r="AA125" s="199"/>
      <c r="AB125" s="168"/>
      <c r="AC125" s="192"/>
      <c r="AD125" s="192"/>
      <c r="AE125" s="192"/>
      <c r="AF125" s="192"/>
      <c r="AG125" s="192"/>
      <c r="AH125" s="192"/>
      <c r="AI125" s="192"/>
      <c r="AJ125" s="192"/>
      <c r="AK125" s="192"/>
      <c r="AL125" s="192"/>
      <c r="AM125" s="192"/>
      <c r="AN125" s="192"/>
      <c r="AO125" s="192"/>
      <c r="AP125" s="192"/>
      <c r="AQ125" s="192"/>
      <c r="AR125" s="192"/>
      <c r="AS125" s="192"/>
      <c r="AT125" s="192"/>
      <c r="AU125" s="192"/>
      <c r="AV125" s="192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</row>
    <row r="126" spans="1:90" ht="19.5" customHeight="1" x14ac:dyDescent="0.35">
      <c r="A126" s="173"/>
      <c r="B126" s="218"/>
      <c r="C126" s="213" t="s">
        <v>70</v>
      </c>
      <c r="D126" s="213"/>
      <c r="E126" s="222">
        <f>+Y104</f>
        <v>44850</v>
      </c>
      <c r="F126" s="199"/>
      <c r="G126" s="199"/>
      <c r="H126" s="199"/>
      <c r="I126" s="199"/>
      <c r="J126" s="199"/>
      <c r="K126" s="199"/>
      <c r="L126" s="199"/>
      <c r="M126" s="199"/>
      <c r="N126" s="199"/>
      <c r="O126" s="199"/>
      <c r="P126" s="199"/>
      <c r="Q126" s="199"/>
      <c r="R126" s="199"/>
      <c r="S126" s="199"/>
      <c r="T126" s="199"/>
      <c r="U126" s="199"/>
      <c r="V126" s="199"/>
      <c r="W126" s="199"/>
      <c r="X126" s="199"/>
      <c r="Y126" s="199"/>
      <c r="Z126" s="199"/>
      <c r="AA126" s="199"/>
      <c r="AB126" s="168"/>
      <c r="AC126" s="192"/>
      <c r="AD126" s="192"/>
      <c r="AE126" s="192"/>
      <c r="AF126" s="192"/>
      <c r="AG126" s="192"/>
      <c r="AH126" s="192"/>
      <c r="AI126" s="192"/>
      <c r="AJ126" s="192"/>
      <c r="AK126" s="192"/>
      <c r="AL126" s="192"/>
      <c r="AM126" s="192"/>
      <c r="AN126" s="192"/>
      <c r="AO126" s="192"/>
      <c r="AP126" s="192"/>
      <c r="AQ126" s="192"/>
      <c r="AR126" s="192"/>
      <c r="AS126" s="192"/>
      <c r="AT126" s="192"/>
      <c r="AU126" s="192"/>
      <c r="AV126" s="192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</row>
    <row r="127" spans="1:90" ht="19.5" customHeight="1" x14ac:dyDescent="0.35">
      <c r="A127" s="173"/>
      <c r="B127" s="218"/>
      <c r="C127" s="213"/>
      <c r="D127" s="213"/>
      <c r="E127" s="222"/>
      <c r="F127" s="199"/>
      <c r="G127" s="199"/>
      <c r="H127" s="199"/>
      <c r="I127" s="199"/>
      <c r="J127" s="199"/>
      <c r="K127" s="199"/>
      <c r="L127" s="199"/>
      <c r="M127" s="199"/>
      <c r="N127" s="199"/>
      <c r="O127" s="199"/>
      <c r="P127" s="199"/>
      <c r="Q127" s="199"/>
      <c r="R127" s="199"/>
      <c r="S127" s="199"/>
      <c r="T127" s="199"/>
      <c r="U127" s="199"/>
      <c r="V127" s="199"/>
      <c r="W127" s="199"/>
      <c r="X127" s="199"/>
      <c r="Y127" s="199"/>
      <c r="Z127" s="199"/>
      <c r="AA127" s="199"/>
      <c r="AB127" s="168"/>
      <c r="AC127" s="192"/>
      <c r="AD127" s="192"/>
      <c r="AE127" s="192"/>
      <c r="AF127" s="192"/>
      <c r="AG127" s="192"/>
      <c r="AH127" s="192"/>
      <c r="AI127" s="192"/>
      <c r="AJ127" s="192"/>
      <c r="AK127" s="192"/>
      <c r="AL127" s="192"/>
      <c r="AM127" s="192"/>
      <c r="AN127" s="192"/>
      <c r="AO127" s="192"/>
      <c r="AP127" s="192"/>
      <c r="AQ127" s="192"/>
      <c r="AR127" s="192"/>
      <c r="AS127" s="192"/>
      <c r="AT127" s="192"/>
      <c r="AU127" s="192"/>
      <c r="AV127" s="192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</row>
    <row r="128" spans="1:90" ht="19.5" customHeight="1" x14ac:dyDescent="0.35">
      <c r="A128" s="173"/>
      <c r="B128" s="218"/>
      <c r="C128" s="228"/>
      <c r="D128" s="213"/>
      <c r="E128" s="176">
        <f>SUM(E108:E126)</f>
        <v>785523.16999999993</v>
      </c>
      <c r="F128" s="229"/>
      <c r="G128" s="199"/>
      <c r="H128" s="199"/>
      <c r="I128" s="199"/>
      <c r="J128" s="199"/>
      <c r="K128" s="199"/>
      <c r="L128" s="199"/>
      <c r="M128" s="199"/>
      <c r="N128" s="199"/>
      <c r="O128" s="199"/>
      <c r="P128" s="199"/>
      <c r="Q128" s="199"/>
      <c r="R128" s="199"/>
      <c r="S128" s="199"/>
      <c r="T128" s="199"/>
      <c r="U128" s="199"/>
      <c r="V128" s="199"/>
      <c r="W128" s="199"/>
      <c r="X128" s="199"/>
      <c r="Y128" s="199"/>
      <c r="Z128" s="199"/>
      <c r="AA128" s="199"/>
      <c r="AB128" s="168"/>
      <c r="AC128" s="192"/>
      <c r="AD128" s="192"/>
      <c r="AE128" s="192"/>
      <c r="AF128" s="192"/>
      <c r="AG128" s="192"/>
      <c r="AH128" s="192"/>
      <c r="AI128" s="192"/>
      <c r="AJ128" s="192"/>
      <c r="AK128" s="192"/>
      <c r="AL128" s="192"/>
      <c r="AM128" s="192"/>
      <c r="AN128" s="192"/>
      <c r="AO128" s="192"/>
      <c r="AP128" s="192"/>
      <c r="AQ128" s="192"/>
      <c r="AR128" s="192"/>
      <c r="AS128" s="192"/>
      <c r="AT128" s="192"/>
      <c r="AU128" s="192"/>
      <c r="AV128" s="192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</row>
    <row r="129" spans="1:48" ht="19.5" customHeight="1" x14ac:dyDescent="0.35">
      <c r="A129" s="184"/>
      <c r="B129" s="218"/>
      <c r="C129" s="213"/>
      <c r="D129" s="213"/>
      <c r="E129" s="188"/>
      <c r="F129" s="199"/>
      <c r="G129" s="199"/>
      <c r="H129" s="199"/>
      <c r="I129" s="199"/>
      <c r="J129" s="199"/>
      <c r="K129" s="199"/>
      <c r="L129" s="199"/>
      <c r="M129" s="199"/>
      <c r="N129" s="199"/>
      <c r="O129" s="199"/>
      <c r="P129" s="199"/>
      <c r="Q129" s="199"/>
      <c r="R129" s="199"/>
      <c r="S129" s="199"/>
      <c r="T129" s="199"/>
      <c r="U129" s="199"/>
      <c r="V129" s="199"/>
      <c r="W129" s="199"/>
      <c r="X129" s="199"/>
      <c r="Y129" s="199"/>
      <c r="Z129" s="199"/>
      <c r="AA129" s="199"/>
      <c r="AB129" s="168"/>
      <c r="AC129" s="192"/>
      <c r="AD129" s="192"/>
      <c r="AE129" s="192"/>
      <c r="AF129" s="192"/>
      <c r="AG129" s="192"/>
      <c r="AH129" s="192"/>
      <c r="AI129" s="192"/>
      <c r="AJ129" s="192"/>
      <c r="AK129" s="192"/>
      <c r="AL129" s="192"/>
      <c r="AM129" s="192"/>
      <c r="AN129" s="192"/>
      <c r="AO129" s="192"/>
      <c r="AP129" s="192"/>
      <c r="AQ129" s="192"/>
      <c r="AR129" s="192"/>
      <c r="AS129" s="192"/>
      <c r="AT129" s="192"/>
      <c r="AU129" s="192"/>
      <c r="AV129" s="192"/>
    </row>
    <row r="130" spans="1:48" ht="19.5" customHeight="1" x14ac:dyDescent="0.35">
      <c r="A130" s="184"/>
      <c r="B130" s="218"/>
      <c r="C130" s="213"/>
      <c r="D130" s="222"/>
      <c r="E130" s="222"/>
      <c r="F130" s="199"/>
      <c r="G130" s="199"/>
      <c r="H130" s="199"/>
      <c r="I130" s="199"/>
      <c r="J130" s="199"/>
      <c r="K130" s="199"/>
      <c r="L130" s="199"/>
      <c r="M130" s="199"/>
      <c r="N130" s="199"/>
      <c r="O130" s="199"/>
      <c r="P130" s="199"/>
      <c r="Q130" s="199"/>
      <c r="R130" s="199"/>
      <c r="S130" s="199"/>
      <c r="T130" s="199"/>
      <c r="U130" s="199"/>
      <c r="V130" s="199"/>
      <c r="W130" s="199"/>
      <c r="X130" s="199"/>
      <c r="Y130" s="199"/>
      <c r="Z130" s="199"/>
      <c r="AA130" s="199"/>
      <c r="AB130" s="168"/>
      <c r="AC130" s="192"/>
      <c r="AD130" s="192"/>
      <c r="AE130" s="192"/>
      <c r="AF130" s="192"/>
      <c r="AG130" s="192"/>
      <c r="AH130" s="192"/>
      <c r="AI130" s="192"/>
      <c r="AJ130" s="192"/>
      <c r="AK130" s="192"/>
      <c r="AL130" s="192"/>
      <c r="AM130" s="192"/>
      <c r="AN130" s="192"/>
      <c r="AO130" s="192"/>
      <c r="AP130" s="192"/>
      <c r="AQ130" s="192"/>
      <c r="AR130" s="192"/>
      <c r="AS130" s="192"/>
      <c r="AT130" s="192"/>
      <c r="AU130" s="192"/>
      <c r="AV130" s="192"/>
    </row>
    <row r="131" spans="1:48" ht="19.5" customHeight="1" x14ac:dyDescent="0.35">
      <c r="A131" s="184"/>
      <c r="B131" s="218"/>
      <c r="C131" s="213"/>
      <c r="D131" s="213"/>
      <c r="E131" s="222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9"/>
      <c r="V131" s="199"/>
      <c r="W131" s="199"/>
      <c r="X131" s="199"/>
      <c r="Y131" s="199"/>
      <c r="Z131" s="199"/>
      <c r="AA131" s="199"/>
      <c r="AB131" s="168"/>
      <c r="AC131" s="192"/>
      <c r="AD131" s="192"/>
      <c r="AE131" s="192"/>
      <c r="AF131" s="192"/>
      <c r="AG131" s="192"/>
      <c r="AH131" s="192"/>
      <c r="AI131" s="192"/>
      <c r="AJ131" s="192"/>
      <c r="AK131" s="192"/>
      <c r="AL131" s="192"/>
      <c r="AM131" s="192"/>
      <c r="AN131" s="192"/>
      <c r="AO131" s="192"/>
      <c r="AP131" s="192"/>
      <c r="AQ131" s="192"/>
      <c r="AR131" s="192"/>
      <c r="AS131" s="192"/>
      <c r="AT131" s="192"/>
      <c r="AU131" s="192"/>
      <c r="AV131" s="192"/>
    </row>
    <row r="132" spans="1:48" ht="19.5" customHeight="1" x14ac:dyDescent="0.35">
      <c r="A132" s="184"/>
      <c r="B132" s="218"/>
      <c r="C132" s="213"/>
      <c r="D132" s="213"/>
      <c r="E132" s="222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9"/>
      <c r="V132" s="199"/>
      <c r="W132" s="199"/>
      <c r="X132" s="199"/>
      <c r="Y132" s="199"/>
      <c r="Z132" s="199"/>
      <c r="AA132" s="199"/>
      <c r="AB132" s="168"/>
      <c r="AC132" s="192"/>
      <c r="AD132" s="192"/>
      <c r="AE132" s="192"/>
      <c r="AF132" s="192"/>
      <c r="AG132" s="192"/>
      <c r="AH132" s="192"/>
      <c r="AI132" s="192"/>
      <c r="AJ132" s="192"/>
      <c r="AK132" s="192"/>
      <c r="AL132" s="192"/>
      <c r="AM132" s="192"/>
      <c r="AN132" s="192"/>
      <c r="AO132" s="192"/>
      <c r="AP132" s="192"/>
      <c r="AQ132" s="192"/>
      <c r="AR132" s="192"/>
      <c r="AS132" s="192"/>
      <c r="AT132" s="192"/>
      <c r="AU132" s="192"/>
      <c r="AV132" s="192"/>
    </row>
    <row r="133" spans="1:48" ht="19.5" customHeight="1" x14ac:dyDescent="0.35">
      <c r="A133" s="184"/>
      <c r="B133" s="218"/>
      <c r="C133" s="213"/>
      <c r="D133" s="213"/>
      <c r="E133" s="222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9"/>
      <c r="V133" s="199"/>
      <c r="W133" s="199"/>
      <c r="X133" s="199"/>
      <c r="Y133" s="199"/>
      <c r="Z133" s="199"/>
      <c r="AA133" s="199"/>
      <c r="AB133" s="168"/>
      <c r="AC133" s="192"/>
      <c r="AD133" s="192"/>
      <c r="AE133" s="192"/>
      <c r="AF133" s="192"/>
      <c r="AG133" s="192"/>
      <c r="AH133" s="192"/>
      <c r="AI133" s="192"/>
      <c r="AJ133" s="192"/>
      <c r="AK133" s="192"/>
      <c r="AL133" s="192"/>
      <c r="AM133" s="192"/>
      <c r="AN133" s="192"/>
      <c r="AO133" s="192"/>
      <c r="AP133" s="192"/>
      <c r="AQ133" s="192"/>
      <c r="AR133" s="192"/>
      <c r="AS133" s="192"/>
      <c r="AT133" s="192"/>
      <c r="AU133" s="192"/>
      <c r="AV133" s="192"/>
    </row>
    <row r="134" spans="1:48" ht="19.5" customHeight="1" x14ac:dyDescent="0.35">
      <c r="A134" s="184"/>
      <c r="B134" s="218"/>
      <c r="C134" s="213"/>
      <c r="D134" s="213"/>
      <c r="E134" s="222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9"/>
      <c r="V134" s="199"/>
      <c r="W134" s="199"/>
      <c r="X134" s="199"/>
      <c r="Y134" s="199"/>
      <c r="Z134" s="199"/>
      <c r="AA134" s="199"/>
      <c r="AB134" s="168"/>
      <c r="AC134" s="192"/>
      <c r="AD134" s="192"/>
      <c r="AE134" s="192"/>
      <c r="AF134" s="192"/>
      <c r="AG134" s="192"/>
      <c r="AH134" s="192"/>
      <c r="AI134" s="192"/>
      <c r="AJ134" s="192"/>
      <c r="AK134" s="192"/>
      <c r="AL134" s="192"/>
      <c r="AM134" s="192"/>
      <c r="AN134" s="192"/>
      <c r="AO134" s="192"/>
      <c r="AP134" s="192"/>
      <c r="AQ134" s="192"/>
      <c r="AR134" s="192"/>
      <c r="AS134" s="192"/>
      <c r="AT134" s="192"/>
      <c r="AU134" s="192"/>
      <c r="AV134" s="192"/>
    </row>
    <row r="135" spans="1:48" ht="19.5" customHeight="1" x14ac:dyDescent="0.35">
      <c r="A135" s="184"/>
      <c r="B135" s="218"/>
      <c r="C135" s="213"/>
      <c r="D135" s="213"/>
      <c r="E135" s="222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9"/>
      <c r="V135" s="199"/>
      <c r="W135" s="199"/>
      <c r="X135" s="199"/>
      <c r="Y135" s="199"/>
      <c r="Z135" s="199"/>
      <c r="AA135" s="199"/>
      <c r="AB135" s="168"/>
      <c r="AC135" s="192"/>
      <c r="AD135" s="192"/>
      <c r="AE135" s="192"/>
      <c r="AF135" s="192"/>
      <c r="AG135" s="192"/>
      <c r="AH135" s="192"/>
      <c r="AI135" s="192"/>
      <c r="AJ135" s="192"/>
      <c r="AK135" s="192"/>
      <c r="AL135" s="192"/>
      <c r="AM135" s="192"/>
      <c r="AN135" s="192"/>
      <c r="AO135" s="192"/>
      <c r="AP135" s="192"/>
      <c r="AQ135" s="192"/>
      <c r="AR135" s="192"/>
      <c r="AS135" s="192"/>
      <c r="AT135" s="192"/>
      <c r="AU135" s="192"/>
      <c r="AV135" s="192"/>
    </row>
    <row r="136" spans="1:48" ht="19.5" customHeight="1" x14ac:dyDescent="0.35">
      <c r="A136" s="184"/>
      <c r="B136" s="218"/>
      <c r="C136" s="213"/>
      <c r="D136" s="213"/>
      <c r="E136" s="222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9"/>
      <c r="V136" s="199"/>
      <c r="W136" s="199"/>
      <c r="X136" s="199"/>
      <c r="Y136" s="199"/>
      <c r="Z136" s="199"/>
      <c r="AA136" s="199"/>
      <c r="AB136" s="168"/>
      <c r="AC136" s="192"/>
      <c r="AD136" s="192"/>
      <c r="AE136" s="192"/>
      <c r="AF136" s="192"/>
      <c r="AG136" s="192"/>
      <c r="AH136" s="192"/>
      <c r="AI136" s="192"/>
      <c r="AJ136" s="192"/>
      <c r="AK136" s="192"/>
      <c r="AL136" s="192"/>
      <c r="AM136" s="192"/>
      <c r="AN136" s="192"/>
      <c r="AO136" s="192"/>
      <c r="AP136" s="192"/>
      <c r="AQ136" s="192"/>
      <c r="AR136" s="192"/>
      <c r="AS136" s="192"/>
      <c r="AT136" s="192"/>
      <c r="AU136" s="192"/>
      <c r="AV136" s="192"/>
    </row>
    <row r="137" spans="1:48" ht="19.5" customHeight="1" x14ac:dyDescent="0.35">
      <c r="A137" s="184"/>
      <c r="B137" s="185"/>
      <c r="C137" s="186"/>
      <c r="D137" s="186"/>
      <c r="E137" s="187"/>
      <c r="F137" s="188"/>
      <c r="G137" s="188"/>
      <c r="H137" s="188"/>
      <c r="I137" s="188"/>
      <c r="J137" s="188"/>
      <c r="K137" s="188"/>
      <c r="L137" s="188"/>
      <c r="M137" s="188"/>
      <c r="N137" s="188"/>
      <c r="O137" s="188"/>
      <c r="P137" s="188"/>
      <c r="Q137" s="188"/>
      <c r="R137" s="188"/>
      <c r="S137" s="188"/>
      <c r="T137" s="188"/>
      <c r="U137" s="188"/>
      <c r="V137" s="188"/>
      <c r="W137" s="188"/>
      <c r="X137" s="188"/>
      <c r="Y137" s="188"/>
      <c r="Z137" s="188"/>
      <c r="AA137" s="188"/>
      <c r="AB137" s="185"/>
      <c r="AC137" s="192"/>
      <c r="AD137" s="192"/>
      <c r="AE137" s="192"/>
      <c r="AF137" s="192"/>
      <c r="AG137" s="192"/>
      <c r="AH137" s="192"/>
      <c r="AI137" s="192"/>
      <c r="AJ137" s="192"/>
      <c r="AK137" s="192"/>
      <c r="AL137" s="192"/>
      <c r="AM137" s="192"/>
      <c r="AN137" s="192"/>
      <c r="AO137" s="192"/>
      <c r="AP137" s="192"/>
      <c r="AQ137" s="192"/>
      <c r="AR137" s="192"/>
      <c r="AS137" s="192"/>
      <c r="AT137" s="192"/>
      <c r="AU137" s="192"/>
      <c r="AV137" s="192"/>
    </row>
    <row r="138" spans="1:48" ht="19.5" customHeight="1" x14ac:dyDescent="0.35">
      <c r="A138" s="184"/>
      <c r="B138" s="185"/>
      <c r="C138" s="186"/>
      <c r="D138" s="186"/>
      <c r="E138" s="187"/>
      <c r="F138" s="188"/>
      <c r="G138" s="188"/>
      <c r="H138" s="188"/>
      <c r="I138" s="188"/>
      <c r="J138" s="188"/>
      <c r="K138" s="188"/>
      <c r="L138" s="188"/>
      <c r="M138" s="188"/>
      <c r="N138" s="188"/>
      <c r="O138" s="188"/>
      <c r="P138" s="188"/>
      <c r="Q138" s="188"/>
      <c r="R138" s="188"/>
      <c r="S138" s="188"/>
      <c r="T138" s="188"/>
      <c r="U138" s="188"/>
      <c r="V138" s="188"/>
      <c r="W138" s="188"/>
      <c r="X138" s="188"/>
      <c r="Y138" s="188"/>
      <c r="Z138" s="188"/>
      <c r="AA138" s="188"/>
      <c r="AB138" s="185"/>
      <c r="AC138" s="192"/>
      <c r="AD138" s="192"/>
      <c r="AE138" s="192"/>
      <c r="AF138" s="192"/>
      <c r="AG138" s="192"/>
      <c r="AH138" s="192"/>
      <c r="AI138" s="192"/>
      <c r="AJ138" s="192"/>
      <c r="AK138" s="192"/>
      <c r="AL138" s="192"/>
      <c r="AM138" s="192"/>
      <c r="AN138" s="192"/>
      <c r="AO138" s="192"/>
      <c r="AP138" s="192"/>
      <c r="AQ138" s="192"/>
      <c r="AR138" s="192"/>
      <c r="AS138" s="192"/>
      <c r="AT138" s="192"/>
      <c r="AU138" s="192"/>
      <c r="AV138" s="192"/>
    </row>
    <row r="139" spans="1:48" ht="19.5" customHeight="1" x14ac:dyDescent="0.35">
      <c r="A139" s="184"/>
      <c r="B139" s="185"/>
      <c r="C139" s="186"/>
      <c r="D139" s="186"/>
      <c r="E139" s="187"/>
      <c r="F139" s="188"/>
      <c r="G139" s="188"/>
      <c r="H139" s="188"/>
      <c r="I139" s="188"/>
      <c r="J139" s="188"/>
      <c r="K139" s="188"/>
      <c r="L139" s="188"/>
      <c r="M139" s="188"/>
      <c r="N139" s="188"/>
      <c r="O139" s="188"/>
      <c r="P139" s="188"/>
      <c r="Q139" s="188"/>
      <c r="R139" s="188"/>
      <c r="S139" s="188"/>
      <c r="T139" s="188"/>
      <c r="U139" s="188"/>
      <c r="V139" s="188"/>
      <c r="W139" s="188"/>
      <c r="X139" s="188"/>
      <c r="Y139" s="188"/>
      <c r="Z139" s="188"/>
      <c r="AA139" s="188"/>
      <c r="AB139" s="185"/>
      <c r="AC139" s="192"/>
      <c r="AD139" s="192"/>
      <c r="AE139" s="192"/>
      <c r="AF139" s="192"/>
      <c r="AG139" s="192"/>
      <c r="AH139" s="192"/>
      <c r="AI139" s="192"/>
      <c r="AJ139" s="192"/>
      <c r="AK139" s="192"/>
      <c r="AL139" s="192"/>
      <c r="AM139" s="192"/>
      <c r="AN139" s="192"/>
      <c r="AO139" s="192"/>
      <c r="AP139" s="192"/>
      <c r="AQ139" s="192"/>
      <c r="AR139" s="192"/>
      <c r="AS139" s="192"/>
      <c r="AT139" s="192"/>
      <c r="AU139" s="192"/>
      <c r="AV139" s="192"/>
    </row>
    <row r="140" spans="1:48" ht="19.5" customHeight="1" x14ac:dyDescent="0.35">
      <c r="A140" s="184"/>
      <c r="B140" s="185"/>
      <c r="C140" s="186"/>
      <c r="D140" s="186"/>
      <c r="E140" s="187"/>
      <c r="F140" s="188"/>
      <c r="G140" s="188"/>
      <c r="H140" s="188"/>
      <c r="I140" s="188"/>
      <c r="J140" s="188"/>
      <c r="K140" s="188"/>
      <c r="L140" s="188"/>
      <c r="M140" s="188"/>
      <c r="N140" s="188"/>
      <c r="O140" s="188"/>
      <c r="P140" s="188"/>
      <c r="Q140" s="188"/>
      <c r="R140" s="188"/>
      <c r="S140" s="188"/>
      <c r="T140" s="188"/>
      <c r="U140" s="188"/>
      <c r="V140" s="188"/>
      <c r="W140" s="188"/>
      <c r="X140" s="188"/>
      <c r="Y140" s="188"/>
      <c r="Z140" s="188"/>
      <c r="AA140" s="188"/>
      <c r="AB140" s="185"/>
      <c r="AC140" s="192"/>
      <c r="AD140" s="192"/>
      <c r="AE140" s="192"/>
      <c r="AF140" s="192"/>
      <c r="AG140" s="192"/>
      <c r="AH140" s="192"/>
      <c r="AI140" s="192"/>
      <c r="AJ140" s="192"/>
      <c r="AK140" s="192"/>
      <c r="AL140" s="192"/>
      <c r="AM140" s="192"/>
      <c r="AN140" s="192"/>
      <c r="AO140" s="192"/>
      <c r="AP140" s="192"/>
      <c r="AQ140" s="192"/>
      <c r="AR140" s="192"/>
      <c r="AS140" s="192"/>
      <c r="AT140" s="192"/>
      <c r="AU140" s="192"/>
      <c r="AV140" s="192"/>
    </row>
    <row r="141" spans="1:48" ht="19.5" customHeight="1" x14ac:dyDescent="0.35">
      <c r="A141" s="184"/>
      <c r="B141" s="185"/>
      <c r="C141" s="186"/>
      <c r="D141" s="186"/>
      <c r="E141" s="187"/>
      <c r="F141" s="188"/>
      <c r="G141" s="188"/>
      <c r="H141" s="188"/>
      <c r="I141" s="188"/>
      <c r="J141" s="188"/>
      <c r="K141" s="188"/>
      <c r="L141" s="188"/>
      <c r="M141" s="188"/>
      <c r="N141" s="188"/>
      <c r="O141" s="188"/>
      <c r="P141" s="188"/>
      <c r="Q141" s="188"/>
      <c r="R141" s="188"/>
      <c r="S141" s="188"/>
      <c r="T141" s="188"/>
      <c r="U141" s="188"/>
      <c r="V141" s="188"/>
      <c r="W141" s="188"/>
      <c r="X141" s="188"/>
      <c r="Y141" s="188"/>
      <c r="Z141" s="188"/>
      <c r="AA141" s="188"/>
      <c r="AB141" s="185"/>
      <c r="AC141" s="192"/>
      <c r="AD141" s="192"/>
      <c r="AE141" s="192"/>
      <c r="AF141" s="192"/>
      <c r="AG141" s="192"/>
      <c r="AH141" s="192"/>
      <c r="AI141" s="192"/>
      <c r="AJ141" s="192"/>
      <c r="AK141" s="192"/>
      <c r="AL141" s="192"/>
      <c r="AM141" s="192"/>
      <c r="AN141" s="192"/>
      <c r="AO141" s="192"/>
      <c r="AP141" s="192"/>
      <c r="AQ141" s="192"/>
      <c r="AR141" s="192"/>
      <c r="AS141" s="192"/>
      <c r="AT141" s="192"/>
      <c r="AU141" s="192"/>
      <c r="AV141" s="192"/>
    </row>
    <row r="142" spans="1:48" ht="19.5" customHeight="1" x14ac:dyDescent="0.35">
      <c r="A142" s="184"/>
      <c r="B142" s="185"/>
      <c r="C142" s="186"/>
      <c r="D142" s="186"/>
      <c r="E142" s="187"/>
      <c r="F142" s="188"/>
      <c r="G142" s="188"/>
      <c r="H142" s="188"/>
      <c r="I142" s="188"/>
      <c r="J142" s="188"/>
      <c r="K142" s="188"/>
      <c r="L142" s="188"/>
      <c r="M142" s="188"/>
      <c r="N142" s="188"/>
      <c r="O142" s="188"/>
      <c r="P142" s="188"/>
      <c r="Q142" s="188"/>
      <c r="R142" s="188"/>
      <c r="S142" s="188"/>
      <c r="T142" s="188"/>
      <c r="U142" s="188"/>
      <c r="V142" s="188"/>
      <c r="W142" s="188"/>
      <c r="X142" s="188"/>
      <c r="Y142" s="188"/>
      <c r="Z142" s="188"/>
      <c r="AA142" s="188"/>
      <c r="AB142" s="185"/>
      <c r="AC142" s="192"/>
      <c r="AD142" s="192"/>
      <c r="AE142" s="192"/>
      <c r="AF142" s="192"/>
      <c r="AG142" s="192"/>
      <c r="AH142" s="192"/>
      <c r="AI142" s="192"/>
      <c r="AJ142" s="192"/>
      <c r="AK142" s="192"/>
      <c r="AL142" s="192"/>
      <c r="AM142" s="192"/>
      <c r="AN142" s="192"/>
      <c r="AO142" s="192"/>
      <c r="AP142" s="192"/>
      <c r="AQ142" s="192"/>
      <c r="AR142" s="192"/>
      <c r="AS142" s="192"/>
      <c r="AT142" s="192"/>
      <c r="AU142" s="192"/>
      <c r="AV142" s="192"/>
    </row>
    <row r="143" spans="1:48" ht="19.5" customHeight="1" x14ac:dyDescent="0.35">
      <c r="A143" s="184"/>
      <c r="B143" s="185"/>
      <c r="C143" s="186"/>
      <c r="D143" s="186"/>
      <c r="E143" s="187"/>
      <c r="F143" s="188"/>
      <c r="G143" s="188"/>
      <c r="H143" s="188"/>
      <c r="I143" s="188"/>
      <c r="J143" s="188"/>
      <c r="K143" s="188"/>
      <c r="L143" s="188"/>
      <c r="M143" s="188"/>
      <c r="N143" s="188"/>
      <c r="O143" s="188"/>
      <c r="P143" s="188"/>
      <c r="Q143" s="188"/>
      <c r="R143" s="188"/>
      <c r="S143" s="188"/>
      <c r="T143" s="188"/>
      <c r="U143" s="188"/>
      <c r="V143" s="188"/>
      <c r="W143" s="188"/>
      <c r="X143" s="188"/>
      <c r="Y143" s="188"/>
      <c r="Z143" s="188"/>
      <c r="AA143" s="188"/>
      <c r="AB143" s="185"/>
      <c r="AC143" s="192"/>
      <c r="AD143" s="192"/>
      <c r="AE143" s="192"/>
      <c r="AF143" s="192"/>
      <c r="AG143" s="192"/>
      <c r="AH143" s="192"/>
      <c r="AI143" s="192"/>
      <c r="AJ143" s="192"/>
      <c r="AK143" s="192"/>
      <c r="AL143" s="192"/>
      <c r="AM143" s="192"/>
      <c r="AN143" s="192"/>
      <c r="AO143" s="192"/>
      <c r="AP143" s="192"/>
      <c r="AQ143" s="192"/>
      <c r="AR143" s="192"/>
      <c r="AS143" s="192"/>
      <c r="AT143" s="192"/>
      <c r="AU143" s="192"/>
      <c r="AV143" s="192"/>
    </row>
    <row r="144" spans="1:48" ht="19.5" customHeight="1" x14ac:dyDescent="0.35">
      <c r="A144" s="184"/>
      <c r="B144" s="185"/>
      <c r="C144" s="186"/>
      <c r="D144" s="186"/>
      <c r="E144" s="187"/>
      <c r="F144" s="188"/>
      <c r="G144" s="188"/>
      <c r="H144" s="188"/>
      <c r="I144" s="188"/>
      <c r="J144" s="188"/>
      <c r="K144" s="188"/>
      <c r="L144" s="188"/>
      <c r="M144" s="188"/>
      <c r="N144" s="188"/>
      <c r="O144" s="188"/>
      <c r="P144" s="188"/>
      <c r="Q144" s="188"/>
      <c r="R144" s="188"/>
      <c r="S144" s="188"/>
      <c r="T144" s="188"/>
      <c r="U144" s="188"/>
      <c r="V144" s="188"/>
      <c r="W144" s="188"/>
      <c r="X144" s="188"/>
      <c r="Y144" s="188"/>
      <c r="Z144" s="188"/>
      <c r="AA144" s="188"/>
      <c r="AB144" s="185"/>
      <c r="AC144" s="192"/>
      <c r="AD144" s="192"/>
      <c r="AE144" s="192"/>
      <c r="AF144" s="192"/>
      <c r="AG144" s="192"/>
      <c r="AH144" s="192"/>
      <c r="AI144" s="192"/>
      <c r="AJ144" s="192"/>
      <c r="AK144" s="192"/>
      <c r="AL144" s="192"/>
      <c r="AM144" s="192"/>
      <c r="AN144" s="192"/>
      <c r="AO144" s="192"/>
      <c r="AP144" s="192"/>
      <c r="AQ144" s="192"/>
      <c r="AR144" s="192"/>
      <c r="AS144" s="192"/>
      <c r="AT144" s="192"/>
      <c r="AU144" s="192"/>
      <c r="AV144" s="192"/>
    </row>
    <row r="145" spans="1:48" ht="19.5" customHeight="1" x14ac:dyDescent="0.35">
      <c r="A145" s="184"/>
      <c r="B145" s="185"/>
      <c r="C145" s="186"/>
      <c r="D145" s="186"/>
      <c r="E145" s="187"/>
      <c r="F145" s="188"/>
      <c r="G145" s="188"/>
      <c r="H145" s="188"/>
      <c r="I145" s="188"/>
      <c r="J145" s="188"/>
      <c r="K145" s="188"/>
      <c r="L145" s="188"/>
      <c r="M145" s="188"/>
      <c r="N145" s="188"/>
      <c r="O145" s="188"/>
      <c r="P145" s="188"/>
      <c r="Q145" s="188"/>
      <c r="R145" s="188"/>
      <c r="S145" s="188"/>
      <c r="T145" s="188"/>
      <c r="U145" s="188"/>
      <c r="V145" s="188"/>
      <c r="W145" s="188"/>
      <c r="X145" s="188"/>
      <c r="Y145" s="188"/>
      <c r="Z145" s="188"/>
      <c r="AA145" s="188"/>
      <c r="AB145" s="185"/>
      <c r="AC145" s="192"/>
      <c r="AD145" s="192"/>
      <c r="AE145" s="192"/>
      <c r="AF145" s="192"/>
      <c r="AG145" s="192"/>
      <c r="AH145" s="192"/>
      <c r="AI145" s="192"/>
      <c r="AJ145" s="192"/>
      <c r="AK145" s="192"/>
      <c r="AL145" s="192"/>
      <c r="AM145" s="192"/>
      <c r="AN145" s="192"/>
      <c r="AO145" s="192"/>
      <c r="AP145" s="192"/>
      <c r="AQ145" s="192"/>
      <c r="AR145" s="192"/>
      <c r="AS145" s="192"/>
      <c r="AT145" s="192"/>
      <c r="AU145" s="192"/>
      <c r="AV145" s="192"/>
    </row>
    <row r="146" spans="1:48" ht="19.5" customHeight="1" x14ac:dyDescent="0.35">
      <c r="A146" s="184"/>
      <c r="B146" s="185"/>
      <c r="C146" s="186"/>
      <c r="D146" s="186"/>
      <c r="E146" s="187"/>
      <c r="F146" s="188"/>
      <c r="G146" s="188"/>
      <c r="H146" s="188"/>
      <c r="I146" s="188"/>
      <c r="J146" s="188"/>
      <c r="K146" s="188"/>
      <c r="L146" s="188"/>
      <c r="M146" s="188"/>
      <c r="N146" s="188"/>
      <c r="O146" s="188"/>
      <c r="P146" s="188"/>
      <c r="Q146" s="188"/>
      <c r="R146" s="188"/>
      <c r="S146" s="188"/>
      <c r="T146" s="188"/>
      <c r="U146" s="188"/>
      <c r="V146" s="188"/>
      <c r="W146" s="188"/>
      <c r="X146" s="188"/>
      <c r="Y146" s="188"/>
      <c r="Z146" s="188"/>
      <c r="AA146" s="188"/>
      <c r="AB146" s="185"/>
      <c r="AC146" s="192"/>
      <c r="AD146" s="192"/>
      <c r="AE146" s="192"/>
      <c r="AF146" s="192"/>
      <c r="AG146" s="192"/>
      <c r="AH146" s="192"/>
      <c r="AI146" s="192"/>
      <c r="AJ146" s="192"/>
      <c r="AK146" s="192"/>
      <c r="AL146" s="192"/>
      <c r="AM146" s="192"/>
      <c r="AN146" s="192"/>
      <c r="AO146" s="192"/>
      <c r="AP146" s="192"/>
      <c r="AQ146" s="192"/>
      <c r="AR146" s="192"/>
      <c r="AS146" s="192"/>
      <c r="AT146" s="192"/>
      <c r="AU146" s="192"/>
      <c r="AV146" s="192"/>
    </row>
    <row r="147" spans="1:48" ht="19.5" customHeight="1" x14ac:dyDescent="0.35">
      <c r="A147" s="184"/>
      <c r="B147" s="185"/>
      <c r="C147" s="186"/>
      <c r="D147" s="186"/>
      <c r="E147" s="187"/>
      <c r="F147" s="188"/>
      <c r="G147" s="188"/>
      <c r="H147" s="188"/>
      <c r="I147" s="188"/>
      <c r="J147" s="188"/>
      <c r="K147" s="188"/>
      <c r="L147" s="188"/>
      <c r="M147" s="188"/>
      <c r="N147" s="188"/>
      <c r="O147" s="188"/>
      <c r="P147" s="188"/>
      <c r="Q147" s="188"/>
      <c r="R147" s="188"/>
      <c r="S147" s="188"/>
      <c r="T147" s="188"/>
      <c r="U147" s="188"/>
      <c r="V147" s="188"/>
      <c r="W147" s="188"/>
      <c r="X147" s="188"/>
      <c r="Y147" s="188"/>
      <c r="Z147" s="188"/>
      <c r="AA147" s="188"/>
      <c r="AB147" s="185"/>
      <c r="AC147" s="192"/>
      <c r="AD147" s="192"/>
      <c r="AE147" s="192"/>
      <c r="AF147" s="192"/>
      <c r="AG147" s="192"/>
      <c r="AH147" s="192"/>
      <c r="AI147" s="192"/>
      <c r="AJ147" s="192"/>
      <c r="AK147" s="192"/>
      <c r="AL147" s="192"/>
      <c r="AM147" s="192"/>
      <c r="AN147" s="192"/>
      <c r="AO147" s="192"/>
      <c r="AP147" s="192"/>
      <c r="AQ147" s="192"/>
      <c r="AR147" s="192"/>
      <c r="AS147" s="192"/>
      <c r="AT147" s="192"/>
      <c r="AU147" s="192"/>
      <c r="AV147" s="192"/>
    </row>
    <row r="148" spans="1:48" ht="19.5" customHeight="1" x14ac:dyDescent="0.35">
      <c r="A148" s="184"/>
      <c r="B148" s="185"/>
      <c r="C148" s="186"/>
      <c r="D148" s="186"/>
      <c r="E148" s="187"/>
      <c r="F148" s="188"/>
      <c r="G148" s="188"/>
      <c r="H148" s="188"/>
      <c r="I148" s="188"/>
      <c r="J148" s="188"/>
      <c r="K148" s="188"/>
      <c r="L148" s="188"/>
      <c r="M148" s="188"/>
      <c r="N148" s="188"/>
      <c r="O148" s="188"/>
      <c r="P148" s="188"/>
      <c r="Q148" s="188"/>
      <c r="R148" s="188"/>
      <c r="S148" s="188"/>
      <c r="T148" s="188"/>
      <c r="U148" s="188"/>
      <c r="V148" s="188"/>
      <c r="W148" s="188"/>
      <c r="X148" s="188"/>
      <c r="Y148" s="188"/>
      <c r="Z148" s="188"/>
      <c r="AA148" s="188"/>
      <c r="AB148" s="185"/>
      <c r="AC148" s="192"/>
      <c r="AD148" s="192"/>
      <c r="AE148" s="192"/>
      <c r="AF148" s="192"/>
      <c r="AG148" s="192"/>
      <c r="AH148" s="192"/>
      <c r="AI148" s="192"/>
      <c r="AJ148" s="192"/>
      <c r="AK148" s="192"/>
      <c r="AL148" s="192"/>
      <c r="AM148" s="192"/>
      <c r="AN148" s="192"/>
      <c r="AO148" s="192"/>
      <c r="AP148" s="192"/>
      <c r="AQ148" s="192"/>
      <c r="AR148" s="192"/>
      <c r="AS148" s="192"/>
      <c r="AT148" s="192"/>
      <c r="AU148" s="192"/>
      <c r="AV148" s="192"/>
    </row>
    <row r="149" spans="1:48" ht="19.5" customHeight="1" x14ac:dyDescent="0.35">
      <c r="A149" s="184"/>
      <c r="B149" s="185"/>
      <c r="C149" s="186"/>
      <c r="D149" s="186"/>
      <c r="E149" s="187"/>
      <c r="F149" s="188"/>
      <c r="G149" s="188"/>
      <c r="H149" s="188"/>
      <c r="I149" s="188"/>
      <c r="J149" s="188"/>
      <c r="K149" s="188"/>
      <c r="L149" s="188"/>
      <c r="M149" s="188"/>
      <c r="N149" s="188"/>
      <c r="O149" s="188"/>
      <c r="P149" s="188"/>
      <c r="Q149" s="188"/>
      <c r="R149" s="188"/>
      <c r="S149" s="188"/>
      <c r="T149" s="188"/>
      <c r="U149" s="188"/>
      <c r="V149" s="188"/>
      <c r="W149" s="188"/>
      <c r="X149" s="188"/>
      <c r="Y149" s="188"/>
      <c r="Z149" s="188"/>
      <c r="AA149" s="188"/>
      <c r="AB149" s="185"/>
      <c r="AC149" s="192"/>
      <c r="AD149" s="192"/>
      <c r="AE149" s="192"/>
      <c r="AF149" s="192"/>
      <c r="AG149" s="192"/>
      <c r="AH149" s="192"/>
      <c r="AI149" s="192"/>
      <c r="AJ149" s="192"/>
      <c r="AK149" s="192"/>
      <c r="AL149" s="192"/>
      <c r="AM149" s="192"/>
      <c r="AN149" s="192"/>
      <c r="AO149" s="192"/>
      <c r="AP149" s="192"/>
      <c r="AQ149" s="192"/>
      <c r="AR149" s="192"/>
      <c r="AS149" s="192"/>
      <c r="AT149" s="192"/>
      <c r="AU149" s="192"/>
      <c r="AV149" s="192"/>
    </row>
    <row r="150" spans="1:48" ht="19.5" customHeight="1" x14ac:dyDescent="0.35">
      <c r="A150" s="184"/>
      <c r="B150" s="185"/>
      <c r="C150" s="186"/>
      <c r="D150" s="186"/>
      <c r="E150" s="187"/>
      <c r="F150" s="188"/>
      <c r="G150" s="188"/>
      <c r="H150" s="188"/>
      <c r="I150" s="188"/>
      <c r="J150" s="188"/>
      <c r="K150" s="188"/>
      <c r="L150" s="188"/>
      <c r="M150" s="188"/>
      <c r="N150" s="188"/>
      <c r="O150" s="188"/>
      <c r="P150" s="188"/>
      <c r="Q150" s="188"/>
      <c r="R150" s="188"/>
      <c r="S150" s="188"/>
      <c r="T150" s="188"/>
      <c r="U150" s="188"/>
      <c r="V150" s="188"/>
      <c r="W150" s="188"/>
      <c r="X150" s="188"/>
      <c r="Y150" s="188"/>
      <c r="Z150" s="188"/>
      <c r="AA150" s="188"/>
      <c r="AB150" s="185"/>
      <c r="AC150" s="192"/>
      <c r="AD150" s="192"/>
      <c r="AE150" s="192"/>
      <c r="AF150" s="192"/>
      <c r="AG150" s="192"/>
      <c r="AH150" s="192"/>
      <c r="AI150" s="192"/>
      <c r="AJ150" s="192"/>
      <c r="AK150" s="192"/>
      <c r="AL150" s="192"/>
      <c r="AM150" s="192"/>
      <c r="AN150" s="192"/>
      <c r="AO150" s="192"/>
      <c r="AP150" s="192"/>
      <c r="AQ150" s="192"/>
      <c r="AR150" s="192"/>
      <c r="AS150" s="192"/>
      <c r="AT150" s="192"/>
      <c r="AU150" s="192"/>
      <c r="AV150" s="192"/>
    </row>
    <row r="151" spans="1:48" ht="19.5" customHeight="1" x14ac:dyDescent="0.35">
      <c r="A151" s="184"/>
      <c r="B151" s="185"/>
      <c r="C151" s="186"/>
      <c r="D151" s="186"/>
      <c r="E151" s="187"/>
      <c r="F151" s="188"/>
      <c r="G151" s="188"/>
      <c r="H151" s="188"/>
      <c r="I151" s="188"/>
      <c r="J151" s="188"/>
      <c r="K151" s="188"/>
      <c r="L151" s="188"/>
      <c r="M151" s="188"/>
      <c r="N151" s="188"/>
      <c r="O151" s="188"/>
      <c r="P151" s="188"/>
      <c r="Q151" s="188"/>
      <c r="R151" s="188"/>
      <c r="S151" s="188"/>
      <c r="T151" s="188"/>
      <c r="U151" s="188"/>
      <c r="V151" s="188"/>
      <c r="W151" s="188"/>
      <c r="X151" s="188"/>
      <c r="Y151" s="188"/>
      <c r="Z151" s="188"/>
      <c r="AA151" s="188"/>
      <c r="AB151" s="185"/>
      <c r="AC151" s="192"/>
      <c r="AD151" s="192"/>
      <c r="AE151" s="192"/>
      <c r="AF151" s="192"/>
      <c r="AG151" s="192"/>
      <c r="AH151" s="192"/>
      <c r="AI151" s="192"/>
      <c r="AJ151" s="192"/>
      <c r="AK151" s="192"/>
      <c r="AL151" s="192"/>
      <c r="AM151" s="192"/>
      <c r="AN151" s="192"/>
      <c r="AO151" s="192"/>
      <c r="AP151" s="192"/>
      <c r="AQ151" s="192"/>
      <c r="AR151" s="192"/>
      <c r="AS151" s="192"/>
      <c r="AT151" s="192"/>
      <c r="AU151" s="192"/>
      <c r="AV151" s="192"/>
    </row>
    <row r="152" spans="1:48" ht="19.5" customHeight="1" x14ac:dyDescent="0.35">
      <c r="A152" s="184"/>
      <c r="B152" s="185"/>
      <c r="C152" s="186"/>
      <c r="D152" s="186"/>
      <c r="E152" s="187"/>
      <c r="F152" s="188"/>
      <c r="G152" s="188"/>
      <c r="H152" s="188"/>
      <c r="I152" s="188"/>
      <c r="J152" s="188"/>
      <c r="K152" s="188"/>
      <c r="L152" s="188"/>
      <c r="M152" s="188"/>
      <c r="N152" s="188"/>
      <c r="O152" s="188"/>
      <c r="P152" s="188"/>
      <c r="Q152" s="188"/>
      <c r="R152" s="188"/>
      <c r="S152" s="188"/>
      <c r="T152" s="188"/>
      <c r="U152" s="188"/>
      <c r="V152" s="188"/>
      <c r="W152" s="188"/>
      <c r="X152" s="188"/>
      <c r="Y152" s="188"/>
      <c r="Z152" s="188"/>
      <c r="AA152" s="188"/>
      <c r="AB152" s="185"/>
      <c r="AC152" s="192"/>
      <c r="AD152" s="192"/>
      <c r="AE152" s="192"/>
      <c r="AF152" s="192"/>
      <c r="AG152" s="192"/>
      <c r="AH152" s="192"/>
      <c r="AI152" s="192"/>
      <c r="AJ152" s="192"/>
      <c r="AK152" s="192"/>
      <c r="AL152" s="192"/>
      <c r="AM152" s="192"/>
      <c r="AN152" s="192"/>
      <c r="AO152" s="192"/>
      <c r="AP152" s="192"/>
      <c r="AQ152" s="192"/>
      <c r="AR152" s="192"/>
      <c r="AS152" s="192"/>
      <c r="AT152" s="192"/>
      <c r="AU152" s="192"/>
      <c r="AV152" s="192"/>
    </row>
    <row r="153" spans="1:48" ht="19.5" customHeight="1" x14ac:dyDescent="0.35">
      <c r="A153" s="184"/>
      <c r="B153" s="185"/>
      <c r="C153" s="186"/>
      <c r="D153" s="186"/>
      <c r="E153" s="187"/>
      <c r="F153" s="188"/>
      <c r="G153" s="188"/>
      <c r="H153" s="188"/>
      <c r="I153" s="188"/>
      <c r="J153" s="188"/>
      <c r="K153" s="188"/>
      <c r="L153" s="188"/>
      <c r="M153" s="188"/>
      <c r="N153" s="188"/>
      <c r="O153" s="188"/>
      <c r="P153" s="188"/>
      <c r="Q153" s="188"/>
      <c r="R153" s="188"/>
      <c r="S153" s="188"/>
      <c r="T153" s="188"/>
      <c r="U153" s="188"/>
      <c r="V153" s="188"/>
      <c r="W153" s="188"/>
      <c r="X153" s="188"/>
      <c r="Y153" s="188"/>
      <c r="Z153" s="188"/>
      <c r="AA153" s="188"/>
      <c r="AB153" s="185"/>
      <c r="AC153" s="192"/>
      <c r="AD153" s="192"/>
      <c r="AE153" s="192"/>
      <c r="AF153" s="192"/>
      <c r="AG153" s="192"/>
      <c r="AH153" s="192"/>
      <c r="AI153" s="192"/>
      <c r="AJ153" s="192"/>
      <c r="AK153" s="192"/>
      <c r="AL153" s="192"/>
      <c r="AM153" s="192"/>
      <c r="AN153" s="192"/>
      <c r="AO153" s="192"/>
      <c r="AP153" s="192"/>
      <c r="AQ153" s="192"/>
      <c r="AR153" s="192"/>
      <c r="AS153" s="192"/>
      <c r="AT153" s="192"/>
      <c r="AU153" s="192"/>
      <c r="AV153" s="192"/>
    </row>
    <row r="154" spans="1:48" ht="19.5" customHeight="1" x14ac:dyDescent="0.35">
      <c r="A154" s="184"/>
      <c r="B154" s="185"/>
      <c r="C154" s="186"/>
      <c r="D154" s="186"/>
      <c r="E154" s="187"/>
      <c r="F154" s="188"/>
      <c r="G154" s="188"/>
      <c r="H154" s="188"/>
      <c r="I154" s="188"/>
      <c r="J154" s="188"/>
      <c r="K154" s="188"/>
      <c r="L154" s="188"/>
      <c r="M154" s="188"/>
      <c r="N154" s="188"/>
      <c r="O154" s="188"/>
      <c r="P154" s="188"/>
      <c r="Q154" s="188"/>
      <c r="R154" s="188"/>
      <c r="S154" s="188"/>
      <c r="T154" s="188"/>
      <c r="U154" s="188"/>
      <c r="V154" s="188"/>
      <c r="W154" s="188"/>
      <c r="X154" s="188"/>
      <c r="Y154" s="188"/>
      <c r="Z154" s="188"/>
      <c r="AA154" s="188"/>
      <c r="AB154" s="185"/>
      <c r="AC154" s="192"/>
      <c r="AD154" s="192"/>
      <c r="AE154" s="192"/>
      <c r="AF154" s="192"/>
      <c r="AG154" s="192"/>
      <c r="AH154" s="192"/>
      <c r="AI154" s="192"/>
      <c r="AJ154" s="192"/>
      <c r="AK154" s="192"/>
      <c r="AL154" s="192"/>
      <c r="AM154" s="192"/>
      <c r="AN154" s="192"/>
      <c r="AO154" s="192"/>
      <c r="AP154" s="192"/>
      <c r="AQ154" s="192"/>
      <c r="AR154" s="192"/>
      <c r="AS154" s="192"/>
      <c r="AT154" s="192"/>
      <c r="AU154" s="192"/>
      <c r="AV154" s="192"/>
    </row>
    <row r="155" spans="1:48" ht="19.5" customHeight="1" x14ac:dyDescent="0.35">
      <c r="A155" s="184"/>
      <c r="B155" s="185"/>
      <c r="C155" s="186"/>
      <c r="D155" s="186"/>
      <c r="E155" s="187"/>
      <c r="F155" s="188"/>
      <c r="G155" s="188"/>
      <c r="H155" s="188"/>
      <c r="I155" s="188"/>
      <c r="J155" s="188"/>
      <c r="K155" s="188"/>
      <c r="L155" s="188"/>
      <c r="M155" s="188"/>
      <c r="N155" s="188"/>
      <c r="O155" s="188"/>
      <c r="P155" s="188"/>
      <c r="Q155" s="188"/>
      <c r="R155" s="188"/>
      <c r="S155" s="188"/>
      <c r="T155" s="188"/>
      <c r="U155" s="188"/>
      <c r="V155" s="188"/>
      <c r="W155" s="188"/>
      <c r="X155" s="188"/>
      <c r="Y155" s="188"/>
      <c r="Z155" s="188"/>
      <c r="AA155" s="188"/>
      <c r="AB155" s="185"/>
      <c r="AC155" s="192"/>
      <c r="AD155" s="192"/>
      <c r="AE155" s="192"/>
      <c r="AF155" s="192"/>
      <c r="AG155" s="192"/>
      <c r="AH155" s="192"/>
      <c r="AI155" s="192"/>
      <c r="AJ155" s="192"/>
      <c r="AK155" s="192"/>
      <c r="AL155" s="192"/>
      <c r="AM155" s="192"/>
      <c r="AN155" s="192"/>
      <c r="AO155" s="192"/>
      <c r="AP155" s="192"/>
      <c r="AQ155" s="192"/>
      <c r="AR155" s="192"/>
      <c r="AS155" s="192"/>
      <c r="AT155" s="192"/>
      <c r="AU155" s="192"/>
      <c r="AV155" s="192"/>
    </row>
    <row r="156" spans="1:48" ht="19.5" customHeight="1" x14ac:dyDescent="0.35">
      <c r="A156" s="184"/>
      <c r="B156" s="185"/>
      <c r="C156" s="186"/>
      <c r="D156" s="186"/>
      <c r="E156" s="187"/>
      <c r="F156" s="188"/>
      <c r="G156" s="188"/>
      <c r="H156" s="188"/>
      <c r="I156" s="188"/>
      <c r="J156" s="188"/>
      <c r="K156" s="188"/>
      <c r="L156" s="188"/>
      <c r="M156" s="188"/>
      <c r="N156" s="188"/>
      <c r="O156" s="188"/>
      <c r="P156" s="188"/>
      <c r="Q156" s="188"/>
      <c r="R156" s="188"/>
      <c r="S156" s="188"/>
      <c r="T156" s="188"/>
      <c r="U156" s="188"/>
      <c r="V156" s="188"/>
      <c r="W156" s="188"/>
      <c r="X156" s="188"/>
      <c r="Y156" s="188"/>
      <c r="Z156" s="188"/>
      <c r="AA156" s="188"/>
      <c r="AB156" s="185"/>
      <c r="AC156" s="192"/>
      <c r="AD156" s="192"/>
      <c r="AE156" s="192"/>
      <c r="AF156" s="192"/>
      <c r="AG156" s="192"/>
      <c r="AH156" s="192"/>
      <c r="AI156" s="192"/>
      <c r="AJ156" s="192"/>
      <c r="AK156" s="192"/>
      <c r="AL156" s="192"/>
      <c r="AM156" s="192"/>
      <c r="AN156" s="192"/>
      <c r="AO156" s="192"/>
      <c r="AP156" s="192"/>
      <c r="AQ156" s="192"/>
      <c r="AR156" s="192"/>
      <c r="AS156" s="192"/>
      <c r="AT156" s="192"/>
      <c r="AU156" s="192"/>
      <c r="AV156" s="192"/>
    </row>
    <row r="157" spans="1:48" ht="19.5" customHeight="1" x14ac:dyDescent="0.35">
      <c r="A157" s="184"/>
      <c r="B157" s="185"/>
      <c r="C157" s="186"/>
      <c r="D157" s="186"/>
      <c r="E157" s="187"/>
      <c r="F157" s="188"/>
      <c r="G157" s="188"/>
      <c r="H157" s="188"/>
      <c r="I157" s="188"/>
      <c r="J157" s="188"/>
      <c r="K157" s="188"/>
      <c r="L157" s="188"/>
      <c r="M157" s="188"/>
      <c r="N157" s="188"/>
      <c r="O157" s="188"/>
      <c r="P157" s="188"/>
      <c r="Q157" s="188"/>
      <c r="R157" s="188"/>
      <c r="S157" s="188"/>
      <c r="T157" s="188"/>
      <c r="U157" s="188"/>
      <c r="V157" s="188"/>
      <c r="W157" s="188"/>
      <c r="X157" s="188"/>
      <c r="Y157" s="188"/>
      <c r="Z157" s="188"/>
      <c r="AA157" s="188"/>
      <c r="AB157" s="185"/>
      <c r="AC157" s="192"/>
      <c r="AD157" s="192"/>
      <c r="AE157" s="192"/>
      <c r="AF157" s="192"/>
      <c r="AG157" s="192"/>
      <c r="AH157" s="192"/>
      <c r="AI157" s="192"/>
      <c r="AJ157" s="192"/>
      <c r="AK157" s="192"/>
      <c r="AL157" s="192"/>
      <c r="AM157" s="192"/>
      <c r="AN157" s="192"/>
      <c r="AO157" s="192"/>
      <c r="AP157" s="192"/>
      <c r="AQ157" s="192"/>
      <c r="AR157" s="192"/>
      <c r="AS157" s="192"/>
      <c r="AT157" s="192"/>
      <c r="AU157" s="192"/>
      <c r="AV157" s="192"/>
    </row>
    <row r="158" spans="1:48" ht="19.5" customHeight="1" x14ac:dyDescent="0.35">
      <c r="A158" s="184"/>
      <c r="B158" s="185"/>
      <c r="C158" s="186"/>
      <c r="D158" s="186"/>
      <c r="E158" s="187"/>
      <c r="F158" s="188"/>
      <c r="G158" s="188"/>
      <c r="H158" s="188"/>
      <c r="I158" s="188"/>
      <c r="J158" s="188"/>
      <c r="K158" s="188"/>
      <c r="L158" s="188"/>
      <c r="M158" s="188"/>
      <c r="N158" s="188"/>
      <c r="O158" s="188"/>
      <c r="P158" s="188"/>
      <c r="Q158" s="188"/>
      <c r="R158" s="188"/>
      <c r="S158" s="188"/>
      <c r="T158" s="188"/>
      <c r="U158" s="188"/>
      <c r="V158" s="188"/>
      <c r="W158" s="188"/>
      <c r="X158" s="188"/>
      <c r="Y158" s="188"/>
      <c r="Z158" s="188"/>
      <c r="AA158" s="188"/>
      <c r="AB158" s="185"/>
      <c r="AC158" s="192"/>
      <c r="AD158" s="192"/>
      <c r="AE158" s="192"/>
      <c r="AF158" s="192"/>
      <c r="AG158" s="192"/>
      <c r="AH158" s="192"/>
      <c r="AI158" s="192"/>
      <c r="AJ158" s="192"/>
      <c r="AK158" s="192"/>
      <c r="AL158" s="192"/>
      <c r="AM158" s="192"/>
      <c r="AN158" s="192"/>
      <c r="AO158" s="192"/>
      <c r="AP158" s="192"/>
      <c r="AQ158" s="192"/>
      <c r="AR158" s="192"/>
      <c r="AS158" s="192"/>
      <c r="AT158" s="192"/>
      <c r="AU158" s="192"/>
      <c r="AV158" s="192"/>
    </row>
    <row r="159" spans="1:48" ht="19.5" customHeight="1" x14ac:dyDescent="0.35">
      <c r="A159" s="184"/>
      <c r="B159" s="185"/>
      <c r="C159" s="186"/>
      <c r="D159" s="186"/>
      <c r="E159" s="187"/>
      <c r="F159" s="188"/>
      <c r="G159" s="188"/>
      <c r="H159" s="188"/>
      <c r="I159" s="188"/>
      <c r="J159" s="188"/>
      <c r="K159" s="188"/>
      <c r="L159" s="188"/>
      <c r="M159" s="188"/>
      <c r="N159" s="188"/>
      <c r="O159" s="188"/>
      <c r="P159" s="188"/>
      <c r="Q159" s="188"/>
      <c r="R159" s="188"/>
      <c r="S159" s="188"/>
      <c r="T159" s="188"/>
      <c r="U159" s="188"/>
      <c r="V159" s="188"/>
      <c r="W159" s="188"/>
      <c r="X159" s="188"/>
      <c r="Y159" s="188"/>
      <c r="Z159" s="188"/>
      <c r="AA159" s="188"/>
      <c r="AB159" s="185"/>
      <c r="AC159" s="192"/>
      <c r="AD159" s="192"/>
      <c r="AE159" s="192"/>
      <c r="AF159" s="192"/>
      <c r="AG159" s="192"/>
      <c r="AH159" s="192"/>
      <c r="AI159" s="192"/>
      <c r="AJ159" s="192"/>
      <c r="AK159" s="192"/>
      <c r="AL159" s="192"/>
      <c r="AM159" s="192"/>
      <c r="AN159" s="192"/>
      <c r="AO159" s="192"/>
      <c r="AP159" s="192"/>
      <c r="AQ159" s="192"/>
      <c r="AR159" s="192"/>
      <c r="AS159" s="192"/>
      <c r="AT159" s="192"/>
      <c r="AU159" s="192"/>
      <c r="AV159" s="192"/>
    </row>
    <row r="160" spans="1:48" ht="19.5" customHeight="1" x14ac:dyDescent="0.35">
      <c r="A160" s="184"/>
      <c r="B160" s="185"/>
      <c r="C160" s="186"/>
      <c r="D160" s="186"/>
      <c r="E160" s="187"/>
      <c r="F160" s="188"/>
      <c r="G160" s="188"/>
      <c r="H160" s="188"/>
      <c r="I160" s="188"/>
      <c r="J160" s="188"/>
      <c r="K160" s="188"/>
      <c r="L160" s="188"/>
      <c r="M160" s="188"/>
      <c r="N160" s="188"/>
      <c r="O160" s="188"/>
      <c r="P160" s="188"/>
      <c r="Q160" s="188"/>
      <c r="R160" s="188"/>
      <c r="S160" s="188"/>
      <c r="T160" s="188"/>
      <c r="U160" s="188"/>
      <c r="V160" s="188"/>
      <c r="W160" s="188"/>
      <c r="X160" s="188"/>
      <c r="Y160" s="188"/>
      <c r="Z160" s="188"/>
      <c r="AA160" s="188"/>
      <c r="AB160" s="185"/>
      <c r="AC160" s="192"/>
      <c r="AD160" s="192"/>
      <c r="AE160" s="192"/>
      <c r="AF160" s="192"/>
      <c r="AG160" s="192"/>
      <c r="AH160" s="192"/>
      <c r="AI160" s="192"/>
      <c r="AJ160" s="192"/>
      <c r="AK160" s="192"/>
      <c r="AL160" s="192"/>
      <c r="AM160" s="192"/>
      <c r="AN160" s="192"/>
      <c r="AO160" s="192"/>
      <c r="AP160" s="192"/>
      <c r="AQ160" s="192"/>
      <c r="AR160" s="192"/>
      <c r="AS160" s="192"/>
      <c r="AT160" s="192"/>
      <c r="AU160" s="192"/>
      <c r="AV160" s="192"/>
    </row>
    <row r="161" spans="1:48" ht="19.5" customHeight="1" x14ac:dyDescent="0.35">
      <c r="A161" s="184"/>
      <c r="B161" s="185"/>
      <c r="C161" s="186"/>
      <c r="D161" s="186"/>
      <c r="E161" s="187"/>
      <c r="F161" s="188"/>
      <c r="G161" s="188"/>
      <c r="H161" s="188"/>
      <c r="I161" s="188"/>
      <c r="J161" s="188"/>
      <c r="K161" s="188"/>
      <c r="L161" s="188"/>
      <c r="M161" s="188"/>
      <c r="N161" s="188"/>
      <c r="O161" s="188"/>
      <c r="P161" s="188"/>
      <c r="Q161" s="188"/>
      <c r="R161" s="188"/>
      <c r="S161" s="188"/>
      <c r="T161" s="188"/>
      <c r="U161" s="188"/>
      <c r="V161" s="188"/>
      <c r="W161" s="188"/>
      <c r="X161" s="188"/>
      <c r="Y161" s="188"/>
      <c r="Z161" s="188"/>
      <c r="AA161" s="188"/>
      <c r="AB161" s="185"/>
      <c r="AC161" s="192"/>
      <c r="AD161" s="192"/>
      <c r="AE161" s="192"/>
      <c r="AF161" s="192"/>
      <c r="AG161" s="192"/>
      <c r="AH161" s="192"/>
      <c r="AI161" s="192"/>
      <c r="AJ161" s="192"/>
      <c r="AK161" s="192"/>
      <c r="AL161" s="192"/>
      <c r="AM161" s="192"/>
      <c r="AN161" s="192"/>
      <c r="AO161" s="192"/>
      <c r="AP161" s="192"/>
      <c r="AQ161" s="192"/>
      <c r="AR161" s="192"/>
      <c r="AS161" s="192"/>
      <c r="AT161" s="192"/>
      <c r="AU161" s="192"/>
      <c r="AV161" s="192"/>
    </row>
    <row r="162" spans="1:48" ht="19.5" customHeight="1" x14ac:dyDescent="0.35">
      <c r="A162" s="184"/>
      <c r="B162" s="185"/>
      <c r="C162" s="186"/>
      <c r="D162" s="186"/>
      <c r="E162" s="187"/>
      <c r="F162" s="188"/>
      <c r="G162" s="188"/>
      <c r="H162" s="188"/>
      <c r="I162" s="188"/>
      <c r="J162" s="188"/>
      <c r="K162" s="188"/>
      <c r="L162" s="188"/>
      <c r="M162" s="188"/>
      <c r="N162" s="188"/>
      <c r="O162" s="188"/>
      <c r="P162" s="188"/>
      <c r="Q162" s="188"/>
      <c r="R162" s="188"/>
      <c r="S162" s="188"/>
      <c r="T162" s="188"/>
      <c r="U162" s="188"/>
      <c r="V162" s="188"/>
      <c r="W162" s="188"/>
      <c r="X162" s="188"/>
      <c r="Y162" s="188"/>
      <c r="Z162" s="188"/>
      <c r="AA162" s="188"/>
      <c r="AB162" s="185"/>
      <c r="AC162" s="192"/>
      <c r="AD162" s="192"/>
      <c r="AE162" s="192"/>
      <c r="AF162" s="192"/>
      <c r="AG162" s="192"/>
      <c r="AH162" s="192"/>
      <c r="AI162" s="192"/>
      <c r="AJ162" s="192"/>
      <c r="AK162" s="192"/>
      <c r="AL162" s="192"/>
      <c r="AM162" s="192"/>
      <c r="AN162" s="192"/>
      <c r="AO162" s="192"/>
      <c r="AP162" s="192"/>
      <c r="AQ162" s="192"/>
      <c r="AR162" s="192"/>
      <c r="AS162" s="192"/>
      <c r="AT162" s="192"/>
      <c r="AU162" s="192"/>
      <c r="AV162" s="192"/>
    </row>
    <row r="163" spans="1:48" ht="19.5" customHeight="1" x14ac:dyDescent="0.35">
      <c r="A163" s="184"/>
      <c r="B163" s="185"/>
      <c r="C163" s="186"/>
      <c r="D163" s="186"/>
      <c r="E163" s="187"/>
      <c r="F163" s="188"/>
      <c r="G163" s="188"/>
      <c r="H163" s="188"/>
      <c r="I163" s="188"/>
      <c r="J163" s="188"/>
      <c r="K163" s="188"/>
      <c r="L163" s="188"/>
      <c r="M163" s="188"/>
      <c r="N163" s="188"/>
      <c r="O163" s="188"/>
      <c r="P163" s="188"/>
      <c r="Q163" s="188"/>
      <c r="R163" s="188"/>
      <c r="S163" s="188"/>
      <c r="T163" s="188"/>
      <c r="U163" s="188"/>
      <c r="V163" s="188"/>
      <c r="W163" s="188"/>
      <c r="X163" s="188"/>
      <c r="Y163" s="188"/>
      <c r="Z163" s="188"/>
      <c r="AA163" s="188"/>
      <c r="AB163" s="185"/>
      <c r="AC163" s="192"/>
      <c r="AD163" s="192"/>
      <c r="AE163" s="192"/>
      <c r="AF163" s="192"/>
      <c r="AG163" s="192"/>
      <c r="AH163" s="192"/>
      <c r="AI163" s="192"/>
      <c r="AJ163" s="192"/>
      <c r="AK163" s="192"/>
      <c r="AL163" s="192"/>
      <c r="AM163" s="192"/>
      <c r="AN163" s="192"/>
      <c r="AO163" s="192"/>
      <c r="AP163" s="192"/>
      <c r="AQ163" s="192"/>
      <c r="AR163" s="192"/>
      <c r="AS163" s="192"/>
      <c r="AT163" s="192"/>
      <c r="AU163" s="192"/>
      <c r="AV163" s="192"/>
    </row>
    <row r="164" spans="1:48" ht="19.5" customHeight="1" x14ac:dyDescent="0.35">
      <c r="A164" s="184"/>
      <c r="B164" s="185"/>
      <c r="C164" s="186"/>
      <c r="D164" s="186"/>
      <c r="E164" s="187"/>
      <c r="F164" s="188"/>
      <c r="G164" s="188"/>
      <c r="H164" s="188"/>
      <c r="I164" s="188"/>
      <c r="J164" s="188"/>
      <c r="K164" s="188"/>
      <c r="L164" s="188"/>
      <c r="M164" s="188"/>
      <c r="N164" s="188"/>
      <c r="O164" s="188"/>
      <c r="P164" s="188"/>
      <c r="Q164" s="188"/>
      <c r="R164" s="188"/>
      <c r="S164" s="188"/>
      <c r="T164" s="188"/>
      <c r="U164" s="188"/>
      <c r="V164" s="188"/>
      <c r="W164" s="188"/>
      <c r="X164" s="188"/>
      <c r="Y164" s="188"/>
      <c r="Z164" s="188"/>
      <c r="AA164" s="188"/>
      <c r="AB164" s="185"/>
      <c r="AC164" s="192"/>
      <c r="AD164" s="192"/>
      <c r="AE164" s="192"/>
      <c r="AF164" s="192"/>
      <c r="AG164" s="192"/>
      <c r="AH164" s="192"/>
      <c r="AI164" s="192"/>
      <c r="AJ164" s="192"/>
      <c r="AK164" s="192"/>
      <c r="AL164" s="192"/>
      <c r="AM164" s="192"/>
      <c r="AN164" s="192"/>
      <c r="AO164" s="192"/>
      <c r="AP164" s="192"/>
      <c r="AQ164" s="192"/>
      <c r="AR164" s="192"/>
      <c r="AS164" s="192"/>
      <c r="AT164" s="192"/>
      <c r="AU164" s="192"/>
      <c r="AV164" s="192"/>
    </row>
    <row r="165" spans="1:48" ht="19.5" customHeight="1" x14ac:dyDescent="0.35">
      <c r="A165" s="184"/>
      <c r="B165" s="185"/>
      <c r="C165" s="186"/>
      <c r="D165" s="186"/>
      <c r="E165" s="187"/>
      <c r="F165" s="188"/>
      <c r="G165" s="188"/>
      <c r="H165" s="188"/>
      <c r="I165" s="188"/>
      <c r="J165" s="188"/>
      <c r="K165" s="188"/>
      <c r="L165" s="188"/>
      <c r="M165" s="188"/>
      <c r="N165" s="188"/>
      <c r="O165" s="188"/>
      <c r="P165" s="188"/>
      <c r="Q165" s="188"/>
      <c r="R165" s="188"/>
      <c r="S165" s="188"/>
      <c r="T165" s="188"/>
      <c r="U165" s="188"/>
      <c r="V165" s="188"/>
      <c r="W165" s="188"/>
      <c r="X165" s="188"/>
      <c r="Y165" s="188"/>
      <c r="Z165" s="188"/>
      <c r="AA165" s="188"/>
      <c r="AB165" s="185"/>
      <c r="AC165" s="192"/>
      <c r="AD165" s="192"/>
      <c r="AE165" s="192"/>
      <c r="AF165" s="192"/>
      <c r="AG165" s="192"/>
      <c r="AH165" s="192"/>
      <c r="AI165" s="192"/>
      <c r="AJ165" s="192"/>
      <c r="AK165" s="192"/>
      <c r="AL165" s="192"/>
      <c r="AM165" s="192"/>
      <c r="AN165" s="192"/>
      <c r="AO165" s="192"/>
      <c r="AP165" s="192"/>
      <c r="AQ165" s="192"/>
      <c r="AR165" s="192"/>
      <c r="AS165" s="192"/>
      <c r="AT165" s="192"/>
      <c r="AU165" s="192"/>
      <c r="AV165" s="192"/>
    </row>
    <row r="166" spans="1:48" ht="19.5" customHeight="1" x14ac:dyDescent="0.35">
      <c r="A166" s="184"/>
      <c r="B166" s="185"/>
      <c r="C166" s="186"/>
      <c r="D166" s="186"/>
      <c r="E166" s="187"/>
      <c r="F166" s="188"/>
      <c r="G166" s="188"/>
      <c r="H166" s="188"/>
      <c r="I166" s="188"/>
      <c r="J166" s="188"/>
      <c r="K166" s="188"/>
      <c r="L166" s="188"/>
      <c r="M166" s="188"/>
      <c r="N166" s="188"/>
      <c r="O166" s="188"/>
      <c r="P166" s="188"/>
      <c r="Q166" s="188"/>
      <c r="R166" s="188"/>
      <c r="S166" s="188"/>
      <c r="T166" s="188"/>
      <c r="U166" s="188"/>
      <c r="V166" s="188"/>
      <c r="W166" s="188"/>
      <c r="X166" s="188"/>
      <c r="Y166" s="188"/>
      <c r="Z166" s="188"/>
      <c r="AA166" s="188"/>
      <c r="AB166" s="185"/>
      <c r="AC166" s="192"/>
      <c r="AD166" s="192"/>
      <c r="AE166" s="192"/>
      <c r="AF166" s="192"/>
      <c r="AG166" s="192"/>
      <c r="AH166" s="192"/>
      <c r="AI166" s="192"/>
      <c r="AJ166" s="192"/>
      <c r="AK166" s="192"/>
      <c r="AL166" s="192"/>
      <c r="AM166" s="192"/>
      <c r="AN166" s="192"/>
      <c r="AO166" s="192"/>
      <c r="AP166" s="192"/>
      <c r="AQ166" s="192"/>
      <c r="AR166" s="192"/>
      <c r="AS166" s="192"/>
      <c r="AT166" s="192"/>
      <c r="AU166" s="192"/>
      <c r="AV166" s="192"/>
    </row>
    <row r="167" spans="1:48" ht="19.5" customHeight="1" x14ac:dyDescent="0.35">
      <c r="A167" s="184"/>
      <c r="B167" s="185"/>
      <c r="C167" s="186"/>
      <c r="D167" s="186"/>
      <c r="E167" s="187"/>
      <c r="F167" s="188"/>
      <c r="G167" s="188"/>
      <c r="H167" s="188"/>
      <c r="I167" s="188"/>
      <c r="J167" s="188"/>
      <c r="K167" s="188"/>
      <c r="L167" s="188"/>
      <c r="M167" s="188"/>
      <c r="N167" s="188"/>
      <c r="O167" s="188"/>
      <c r="P167" s="188"/>
      <c r="Q167" s="188"/>
      <c r="R167" s="188"/>
      <c r="S167" s="188"/>
      <c r="T167" s="188"/>
      <c r="U167" s="188"/>
      <c r="V167" s="188"/>
      <c r="W167" s="188"/>
      <c r="X167" s="188"/>
      <c r="Y167" s="188"/>
      <c r="Z167" s="188"/>
      <c r="AA167" s="188"/>
      <c r="AB167" s="185"/>
      <c r="AC167" s="192"/>
      <c r="AD167" s="192"/>
      <c r="AE167" s="192"/>
      <c r="AF167" s="192"/>
      <c r="AG167" s="192"/>
      <c r="AH167" s="192"/>
      <c r="AI167" s="192"/>
      <c r="AJ167" s="192"/>
      <c r="AK167" s="192"/>
      <c r="AL167" s="192"/>
      <c r="AM167" s="192"/>
      <c r="AN167" s="192"/>
      <c r="AO167" s="192"/>
      <c r="AP167" s="192"/>
      <c r="AQ167" s="192"/>
      <c r="AR167" s="192"/>
      <c r="AS167" s="192"/>
      <c r="AT167" s="192"/>
      <c r="AU167" s="192"/>
      <c r="AV167" s="192"/>
    </row>
    <row r="168" spans="1:48" ht="19.5" customHeight="1" x14ac:dyDescent="0.35">
      <c r="A168" s="184"/>
      <c r="B168" s="185"/>
      <c r="C168" s="186"/>
      <c r="D168" s="186"/>
      <c r="E168" s="187"/>
      <c r="F168" s="188"/>
      <c r="G168" s="188"/>
      <c r="H168" s="188"/>
      <c r="I168" s="188"/>
      <c r="J168" s="188"/>
      <c r="K168" s="188"/>
      <c r="L168" s="188"/>
      <c r="M168" s="188"/>
      <c r="N168" s="188"/>
      <c r="O168" s="188"/>
      <c r="P168" s="188"/>
      <c r="Q168" s="188"/>
      <c r="R168" s="188"/>
      <c r="S168" s="188"/>
      <c r="T168" s="188"/>
      <c r="U168" s="188"/>
      <c r="V168" s="188"/>
      <c r="W168" s="188"/>
      <c r="X168" s="188"/>
      <c r="Y168" s="188"/>
      <c r="Z168" s="188"/>
      <c r="AA168" s="188"/>
      <c r="AB168" s="185"/>
      <c r="AC168" s="192"/>
      <c r="AD168" s="192"/>
      <c r="AE168" s="192"/>
      <c r="AF168" s="192"/>
      <c r="AG168" s="192"/>
      <c r="AH168" s="192"/>
      <c r="AI168" s="192"/>
      <c r="AJ168" s="192"/>
      <c r="AK168" s="192"/>
      <c r="AL168" s="192"/>
      <c r="AM168" s="192"/>
      <c r="AN168" s="192"/>
      <c r="AO168" s="192"/>
      <c r="AP168" s="192"/>
      <c r="AQ168" s="192"/>
      <c r="AR168" s="192"/>
      <c r="AS168" s="192"/>
      <c r="AT168" s="192"/>
      <c r="AU168" s="192"/>
      <c r="AV168" s="192"/>
    </row>
    <row r="169" spans="1:48" ht="19.5" customHeight="1" x14ac:dyDescent="0.35">
      <c r="A169" s="184"/>
      <c r="B169" s="185"/>
      <c r="C169" s="186"/>
      <c r="D169" s="186"/>
      <c r="E169" s="187"/>
      <c r="F169" s="188"/>
      <c r="G169" s="188"/>
      <c r="H169" s="188"/>
      <c r="I169" s="188"/>
      <c r="J169" s="188"/>
      <c r="K169" s="188"/>
      <c r="L169" s="188"/>
      <c r="M169" s="188"/>
      <c r="N169" s="188"/>
      <c r="O169" s="188"/>
      <c r="P169" s="188"/>
      <c r="Q169" s="188"/>
      <c r="R169" s="188"/>
      <c r="S169" s="188"/>
      <c r="T169" s="188"/>
      <c r="U169" s="188"/>
      <c r="V169" s="188"/>
      <c r="W169" s="188"/>
      <c r="X169" s="188"/>
      <c r="Y169" s="188"/>
      <c r="Z169" s="188"/>
      <c r="AA169" s="188"/>
      <c r="AB169" s="185"/>
      <c r="AC169" s="192"/>
      <c r="AD169" s="192"/>
      <c r="AE169" s="192"/>
      <c r="AF169" s="192"/>
      <c r="AG169" s="192"/>
      <c r="AH169" s="192"/>
      <c r="AI169" s="192"/>
      <c r="AJ169" s="192"/>
      <c r="AK169" s="192"/>
      <c r="AL169" s="192"/>
      <c r="AM169" s="192"/>
      <c r="AN169" s="192"/>
      <c r="AO169" s="192"/>
      <c r="AP169" s="192"/>
      <c r="AQ169" s="192"/>
      <c r="AR169" s="192"/>
      <c r="AS169" s="192"/>
      <c r="AT169" s="192"/>
      <c r="AU169" s="192"/>
      <c r="AV169" s="192"/>
    </row>
    <row r="170" spans="1:48" ht="19.5" customHeight="1" x14ac:dyDescent="0.35">
      <c r="A170" s="184"/>
      <c r="B170" s="185"/>
      <c r="C170" s="186"/>
      <c r="D170" s="186"/>
      <c r="E170" s="187"/>
      <c r="F170" s="188"/>
      <c r="G170" s="188"/>
      <c r="H170" s="188"/>
      <c r="I170" s="188"/>
      <c r="J170" s="188"/>
      <c r="K170" s="188"/>
      <c r="L170" s="188"/>
      <c r="M170" s="188"/>
      <c r="N170" s="188"/>
      <c r="O170" s="188"/>
      <c r="P170" s="188"/>
      <c r="Q170" s="188"/>
      <c r="R170" s="188"/>
      <c r="S170" s="188"/>
      <c r="T170" s="188"/>
      <c r="U170" s="188"/>
      <c r="V170" s="188"/>
      <c r="W170" s="188"/>
      <c r="X170" s="188"/>
      <c r="Y170" s="188"/>
      <c r="Z170" s="188"/>
      <c r="AA170" s="188"/>
      <c r="AB170" s="185"/>
      <c r="AC170" s="192"/>
      <c r="AD170" s="192"/>
      <c r="AE170" s="192"/>
      <c r="AF170" s="192"/>
      <c r="AG170" s="192"/>
      <c r="AH170" s="192"/>
      <c r="AI170" s="192"/>
      <c r="AJ170" s="192"/>
      <c r="AK170" s="192"/>
      <c r="AL170" s="192"/>
      <c r="AM170" s="192"/>
      <c r="AN170" s="192"/>
      <c r="AO170" s="192"/>
      <c r="AP170" s="192"/>
      <c r="AQ170" s="192"/>
      <c r="AR170" s="192"/>
      <c r="AS170" s="192"/>
      <c r="AT170" s="192"/>
      <c r="AU170" s="192"/>
      <c r="AV170" s="192"/>
    </row>
    <row r="171" spans="1:48" ht="19.5" customHeight="1" x14ac:dyDescent="0.35">
      <c r="A171" s="184"/>
      <c r="B171" s="185"/>
      <c r="C171" s="186"/>
      <c r="D171" s="186"/>
      <c r="E171" s="187"/>
      <c r="F171" s="188"/>
      <c r="G171" s="188"/>
      <c r="H171" s="188"/>
      <c r="I171" s="188"/>
      <c r="J171" s="188"/>
      <c r="K171" s="188"/>
      <c r="L171" s="188"/>
      <c r="M171" s="188"/>
      <c r="N171" s="188"/>
      <c r="O171" s="188"/>
      <c r="P171" s="188"/>
      <c r="Q171" s="188"/>
      <c r="R171" s="188"/>
      <c r="S171" s="188"/>
      <c r="T171" s="188"/>
      <c r="U171" s="188"/>
      <c r="V171" s="188"/>
      <c r="W171" s="188"/>
      <c r="X171" s="188"/>
      <c r="Y171" s="188"/>
      <c r="Z171" s="188"/>
      <c r="AA171" s="188"/>
      <c r="AB171" s="185"/>
      <c r="AC171" s="192"/>
      <c r="AD171" s="192"/>
      <c r="AE171" s="192"/>
      <c r="AF171" s="192"/>
      <c r="AG171" s="192"/>
      <c r="AH171" s="192"/>
      <c r="AI171" s="192"/>
      <c r="AJ171" s="192"/>
      <c r="AK171" s="192"/>
      <c r="AL171" s="192"/>
      <c r="AM171" s="192"/>
      <c r="AN171" s="192"/>
      <c r="AO171" s="192"/>
      <c r="AP171" s="192"/>
      <c r="AQ171" s="192"/>
      <c r="AR171" s="192"/>
      <c r="AS171" s="192"/>
      <c r="AT171" s="192"/>
      <c r="AU171" s="192"/>
      <c r="AV171" s="192"/>
    </row>
    <row r="172" spans="1:48" ht="19.5" customHeight="1" x14ac:dyDescent="0.35">
      <c r="A172" s="184"/>
      <c r="B172" s="185"/>
      <c r="C172" s="186"/>
      <c r="D172" s="186"/>
      <c r="E172" s="187"/>
      <c r="F172" s="188"/>
      <c r="G172" s="188"/>
      <c r="H172" s="188"/>
      <c r="I172" s="188"/>
      <c r="J172" s="188"/>
      <c r="K172" s="188"/>
      <c r="L172" s="188"/>
      <c r="M172" s="188"/>
      <c r="N172" s="188"/>
      <c r="O172" s="188"/>
      <c r="P172" s="188"/>
      <c r="Q172" s="188"/>
      <c r="R172" s="188"/>
      <c r="S172" s="188"/>
      <c r="T172" s="188"/>
      <c r="U172" s="188"/>
      <c r="V172" s="188"/>
      <c r="W172" s="188"/>
      <c r="X172" s="188"/>
      <c r="Y172" s="188"/>
      <c r="Z172" s="188"/>
      <c r="AA172" s="188"/>
      <c r="AB172" s="185"/>
      <c r="AC172" s="192"/>
      <c r="AD172" s="192"/>
      <c r="AE172" s="192"/>
      <c r="AF172" s="192"/>
      <c r="AG172" s="192"/>
      <c r="AH172" s="192"/>
      <c r="AI172" s="192"/>
      <c r="AJ172" s="192"/>
      <c r="AK172" s="192"/>
      <c r="AL172" s="192"/>
      <c r="AM172" s="192"/>
      <c r="AN172" s="192"/>
      <c r="AO172" s="192"/>
      <c r="AP172" s="192"/>
      <c r="AQ172" s="192"/>
      <c r="AR172" s="192"/>
      <c r="AS172" s="192"/>
      <c r="AT172" s="192"/>
      <c r="AU172" s="192"/>
      <c r="AV172" s="192"/>
    </row>
    <row r="173" spans="1:48" ht="19.5" customHeight="1" x14ac:dyDescent="0.35">
      <c r="A173" s="184"/>
      <c r="B173" s="185"/>
      <c r="C173" s="186"/>
      <c r="D173" s="186"/>
      <c r="E173" s="187"/>
      <c r="F173" s="188"/>
      <c r="G173" s="188"/>
      <c r="H173" s="188"/>
      <c r="I173" s="188"/>
      <c r="J173" s="188"/>
      <c r="K173" s="188"/>
      <c r="L173" s="188"/>
      <c r="M173" s="188"/>
      <c r="N173" s="188"/>
      <c r="O173" s="188"/>
      <c r="P173" s="188"/>
      <c r="Q173" s="188"/>
      <c r="R173" s="188"/>
      <c r="S173" s="188"/>
      <c r="T173" s="188"/>
      <c r="U173" s="188"/>
      <c r="V173" s="188"/>
      <c r="W173" s="188"/>
      <c r="X173" s="188"/>
      <c r="Y173" s="188"/>
      <c r="Z173" s="188"/>
      <c r="AA173" s="188"/>
      <c r="AB173" s="185"/>
      <c r="AC173" s="192"/>
      <c r="AD173" s="192"/>
      <c r="AE173" s="192"/>
      <c r="AF173" s="192"/>
      <c r="AG173" s="192"/>
      <c r="AH173" s="192"/>
      <c r="AI173" s="192"/>
      <c r="AJ173" s="192"/>
      <c r="AK173" s="192"/>
      <c r="AL173" s="192"/>
      <c r="AM173" s="192"/>
      <c r="AN173" s="192"/>
      <c r="AO173" s="192"/>
      <c r="AP173" s="192"/>
      <c r="AQ173" s="192"/>
      <c r="AR173" s="192"/>
      <c r="AS173" s="192"/>
      <c r="AT173" s="192"/>
      <c r="AU173" s="192"/>
      <c r="AV173" s="192"/>
    </row>
    <row r="174" spans="1:48" ht="19.5" customHeight="1" x14ac:dyDescent="0.35">
      <c r="A174" s="184"/>
      <c r="B174" s="185"/>
      <c r="C174" s="186"/>
      <c r="D174" s="186"/>
      <c r="E174" s="187"/>
      <c r="F174" s="188"/>
      <c r="G174" s="188"/>
      <c r="H174" s="188"/>
      <c r="I174" s="188"/>
      <c r="J174" s="188"/>
      <c r="K174" s="188"/>
      <c r="L174" s="188"/>
      <c r="M174" s="188"/>
      <c r="N174" s="188"/>
      <c r="O174" s="188"/>
      <c r="P174" s="188"/>
      <c r="Q174" s="188"/>
      <c r="R174" s="188"/>
      <c r="S174" s="188"/>
      <c r="T174" s="188"/>
      <c r="U174" s="188"/>
      <c r="V174" s="188"/>
      <c r="W174" s="188"/>
      <c r="X174" s="188"/>
      <c r="Y174" s="188"/>
      <c r="Z174" s="188"/>
      <c r="AA174" s="188"/>
      <c r="AB174" s="185"/>
      <c r="AC174" s="192"/>
      <c r="AD174" s="192"/>
      <c r="AE174" s="192"/>
      <c r="AF174" s="192"/>
      <c r="AG174" s="192"/>
      <c r="AH174" s="192"/>
      <c r="AI174" s="192"/>
      <c r="AJ174" s="192"/>
      <c r="AK174" s="192"/>
      <c r="AL174" s="192"/>
      <c r="AM174" s="192"/>
      <c r="AN174" s="192"/>
      <c r="AO174" s="192"/>
      <c r="AP174" s="192"/>
      <c r="AQ174" s="192"/>
      <c r="AR174" s="192"/>
      <c r="AS174" s="192"/>
      <c r="AT174" s="192"/>
      <c r="AU174" s="192"/>
      <c r="AV174" s="192"/>
    </row>
    <row r="175" spans="1:48" ht="15.75" customHeight="1" x14ac:dyDescent="0.35">
      <c r="A175" s="184"/>
      <c r="B175" s="185"/>
      <c r="C175" s="186"/>
      <c r="D175" s="186"/>
      <c r="E175" s="187"/>
      <c r="F175" s="188"/>
      <c r="G175" s="188"/>
      <c r="H175" s="188"/>
      <c r="I175" s="188"/>
      <c r="J175" s="188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8"/>
      <c r="AA175" s="188"/>
      <c r="AB175" s="185"/>
      <c r="AC175" s="192"/>
      <c r="AD175" s="192"/>
      <c r="AE175" s="192"/>
      <c r="AF175" s="192"/>
      <c r="AG175" s="192"/>
      <c r="AH175" s="192"/>
      <c r="AI175" s="192"/>
      <c r="AJ175" s="192"/>
      <c r="AK175" s="192"/>
      <c r="AL175" s="192"/>
      <c r="AM175" s="192"/>
      <c r="AN175" s="192"/>
      <c r="AO175" s="192"/>
      <c r="AP175" s="192"/>
      <c r="AQ175" s="192"/>
      <c r="AR175" s="192"/>
      <c r="AS175" s="192"/>
      <c r="AT175" s="192"/>
      <c r="AU175" s="192"/>
      <c r="AV175" s="192"/>
    </row>
    <row r="176" spans="1:48" ht="15.75" customHeight="1" x14ac:dyDescent="0.35">
      <c r="A176" s="184"/>
      <c r="B176" s="185"/>
      <c r="C176" s="186"/>
      <c r="D176" s="186"/>
      <c r="E176" s="187"/>
      <c r="F176" s="188"/>
      <c r="G176" s="188"/>
      <c r="H176" s="188"/>
      <c r="I176" s="188"/>
      <c r="J176" s="188"/>
      <c r="K176" s="188"/>
      <c r="L176" s="188"/>
      <c r="M176" s="188"/>
      <c r="N176" s="188"/>
      <c r="O176" s="188"/>
      <c r="P176" s="188"/>
      <c r="Q176" s="188"/>
      <c r="R176" s="188"/>
      <c r="S176" s="188"/>
      <c r="T176" s="188"/>
      <c r="U176" s="188"/>
      <c r="V176" s="188"/>
      <c r="W176" s="188"/>
      <c r="X176" s="188"/>
      <c r="Y176" s="188"/>
      <c r="Z176" s="188"/>
      <c r="AA176" s="188"/>
      <c r="AB176" s="185"/>
      <c r="AC176" s="192"/>
      <c r="AD176" s="192"/>
      <c r="AE176" s="192"/>
      <c r="AF176" s="192"/>
      <c r="AG176" s="192"/>
      <c r="AH176" s="192"/>
      <c r="AI176" s="192"/>
      <c r="AJ176" s="192"/>
      <c r="AK176" s="192"/>
      <c r="AL176" s="192"/>
      <c r="AM176" s="192"/>
      <c r="AN176" s="192"/>
      <c r="AO176" s="192"/>
      <c r="AP176" s="192"/>
      <c r="AQ176" s="192"/>
      <c r="AR176" s="192"/>
      <c r="AS176" s="192"/>
      <c r="AT176" s="192"/>
      <c r="AU176" s="192"/>
      <c r="AV176" s="192"/>
    </row>
    <row r="177" spans="1:48" ht="15.75" customHeight="1" x14ac:dyDescent="0.35">
      <c r="A177" s="184"/>
      <c r="B177" s="185"/>
      <c r="C177" s="186"/>
      <c r="D177" s="186"/>
      <c r="E177" s="187"/>
      <c r="F177" s="188"/>
      <c r="G177" s="188"/>
      <c r="H177" s="188"/>
      <c r="I177" s="188"/>
      <c r="J177" s="188"/>
      <c r="K177" s="188"/>
      <c r="L177" s="188"/>
      <c r="M177" s="188"/>
      <c r="N177" s="188"/>
      <c r="O177" s="188"/>
      <c r="P177" s="188"/>
      <c r="Q177" s="188"/>
      <c r="R177" s="188"/>
      <c r="S177" s="188"/>
      <c r="T177" s="188"/>
      <c r="U177" s="188"/>
      <c r="V177" s="188"/>
      <c r="W177" s="188"/>
      <c r="X177" s="188"/>
      <c r="Y177" s="188"/>
      <c r="Z177" s="188"/>
      <c r="AA177" s="188"/>
      <c r="AB177" s="185"/>
      <c r="AC177" s="192"/>
      <c r="AD177" s="192"/>
      <c r="AE177" s="192"/>
      <c r="AF177" s="192"/>
      <c r="AG177" s="192"/>
      <c r="AH177" s="192"/>
      <c r="AI177" s="192"/>
      <c r="AJ177" s="192"/>
      <c r="AK177" s="192"/>
      <c r="AL177" s="192"/>
      <c r="AM177" s="192"/>
      <c r="AN177" s="192"/>
      <c r="AO177" s="192"/>
      <c r="AP177" s="192"/>
      <c r="AQ177" s="192"/>
      <c r="AR177" s="192"/>
      <c r="AS177" s="192"/>
      <c r="AT177" s="192"/>
      <c r="AU177" s="192"/>
      <c r="AV177" s="192"/>
    </row>
    <row r="178" spans="1:48" ht="15.75" customHeight="1" x14ac:dyDescent="0.35">
      <c r="A178" s="184"/>
      <c r="B178" s="185"/>
      <c r="C178" s="186"/>
      <c r="D178" s="186"/>
      <c r="E178" s="187"/>
      <c r="F178" s="188"/>
      <c r="G178" s="188"/>
      <c r="H178" s="188"/>
      <c r="I178" s="188"/>
      <c r="J178" s="188"/>
      <c r="K178" s="188"/>
      <c r="L178" s="188"/>
      <c r="M178" s="188"/>
      <c r="N178" s="188"/>
      <c r="O178" s="188"/>
      <c r="P178" s="188"/>
      <c r="Q178" s="188"/>
      <c r="R178" s="188"/>
      <c r="S178" s="188"/>
      <c r="T178" s="188"/>
      <c r="U178" s="188"/>
      <c r="V178" s="188"/>
      <c r="W178" s="188"/>
      <c r="X178" s="188"/>
      <c r="Y178" s="188"/>
      <c r="Z178" s="188"/>
      <c r="AA178" s="188"/>
      <c r="AB178" s="185"/>
      <c r="AC178" s="192"/>
      <c r="AD178" s="192"/>
      <c r="AE178" s="192"/>
      <c r="AF178" s="192"/>
      <c r="AG178" s="192"/>
      <c r="AH178" s="192"/>
      <c r="AI178" s="192"/>
      <c r="AJ178" s="192"/>
      <c r="AK178" s="192"/>
      <c r="AL178" s="192"/>
      <c r="AM178" s="192"/>
      <c r="AN178" s="192"/>
      <c r="AO178" s="192"/>
      <c r="AP178" s="192"/>
      <c r="AQ178" s="192"/>
      <c r="AR178" s="192"/>
      <c r="AS178" s="192"/>
      <c r="AT178" s="192"/>
      <c r="AU178" s="192"/>
      <c r="AV178" s="192"/>
    </row>
    <row r="179" spans="1:48" ht="15.75" customHeight="1" x14ac:dyDescent="0.35">
      <c r="A179" s="184"/>
      <c r="B179" s="185"/>
      <c r="C179" s="186"/>
      <c r="D179" s="186"/>
      <c r="E179" s="187"/>
      <c r="F179" s="188"/>
      <c r="G179" s="188"/>
      <c r="H179" s="188"/>
      <c r="I179" s="188"/>
      <c r="J179" s="188"/>
      <c r="K179" s="188"/>
      <c r="L179" s="188"/>
      <c r="M179" s="188"/>
      <c r="N179" s="188"/>
      <c r="O179" s="188"/>
      <c r="P179" s="188"/>
      <c r="Q179" s="188"/>
      <c r="R179" s="188"/>
      <c r="S179" s="188"/>
      <c r="T179" s="188"/>
      <c r="U179" s="188"/>
      <c r="V179" s="188"/>
      <c r="W179" s="188"/>
      <c r="X179" s="188"/>
      <c r="Y179" s="188"/>
      <c r="Z179" s="188"/>
      <c r="AA179" s="188"/>
      <c r="AB179" s="185"/>
      <c r="AC179" s="192"/>
      <c r="AD179" s="192"/>
      <c r="AE179" s="192"/>
      <c r="AF179" s="192"/>
      <c r="AG179" s="192"/>
      <c r="AH179" s="192"/>
      <c r="AI179" s="192"/>
      <c r="AJ179" s="192"/>
      <c r="AK179" s="192"/>
      <c r="AL179" s="192"/>
      <c r="AM179" s="192"/>
      <c r="AN179" s="192"/>
      <c r="AO179" s="192"/>
      <c r="AP179" s="192"/>
      <c r="AQ179" s="192"/>
      <c r="AR179" s="192"/>
      <c r="AS179" s="192"/>
      <c r="AT179" s="192"/>
      <c r="AU179" s="192"/>
      <c r="AV179" s="192"/>
    </row>
    <row r="180" spans="1:48" ht="15.75" customHeight="1" x14ac:dyDescent="0.35">
      <c r="A180" s="184"/>
      <c r="B180" s="185"/>
      <c r="C180" s="186"/>
      <c r="D180" s="186"/>
      <c r="E180" s="187"/>
      <c r="F180" s="188"/>
      <c r="G180" s="188"/>
      <c r="H180" s="188"/>
      <c r="I180" s="188"/>
      <c r="J180" s="188"/>
      <c r="K180" s="188"/>
      <c r="L180" s="188"/>
      <c r="M180" s="188"/>
      <c r="N180" s="188"/>
      <c r="O180" s="188"/>
      <c r="P180" s="188"/>
      <c r="Q180" s="188"/>
      <c r="R180" s="188"/>
      <c r="S180" s="188"/>
      <c r="T180" s="188"/>
      <c r="U180" s="188"/>
      <c r="V180" s="188"/>
      <c r="W180" s="188"/>
      <c r="X180" s="188"/>
      <c r="Y180" s="188"/>
      <c r="Z180" s="188"/>
      <c r="AA180" s="188"/>
      <c r="AB180" s="185"/>
      <c r="AC180" s="192"/>
      <c r="AD180" s="192"/>
      <c r="AE180" s="192"/>
      <c r="AF180" s="192"/>
      <c r="AG180" s="192"/>
      <c r="AH180" s="192"/>
      <c r="AI180" s="192"/>
      <c r="AJ180" s="192"/>
      <c r="AK180" s="192"/>
      <c r="AL180" s="192"/>
      <c r="AM180" s="192"/>
      <c r="AN180" s="192"/>
      <c r="AO180" s="192"/>
      <c r="AP180" s="192"/>
      <c r="AQ180" s="192"/>
      <c r="AR180" s="192"/>
      <c r="AS180" s="192"/>
      <c r="AT180" s="192"/>
      <c r="AU180" s="192"/>
      <c r="AV180" s="192"/>
    </row>
    <row r="181" spans="1:48" ht="15.75" customHeight="1" x14ac:dyDescent="0.35">
      <c r="A181" s="184"/>
      <c r="B181" s="185"/>
      <c r="C181" s="186"/>
      <c r="D181" s="186"/>
      <c r="E181" s="187"/>
      <c r="F181" s="188"/>
      <c r="G181" s="188"/>
      <c r="H181" s="188"/>
      <c r="I181" s="188"/>
      <c r="J181" s="188"/>
      <c r="K181" s="188"/>
      <c r="L181" s="188"/>
      <c r="M181" s="188"/>
      <c r="N181" s="188"/>
      <c r="O181" s="188"/>
      <c r="P181" s="188"/>
      <c r="Q181" s="188"/>
      <c r="R181" s="188"/>
      <c r="S181" s="188"/>
      <c r="T181" s="188"/>
      <c r="U181" s="188"/>
      <c r="V181" s="188"/>
      <c r="W181" s="188"/>
      <c r="X181" s="188"/>
      <c r="Y181" s="188"/>
      <c r="Z181" s="188"/>
      <c r="AA181" s="188"/>
      <c r="AB181" s="185"/>
      <c r="AC181" s="192"/>
      <c r="AD181" s="192"/>
      <c r="AE181" s="192"/>
      <c r="AF181" s="192"/>
      <c r="AG181" s="192"/>
      <c r="AH181" s="192"/>
      <c r="AI181" s="192"/>
      <c r="AJ181" s="192"/>
      <c r="AK181" s="192"/>
      <c r="AL181" s="192"/>
      <c r="AM181" s="192"/>
      <c r="AN181" s="192"/>
      <c r="AO181" s="192"/>
      <c r="AP181" s="192"/>
      <c r="AQ181" s="192"/>
      <c r="AR181" s="192"/>
      <c r="AS181" s="192"/>
      <c r="AT181" s="192"/>
      <c r="AU181" s="192"/>
      <c r="AV181" s="192"/>
    </row>
    <row r="182" spans="1:48" ht="15.75" customHeight="1" x14ac:dyDescent="0.35">
      <c r="A182" s="184"/>
      <c r="B182" s="185"/>
      <c r="C182" s="186"/>
      <c r="D182" s="186"/>
      <c r="E182" s="187"/>
      <c r="F182" s="188"/>
      <c r="G182" s="188"/>
      <c r="H182" s="188"/>
      <c r="I182" s="188"/>
      <c r="J182" s="188"/>
      <c r="K182" s="188"/>
      <c r="L182" s="188"/>
      <c r="M182" s="188"/>
      <c r="N182" s="188"/>
      <c r="O182" s="188"/>
      <c r="P182" s="188"/>
      <c r="Q182" s="188"/>
      <c r="R182" s="188"/>
      <c r="S182" s="188"/>
      <c r="T182" s="188"/>
      <c r="U182" s="188"/>
      <c r="V182" s="188"/>
      <c r="W182" s="188"/>
      <c r="X182" s="188"/>
      <c r="Y182" s="188"/>
      <c r="Z182" s="188"/>
      <c r="AA182" s="188"/>
      <c r="AB182" s="185"/>
      <c r="AC182" s="192"/>
      <c r="AD182" s="192"/>
      <c r="AE182" s="192"/>
      <c r="AF182" s="192"/>
      <c r="AG182" s="192"/>
      <c r="AH182" s="192"/>
      <c r="AI182" s="192"/>
      <c r="AJ182" s="192"/>
      <c r="AK182" s="192"/>
      <c r="AL182" s="192"/>
      <c r="AM182" s="192"/>
      <c r="AN182" s="192"/>
      <c r="AO182" s="192"/>
      <c r="AP182" s="192"/>
      <c r="AQ182" s="192"/>
      <c r="AR182" s="192"/>
      <c r="AS182" s="192"/>
      <c r="AT182" s="192"/>
      <c r="AU182" s="192"/>
      <c r="AV182" s="192"/>
    </row>
    <row r="183" spans="1:48" ht="15.75" customHeight="1" x14ac:dyDescent="0.35">
      <c r="A183" s="184"/>
      <c r="B183" s="185"/>
      <c r="C183" s="186"/>
      <c r="D183" s="186"/>
      <c r="E183" s="187"/>
      <c r="F183" s="188"/>
      <c r="G183" s="188"/>
      <c r="H183" s="188"/>
      <c r="I183" s="188"/>
      <c r="J183" s="188"/>
      <c r="K183" s="188"/>
      <c r="L183" s="188"/>
      <c r="M183" s="188"/>
      <c r="N183" s="188"/>
      <c r="O183" s="188"/>
      <c r="P183" s="188"/>
      <c r="Q183" s="188"/>
      <c r="R183" s="188"/>
      <c r="S183" s="188"/>
      <c r="T183" s="188"/>
      <c r="U183" s="188"/>
      <c r="V183" s="188"/>
      <c r="W183" s="188"/>
      <c r="X183" s="188"/>
      <c r="Y183" s="188"/>
      <c r="Z183" s="188"/>
      <c r="AA183" s="188"/>
      <c r="AB183" s="185"/>
      <c r="AC183" s="192"/>
      <c r="AD183" s="192"/>
      <c r="AE183" s="192"/>
      <c r="AF183" s="192"/>
      <c r="AG183" s="192"/>
      <c r="AH183" s="192"/>
      <c r="AI183" s="192"/>
      <c r="AJ183" s="192"/>
      <c r="AK183" s="192"/>
      <c r="AL183" s="192"/>
      <c r="AM183" s="192"/>
      <c r="AN183" s="192"/>
      <c r="AO183" s="192"/>
      <c r="AP183" s="192"/>
      <c r="AQ183" s="192"/>
      <c r="AR183" s="192"/>
      <c r="AS183" s="192"/>
      <c r="AT183" s="192"/>
      <c r="AU183" s="192"/>
      <c r="AV183" s="192"/>
    </row>
    <row r="184" spans="1:48" ht="15.75" customHeight="1" x14ac:dyDescent="0.35">
      <c r="A184" s="184"/>
      <c r="B184" s="185"/>
      <c r="C184" s="186"/>
      <c r="D184" s="186"/>
      <c r="E184" s="187"/>
      <c r="F184" s="188"/>
      <c r="G184" s="188"/>
      <c r="H184" s="188"/>
      <c r="I184" s="188"/>
      <c r="J184" s="188"/>
      <c r="K184" s="188"/>
      <c r="L184" s="188"/>
      <c r="M184" s="188"/>
      <c r="N184" s="188"/>
      <c r="O184" s="188"/>
      <c r="P184" s="188"/>
      <c r="Q184" s="188"/>
      <c r="R184" s="188"/>
      <c r="S184" s="188"/>
      <c r="T184" s="188"/>
      <c r="U184" s="188"/>
      <c r="V184" s="188"/>
      <c r="W184" s="188"/>
      <c r="X184" s="188"/>
      <c r="Y184" s="188"/>
      <c r="Z184" s="188"/>
      <c r="AA184" s="188"/>
      <c r="AB184" s="185"/>
      <c r="AC184" s="192"/>
      <c r="AD184" s="192"/>
      <c r="AE184" s="192"/>
      <c r="AF184" s="192"/>
      <c r="AG184" s="192"/>
      <c r="AH184" s="192"/>
      <c r="AI184" s="192"/>
      <c r="AJ184" s="192"/>
      <c r="AK184" s="192"/>
      <c r="AL184" s="192"/>
      <c r="AM184" s="192"/>
      <c r="AN184" s="192"/>
      <c r="AO184" s="192"/>
      <c r="AP184" s="192"/>
      <c r="AQ184" s="192"/>
      <c r="AR184" s="192"/>
      <c r="AS184" s="192"/>
      <c r="AT184" s="192"/>
      <c r="AU184" s="192"/>
      <c r="AV184" s="192"/>
    </row>
    <row r="185" spans="1:48" ht="15.75" customHeight="1" x14ac:dyDescent="0.35">
      <c r="A185" s="184"/>
      <c r="B185" s="185"/>
      <c r="C185" s="186"/>
      <c r="D185" s="186"/>
      <c r="E185" s="187"/>
      <c r="F185" s="188"/>
      <c r="G185" s="188"/>
      <c r="H185" s="188"/>
      <c r="I185" s="188"/>
      <c r="J185" s="188"/>
      <c r="K185" s="188"/>
      <c r="L185" s="188"/>
      <c r="M185" s="188"/>
      <c r="N185" s="188"/>
      <c r="O185" s="188"/>
      <c r="P185" s="188"/>
      <c r="Q185" s="188"/>
      <c r="R185" s="188"/>
      <c r="S185" s="188"/>
      <c r="T185" s="188"/>
      <c r="U185" s="188"/>
      <c r="V185" s="188"/>
      <c r="W185" s="188"/>
      <c r="X185" s="188"/>
      <c r="Y185" s="188"/>
      <c r="Z185" s="188"/>
      <c r="AA185" s="188"/>
      <c r="AB185" s="185"/>
      <c r="AC185" s="192"/>
      <c r="AD185" s="192"/>
      <c r="AE185" s="192"/>
      <c r="AF185" s="192"/>
      <c r="AG185" s="192"/>
      <c r="AH185" s="192"/>
      <c r="AI185" s="192"/>
      <c r="AJ185" s="192"/>
      <c r="AK185" s="192"/>
      <c r="AL185" s="192"/>
      <c r="AM185" s="192"/>
      <c r="AN185" s="192"/>
      <c r="AO185" s="192"/>
      <c r="AP185" s="192"/>
      <c r="AQ185" s="192"/>
      <c r="AR185" s="192"/>
      <c r="AS185" s="192"/>
      <c r="AT185" s="192"/>
      <c r="AU185" s="192"/>
      <c r="AV185" s="192"/>
    </row>
    <row r="186" spans="1:48" ht="15.75" customHeight="1" x14ac:dyDescent="0.35">
      <c r="A186" s="184"/>
      <c r="B186" s="185"/>
      <c r="C186" s="186"/>
      <c r="D186" s="186"/>
      <c r="E186" s="187"/>
      <c r="F186" s="188"/>
      <c r="G186" s="188"/>
      <c r="H186" s="188"/>
      <c r="I186" s="188"/>
      <c r="J186" s="188"/>
      <c r="K186" s="188"/>
      <c r="L186" s="188"/>
      <c r="M186" s="188"/>
      <c r="N186" s="188"/>
      <c r="O186" s="188"/>
      <c r="P186" s="188"/>
      <c r="Q186" s="188"/>
      <c r="R186" s="188"/>
      <c r="S186" s="188"/>
      <c r="T186" s="188"/>
      <c r="U186" s="188"/>
      <c r="V186" s="188"/>
      <c r="W186" s="188"/>
      <c r="X186" s="188"/>
      <c r="Y186" s="188"/>
      <c r="Z186" s="188"/>
      <c r="AA186" s="188"/>
      <c r="AB186" s="185"/>
      <c r="AC186" s="192"/>
      <c r="AD186" s="192"/>
      <c r="AE186" s="192"/>
      <c r="AF186" s="192"/>
      <c r="AG186" s="192"/>
      <c r="AH186" s="192"/>
      <c r="AI186" s="192"/>
      <c r="AJ186" s="192"/>
      <c r="AK186" s="192"/>
      <c r="AL186" s="192"/>
      <c r="AM186" s="192"/>
      <c r="AN186" s="192"/>
      <c r="AO186" s="192"/>
      <c r="AP186" s="192"/>
      <c r="AQ186" s="192"/>
      <c r="AR186" s="192"/>
      <c r="AS186" s="192"/>
      <c r="AT186" s="192"/>
      <c r="AU186" s="192"/>
      <c r="AV186" s="192"/>
    </row>
    <row r="187" spans="1:48" ht="15.75" customHeight="1" x14ac:dyDescent="0.35">
      <c r="A187" s="184"/>
      <c r="B187" s="185"/>
      <c r="C187" s="186"/>
      <c r="D187" s="186"/>
      <c r="E187" s="187"/>
      <c r="F187" s="188"/>
      <c r="G187" s="188"/>
      <c r="H187" s="188"/>
      <c r="I187" s="188"/>
      <c r="J187" s="188"/>
      <c r="K187" s="188"/>
      <c r="L187" s="188"/>
      <c r="M187" s="188"/>
      <c r="N187" s="188"/>
      <c r="O187" s="188"/>
      <c r="P187" s="188"/>
      <c r="Q187" s="188"/>
      <c r="R187" s="188"/>
      <c r="S187" s="188"/>
      <c r="T187" s="188"/>
      <c r="U187" s="188"/>
      <c r="V187" s="188"/>
      <c r="W187" s="188"/>
      <c r="X187" s="188"/>
      <c r="Y187" s="188"/>
      <c r="Z187" s="188"/>
      <c r="AA187" s="188"/>
      <c r="AB187" s="185"/>
      <c r="AC187" s="192"/>
      <c r="AD187" s="192"/>
      <c r="AE187" s="192"/>
      <c r="AF187" s="192"/>
      <c r="AG187" s="192"/>
      <c r="AH187" s="192"/>
      <c r="AI187" s="192"/>
      <c r="AJ187" s="192"/>
      <c r="AK187" s="192"/>
      <c r="AL187" s="192"/>
      <c r="AM187" s="192"/>
      <c r="AN187" s="192"/>
      <c r="AO187" s="192"/>
      <c r="AP187" s="192"/>
      <c r="AQ187" s="192"/>
      <c r="AR187" s="192"/>
      <c r="AS187" s="192"/>
      <c r="AT187" s="192"/>
      <c r="AU187" s="192"/>
      <c r="AV187" s="192"/>
    </row>
    <row r="188" spans="1:48" ht="15.75" customHeight="1" x14ac:dyDescent="0.35">
      <c r="A188" s="184"/>
      <c r="B188" s="185"/>
      <c r="C188" s="186"/>
      <c r="D188" s="186"/>
      <c r="E188" s="187"/>
      <c r="F188" s="188"/>
      <c r="G188" s="188"/>
      <c r="H188" s="188"/>
      <c r="I188" s="188"/>
      <c r="J188" s="188"/>
      <c r="K188" s="188"/>
      <c r="L188" s="188"/>
      <c r="M188" s="188"/>
      <c r="N188" s="188"/>
      <c r="O188" s="188"/>
      <c r="P188" s="188"/>
      <c r="Q188" s="188"/>
      <c r="R188" s="188"/>
      <c r="S188" s="188"/>
      <c r="T188" s="188"/>
      <c r="U188" s="188"/>
      <c r="V188" s="188"/>
      <c r="W188" s="188"/>
      <c r="X188" s="188"/>
      <c r="Y188" s="188"/>
      <c r="Z188" s="188"/>
      <c r="AA188" s="188"/>
      <c r="AB188" s="185"/>
      <c r="AC188" s="192"/>
      <c r="AD188" s="192"/>
      <c r="AE188" s="192"/>
      <c r="AF188" s="192"/>
      <c r="AG188" s="192"/>
      <c r="AH188" s="192"/>
      <c r="AI188" s="192"/>
      <c r="AJ188" s="192"/>
      <c r="AK188" s="192"/>
      <c r="AL188" s="192"/>
      <c r="AM188" s="192"/>
      <c r="AN188" s="192"/>
      <c r="AO188" s="192"/>
      <c r="AP188" s="192"/>
      <c r="AQ188" s="192"/>
      <c r="AR188" s="192"/>
      <c r="AS188" s="192"/>
      <c r="AT188" s="192"/>
      <c r="AU188" s="192"/>
      <c r="AV188" s="192"/>
    </row>
    <row r="189" spans="1:48" ht="15.75" customHeight="1" x14ac:dyDescent="0.35">
      <c r="A189" s="184"/>
      <c r="B189" s="185"/>
      <c r="C189" s="186"/>
      <c r="D189" s="186"/>
      <c r="E189" s="187"/>
      <c r="F189" s="188"/>
      <c r="G189" s="188"/>
      <c r="H189" s="188"/>
      <c r="I189" s="188"/>
      <c r="J189" s="188"/>
      <c r="K189" s="188"/>
      <c r="L189" s="188"/>
      <c r="M189" s="188"/>
      <c r="N189" s="188"/>
      <c r="O189" s="188"/>
      <c r="P189" s="188"/>
      <c r="Q189" s="188"/>
      <c r="R189" s="188"/>
      <c r="S189" s="188"/>
      <c r="T189" s="188"/>
      <c r="U189" s="188"/>
      <c r="V189" s="188"/>
      <c r="W189" s="188"/>
      <c r="X189" s="188"/>
      <c r="Y189" s="188"/>
      <c r="Z189" s="188"/>
      <c r="AA189" s="188"/>
      <c r="AB189" s="185"/>
      <c r="AC189" s="192"/>
      <c r="AD189" s="192"/>
      <c r="AE189" s="192"/>
      <c r="AF189" s="192"/>
      <c r="AG189" s="192"/>
      <c r="AH189" s="192"/>
      <c r="AI189" s="192"/>
      <c r="AJ189" s="192"/>
      <c r="AK189" s="192"/>
      <c r="AL189" s="192"/>
      <c r="AM189" s="192"/>
      <c r="AN189" s="192"/>
      <c r="AO189" s="192"/>
      <c r="AP189" s="192"/>
      <c r="AQ189" s="192"/>
      <c r="AR189" s="192"/>
      <c r="AS189" s="192"/>
      <c r="AT189" s="192"/>
      <c r="AU189" s="192"/>
      <c r="AV189" s="192"/>
    </row>
    <row r="190" spans="1:48" ht="15.75" customHeight="1" x14ac:dyDescent="0.35">
      <c r="A190" s="184"/>
      <c r="B190" s="185"/>
      <c r="C190" s="186"/>
      <c r="D190" s="186"/>
      <c r="E190" s="187"/>
      <c r="F190" s="188"/>
      <c r="G190" s="188"/>
      <c r="H190" s="188"/>
      <c r="I190" s="188"/>
      <c r="J190" s="188"/>
      <c r="K190" s="188"/>
      <c r="L190" s="188"/>
      <c r="M190" s="188"/>
      <c r="N190" s="188"/>
      <c r="O190" s="188"/>
      <c r="P190" s="188"/>
      <c r="Q190" s="188"/>
      <c r="R190" s="188"/>
      <c r="S190" s="188"/>
      <c r="T190" s="188"/>
      <c r="U190" s="188"/>
      <c r="V190" s="188"/>
      <c r="W190" s="188"/>
      <c r="X190" s="188"/>
      <c r="Y190" s="188"/>
      <c r="Z190" s="188"/>
      <c r="AA190" s="188"/>
      <c r="AB190" s="185"/>
      <c r="AC190" s="192"/>
      <c r="AD190" s="192"/>
      <c r="AE190" s="192"/>
      <c r="AF190" s="192"/>
      <c r="AG190" s="192"/>
      <c r="AH190" s="192"/>
      <c r="AI190" s="192"/>
      <c r="AJ190" s="192"/>
      <c r="AK190" s="192"/>
      <c r="AL190" s="192"/>
      <c r="AM190" s="192"/>
      <c r="AN190" s="192"/>
      <c r="AO190" s="192"/>
      <c r="AP190" s="192"/>
      <c r="AQ190" s="192"/>
      <c r="AR190" s="192"/>
      <c r="AS190" s="192"/>
      <c r="AT190" s="192"/>
      <c r="AU190" s="192"/>
      <c r="AV190" s="192"/>
    </row>
    <row r="191" spans="1:48" ht="15.75" customHeight="1" x14ac:dyDescent="0.35">
      <c r="A191" s="184"/>
      <c r="B191" s="185"/>
      <c r="C191" s="186"/>
      <c r="D191" s="186"/>
      <c r="E191" s="187"/>
      <c r="F191" s="188"/>
      <c r="G191" s="188"/>
      <c r="H191" s="188"/>
      <c r="I191" s="188"/>
      <c r="J191" s="188"/>
      <c r="K191" s="188"/>
      <c r="L191" s="188"/>
      <c r="M191" s="188"/>
      <c r="N191" s="188"/>
      <c r="O191" s="188"/>
      <c r="P191" s="188"/>
      <c r="Q191" s="188"/>
      <c r="R191" s="188"/>
      <c r="S191" s="188"/>
      <c r="T191" s="188"/>
      <c r="U191" s="188"/>
      <c r="V191" s="188"/>
      <c r="W191" s="188"/>
      <c r="X191" s="188"/>
      <c r="Y191" s="188"/>
      <c r="Z191" s="188"/>
      <c r="AA191" s="188"/>
      <c r="AB191" s="185"/>
      <c r="AC191" s="192"/>
      <c r="AD191" s="192"/>
      <c r="AE191" s="192"/>
      <c r="AF191" s="192"/>
      <c r="AG191" s="192"/>
      <c r="AH191" s="192"/>
      <c r="AI191" s="192"/>
      <c r="AJ191" s="192"/>
      <c r="AK191" s="192"/>
      <c r="AL191" s="192"/>
      <c r="AM191" s="192"/>
      <c r="AN191" s="192"/>
      <c r="AO191" s="192"/>
      <c r="AP191" s="192"/>
      <c r="AQ191" s="192"/>
      <c r="AR191" s="192"/>
      <c r="AS191" s="192"/>
      <c r="AT191" s="192"/>
      <c r="AU191" s="192"/>
      <c r="AV191" s="192"/>
    </row>
    <row r="192" spans="1:48" ht="15.75" customHeight="1" x14ac:dyDescent="0.35">
      <c r="A192" s="184"/>
      <c r="B192" s="185"/>
      <c r="C192" s="186"/>
      <c r="D192" s="186"/>
      <c r="E192" s="187"/>
      <c r="F192" s="188"/>
      <c r="G192" s="188"/>
      <c r="H192" s="188"/>
      <c r="I192" s="188"/>
      <c r="J192" s="188"/>
      <c r="K192" s="188"/>
      <c r="L192" s="188"/>
      <c r="M192" s="188"/>
      <c r="N192" s="188"/>
      <c r="O192" s="188"/>
      <c r="P192" s="188"/>
      <c r="Q192" s="188"/>
      <c r="R192" s="188"/>
      <c r="S192" s="188"/>
      <c r="T192" s="188"/>
      <c r="U192" s="188"/>
      <c r="V192" s="188"/>
      <c r="W192" s="188"/>
      <c r="X192" s="188"/>
      <c r="Y192" s="188"/>
      <c r="Z192" s="188"/>
      <c r="AA192" s="188"/>
      <c r="AB192" s="185"/>
      <c r="AC192" s="192"/>
      <c r="AD192" s="192"/>
      <c r="AE192" s="192"/>
      <c r="AF192" s="192"/>
      <c r="AG192" s="192"/>
      <c r="AH192" s="192"/>
      <c r="AI192" s="192"/>
      <c r="AJ192" s="192"/>
      <c r="AK192" s="192"/>
      <c r="AL192" s="192"/>
      <c r="AM192" s="192"/>
      <c r="AN192" s="192"/>
      <c r="AO192" s="192"/>
      <c r="AP192" s="192"/>
      <c r="AQ192" s="192"/>
      <c r="AR192" s="192"/>
      <c r="AS192" s="192"/>
      <c r="AT192" s="192"/>
      <c r="AU192" s="192"/>
      <c r="AV192" s="192"/>
    </row>
    <row r="193" spans="1:48" ht="15.75" customHeight="1" x14ac:dyDescent="0.35">
      <c r="A193" s="184"/>
      <c r="B193" s="185"/>
      <c r="C193" s="186"/>
      <c r="D193" s="186"/>
      <c r="E193" s="187"/>
      <c r="F193" s="188"/>
      <c r="G193" s="188"/>
      <c r="H193" s="188"/>
      <c r="I193" s="188"/>
      <c r="J193" s="188"/>
      <c r="K193" s="188"/>
      <c r="L193" s="188"/>
      <c r="M193" s="188"/>
      <c r="N193" s="188"/>
      <c r="O193" s="188"/>
      <c r="P193" s="188"/>
      <c r="Q193" s="188"/>
      <c r="R193" s="188"/>
      <c r="S193" s="188"/>
      <c r="T193" s="188"/>
      <c r="U193" s="188"/>
      <c r="V193" s="188"/>
      <c r="W193" s="188"/>
      <c r="X193" s="188"/>
      <c r="Y193" s="188"/>
      <c r="Z193" s="188"/>
      <c r="AA193" s="188"/>
      <c r="AB193" s="185"/>
      <c r="AC193" s="192"/>
      <c r="AD193" s="192"/>
      <c r="AE193" s="192"/>
      <c r="AF193" s="192"/>
      <c r="AG193" s="192"/>
      <c r="AH193" s="192"/>
      <c r="AI193" s="192"/>
      <c r="AJ193" s="192"/>
      <c r="AK193" s="192"/>
      <c r="AL193" s="192"/>
      <c r="AM193" s="192"/>
      <c r="AN193" s="192"/>
      <c r="AO193" s="192"/>
      <c r="AP193" s="192"/>
      <c r="AQ193" s="192"/>
      <c r="AR193" s="192"/>
      <c r="AS193" s="192"/>
      <c r="AT193" s="192"/>
      <c r="AU193" s="192"/>
      <c r="AV193" s="192"/>
    </row>
    <row r="194" spans="1:48" ht="15.75" customHeight="1" x14ac:dyDescent="0.35">
      <c r="A194" s="184"/>
      <c r="B194" s="185"/>
      <c r="C194" s="186"/>
      <c r="D194" s="186"/>
      <c r="E194" s="187"/>
      <c r="F194" s="188"/>
      <c r="G194" s="188"/>
      <c r="H194" s="188"/>
      <c r="I194" s="188"/>
      <c r="J194" s="188"/>
      <c r="K194" s="188"/>
      <c r="L194" s="188"/>
      <c r="M194" s="188"/>
      <c r="N194" s="188"/>
      <c r="O194" s="188"/>
      <c r="P194" s="188"/>
      <c r="Q194" s="188"/>
      <c r="R194" s="188"/>
      <c r="S194" s="188"/>
      <c r="T194" s="188"/>
      <c r="U194" s="188"/>
      <c r="V194" s="188"/>
      <c r="W194" s="188"/>
      <c r="X194" s="188"/>
      <c r="Y194" s="188"/>
      <c r="Z194" s="188"/>
      <c r="AA194" s="188"/>
      <c r="AB194" s="185"/>
      <c r="AC194" s="192"/>
      <c r="AD194" s="192"/>
      <c r="AE194" s="192"/>
      <c r="AF194" s="192"/>
      <c r="AG194" s="192"/>
      <c r="AH194" s="192"/>
      <c r="AI194" s="192"/>
      <c r="AJ194" s="192"/>
      <c r="AK194" s="192"/>
      <c r="AL194" s="192"/>
      <c r="AM194" s="192"/>
      <c r="AN194" s="192"/>
      <c r="AO194" s="192"/>
      <c r="AP194" s="192"/>
      <c r="AQ194" s="192"/>
      <c r="AR194" s="192"/>
      <c r="AS194" s="192"/>
      <c r="AT194" s="192"/>
      <c r="AU194" s="192"/>
      <c r="AV194" s="192"/>
    </row>
    <row r="195" spans="1:48" ht="15.75" customHeight="1" x14ac:dyDescent="0.35">
      <c r="A195" s="184"/>
      <c r="B195" s="185"/>
      <c r="C195" s="186"/>
      <c r="D195" s="186"/>
      <c r="E195" s="187"/>
      <c r="F195" s="188"/>
      <c r="G195" s="188"/>
      <c r="H195" s="188"/>
      <c r="I195" s="188"/>
      <c r="J195" s="188"/>
      <c r="K195" s="188"/>
      <c r="L195" s="188"/>
      <c r="M195" s="188"/>
      <c r="N195" s="188"/>
      <c r="O195" s="188"/>
      <c r="P195" s="188"/>
      <c r="Q195" s="188"/>
      <c r="R195" s="188"/>
      <c r="S195" s="188"/>
      <c r="T195" s="188"/>
      <c r="U195" s="188"/>
      <c r="V195" s="188"/>
      <c r="W195" s="188"/>
      <c r="X195" s="188"/>
      <c r="Y195" s="188"/>
      <c r="Z195" s="188"/>
      <c r="AA195" s="188"/>
      <c r="AB195" s="185"/>
      <c r="AC195" s="192"/>
      <c r="AD195" s="192"/>
      <c r="AE195" s="192"/>
      <c r="AF195" s="192"/>
      <c r="AG195" s="192"/>
      <c r="AH195" s="192"/>
      <c r="AI195" s="192"/>
      <c r="AJ195" s="192"/>
      <c r="AK195" s="192"/>
      <c r="AL195" s="192"/>
      <c r="AM195" s="192"/>
      <c r="AN195" s="192"/>
      <c r="AO195" s="192"/>
      <c r="AP195" s="192"/>
      <c r="AQ195" s="192"/>
      <c r="AR195" s="192"/>
      <c r="AS195" s="192"/>
      <c r="AT195" s="192"/>
      <c r="AU195" s="192"/>
      <c r="AV195" s="192"/>
    </row>
    <row r="196" spans="1:48" ht="15.75" customHeight="1" x14ac:dyDescent="0.35">
      <c r="A196" s="184"/>
      <c r="B196" s="185"/>
      <c r="C196" s="186"/>
      <c r="D196" s="186"/>
      <c r="E196" s="187"/>
      <c r="F196" s="188"/>
      <c r="G196" s="188"/>
      <c r="H196" s="188"/>
      <c r="I196" s="188"/>
      <c r="J196" s="188"/>
      <c r="K196" s="188"/>
      <c r="L196" s="188"/>
      <c r="M196" s="188"/>
      <c r="N196" s="188"/>
      <c r="O196" s="188"/>
      <c r="P196" s="188"/>
      <c r="Q196" s="188"/>
      <c r="R196" s="188"/>
      <c r="S196" s="188"/>
      <c r="T196" s="188"/>
      <c r="U196" s="188"/>
      <c r="V196" s="188"/>
      <c r="W196" s="188"/>
      <c r="X196" s="188"/>
      <c r="Y196" s="188"/>
      <c r="Z196" s="188"/>
      <c r="AA196" s="188"/>
      <c r="AB196" s="185"/>
      <c r="AC196" s="192"/>
      <c r="AD196" s="192"/>
      <c r="AE196" s="192"/>
      <c r="AF196" s="192"/>
      <c r="AG196" s="192"/>
      <c r="AH196" s="192"/>
      <c r="AI196" s="192"/>
      <c r="AJ196" s="192"/>
      <c r="AK196" s="192"/>
      <c r="AL196" s="192"/>
      <c r="AM196" s="192"/>
      <c r="AN196" s="192"/>
      <c r="AO196" s="192"/>
      <c r="AP196" s="192"/>
      <c r="AQ196" s="192"/>
      <c r="AR196" s="192"/>
      <c r="AS196" s="192"/>
      <c r="AT196" s="192"/>
      <c r="AU196" s="192"/>
      <c r="AV196" s="192"/>
    </row>
    <row r="197" spans="1:48" ht="15.75" customHeight="1" x14ac:dyDescent="0.35">
      <c r="A197" s="184"/>
      <c r="B197" s="185"/>
      <c r="C197" s="186"/>
      <c r="D197" s="186"/>
      <c r="E197" s="187"/>
      <c r="F197" s="188"/>
      <c r="G197" s="188"/>
      <c r="H197" s="188"/>
      <c r="I197" s="188"/>
      <c r="J197" s="188"/>
      <c r="K197" s="188"/>
      <c r="L197" s="188"/>
      <c r="M197" s="188"/>
      <c r="N197" s="188"/>
      <c r="O197" s="188"/>
      <c r="P197" s="188"/>
      <c r="Q197" s="188"/>
      <c r="R197" s="188"/>
      <c r="S197" s="188"/>
      <c r="T197" s="188"/>
      <c r="U197" s="188"/>
      <c r="V197" s="188"/>
      <c r="W197" s="188"/>
      <c r="X197" s="188"/>
      <c r="Y197" s="188"/>
      <c r="Z197" s="188"/>
      <c r="AA197" s="188"/>
      <c r="AB197" s="185"/>
      <c r="AC197" s="192"/>
      <c r="AD197" s="192"/>
      <c r="AE197" s="192"/>
      <c r="AF197" s="192"/>
      <c r="AG197" s="192"/>
      <c r="AH197" s="192"/>
      <c r="AI197" s="192"/>
      <c r="AJ197" s="192"/>
      <c r="AK197" s="192"/>
      <c r="AL197" s="192"/>
      <c r="AM197" s="192"/>
      <c r="AN197" s="192"/>
      <c r="AO197" s="192"/>
      <c r="AP197" s="192"/>
      <c r="AQ197" s="192"/>
      <c r="AR197" s="192"/>
      <c r="AS197" s="192"/>
      <c r="AT197" s="192"/>
      <c r="AU197" s="192"/>
      <c r="AV197" s="192"/>
    </row>
    <row r="198" spans="1:48" ht="15.75" customHeight="1" x14ac:dyDescent="0.35">
      <c r="A198" s="184"/>
      <c r="B198" s="185"/>
      <c r="C198" s="186"/>
      <c r="D198" s="186"/>
      <c r="E198" s="187"/>
      <c r="F198" s="188"/>
      <c r="G198" s="188"/>
      <c r="H198" s="188"/>
      <c r="I198" s="188"/>
      <c r="J198" s="188"/>
      <c r="K198" s="188"/>
      <c r="L198" s="188"/>
      <c r="M198" s="188"/>
      <c r="N198" s="188"/>
      <c r="O198" s="188"/>
      <c r="P198" s="188"/>
      <c r="Q198" s="188"/>
      <c r="R198" s="188"/>
      <c r="S198" s="188"/>
      <c r="T198" s="188"/>
      <c r="U198" s="188"/>
      <c r="V198" s="188"/>
      <c r="W198" s="188"/>
      <c r="X198" s="188"/>
      <c r="Y198" s="188"/>
      <c r="Z198" s="188"/>
      <c r="AA198" s="188"/>
      <c r="AB198" s="185"/>
      <c r="AC198" s="192"/>
      <c r="AD198" s="192"/>
      <c r="AE198" s="192"/>
      <c r="AF198" s="192"/>
      <c r="AG198" s="192"/>
      <c r="AH198" s="192"/>
      <c r="AI198" s="192"/>
      <c r="AJ198" s="192"/>
      <c r="AK198" s="192"/>
      <c r="AL198" s="192"/>
      <c r="AM198" s="192"/>
      <c r="AN198" s="192"/>
      <c r="AO198" s="192"/>
      <c r="AP198" s="192"/>
      <c r="AQ198" s="192"/>
      <c r="AR198" s="192"/>
      <c r="AS198" s="192"/>
      <c r="AT198" s="192"/>
      <c r="AU198" s="192"/>
      <c r="AV198" s="192"/>
    </row>
    <row r="199" spans="1:48" ht="15.75" customHeight="1" x14ac:dyDescent="0.35">
      <c r="A199" s="184"/>
      <c r="B199" s="185"/>
      <c r="C199" s="186"/>
      <c r="D199" s="186"/>
      <c r="E199" s="187"/>
      <c r="F199" s="188"/>
      <c r="G199" s="188"/>
      <c r="H199" s="188"/>
      <c r="I199" s="188"/>
      <c r="J199" s="188"/>
      <c r="K199" s="188"/>
      <c r="L199" s="188"/>
      <c r="M199" s="188"/>
      <c r="N199" s="188"/>
      <c r="O199" s="188"/>
      <c r="P199" s="188"/>
      <c r="Q199" s="188"/>
      <c r="R199" s="188"/>
      <c r="S199" s="188"/>
      <c r="T199" s="188"/>
      <c r="U199" s="188"/>
      <c r="V199" s="188"/>
      <c r="W199" s="188"/>
      <c r="X199" s="188"/>
      <c r="Y199" s="188"/>
      <c r="Z199" s="188"/>
      <c r="AA199" s="188"/>
      <c r="AB199" s="185"/>
      <c r="AC199" s="192"/>
      <c r="AD199" s="192"/>
      <c r="AE199" s="192"/>
      <c r="AF199" s="192"/>
      <c r="AG199" s="192"/>
      <c r="AH199" s="192"/>
      <c r="AI199" s="192"/>
      <c r="AJ199" s="192"/>
      <c r="AK199" s="192"/>
      <c r="AL199" s="192"/>
      <c r="AM199" s="192"/>
      <c r="AN199" s="192"/>
      <c r="AO199" s="192"/>
      <c r="AP199" s="192"/>
      <c r="AQ199" s="192"/>
      <c r="AR199" s="192"/>
      <c r="AS199" s="192"/>
      <c r="AT199" s="192"/>
      <c r="AU199" s="192"/>
      <c r="AV199" s="192"/>
    </row>
    <row r="200" spans="1:48" ht="15.75" customHeight="1" x14ac:dyDescent="0.35">
      <c r="A200" s="184"/>
      <c r="B200" s="185"/>
      <c r="C200" s="186"/>
      <c r="D200" s="186"/>
      <c r="E200" s="187"/>
      <c r="F200" s="188"/>
      <c r="G200" s="188"/>
      <c r="H200" s="188"/>
      <c r="I200" s="188"/>
      <c r="J200" s="188"/>
      <c r="K200" s="188"/>
      <c r="L200" s="188"/>
      <c r="M200" s="188"/>
      <c r="N200" s="188"/>
      <c r="O200" s="188"/>
      <c r="P200" s="188"/>
      <c r="Q200" s="188"/>
      <c r="R200" s="188"/>
      <c r="S200" s="188"/>
      <c r="T200" s="188"/>
      <c r="U200" s="188"/>
      <c r="V200" s="188"/>
      <c r="W200" s="188"/>
      <c r="X200" s="188"/>
      <c r="Y200" s="188"/>
      <c r="Z200" s="188"/>
      <c r="AA200" s="188"/>
      <c r="AB200" s="185"/>
      <c r="AC200" s="192"/>
      <c r="AD200" s="192"/>
      <c r="AE200" s="192"/>
      <c r="AF200" s="192"/>
      <c r="AG200" s="192"/>
      <c r="AH200" s="192"/>
      <c r="AI200" s="192"/>
      <c r="AJ200" s="192"/>
      <c r="AK200" s="192"/>
      <c r="AL200" s="192"/>
      <c r="AM200" s="192"/>
      <c r="AN200" s="192"/>
      <c r="AO200" s="192"/>
      <c r="AP200" s="192"/>
      <c r="AQ200" s="192"/>
      <c r="AR200" s="192"/>
      <c r="AS200" s="192"/>
      <c r="AT200" s="192"/>
      <c r="AU200" s="192"/>
      <c r="AV200" s="192"/>
    </row>
    <row r="201" spans="1:48" ht="15.75" customHeight="1" x14ac:dyDescent="0.35">
      <c r="A201" s="184"/>
      <c r="B201" s="185"/>
      <c r="C201" s="186"/>
      <c r="D201" s="186"/>
      <c r="E201" s="187"/>
      <c r="F201" s="188"/>
      <c r="G201" s="188"/>
      <c r="H201" s="188"/>
      <c r="I201" s="188"/>
      <c r="J201" s="188"/>
      <c r="K201" s="188"/>
      <c r="L201" s="188"/>
      <c r="M201" s="188"/>
      <c r="N201" s="188"/>
      <c r="O201" s="188"/>
      <c r="P201" s="188"/>
      <c r="Q201" s="188"/>
      <c r="R201" s="188"/>
      <c r="S201" s="188"/>
      <c r="T201" s="188"/>
      <c r="U201" s="188"/>
      <c r="V201" s="188"/>
      <c r="W201" s="188"/>
      <c r="X201" s="188"/>
      <c r="Y201" s="188"/>
      <c r="Z201" s="188"/>
      <c r="AA201" s="188"/>
      <c r="AB201" s="185"/>
      <c r="AC201" s="192"/>
      <c r="AD201" s="192"/>
      <c r="AE201" s="192"/>
      <c r="AF201" s="192"/>
      <c r="AG201" s="192"/>
      <c r="AH201" s="192"/>
      <c r="AI201" s="192"/>
      <c r="AJ201" s="192"/>
      <c r="AK201" s="192"/>
      <c r="AL201" s="192"/>
      <c r="AM201" s="192"/>
      <c r="AN201" s="192"/>
      <c r="AO201" s="192"/>
      <c r="AP201" s="192"/>
      <c r="AQ201" s="192"/>
      <c r="AR201" s="192"/>
      <c r="AS201" s="192"/>
      <c r="AT201" s="192"/>
      <c r="AU201" s="192"/>
      <c r="AV201" s="192"/>
    </row>
    <row r="202" spans="1:48" ht="15.75" customHeight="1" x14ac:dyDescent="0.35">
      <c r="A202" s="184"/>
      <c r="B202" s="185"/>
      <c r="C202" s="186"/>
      <c r="D202" s="186"/>
      <c r="E202" s="187"/>
      <c r="F202" s="188"/>
      <c r="G202" s="188"/>
      <c r="H202" s="188"/>
      <c r="I202" s="188"/>
      <c r="J202" s="188"/>
      <c r="K202" s="188"/>
      <c r="L202" s="188"/>
      <c r="M202" s="188"/>
      <c r="N202" s="188"/>
      <c r="O202" s="188"/>
      <c r="P202" s="188"/>
      <c r="Q202" s="188"/>
      <c r="R202" s="188"/>
      <c r="S202" s="188"/>
      <c r="T202" s="188"/>
      <c r="U202" s="188"/>
      <c r="V202" s="188"/>
      <c r="W202" s="188"/>
      <c r="X202" s="188"/>
      <c r="Y202" s="188"/>
      <c r="Z202" s="188"/>
      <c r="AA202" s="188"/>
      <c r="AB202" s="185"/>
      <c r="AC202" s="192"/>
      <c r="AD202" s="192"/>
      <c r="AE202" s="192"/>
      <c r="AF202" s="192"/>
      <c r="AG202" s="192"/>
      <c r="AH202" s="192"/>
      <c r="AI202" s="192"/>
      <c r="AJ202" s="192"/>
      <c r="AK202" s="192"/>
      <c r="AL202" s="192"/>
      <c r="AM202" s="192"/>
      <c r="AN202" s="192"/>
      <c r="AO202" s="192"/>
      <c r="AP202" s="192"/>
      <c r="AQ202" s="192"/>
      <c r="AR202" s="192"/>
      <c r="AS202" s="192"/>
      <c r="AT202" s="192"/>
      <c r="AU202" s="192"/>
      <c r="AV202" s="192"/>
    </row>
    <row r="203" spans="1:48" ht="15.75" customHeight="1" x14ac:dyDescent="0.35">
      <c r="A203" s="184"/>
      <c r="B203" s="185"/>
      <c r="C203" s="186"/>
      <c r="D203" s="186"/>
      <c r="E203" s="187"/>
      <c r="F203" s="188"/>
      <c r="G203" s="188"/>
      <c r="H203" s="188"/>
      <c r="I203" s="188"/>
      <c r="J203" s="188"/>
      <c r="K203" s="188"/>
      <c r="L203" s="188"/>
      <c r="M203" s="188"/>
      <c r="N203" s="188"/>
      <c r="O203" s="188"/>
      <c r="P203" s="188"/>
      <c r="Q203" s="188"/>
      <c r="R203" s="188"/>
      <c r="S203" s="188"/>
      <c r="T203" s="188"/>
      <c r="U203" s="188"/>
      <c r="V203" s="188"/>
      <c r="W203" s="188"/>
      <c r="X203" s="188"/>
      <c r="Y203" s="188"/>
      <c r="Z203" s="188"/>
      <c r="AA203" s="188"/>
      <c r="AB203" s="185"/>
      <c r="AC203" s="192"/>
      <c r="AD203" s="192"/>
      <c r="AE203" s="192"/>
      <c r="AF203" s="192"/>
      <c r="AG203" s="192"/>
      <c r="AH203" s="192"/>
      <c r="AI203" s="192"/>
      <c r="AJ203" s="192"/>
      <c r="AK203" s="192"/>
      <c r="AL203" s="192"/>
      <c r="AM203" s="192"/>
      <c r="AN203" s="192"/>
      <c r="AO203" s="192"/>
      <c r="AP203" s="192"/>
      <c r="AQ203" s="192"/>
      <c r="AR203" s="192"/>
      <c r="AS203" s="192"/>
      <c r="AT203" s="192"/>
      <c r="AU203" s="192"/>
      <c r="AV203" s="192"/>
    </row>
    <row r="204" spans="1:48" ht="15.75" customHeight="1" x14ac:dyDescent="0.35">
      <c r="A204" s="184"/>
      <c r="B204" s="185"/>
      <c r="C204" s="186"/>
      <c r="D204" s="186"/>
      <c r="E204" s="187"/>
      <c r="F204" s="188"/>
      <c r="G204" s="188"/>
      <c r="H204" s="188"/>
      <c r="I204" s="188"/>
      <c r="J204" s="188"/>
      <c r="K204" s="188"/>
      <c r="L204" s="188"/>
      <c r="M204" s="188"/>
      <c r="N204" s="188"/>
      <c r="O204" s="188"/>
      <c r="P204" s="188"/>
      <c r="Q204" s="188"/>
      <c r="R204" s="188"/>
      <c r="S204" s="188"/>
      <c r="T204" s="188"/>
      <c r="U204" s="188"/>
      <c r="V204" s="188"/>
      <c r="W204" s="188"/>
      <c r="X204" s="188"/>
      <c r="Y204" s="188"/>
      <c r="Z204" s="188"/>
      <c r="AA204" s="188"/>
      <c r="AB204" s="185"/>
      <c r="AC204" s="192"/>
      <c r="AD204" s="192"/>
      <c r="AE204" s="192"/>
      <c r="AF204" s="192"/>
      <c r="AG204" s="192"/>
      <c r="AH204" s="192"/>
      <c r="AI204" s="192"/>
      <c r="AJ204" s="192"/>
      <c r="AK204" s="192"/>
      <c r="AL204" s="192"/>
      <c r="AM204" s="192"/>
      <c r="AN204" s="192"/>
      <c r="AO204" s="192"/>
      <c r="AP204" s="192"/>
      <c r="AQ204" s="192"/>
      <c r="AR204" s="192"/>
      <c r="AS204" s="192"/>
      <c r="AT204" s="192"/>
      <c r="AU204" s="192"/>
      <c r="AV204" s="192"/>
    </row>
    <row r="205" spans="1:48" ht="15.75" customHeight="1" x14ac:dyDescent="0.35">
      <c r="A205" s="184"/>
      <c r="B205" s="185"/>
      <c r="C205" s="186"/>
      <c r="D205" s="186"/>
      <c r="E205" s="187"/>
      <c r="F205" s="188"/>
      <c r="G205" s="188"/>
      <c r="H205" s="188"/>
      <c r="I205" s="188"/>
      <c r="J205" s="188"/>
      <c r="K205" s="188"/>
      <c r="L205" s="188"/>
      <c r="M205" s="188"/>
      <c r="N205" s="188"/>
      <c r="O205" s="188"/>
      <c r="P205" s="188"/>
      <c r="Q205" s="188"/>
      <c r="R205" s="188"/>
      <c r="S205" s="188"/>
      <c r="T205" s="188"/>
      <c r="U205" s="188"/>
      <c r="V205" s="188"/>
      <c r="W205" s="188"/>
      <c r="X205" s="188"/>
      <c r="Y205" s="188"/>
      <c r="Z205" s="188"/>
      <c r="AA205" s="188"/>
      <c r="AB205" s="185"/>
      <c r="AC205" s="192"/>
      <c r="AD205" s="192"/>
      <c r="AE205" s="192"/>
      <c r="AF205" s="192"/>
      <c r="AG205" s="192"/>
      <c r="AH205" s="192"/>
      <c r="AI205" s="192"/>
      <c r="AJ205" s="192"/>
      <c r="AK205" s="192"/>
      <c r="AL205" s="192"/>
      <c r="AM205" s="192"/>
      <c r="AN205" s="192"/>
      <c r="AO205" s="192"/>
      <c r="AP205" s="192"/>
      <c r="AQ205" s="192"/>
      <c r="AR205" s="192"/>
      <c r="AS205" s="192"/>
      <c r="AT205" s="192"/>
      <c r="AU205" s="192"/>
      <c r="AV205" s="192"/>
    </row>
    <row r="206" spans="1:48" ht="15.75" customHeight="1" x14ac:dyDescent="0.35">
      <c r="A206" s="184"/>
      <c r="B206" s="185"/>
      <c r="C206" s="186"/>
      <c r="D206" s="186"/>
      <c r="E206" s="187"/>
      <c r="F206" s="188"/>
      <c r="G206" s="188"/>
      <c r="H206" s="188"/>
      <c r="I206" s="188"/>
      <c r="J206" s="188"/>
      <c r="K206" s="188"/>
      <c r="L206" s="188"/>
      <c r="M206" s="188"/>
      <c r="N206" s="188"/>
      <c r="O206" s="188"/>
      <c r="P206" s="188"/>
      <c r="Q206" s="188"/>
      <c r="R206" s="188"/>
      <c r="S206" s="188"/>
      <c r="T206" s="188"/>
      <c r="U206" s="188"/>
      <c r="V206" s="188"/>
      <c r="W206" s="188"/>
      <c r="X206" s="188"/>
      <c r="Y206" s="188"/>
      <c r="Z206" s="188"/>
      <c r="AA206" s="188"/>
      <c r="AB206" s="185"/>
      <c r="AC206" s="192"/>
      <c r="AD206" s="192"/>
      <c r="AE206" s="192"/>
      <c r="AF206" s="192"/>
      <c r="AG206" s="192"/>
      <c r="AH206" s="192"/>
      <c r="AI206" s="192"/>
      <c r="AJ206" s="192"/>
      <c r="AK206" s="192"/>
      <c r="AL206" s="192"/>
      <c r="AM206" s="192"/>
      <c r="AN206" s="192"/>
      <c r="AO206" s="192"/>
      <c r="AP206" s="192"/>
      <c r="AQ206" s="192"/>
      <c r="AR206" s="192"/>
      <c r="AS206" s="192"/>
      <c r="AT206" s="192"/>
      <c r="AU206" s="192"/>
      <c r="AV206" s="192"/>
    </row>
    <row r="207" spans="1:48" ht="15.75" customHeight="1" x14ac:dyDescent="0.35">
      <c r="A207" s="184"/>
      <c r="B207" s="185"/>
      <c r="C207" s="186"/>
      <c r="D207" s="186"/>
      <c r="E207" s="187"/>
      <c r="F207" s="188"/>
      <c r="G207" s="188"/>
      <c r="H207" s="188"/>
      <c r="I207" s="188"/>
      <c r="J207" s="188"/>
      <c r="K207" s="188"/>
      <c r="L207" s="188"/>
      <c r="M207" s="188"/>
      <c r="N207" s="188"/>
      <c r="O207" s="188"/>
      <c r="P207" s="188"/>
      <c r="Q207" s="188"/>
      <c r="R207" s="188"/>
      <c r="S207" s="188"/>
      <c r="T207" s="188"/>
      <c r="U207" s="188"/>
      <c r="V207" s="188"/>
      <c r="W207" s="188"/>
      <c r="X207" s="188"/>
      <c r="Y207" s="188"/>
      <c r="Z207" s="188"/>
      <c r="AA207" s="188"/>
      <c r="AB207" s="185"/>
      <c r="AC207" s="192"/>
      <c r="AD207" s="192"/>
      <c r="AE207" s="192"/>
      <c r="AF207" s="192"/>
      <c r="AG207" s="192"/>
      <c r="AH207" s="192"/>
      <c r="AI207" s="192"/>
      <c r="AJ207" s="192"/>
      <c r="AK207" s="192"/>
      <c r="AL207" s="192"/>
      <c r="AM207" s="192"/>
      <c r="AN207" s="192"/>
      <c r="AO207" s="192"/>
      <c r="AP207" s="192"/>
      <c r="AQ207" s="192"/>
      <c r="AR207" s="192"/>
      <c r="AS207" s="192"/>
      <c r="AT207" s="192"/>
      <c r="AU207" s="192"/>
      <c r="AV207" s="192"/>
    </row>
    <row r="208" spans="1:48" ht="15.75" customHeight="1" x14ac:dyDescent="0.35">
      <c r="A208" s="184"/>
      <c r="B208" s="185"/>
      <c r="C208" s="186"/>
      <c r="D208" s="186"/>
      <c r="E208" s="187"/>
      <c r="F208" s="188"/>
      <c r="G208" s="188"/>
      <c r="H208" s="188"/>
      <c r="I208" s="188"/>
      <c r="J208" s="188"/>
      <c r="K208" s="188"/>
      <c r="L208" s="188"/>
      <c r="M208" s="188"/>
      <c r="N208" s="188"/>
      <c r="O208" s="188"/>
      <c r="P208" s="188"/>
      <c r="Q208" s="188"/>
      <c r="R208" s="188"/>
      <c r="S208" s="188"/>
      <c r="T208" s="188"/>
      <c r="U208" s="188"/>
      <c r="V208" s="188"/>
      <c r="W208" s="188"/>
      <c r="X208" s="188"/>
      <c r="Y208" s="188"/>
      <c r="Z208" s="188"/>
      <c r="AA208" s="188"/>
      <c r="AB208" s="185"/>
      <c r="AC208" s="192"/>
      <c r="AD208" s="192"/>
      <c r="AE208" s="192"/>
      <c r="AF208" s="192"/>
      <c r="AG208" s="192"/>
      <c r="AH208" s="192"/>
      <c r="AI208" s="192"/>
      <c r="AJ208" s="192"/>
      <c r="AK208" s="192"/>
      <c r="AL208" s="192"/>
      <c r="AM208" s="192"/>
      <c r="AN208" s="192"/>
      <c r="AO208" s="192"/>
      <c r="AP208" s="192"/>
      <c r="AQ208" s="192"/>
      <c r="AR208" s="192"/>
      <c r="AS208" s="192"/>
      <c r="AT208" s="192"/>
      <c r="AU208" s="192"/>
      <c r="AV208" s="192"/>
    </row>
    <row r="209" spans="1:48" ht="15.75" customHeight="1" x14ac:dyDescent="0.35">
      <c r="A209" s="184"/>
      <c r="B209" s="185"/>
      <c r="C209" s="186"/>
      <c r="D209" s="186"/>
      <c r="E209" s="187"/>
      <c r="F209" s="188"/>
      <c r="G209" s="188"/>
      <c r="H209" s="188"/>
      <c r="I209" s="188"/>
      <c r="J209" s="188"/>
      <c r="K209" s="188"/>
      <c r="L209" s="188"/>
      <c r="M209" s="188"/>
      <c r="N209" s="188"/>
      <c r="O209" s="188"/>
      <c r="P209" s="188"/>
      <c r="Q209" s="188"/>
      <c r="R209" s="188"/>
      <c r="S209" s="188"/>
      <c r="T209" s="188"/>
      <c r="U209" s="188"/>
      <c r="V209" s="188"/>
      <c r="W209" s="188"/>
      <c r="X209" s="188"/>
      <c r="Y209" s="188"/>
      <c r="Z209" s="188"/>
      <c r="AA209" s="188"/>
      <c r="AB209" s="185"/>
      <c r="AC209" s="192"/>
      <c r="AD209" s="192"/>
      <c r="AE209" s="192"/>
      <c r="AF209" s="192"/>
      <c r="AG209" s="192"/>
      <c r="AH209" s="192"/>
      <c r="AI209" s="192"/>
      <c r="AJ209" s="192"/>
      <c r="AK209" s="192"/>
      <c r="AL209" s="192"/>
      <c r="AM209" s="192"/>
      <c r="AN209" s="192"/>
      <c r="AO209" s="192"/>
      <c r="AP209" s="192"/>
      <c r="AQ209" s="192"/>
      <c r="AR209" s="192"/>
      <c r="AS209" s="192"/>
      <c r="AT209" s="192"/>
      <c r="AU209" s="192"/>
      <c r="AV209" s="192"/>
    </row>
    <row r="210" spans="1:48" ht="15.75" customHeight="1" x14ac:dyDescent="0.35">
      <c r="A210" s="184"/>
      <c r="B210" s="185"/>
      <c r="C210" s="186"/>
      <c r="D210" s="186"/>
      <c r="E210" s="187"/>
      <c r="F210" s="188"/>
      <c r="G210" s="188"/>
      <c r="H210" s="188"/>
      <c r="I210" s="188"/>
      <c r="J210" s="188"/>
      <c r="K210" s="188"/>
      <c r="L210" s="188"/>
      <c r="M210" s="188"/>
      <c r="N210" s="188"/>
      <c r="O210" s="188"/>
      <c r="P210" s="188"/>
      <c r="Q210" s="188"/>
      <c r="R210" s="188"/>
      <c r="S210" s="188"/>
      <c r="T210" s="188"/>
      <c r="U210" s="188"/>
      <c r="V210" s="188"/>
      <c r="W210" s="188"/>
      <c r="X210" s="188"/>
      <c r="Y210" s="188"/>
      <c r="Z210" s="188"/>
      <c r="AA210" s="188"/>
      <c r="AB210" s="185"/>
      <c r="AC210" s="192"/>
      <c r="AD210" s="192"/>
      <c r="AE210" s="192"/>
      <c r="AF210" s="192"/>
      <c r="AG210" s="192"/>
      <c r="AH210" s="192"/>
      <c r="AI210" s="192"/>
      <c r="AJ210" s="192"/>
      <c r="AK210" s="192"/>
      <c r="AL210" s="192"/>
      <c r="AM210" s="192"/>
      <c r="AN210" s="192"/>
      <c r="AO210" s="192"/>
      <c r="AP210" s="192"/>
      <c r="AQ210" s="192"/>
      <c r="AR210" s="192"/>
      <c r="AS210" s="192"/>
      <c r="AT210" s="192"/>
      <c r="AU210" s="192"/>
      <c r="AV210" s="192"/>
    </row>
    <row r="211" spans="1:48" ht="15.75" customHeight="1" x14ac:dyDescent="0.35">
      <c r="A211" s="184"/>
      <c r="B211" s="185"/>
      <c r="C211" s="186"/>
      <c r="D211" s="186"/>
      <c r="E211" s="187"/>
      <c r="F211" s="188"/>
      <c r="G211" s="188"/>
      <c r="H211" s="188"/>
      <c r="I211" s="188"/>
      <c r="J211" s="188"/>
      <c r="K211" s="188"/>
      <c r="L211" s="188"/>
      <c r="M211" s="188"/>
      <c r="N211" s="188"/>
      <c r="O211" s="188"/>
      <c r="P211" s="188"/>
      <c r="Q211" s="188"/>
      <c r="R211" s="188"/>
      <c r="S211" s="188"/>
      <c r="T211" s="188"/>
      <c r="U211" s="188"/>
      <c r="V211" s="188"/>
      <c r="W211" s="188"/>
      <c r="X211" s="188"/>
      <c r="Y211" s="188"/>
      <c r="Z211" s="188"/>
      <c r="AA211" s="188"/>
      <c r="AB211" s="185"/>
      <c r="AC211" s="192"/>
      <c r="AD211" s="192"/>
      <c r="AE211" s="192"/>
      <c r="AF211" s="192"/>
      <c r="AG211" s="192"/>
      <c r="AH211" s="192"/>
      <c r="AI211" s="192"/>
      <c r="AJ211" s="192"/>
      <c r="AK211" s="192"/>
      <c r="AL211" s="192"/>
      <c r="AM211" s="192"/>
      <c r="AN211" s="192"/>
      <c r="AO211" s="192"/>
      <c r="AP211" s="192"/>
      <c r="AQ211" s="192"/>
      <c r="AR211" s="192"/>
      <c r="AS211" s="192"/>
      <c r="AT211" s="192"/>
      <c r="AU211" s="192"/>
      <c r="AV211" s="192"/>
    </row>
    <row r="212" spans="1:48" ht="15.75" customHeight="1" x14ac:dyDescent="0.35">
      <c r="A212" s="184"/>
      <c r="B212" s="185"/>
      <c r="C212" s="186"/>
      <c r="D212" s="186"/>
      <c r="E212" s="187"/>
      <c r="F212" s="188"/>
      <c r="G212" s="188"/>
      <c r="H212" s="188"/>
      <c r="I212" s="188"/>
      <c r="J212" s="188"/>
      <c r="K212" s="188"/>
      <c r="L212" s="188"/>
      <c r="M212" s="188"/>
      <c r="N212" s="188"/>
      <c r="O212" s="188"/>
      <c r="P212" s="188"/>
      <c r="Q212" s="188"/>
      <c r="R212" s="188"/>
      <c r="S212" s="188"/>
      <c r="T212" s="188"/>
      <c r="U212" s="188"/>
      <c r="V212" s="188"/>
      <c r="W212" s="188"/>
      <c r="X212" s="188"/>
      <c r="Y212" s="188"/>
      <c r="Z212" s="188"/>
      <c r="AA212" s="188"/>
      <c r="AB212" s="185"/>
      <c r="AC212" s="192"/>
      <c r="AD212" s="192"/>
      <c r="AE212" s="192"/>
      <c r="AF212" s="192"/>
      <c r="AG212" s="192"/>
      <c r="AH212" s="192"/>
      <c r="AI212" s="192"/>
      <c r="AJ212" s="192"/>
      <c r="AK212" s="192"/>
      <c r="AL212" s="192"/>
      <c r="AM212" s="192"/>
      <c r="AN212" s="192"/>
      <c r="AO212" s="192"/>
      <c r="AP212" s="192"/>
      <c r="AQ212" s="192"/>
      <c r="AR212" s="192"/>
      <c r="AS212" s="192"/>
      <c r="AT212" s="192"/>
      <c r="AU212" s="192"/>
      <c r="AV212" s="192"/>
    </row>
    <row r="213" spans="1:48" ht="15.75" customHeight="1" x14ac:dyDescent="0.35">
      <c r="A213" s="184"/>
      <c r="B213" s="185"/>
      <c r="C213" s="186"/>
      <c r="D213" s="186"/>
      <c r="E213" s="187"/>
      <c r="F213" s="188"/>
      <c r="G213" s="188"/>
      <c r="H213" s="188"/>
      <c r="I213" s="188"/>
      <c r="J213" s="188"/>
      <c r="K213" s="188"/>
      <c r="L213" s="188"/>
      <c r="M213" s="188"/>
      <c r="N213" s="188"/>
      <c r="O213" s="188"/>
      <c r="P213" s="188"/>
      <c r="Q213" s="188"/>
      <c r="R213" s="188"/>
      <c r="S213" s="188"/>
      <c r="T213" s="188"/>
      <c r="U213" s="188"/>
      <c r="V213" s="188"/>
      <c r="W213" s="188"/>
      <c r="X213" s="188"/>
      <c r="Y213" s="188"/>
      <c r="Z213" s="188"/>
      <c r="AA213" s="188"/>
      <c r="AB213" s="185"/>
      <c r="AC213" s="192"/>
      <c r="AD213" s="192"/>
      <c r="AE213" s="192"/>
      <c r="AF213" s="192"/>
      <c r="AG213" s="192"/>
      <c r="AH213" s="192"/>
      <c r="AI213" s="192"/>
      <c r="AJ213" s="192"/>
      <c r="AK213" s="192"/>
      <c r="AL213" s="192"/>
      <c r="AM213" s="192"/>
      <c r="AN213" s="192"/>
      <c r="AO213" s="192"/>
      <c r="AP213" s="192"/>
      <c r="AQ213" s="192"/>
      <c r="AR213" s="192"/>
      <c r="AS213" s="192"/>
      <c r="AT213" s="192"/>
      <c r="AU213" s="192"/>
      <c r="AV213" s="192"/>
    </row>
    <row r="214" spans="1:48" ht="15.75" customHeight="1" x14ac:dyDescent="0.35">
      <c r="A214" s="184"/>
      <c r="B214" s="185"/>
      <c r="C214" s="186"/>
      <c r="D214" s="186"/>
      <c r="E214" s="187"/>
      <c r="F214" s="188"/>
      <c r="G214" s="188"/>
      <c r="H214" s="188"/>
      <c r="I214" s="188"/>
      <c r="J214" s="188"/>
      <c r="K214" s="188"/>
      <c r="L214" s="188"/>
      <c r="M214" s="188"/>
      <c r="N214" s="188"/>
      <c r="O214" s="188"/>
      <c r="P214" s="188"/>
      <c r="Q214" s="188"/>
      <c r="R214" s="188"/>
      <c r="S214" s="188"/>
      <c r="T214" s="188"/>
      <c r="U214" s="188"/>
      <c r="V214" s="188"/>
      <c r="W214" s="188"/>
      <c r="X214" s="188"/>
      <c r="Y214" s="188"/>
      <c r="Z214" s="188"/>
      <c r="AA214" s="188"/>
      <c r="AB214" s="185"/>
      <c r="AC214" s="192"/>
      <c r="AD214" s="192"/>
      <c r="AE214" s="192"/>
      <c r="AF214" s="192"/>
      <c r="AG214" s="192"/>
      <c r="AH214" s="192"/>
      <c r="AI214" s="192"/>
      <c r="AJ214" s="192"/>
      <c r="AK214" s="192"/>
      <c r="AL214" s="192"/>
      <c r="AM214" s="192"/>
      <c r="AN214" s="192"/>
      <c r="AO214" s="192"/>
      <c r="AP214" s="192"/>
      <c r="AQ214" s="192"/>
      <c r="AR214" s="192"/>
      <c r="AS214" s="192"/>
      <c r="AT214" s="192"/>
      <c r="AU214" s="192"/>
      <c r="AV214" s="192"/>
    </row>
    <row r="215" spans="1:48" ht="15.75" customHeight="1" x14ac:dyDescent="0.35">
      <c r="A215" s="184"/>
      <c r="B215" s="185"/>
      <c r="C215" s="186"/>
      <c r="D215" s="186"/>
      <c r="E215" s="187"/>
      <c r="F215" s="188"/>
      <c r="G215" s="188"/>
      <c r="H215" s="188"/>
      <c r="I215" s="188"/>
      <c r="J215" s="188"/>
      <c r="K215" s="188"/>
      <c r="L215" s="188"/>
      <c r="M215" s="188"/>
      <c r="N215" s="188"/>
      <c r="O215" s="188"/>
      <c r="P215" s="188"/>
      <c r="Q215" s="188"/>
      <c r="R215" s="188"/>
      <c r="S215" s="188"/>
      <c r="T215" s="188"/>
      <c r="U215" s="188"/>
      <c r="V215" s="188"/>
      <c r="W215" s="188"/>
      <c r="X215" s="188"/>
      <c r="Y215" s="188"/>
      <c r="Z215" s="188"/>
      <c r="AA215" s="188"/>
      <c r="AB215" s="185"/>
      <c r="AC215" s="192"/>
      <c r="AD215" s="192"/>
      <c r="AE215" s="192"/>
      <c r="AF215" s="192"/>
      <c r="AG215" s="192"/>
      <c r="AH215" s="192"/>
      <c r="AI215" s="192"/>
      <c r="AJ215" s="192"/>
      <c r="AK215" s="192"/>
      <c r="AL215" s="192"/>
      <c r="AM215" s="192"/>
      <c r="AN215" s="192"/>
      <c r="AO215" s="192"/>
      <c r="AP215" s="192"/>
      <c r="AQ215" s="192"/>
      <c r="AR215" s="192"/>
      <c r="AS215" s="192"/>
      <c r="AT215" s="192"/>
      <c r="AU215" s="192"/>
      <c r="AV215" s="192"/>
    </row>
    <row r="216" spans="1:48" ht="15.75" customHeight="1" x14ac:dyDescent="0.35">
      <c r="A216" s="184"/>
      <c r="B216" s="185"/>
      <c r="C216" s="186"/>
      <c r="D216" s="186"/>
      <c r="E216" s="187"/>
      <c r="F216" s="188"/>
      <c r="G216" s="188"/>
      <c r="H216" s="188"/>
      <c r="I216" s="188"/>
      <c r="J216" s="188"/>
      <c r="K216" s="188"/>
      <c r="L216" s="188"/>
      <c r="M216" s="188"/>
      <c r="N216" s="188"/>
      <c r="O216" s="188"/>
      <c r="P216" s="188"/>
      <c r="Q216" s="188"/>
      <c r="R216" s="188"/>
      <c r="S216" s="188"/>
      <c r="T216" s="188"/>
      <c r="U216" s="188"/>
      <c r="V216" s="188"/>
      <c r="W216" s="188"/>
      <c r="X216" s="188"/>
      <c r="Y216" s="188"/>
      <c r="Z216" s="188"/>
      <c r="AA216" s="188"/>
      <c r="AB216" s="185"/>
      <c r="AC216" s="192"/>
      <c r="AD216" s="192"/>
      <c r="AE216" s="192"/>
      <c r="AF216" s="192"/>
      <c r="AG216" s="192"/>
      <c r="AH216" s="192"/>
      <c r="AI216" s="192"/>
      <c r="AJ216" s="192"/>
      <c r="AK216" s="192"/>
      <c r="AL216" s="192"/>
      <c r="AM216" s="192"/>
      <c r="AN216" s="192"/>
      <c r="AO216" s="192"/>
      <c r="AP216" s="192"/>
      <c r="AQ216" s="192"/>
      <c r="AR216" s="192"/>
      <c r="AS216" s="192"/>
      <c r="AT216" s="192"/>
      <c r="AU216" s="192"/>
      <c r="AV216" s="192"/>
    </row>
    <row r="217" spans="1:48" ht="15.75" customHeight="1" x14ac:dyDescent="0.35">
      <c r="A217" s="184"/>
      <c r="B217" s="185"/>
      <c r="C217" s="186"/>
      <c r="D217" s="186"/>
      <c r="E217" s="187"/>
      <c r="F217" s="188"/>
      <c r="G217" s="188"/>
      <c r="H217" s="188"/>
      <c r="I217" s="188"/>
      <c r="J217" s="188"/>
      <c r="K217" s="188"/>
      <c r="L217" s="188"/>
      <c r="M217" s="188"/>
      <c r="N217" s="188"/>
      <c r="O217" s="188"/>
      <c r="P217" s="188"/>
      <c r="Q217" s="188"/>
      <c r="R217" s="188"/>
      <c r="S217" s="188"/>
      <c r="T217" s="188"/>
      <c r="U217" s="188"/>
      <c r="V217" s="188"/>
      <c r="W217" s="188"/>
      <c r="X217" s="188"/>
      <c r="Y217" s="188"/>
      <c r="Z217" s="188"/>
      <c r="AA217" s="188"/>
      <c r="AB217" s="185"/>
      <c r="AC217" s="192"/>
      <c r="AD217" s="192"/>
      <c r="AE217" s="192"/>
      <c r="AF217" s="192"/>
      <c r="AG217" s="192"/>
      <c r="AH217" s="192"/>
      <c r="AI217" s="192"/>
      <c r="AJ217" s="192"/>
      <c r="AK217" s="192"/>
      <c r="AL217" s="192"/>
      <c r="AM217" s="192"/>
      <c r="AN217" s="192"/>
      <c r="AO217" s="192"/>
      <c r="AP217" s="192"/>
      <c r="AQ217" s="192"/>
      <c r="AR217" s="192"/>
      <c r="AS217" s="192"/>
      <c r="AT217" s="192"/>
      <c r="AU217" s="192"/>
      <c r="AV217" s="192"/>
    </row>
    <row r="218" spans="1:48" ht="15.75" customHeight="1" x14ac:dyDescent="0.35">
      <c r="A218" s="184"/>
      <c r="B218" s="185"/>
      <c r="C218" s="186"/>
      <c r="D218" s="186"/>
      <c r="E218" s="187"/>
      <c r="F218" s="188"/>
      <c r="G218" s="188"/>
      <c r="H218" s="188"/>
      <c r="I218" s="188"/>
      <c r="J218" s="188"/>
      <c r="K218" s="188"/>
      <c r="L218" s="188"/>
      <c r="M218" s="188"/>
      <c r="N218" s="188"/>
      <c r="O218" s="188"/>
      <c r="P218" s="188"/>
      <c r="Q218" s="188"/>
      <c r="R218" s="188"/>
      <c r="S218" s="188"/>
      <c r="T218" s="188"/>
      <c r="U218" s="188"/>
      <c r="V218" s="188"/>
      <c r="W218" s="188"/>
      <c r="X218" s="188"/>
      <c r="Y218" s="188"/>
      <c r="Z218" s="188"/>
      <c r="AA218" s="188"/>
      <c r="AB218" s="185"/>
      <c r="AC218" s="192"/>
      <c r="AD218" s="192"/>
      <c r="AE218" s="192"/>
      <c r="AF218" s="192"/>
      <c r="AG218" s="192"/>
      <c r="AH218" s="192"/>
      <c r="AI218" s="192"/>
      <c r="AJ218" s="192"/>
      <c r="AK218" s="192"/>
      <c r="AL218" s="192"/>
      <c r="AM218" s="192"/>
      <c r="AN218" s="192"/>
      <c r="AO218" s="192"/>
      <c r="AP218" s="192"/>
      <c r="AQ218" s="192"/>
      <c r="AR218" s="192"/>
      <c r="AS218" s="192"/>
      <c r="AT218" s="192"/>
      <c r="AU218" s="192"/>
      <c r="AV218" s="192"/>
    </row>
    <row r="219" spans="1:48" ht="15.75" customHeight="1" x14ac:dyDescent="0.35">
      <c r="A219" s="184"/>
      <c r="B219" s="185"/>
      <c r="C219" s="186"/>
      <c r="D219" s="186"/>
      <c r="E219" s="187"/>
      <c r="F219" s="188"/>
      <c r="G219" s="188"/>
      <c r="H219" s="188"/>
      <c r="I219" s="188"/>
      <c r="J219" s="188"/>
      <c r="K219" s="188"/>
      <c r="L219" s="188"/>
      <c r="M219" s="188"/>
      <c r="N219" s="188"/>
      <c r="O219" s="188"/>
      <c r="P219" s="188"/>
      <c r="Q219" s="188"/>
      <c r="R219" s="188"/>
      <c r="S219" s="188"/>
      <c r="T219" s="188"/>
      <c r="U219" s="188"/>
      <c r="V219" s="188"/>
      <c r="W219" s="188"/>
      <c r="X219" s="188"/>
      <c r="Y219" s="188"/>
      <c r="Z219" s="188"/>
      <c r="AA219" s="188"/>
      <c r="AB219" s="185"/>
      <c r="AC219" s="192"/>
      <c r="AD219" s="192"/>
      <c r="AE219" s="192"/>
      <c r="AF219" s="192"/>
      <c r="AG219" s="192"/>
      <c r="AH219" s="192"/>
      <c r="AI219" s="192"/>
      <c r="AJ219" s="192"/>
      <c r="AK219" s="192"/>
      <c r="AL219" s="192"/>
      <c r="AM219" s="192"/>
      <c r="AN219" s="192"/>
      <c r="AO219" s="192"/>
      <c r="AP219" s="192"/>
      <c r="AQ219" s="192"/>
      <c r="AR219" s="192"/>
      <c r="AS219" s="192"/>
      <c r="AT219" s="192"/>
      <c r="AU219" s="192"/>
      <c r="AV219" s="192"/>
    </row>
    <row r="220" spans="1:48" ht="15.75" customHeight="1" x14ac:dyDescent="0.35">
      <c r="A220" s="184"/>
      <c r="B220" s="185"/>
      <c r="C220" s="186"/>
      <c r="D220" s="186"/>
      <c r="E220" s="187"/>
      <c r="F220" s="188"/>
      <c r="G220" s="188"/>
      <c r="H220" s="188"/>
      <c r="I220" s="188"/>
      <c r="J220" s="188"/>
      <c r="K220" s="188"/>
      <c r="L220" s="188"/>
      <c r="M220" s="188"/>
      <c r="N220" s="188"/>
      <c r="O220" s="188"/>
      <c r="P220" s="188"/>
      <c r="Q220" s="188"/>
      <c r="R220" s="188"/>
      <c r="S220" s="188"/>
      <c r="T220" s="188"/>
      <c r="U220" s="188"/>
      <c r="V220" s="188"/>
      <c r="W220" s="188"/>
      <c r="X220" s="188"/>
      <c r="Y220" s="188"/>
      <c r="Z220" s="188"/>
      <c r="AA220" s="188"/>
      <c r="AB220" s="185"/>
      <c r="AC220" s="192"/>
      <c r="AD220" s="192"/>
      <c r="AE220" s="192"/>
      <c r="AF220" s="192"/>
      <c r="AG220" s="192"/>
      <c r="AH220" s="192"/>
      <c r="AI220" s="192"/>
      <c r="AJ220" s="192"/>
      <c r="AK220" s="192"/>
      <c r="AL220" s="192"/>
      <c r="AM220" s="192"/>
      <c r="AN220" s="192"/>
      <c r="AO220" s="192"/>
      <c r="AP220" s="192"/>
      <c r="AQ220" s="192"/>
      <c r="AR220" s="192"/>
      <c r="AS220" s="192"/>
      <c r="AT220" s="192"/>
      <c r="AU220" s="192"/>
      <c r="AV220" s="192"/>
    </row>
    <row r="221" spans="1:48" ht="15.75" customHeight="1" x14ac:dyDescent="0.35">
      <c r="A221" s="184"/>
      <c r="B221" s="185"/>
      <c r="C221" s="186"/>
      <c r="D221" s="186"/>
      <c r="E221" s="187"/>
      <c r="F221" s="188"/>
      <c r="G221" s="188"/>
      <c r="H221" s="188"/>
      <c r="I221" s="188"/>
      <c r="J221" s="188"/>
      <c r="K221" s="188"/>
      <c r="L221" s="188"/>
      <c r="M221" s="188"/>
      <c r="N221" s="188"/>
      <c r="O221" s="188"/>
      <c r="P221" s="188"/>
      <c r="Q221" s="188"/>
      <c r="R221" s="188"/>
      <c r="S221" s="188"/>
      <c r="T221" s="188"/>
      <c r="U221" s="188"/>
      <c r="V221" s="188"/>
      <c r="W221" s="188"/>
      <c r="X221" s="188"/>
      <c r="Y221" s="188"/>
      <c r="Z221" s="188"/>
      <c r="AA221" s="188"/>
      <c r="AB221" s="185"/>
      <c r="AC221" s="192"/>
      <c r="AD221" s="192"/>
      <c r="AE221" s="192"/>
      <c r="AF221" s="192"/>
      <c r="AG221" s="192"/>
      <c r="AH221" s="192"/>
      <c r="AI221" s="192"/>
      <c r="AJ221" s="192"/>
      <c r="AK221" s="192"/>
      <c r="AL221" s="192"/>
      <c r="AM221" s="192"/>
      <c r="AN221" s="192"/>
      <c r="AO221" s="192"/>
      <c r="AP221" s="192"/>
      <c r="AQ221" s="192"/>
      <c r="AR221" s="192"/>
      <c r="AS221" s="192"/>
      <c r="AT221" s="192"/>
      <c r="AU221" s="192"/>
      <c r="AV221" s="192"/>
    </row>
    <row r="222" spans="1:48" ht="15.75" customHeight="1" x14ac:dyDescent="0.35">
      <c r="A222" s="184"/>
      <c r="B222" s="185"/>
      <c r="C222" s="186"/>
      <c r="D222" s="186"/>
      <c r="E222" s="187"/>
      <c r="F222" s="188"/>
      <c r="G222" s="188"/>
      <c r="H222" s="188"/>
      <c r="I222" s="188"/>
      <c r="J222" s="188"/>
      <c r="K222" s="188"/>
      <c r="L222" s="188"/>
      <c r="M222" s="188"/>
      <c r="N222" s="188"/>
      <c r="O222" s="188"/>
      <c r="P222" s="188"/>
      <c r="Q222" s="188"/>
      <c r="R222" s="188"/>
      <c r="S222" s="188"/>
      <c r="T222" s="188"/>
      <c r="U222" s="188"/>
      <c r="V222" s="188"/>
      <c r="W222" s="188"/>
      <c r="X222" s="188"/>
      <c r="Y222" s="188"/>
      <c r="Z222" s="188"/>
      <c r="AA222" s="188"/>
      <c r="AB222" s="185"/>
      <c r="AC222" s="192"/>
      <c r="AD222" s="192"/>
      <c r="AE222" s="192"/>
      <c r="AF222" s="192"/>
      <c r="AG222" s="192"/>
      <c r="AH222" s="192"/>
      <c r="AI222" s="192"/>
      <c r="AJ222" s="192"/>
      <c r="AK222" s="192"/>
      <c r="AL222" s="192"/>
      <c r="AM222" s="192"/>
      <c r="AN222" s="192"/>
      <c r="AO222" s="192"/>
      <c r="AP222" s="192"/>
      <c r="AQ222" s="192"/>
      <c r="AR222" s="192"/>
      <c r="AS222" s="192"/>
      <c r="AT222" s="192"/>
      <c r="AU222" s="192"/>
      <c r="AV222" s="192"/>
    </row>
    <row r="223" spans="1:48" ht="15.75" customHeight="1" x14ac:dyDescent="0.35">
      <c r="A223" s="184"/>
      <c r="B223" s="185"/>
      <c r="C223" s="186"/>
      <c r="D223" s="186"/>
      <c r="E223" s="187"/>
      <c r="F223" s="188"/>
      <c r="G223" s="188"/>
      <c r="H223" s="188"/>
      <c r="I223" s="188"/>
      <c r="J223" s="188"/>
      <c r="K223" s="188"/>
      <c r="L223" s="188"/>
      <c r="M223" s="188"/>
      <c r="N223" s="188"/>
      <c r="O223" s="188"/>
      <c r="P223" s="188"/>
      <c r="Q223" s="188"/>
      <c r="R223" s="188"/>
      <c r="S223" s="188"/>
      <c r="T223" s="188"/>
      <c r="U223" s="188"/>
      <c r="V223" s="188"/>
      <c r="W223" s="188"/>
      <c r="X223" s="188"/>
      <c r="Y223" s="188"/>
      <c r="Z223" s="188"/>
      <c r="AA223" s="188"/>
      <c r="AB223" s="185"/>
      <c r="AC223" s="192"/>
      <c r="AD223" s="192"/>
      <c r="AE223" s="192"/>
      <c r="AF223" s="192"/>
      <c r="AG223" s="192"/>
      <c r="AH223" s="192"/>
      <c r="AI223" s="192"/>
      <c r="AJ223" s="192"/>
      <c r="AK223" s="192"/>
      <c r="AL223" s="192"/>
      <c r="AM223" s="192"/>
      <c r="AN223" s="192"/>
      <c r="AO223" s="192"/>
      <c r="AP223" s="192"/>
      <c r="AQ223" s="192"/>
      <c r="AR223" s="192"/>
      <c r="AS223" s="192"/>
      <c r="AT223" s="192"/>
      <c r="AU223" s="192"/>
      <c r="AV223" s="192"/>
    </row>
    <row r="224" spans="1:48" ht="15.75" customHeight="1" x14ac:dyDescent="0.35">
      <c r="A224" s="184"/>
      <c r="B224" s="185"/>
      <c r="C224" s="186"/>
      <c r="D224" s="186"/>
      <c r="E224" s="187"/>
      <c r="F224" s="188"/>
      <c r="G224" s="188"/>
      <c r="H224" s="188"/>
      <c r="I224" s="188"/>
      <c r="J224" s="188"/>
      <c r="K224" s="188"/>
      <c r="L224" s="188"/>
      <c r="M224" s="188"/>
      <c r="N224" s="188"/>
      <c r="O224" s="188"/>
      <c r="P224" s="188"/>
      <c r="Q224" s="188"/>
      <c r="R224" s="188"/>
      <c r="S224" s="188"/>
      <c r="T224" s="188"/>
      <c r="U224" s="188"/>
      <c r="V224" s="188"/>
      <c r="W224" s="188"/>
      <c r="X224" s="188"/>
      <c r="Y224" s="188"/>
      <c r="Z224" s="188"/>
      <c r="AA224" s="188"/>
      <c r="AB224" s="185"/>
      <c r="AC224" s="192"/>
      <c r="AD224" s="192"/>
      <c r="AE224" s="192"/>
      <c r="AF224" s="192"/>
      <c r="AG224" s="192"/>
      <c r="AH224" s="192"/>
      <c r="AI224" s="192"/>
      <c r="AJ224" s="192"/>
      <c r="AK224" s="192"/>
      <c r="AL224" s="192"/>
      <c r="AM224" s="192"/>
      <c r="AN224" s="192"/>
      <c r="AO224" s="192"/>
      <c r="AP224" s="192"/>
      <c r="AQ224" s="192"/>
      <c r="AR224" s="192"/>
      <c r="AS224" s="192"/>
      <c r="AT224" s="192"/>
      <c r="AU224" s="192"/>
      <c r="AV224" s="192"/>
    </row>
    <row r="225" spans="1:48" ht="15.75" customHeight="1" x14ac:dyDescent="0.35">
      <c r="A225" s="184"/>
      <c r="B225" s="185"/>
      <c r="C225" s="186"/>
      <c r="D225" s="186"/>
      <c r="E225" s="187"/>
      <c r="F225" s="188"/>
      <c r="G225" s="188"/>
      <c r="H225" s="188"/>
      <c r="I225" s="188"/>
      <c r="J225" s="188"/>
      <c r="K225" s="188"/>
      <c r="L225" s="188"/>
      <c r="M225" s="188"/>
      <c r="N225" s="188"/>
      <c r="O225" s="188"/>
      <c r="P225" s="188"/>
      <c r="Q225" s="188"/>
      <c r="R225" s="188"/>
      <c r="S225" s="188"/>
      <c r="T225" s="188"/>
      <c r="U225" s="188"/>
      <c r="V225" s="188"/>
      <c r="W225" s="188"/>
      <c r="X225" s="188"/>
      <c r="Y225" s="188"/>
      <c r="Z225" s="188"/>
      <c r="AA225" s="188"/>
      <c r="AB225" s="185"/>
      <c r="AC225" s="192"/>
      <c r="AD225" s="192"/>
      <c r="AE225" s="192"/>
      <c r="AF225" s="192"/>
      <c r="AG225" s="192"/>
      <c r="AH225" s="192"/>
      <c r="AI225" s="192"/>
      <c r="AJ225" s="192"/>
      <c r="AK225" s="192"/>
      <c r="AL225" s="192"/>
      <c r="AM225" s="192"/>
      <c r="AN225" s="192"/>
      <c r="AO225" s="192"/>
      <c r="AP225" s="192"/>
      <c r="AQ225" s="192"/>
      <c r="AR225" s="192"/>
      <c r="AS225" s="192"/>
      <c r="AT225" s="192"/>
      <c r="AU225" s="192"/>
      <c r="AV225" s="192"/>
    </row>
    <row r="226" spans="1:48" ht="15.75" customHeight="1" x14ac:dyDescent="0.35">
      <c r="A226" s="184"/>
      <c r="B226" s="185"/>
      <c r="C226" s="186"/>
      <c r="D226" s="186"/>
      <c r="E226" s="187"/>
      <c r="F226" s="188"/>
      <c r="G226" s="188"/>
      <c r="H226" s="188"/>
      <c r="I226" s="188"/>
      <c r="J226" s="188"/>
      <c r="K226" s="188"/>
      <c r="L226" s="188"/>
      <c r="M226" s="188"/>
      <c r="N226" s="188"/>
      <c r="O226" s="188"/>
      <c r="P226" s="188"/>
      <c r="Q226" s="188"/>
      <c r="R226" s="188"/>
      <c r="S226" s="188"/>
      <c r="T226" s="188"/>
      <c r="U226" s="188"/>
      <c r="V226" s="188"/>
      <c r="W226" s="188"/>
      <c r="X226" s="188"/>
      <c r="Y226" s="188"/>
      <c r="Z226" s="188"/>
      <c r="AA226" s="188"/>
      <c r="AB226" s="185"/>
      <c r="AC226" s="192"/>
      <c r="AD226" s="192"/>
      <c r="AE226" s="192"/>
      <c r="AF226" s="192"/>
      <c r="AG226" s="192"/>
      <c r="AH226" s="192"/>
      <c r="AI226" s="192"/>
      <c r="AJ226" s="192"/>
      <c r="AK226" s="192"/>
      <c r="AL226" s="192"/>
      <c r="AM226" s="192"/>
      <c r="AN226" s="192"/>
      <c r="AO226" s="192"/>
      <c r="AP226" s="192"/>
      <c r="AQ226" s="192"/>
      <c r="AR226" s="192"/>
      <c r="AS226" s="192"/>
      <c r="AT226" s="192"/>
      <c r="AU226" s="192"/>
      <c r="AV226" s="192"/>
    </row>
    <row r="227" spans="1:48" ht="15.75" customHeight="1" x14ac:dyDescent="0.35">
      <c r="A227" s="184"/>
      <c r="B227" s="185"/>
      <c r="C227" s="186"/>
      <c r="D227" s="186"/>
      <c r="E227" s="187"/>
      <c r="F227" s="188"/>
      <c r="G227" s="188"/>
      <c r="H227" s="188"/>
      <c r="I227" s="188"/>
      <c r="J227" s="188"/>
      <c r="K227" s="188"/>
      <c r="L227" s="188"/>
      <c r="M227" s="188"/>
      <c r="N227" s="188"/>
      <c r="O227" s="188"/>
      <c r="P227" s="188"/>
      <c r="Q227" s="188"/>
      <c r="R227" s="188"/>
      <c r="S227" s="188"/>
      <c r="T227" s="188"/>
      <c r="U227" s="188"/>
      <c r="V227" s="188"/>
      <c r="W227" s="188"/>
      <c r="X227" s="188"/>
      <c r="Y227" s="188"/>
      <c r="Z227" s="188"/>
      <c r="AA227" s="188"/>
      <c r="AB227" s="185"/>
      <c r="AC227" s="192"/>
      <c r="AD227" s="192"/>
      <c r="AE227" s="192"/>
      <c r="AF227" s="192"/>
      <c r="AG227" s="192"/>
      <c r="AH227" s="192"/>
      <c r="AI227" s="192"/>
      <c r="AJ227" s="192"/>
      <c r="AK227" s="192"/>
      <c r="AL227" s="192"/>
      <c r="AM227" s="192"/>
      <c r="AN227" s="192"/>
      <c r="AO227" s="192"/>
      <c r="AP227" s="192"/>
      <c r="AQ227" s="192"/>
      <c r="AR227" s="192"/>
      <c r="AS227" s="192"/>
      <c r="AT227" s="192"/>
      <c r="AU227" s="192"/>
      <c r="AV227" s="192"/>
    </row>
    <row r="228" spans="1:48" ht="15.75" customHeight="1" x14ac:dyDescent="0.35">
      <c r="A228" s="184"/>
      <c r="B228" s="185"/>
      <c r="C228" s="186"/>
      <c r="D228" s="186"/>
      <c r="E228" s="187"/>
      <c r="F228" s="188"/>
      <c r="G228" s="188"/>
      <c r="H228" s="188"/>
      <c r="I228" s="188"/>
      <c r="J228" s="188"/>
      <c r="K228" s="188"/>
      <c r="L228" s="188"/>
      <c r="M228" s="188"/>
      <c r="N228" s="188"/>
      <c r="O228" s="188"/>
      <c r="P228" s="188"/>
      <c r="Q228" s="188"/>
      <c r="R228" s="188"/>
      <c r="S228" s="188"/>
      <c r="T228" s="188"/>
      <c r="U228" s="188"/>
      <c r="V228" s="188"/>
      <c r="W228" s="188"/>
      <c r="X228" s="188"/>
      <c r="Y228" s="188"/>
      <c r="Z228" s="188"/>
      <c r="AA228" s="188"/>
      <c r="AB228" s="185"/>
      <c r="AC228" s="192"/>
      <c r="AD228" s="192"/>
      <c r="AE228" s="192"/>
      <c r="AF228" s="192"/>
      <c r="AG228" s="192"/>
      <c r="AH228" s="192"/>
      <c r="AI228" s="192"/>
      <c r="AJ228" s="192"/>
      <c r="AK228" s="192"/>
      <c r="AL228" s="192"/>
      <c r="AM228" s="192"/>
      <c r="AN228" s="192"/>
      <c r="AO228" s="192"/>
      <c r="AP228" s="192"/>
      <c r="AQ228" s="192"/>
      <c r="AR228" s="192"/>
      <c r="AS228" s="192"/>
      <c r="AT228" s="192"/>
      <c r="AU228" s="192"/>
      <c r="AV228" s="192"/>
    </row>
    <row r="229" spans="1:48" ht="15.75" customHeight="1" x14ac:dyDescent="0.35">
      <c r="A229" s="184"/>
      <c r="B229" s="185"/>
      <c r="C229" s="186"/>
      <c r="D229" s="186"/>
      <c r="E229" s="187"/>
      <c r="F229" s="188"/>
      <c r="G229" s="188"/>
      <c r="H229" s="188"/>
      <c r="I229" s="188"/>
      <c r="J229" s="188"/>
      <c r="K229" s="188"/>
      <c r="L229" s="188"/>
      <c r="M229" s="188"/>
      <c r="N229" s="188"/>
      <c r="O229" s="188"/>
      <c r="P229" s="188"/>
      <c r="Q229" s="188"/>
      <c r="R229" s="188"/>
      <c r="S229" s="188"/>
      <c r="T229" s="188"/>
      <c r="U229" s="188"/>
      <c r="V229" s="188"/>
      <c r="W229" s="188"/>
      <c r="X229" s="188"/>
      <c r="Y229" s="188"/>
      <c r="Z229" s="188"/>
      <c r="AA229" s="188"/>
      <c r="AB229" s="185"/>
      <c r="AC229" s="192"/>
      <c r="AD229" s="192"/>
      <c r="AE229" s="192"/>
      <c r="AF229" s="192"/>
      <c r="AG229" s="192"/>
      <c r="AH229" s="192"/>
      <c r="AI229" s="192"/>
      <c r="AJ229" s="192"/>
      <c r="AK229" s="192"/>
      <c r="AL229" s="192"/>
      <c r="AM229" s="192"/>
      <c r="AN229" s="192"/>
      <c r="AO229" s="192"/>
      <c r="AP229" s="192"/>
      <c r="AQ229" s="192"/>
      <c r="AR229" s="192"/>
      <c r="AS229" s="192"/>
      <c r="AT229" s="192"/>
      <c r="AU229" s="192"/>
      <c r="AV229" s="192"/>
    </row>
    <row r="230" spans="1:48" ht="15.75" customHeight="1" x14ac:dyDescent="0.35">
      <c r="A230" s="184"/>
      <c r="B230" s="185"/>
      <c r="C230" s="186"/>
      <c r="D230" s="186"/>
      <c r="E230" s="187"/>
      <c r="F230" s="188"/>
      <c r="G230" s="188"/>
      <c r="H230" s="188"/>
      <c r="I230" s="188"/>
      <c r="J230" s="188"/>
      <c r="K230" s="188"/>
      <c r="L230" s="188"/>
      <c r="M230" s="188"/>
      <c r="N230" s="188"/>
      <c r="O230" s="188"/>
      <c r="P230" s="188"/>
      <c r="Q230" s="188"/>
      <c r="R230" s="188"/>
      <c r="S230" s="188"/>
      <c r="T230" s="188"/>
      <c r="U230" s="188"/>
      <c r="V230" s="188"/>
      <c r="W230" s="188"/>
      <c r="X230" s="188"/>
      <c r="Y230" s="188"/>
      <c r="Z230" s="188"/>
      <c r="AA230" s="188"/>
      <c r="AB230" s="185"/>
      <c r="AC230" s="192"/>
      <c r="AD230" s="192"/>
      <c r="AE230" s="192"/>
      <c r="AF230" s="192"/>
      <c r="AG230" s="192"/>
      <c r="AH230" s="192"/>
      <c r="AI230" s="192"/>
      <c r="AJ230" s="192"/>
      <c r="AK230" s="192"/>
      <c r="AL230" s="192"/>
      <c r="AM230" s="192"/>
      <c r="AN230" s="192"/>
      <c r="AO230" s="192"/>
      <c r="AP230" s="192"/>
      <c r="AQ230" s="192"/>
      <c r="AR230" s="192"/>
      <c r="AS230" s="192"/>
      <c r="AT230" s="192"/>
      <c r="AU230" s="192"/>
      <c r="AV230" s="192"/>
    </row>
    <row r="231" spans="1:48" ht="15.75" customHeight="1" x14ac:dyDescent="0.35">
      <c r="A231" s="184"/>
      <c r="B231" s="185"/>
      <c r="C231" s="186"/>
      <c r="D231" s="186"/>
      <c r="E231" s="187"/>
      <c r="F231" s="188"/>
      <c r="G231" s="188"/>
      <c r="H231" s="188"/>
      <c r="I231" s="188"/>
      <c r="J231" s="188"/>
      <c r="K231" s="188"/>
      <c r="L231" s="188"/>
      <c r="M231" s="188"/>
      <c r="N231" s="188"/>
      <c r="O231" s="188"/>
      <c r="P231" s="188"/>
      <c r="Q231" s="188"/>
      <c r="R231" s="188"/>
      <c r="S231" s="188"/>
      <c r="T231" s="188"/>
      <c r="U231" s="188"/>
      <c r="V231" s="188"/>
      <c r="W231" s="188"/>
      <c r="X231" s="188"/>
      <c r="Y231" s="188"/>
      <c r="Z231" s="188"/>
      <c r="AA231" s="188"/>
      <c r="AB231" s="185"/>
      <c r="AC231" s="192"/>
      <c r="AD231" s="192"/>
      <c r="AE231" s="192"/>
      <c r="AF231" s="192"/>
      <c r="AG231" s="192"/>
      <c r="AH231" s="192"/>
      <c r="AI231" s="192"/>
      <c r="AJ231" s="192"/>
      <c r="AK231" s="192"/>
      <c r="AL231" s="192"/>
      <c r="AM231" s="192"/>
      <c r="AN231" s="192"/>
      <c r="AO231" s="192"/>
      <c r="AP231" s="192"/>
      <c r="AQ231" s="192"/>
      <c r="AR231" s="192"/>
      <c r="AS231" s="192"/>
      <c r="AT231" s="192"/>
      <c r="AU231" s="192"/>
      <c r="AV231" s="192"/>
    </row>
    <row r="232" spans="1:48" ht="15.75" customHeight="1" x14ac:dyDescent="0.35">
      <c r="A232" s="184"/>
      <c r="B232" s="185"/>
      <c r="C232" s="186"/>
      <c r="D232" s="186"/>
      <c r="E232" s="187"/>
      <c r="F232" s="188"/>
      <c r="G232" s="188"/>
      <c r="H232" s="188"/>
      <c r="I232" s="188"/>
      <c r="J232" s="188"/>
      <c r="K232" s="188"/>
      <c r="L232" s="188"/>
      <c r="M232" s="188"/>
      <c r="N232" s="188"/>
      <c r="O232" s="188"/>
      <c r="P232" s="188"/>
      <c r="Q232" s="188"/>
      <c r="R232" s="188"/>
      <c r="S232" s="188"/>
      <c r="T232" s="188"/>
      <c r="U232" s="188"/>
      <c r="V232" s="188"/>
      <c r="W232" s="188"/>
      <c r="X232" s="188"/>
      <c r="Y232" s="188"/>
      <c r="Z232" s="188"/>
      <c r="AA232" s="188"/>
      <c r="AB232" s="185"/>
      <c r="AC232" s="192"/>
      <c r="AD232" s="192"/>
      <c r="AE232" s="192"/>
      <c r="AF232" s="192"/>
      <c r="AG232" s="192"/>
      <c r="AH232" s="192"/>
      <c r="AI232" s="192"/>
      <c r="AJ232" s="192"/>
      <c r="AK232" s="192"/>
      <c r="AL232" s="192"/>
      <c r="AM232" s="192"/>
      <c r="AN232" s="192"/>
      <c r="AO232" s="192"/>
      <c r="AP232" s="192"/>
      <c r="AQ232" s="192"/>
      <c r="AR232" s="192"/>
      <c r="AS232" s="192"/>
      <c r="AT232" s="192"/>
      <c r="AU232" s="192"/>
      <c r="AV232" s="192"/>
    </row>
    <row r="233" spans="1:48" ht="15.75" customHeight="1" x14ac:dyDescent="0.35">
      <c r="A233" s="184"/>
      <c r="B233" s="185"/>
      <c r="C233" s="186"/>
      <c r="D233" s="186"/>
      <c r="E233" s="187"/>
      <c r="F233" s="188"/>
      <c r="G233" s="188"/>
      <c r="H233" s="188"/>
      <c r="I233" s="188"/>
      <c r="J233" s="188"/>
      <c r="K233" s="188"/>
      <c r="L233" s="188"/>
      <c r="M233" s="188"/>
      <c r="N233" s="188"/>
      <c r="O233" s="188"/>
      <c r="P233" s="188"/>
      <c r="Q233" s="188"/>
      <c r="R233" s="188"/>
      <c r="S233" s="188"/>
      <c r="T233" s="188"/>
      <c r="U233" s="188"/>
      <c r="V233" s="188"/>
      <c r="W233" s="188"/>
      <c r="X233" s="188"/>
      <c r="Y233" s="188"/>
      <c r="Z233" s="188"/>
      <c r="AA233" s="188"/>
      <c r="AB233" s="185"/>
      <c r="AC233" s="192"/>
      <c r="AD233" s="192"/>
      <c r="AE233" s="192"/>
      <c r="AF233" s="192"/>
      <c r="AG233" s="192"/>
      <c r="AH233" s="192"/>
      <c r="AI233" s="192"/>
      <c r="AJ233" s="192"/>
      <c r="AK233" s="192"/>
      <c r="AL233" s="192"/>
      <c r="AM233" s="192"/>
      <c r="AN233" s="192"/>
      <c r="AO233" s="192"/>
      <c r="AP233" s="192"/>
      <c r="AQ233" s="192"/>
      <c r="AR233" s="192"/>
      <c r="AS233" s="192"/>
      <c r="AT233" s="192"/>
      <c r="AU233" s="192"/>
      <c r="AV233" s="192"/>
    </row>
    <row r="234" spans="1:48" ht="15.75" customHeight="1" x14ac:dyDescent="0.35">
      <c r="A234" s="184"/>
      <c r="B234" s="185"/>
      <c r="C234" s="186"/>
      <c r="D234" s="186"/>
      <c r="E234" s="187"/>
      <c r="F234" s="188"/>
      <c r="G234" s="188"/>
      <c r="H234" s="188"/>
      <c r="I234" s="188"/>
      <c r="J234" s="188"/>
      <c r="K234" s="188"/>
      <c r="L234" s="188"/>
      <c r="M234" s="188"/>
      <c r="N234" s="188"/>
      <c r="O234" s="188"/>
      <c r="P234" s="188"/>
      <c r="Q234" s="188"/>
      <c r="R234" s="188"/>
      <c r="S234" s="188"/>
      <c r="T234" s="188"/>
      <c r="U234" s="188"/>
      <c r="V234" s="188"/>
      <c r="W234" s="188"/>
      <c r="X234" s="188"/>
      <c r="Y234" s="188"/>
      <c r="Z234" s="188"/>
      <c r="AA234" s="188"/>
      <c r="AB234" s="185"/>
      <c r="AC234" s="192"/>
      <c r="AD234" s="192"/>
      <c r="AE234" s="192"/>
      <c r="AF234" s="192"/>
      <c r="AG234" s="192"/>
      <c r="AH234" s="192"/>
      <c r="AI234" s="192"/>
      <c r="AJ234" s="192"/>
      <c r="AK234" s="192"/>
      <c r="AL234" s="192"/>
      <c r="AM234" s="192"/>
      <c r="AN234" s="192"/>
      <c r="AO234" s="192"/>
      <c r="AP234" s="192"/>
      <c r="AQ234" s="192"/>
      <c r="AR234" s="192"/>
      <c r="AS234" s="192"/>
      <c r="AT234" s="192"/>
      <c r="AU234" s="192"/>
      <c r="AV234" s="192"/>
    </row>
    <row r="235" spans="1:48" ht="15.75" customHeight="1" x14ac:dyDescent="0.35">
      <c r="A235" s="184"/>
      <c r="B235" s="185"/>
      <c r="C235" s="186"/>
      <c r="D235" s="186"/>
      <c r="E235" s="187"/>
      <c r="F235" s="188"/>
      <c r="G235" s="188"/>
      <c r="H235" s="188"/>
      <c r="I235" s="188"/>
      <c r="J235" s="188"/>
      <c r="K235" s="188"/>
      <c r="L235" s="188"/>
      <c r="M235" s="188"/>
      <c r="N235" s="188"/>
      <c r="O235" s="188"/>
      <c r="P235" s="188"/>
      <c r="Q235" s="188"/>
      <c r="R235" s="188"/>
      <c r="S235" s="188"/>
      <c r="T235" s="188"/>
      <c r="U235" s="188"/>
      <c r="V235" s="188"/>
      <c r="W235" s="188"/>
      <c r="X235" s="188"/>
      <c r="Y235" s="188"/>
      <c r="Z235" s="188"/>
      <c r="AA235" s="188"/>
      <c r="AB235" s="185"/>
      <c r="AC235" s="192"/>
      <c r="AD235" s="192"/>
      <c r="AE235" s="192"/>
      <c r="AF235" s="192"/>
      <c r="AG235" s="192"/>
      <c r="AH235" s="192"/>
      <c r="AI235" s="192"/>
      <c r="AJ235" s="192"/>
      <c r="AK235" s="192"/>
      <c r="AL235" s="192"/>
      <c r="AM235" s="192"/>
      <c r="AN235" s="192"/>
      <c r="AO235" s="192"/>
      <c r="AP235" s="192"/>
      <c r="AQ235" s="192"/>
      <c r="AR235" s="192"/>
      <c r="AS235" s="192"/>
      <c r="AT235" s="192"/>
      <c r="AU235" s="192"/>
      <c r="AV235" s="192"/>
    </row>
    <row r="236" spans="1:48" ht="15.75" customHeight="1" x14ac:dyDescent="0.35">
      <c r="A236" s="184"/>
      <c r="B236" s="185"/>
      <c r="C236" s="186"/>
      <c r="D236" s="186"/>
      <c r="E236" s="187"/>
      <c r="F236" s="188"/>
      <c r="G236" s="188"/>
      <c r="H236" s="188"/>
      <c r="I236" s="188"/>
      <c r="J236" s="188"/>
      <c r="K236" s="188"/>
      <c r="L236" s="188"/>
      <c r="M236" s="188"/>
      <c r="N236" s="188"/>
      <c r="O236" s="188"/>
      <c r="P236" s="188"/>
      <c r="Q236" s="188"/>
      <c r="R236" s="188"/>
      <c r="S236" s="188"/>
      <c r="T236" s="188"/>
      <c r="U236" s="188"/>
      <c r="V236" s="188"/>
      <c r="W236" s="188"/>
      <c r="X236" s="188"/>
      <c r="Y236" s="188"/>
      <c r="Z236" s="188"/>
      <c r="AA236" s="188"/>
      <c r="AB236" s="185"/>
      <c r="AC236" s="192"/>
      <c r="AD236" s="192"/>
      <c r="AE236" s="192"/>
      <c r="AF236" s="192"/>
      <c r="AG236" s="192"/>
      <c r="AH236" s="192"/>
      <c r="AI236" s="192"/>
      <c r="AJ236" s="192"/>
      <c r="AK236" s="192"/>
      <c r="AL236" s="192"/>
      <c r="AM236" s="192"/>
      <c r="AN236" s="192"/>
      <c r="AO236" s="192"/>
      <c r="AP236" s="192"/>
      <c r="AQ236" s="192"/>
      <c r="AR236" s="192"/>
      <c r="AS236" s="192"/>
      <c r="AT236" s="192"/>
      <c r="AU236" s="192"/>
      <c r="AV236" s="192"/>
    </row>
    <row r="237" spans="1:48" ht="15.75" customHeight="1" x14ac:dyDescent="0.35">
      <c r="A237" s="184"/>
      <c r="B237" s="185"/>
      <c r="C237" s="186"/>
      <c r="D237" s="186"/>
      <c r="E237" s="187"/>
      <c r="F237" s="188"/>
      <c r="G237" s="188"/>
      <c r="H237" s="188"/>
      <c r="I237" s="188"/>
      <c r="J237" s="188"/>
      <c r="K237" s="188"/>
      <c r="L237" s="188"/>
      <c r="M237" s="188"/>
      <c r="N237" s="188"/>
      <c r="O237" s="188"/>
      <c r="P237" s="188"/>
      <c r="Q237" s="188"/>
      <c r="R237" s="188"/>
      <c r="S237" s="188"/>
      <c r="T237" s="188"/>
      <c r="U237" s="188"/>
      <c r="V237" s="188"/>
      <c r="W237" s="188"/>
      <c r="X237" s="188"/>
      <c r="Y237" s="188"/>
      <c r="Z237" s="188"/>
      <c r="AA237" s="188"/>
      <c r="AB237" s="185"/>
      <c r="AC237" s="192"/>
      <c r="AD237" s="192"/>
      <c r="AE237" s="192"/>
      <c r="AF237" s="192"/>
      <c r="AG237" s="192"/>
      <c r="AH237" s="192"/>
      <c r="AI237" s="192"/>
      <c r="AJ237" s="192"/>
      <c r="AK237" s="192"/>
      <c r="AL237" s="192"/>
      <c r="AM237" s="192"/>
      <c r="AN237" s="192"/>
      <c r="AO237" s="192"/>
      <c r="AP237" s="192"/>
      <c r="AQ237" s="192"/>
      <c r="AR237" s="192"/>
      <c r="AS237" s="192"/>
      <c r="AT237" s="192"/>
      <c r="AU237" s="192"/>
      <c r="AV237" s="192"/>
    </row>
    <row r="238" spans="1:48" ht="15.75" customHeight="1" x14ac:dyDescent="0.35">
      <c r="A238" s="184"/>
      <c r="B238" s="185"/>
      <c r="C238" s="186"/>
      <c r="D238" s="186"/>
      <c r="E238" s="187"/>
      <c r="F238" s="188"/>
      <c r="G238" s="188"/>
      <c r="H238" s="188"/>
      <c r="I238" s="188"/>
      <c r="J238" s="188"/>
      <c r="K238" s="188"/>
      <c r="L238" s="188"/>
      <c r="M238" s="188"/>
      <c r="N238" s="188"/>
      <c r="O238" s="188"/>
      <c r="P238" s="188"/>
      <c r="Q238" s="188"/>
      <c r="R238" s="188"/>
      <c r="S238" s="188"/>
      <c r="T238" s="188"/>
      <c r="U238" s="188"/>
      <c r="V238" s="188"/>
      <c r="W238" s="188"/>
      <c r="X238" s="188"/>
      <c r="Y238" s="188"/>
      <c r="Z238" s="188"/>
      <c r="AA238" s="188"/>
      <c r="AB238" s="185"/>
      <c r="AC238" s="192"/>
      <c r="AD238" s="192"/>
      <c r="AE238" s="192"/>
      <c r="AF238" s="192"/>
      <c r="AG238" s="192"/>
      <c r="AH238" s="192"/>
      <c r="AI238" s="192"/>
      <c r="AJ238" s="192"/>
      <c r="AK238" s="192"/>
      <c r="AL238" s="192"/>
      <c r="AM238" s="192"/>
      <c r="AN238" s="192"/>
      <c r="AO238" s="192"/>
      <c r="AP238" s="192"/>
      <c r="AQ238" s="192"/>
      <c r="AR238" s="192"/>
      <c r="AS238" s="192"/>
      <c r="AT238" s="192"/>
      <c r="AU238" s="192"/>
      <c r="AV238" s="192"/>
    </row>
    <row r="239" spans="1:48" ht="15.75" customHeight="1" x14ac:dyDescent="0.35">
      <c r="A239" s="184"/>
      <c r="B239" s="185"/>
      <c r="C239" s="186"/>
      <c r="D239" s="186"/>
      <c r="E239" s="187"/>
      <c r="F239" s="188"/>
      <c r="G239" s="188"/>
      <c r="H239" s="188"/>
      <c r="I239" s="188"/>
      <c r="J239" s="188"/>
      <c r="K239" s="188"/>
      <c r="L239" s="188"/>
      <c r="M239" s="188"/>
      <c r="N239" s="188"/>
      <c r="O239" s="188"/>
      <c r="P239" s="188"/>
      <c r="Q239" s="188"/>
      <c r="R239" s="188"/>
      <c r="S239" s="188"/>
      <c r="T239" s="188"/>
      <c r="U239" s="188"/>
      <c r="V239" s="188"/>
      <c r="W239" s="188"/>
      <c r="X239" s="188"/>
      <c r="Y239" s="188"/>
      <c r="Z239" s="188"/>
      <c r="AA239" s="188"/>
      <c r="AB239" s="185"/>
      <c r="AC239" s="192"/>
      <c r="AD239" s="192"/>
      <c r="AE239" s="192"/>
      <c r="AF239" s="192"/>
      <c r="AG239" s="192"/>
      <c r="AH239" s="192"/>
      <c r="AI239" s="192"/>
      <c r="AJ239" s="192"/>
      <c r="AK239" s="192"/>
      <c r="AL239" s="192"/>
      <c r="AM239" s="192"/>
      <c r="AN239" s="192"/>
      <c r="AO239" s="192"/>
      <c r="AP239" s="192"/>
      <c r="AQ239" s="192"/>
      <c r="AR239" s="192"/>
      <c r="AS239" s="192"/>
      <c r="AT239" s="192"/>
      <c r="AU239" s="192"/>
      <c r="AV239" s="192"/>
    </row>
    <row r="240" spans="1:48" ht="15.75" customHeight="1" x14ac:dyDescent="0.35">
      <c r="A240" s="184"/>
      <c r="B240" s="185"/>
      <c r="C240" s="186"/>
      <c r="D240" s="186"/>
      <c r="E240" s="187"/>
      <c r="F240" s="188"/>
      <c r="G240" s="188"/>
      <c r="H240" s="188"/>
      <c r="I240" s="188"/>
      <c r="J240" s="188"/>
      <c r="K240" s="188"/>
      <c r="L240" s="188"/>
      <c r="M240" s="188"/>
      <c r="N240" s="188"/>
      <c r="O240" s="188"/>
      <c r="P240" s="188"/>
      <c r="Q240" s="188"/>
      <c r="R240" s="188"/>
      <c r="S240" s="188"/>
      <c r="T240" s="188"/>
      <c r="U240" s="188"/>
      <c r="V240" s="188"/>
      <c r="W240" s="188"/>
      <c r="X240" s="188"/>
      <c r="Y240" s="188"/>
      <c r="Z240" s="188"/>
      <c r="AA240" s="188"/>
      <c r="AB240" s="185"/>
      <c r="AC240" s="192"/>
      <c r="AD240" s="192"/>
      <c r="AE240" s="192"/>
      <c r="AF240" s="192"/>
      <c r="AG240" s="192"/>
      <c r="AH240" s="192"/>
      <c r="AI240" s="192"/>
      <c r="AJ240" s="192"/>
      <c r="AK240" s="192"/>
      <c r="AL240" s="192"/>
      <c r="AM240" s="192"/>
      <c r="AN240" s="192"/>
      <c r="AO240" s="192"/>
      <c r="AP240" s="192"/>
      <c r="AQ240" s="192"/>
      <c r="AR240" s="192"/>
      <c r="AS240" s="192"/>
      <c r="AT240" s="192"/>
      <c r="AU240" s="192"/>
      <c r="AV240" s="192"/>
    </row>
    <row r="241" spans="1:48" ht="15.75" customHeight="1" x14ac:dyDescent="0.35">
      <c r="A241" s="184"/>
      <c r="B241" s="185"/>
      <c r="C241" s="186"/>
      <c r="D241" s="186"/>
      <c r="E241" s="187"/>
      <c r="F241" s="188"/>
      <c r="G241" s="188"/>
      <c r="H241" s="188"/>
      <c r="I241" s="188"/>
      <c r="J241" s="188"/>
      <c r="K241" s="188"/>
      <c r="L241" s="188"/>
      <c r="M241" s="188"/>
      <c r="N241" s="188"/>
      <c r="O241" s="188"/>
      <c r="P241" s="188"/>
      <c r="Q241" s="188"/>
      <c r="R241" s="188"/>
      <c r="S241" s="188"/>
      <c r="T241" s="188"/>
      <c r="U241" s="188"/>
      <c r="V241" s="188"/>
      <c r="W241" s="188"/>
      <c r="X241" s="188"/>
      <c r="Y241" s="188"/>
      <c r="Z241" s="188"/>
      <c r="AA241" s="188"/>
      <c r="AB241" s="185"/>
      <c r="AC241" s="192"/>
      <c r="AD241" s="192"/>
      <c r="AE241" s="192"/>
      <c r="AF241" s="192"/>
      <c r="AG241" s="192"/>
      <c r="AH241" s="192"/>
      <c r="AI241" s="192"/>
      <c r="AJ241" s="192"/>
      <c r="AK241" s="192"/>
      <c r="AL241" s="192"/>
      <c r="AM241" s="192"/>
      <c r="AN241" s="192"/>
      <c r="AO241" s="192"/>
      <c r="AP241" s="192"/>
      <c r="AQ241" s="192"/>
      <c r="AR241" s="192"/>
      <c r="AS241" s="192"/>
      <c r="AT241" s="192"/>
      <c r="AU241" s="192"/>
      <c r="AV241" s="192"/>
    </row>
    <row r="242" spans="1:48" ht="15.75" customHeight="1" x14ac:dyDescent="0.35">
      <c r="A242" s="184"/>
      <c r="B242" s="185"/>
      <c r="C242" s="186"/>
      <c r="D242" s="186"/>
      <c r="E242" s="187"/>
      <c r="F242" s="188"/>
      <c r="G242" s="188"/>
      <c r="H242" s="188"/>
      <c r="I242" s="188"/>
      <c r="J242" s="188"/>
      <c r="K242" s="188"/>
      <c r="L242" s="188"/>
      <c r="M242" s="188"/>
      <c r="N242" s="188"/>
      <c r="O242" s="188"/>
      <c r="P242" s="188"/>
      <c r="Q242" s="188"/>
      <c r="R242" s="188"/>
      <c r="S242" s="188"/>
      <c r="T242" s="188"/>
      <c r="U242" s="188"/>
      <c r="V242" s="188"/>
      <c r="W242" s="188"/>
      <c r="X242" s="188"/>
      <c r="Y242" s="188"/>
      <c r="Z242" s="188"/>
      <c r="AA242" s="188"/>
      <c r="AB242" s="185"/>
      <c r="AC242" s="192"/>
      <c r="AD242" s="192"/>
      <c r="AE242" s="192"/>
      <c r="AF242" s="192"/>
      <c r="AG242" s="192"/>
      <c r="AH242" s="192"/>
      <c r="AI242" s="192"/>
      <c r="AJ242" s="192"/>
      <c r="AK242" s="192"/>
      <c r="AL242" s="192"/>
      <c r="AM242" s="192"/>
      <c r="AN242" s="192"/>
      <c r="AO242" s="192"/>
      <c r="AP242" s="192"/>
      <c r="AQ242" s="192"/>
      <c r="AR242" s="192"/>
      <c r="AS242" s="192"/>
      <c r="AT242" s="192"/>
      <c r="AU242" s="192"/>
      <c r="AV242" s="192"/>
    </row>
    <row r="243" spans="1:48" ht="15.75" customHeight="1" x14ac:dyDescent="0.35">
      <c r="A243" s="184"/>
      <c r="B243" s="185"/>
      <c r="C243" s="186"/>
      <c r="D243" s="186"/>
      <c r="E243" s="187"/>
      <c r="F243" s="188"/>
      <c r="G243" s="188"/>
      <c r="H243" s="188"/>
      <c r="I243" s="188"/>
      <c r="J243" s="188"/>
      <c r="K243" s="188"/>
      <c r="L243" s="188"/>
      <c r="M243" s="188"/>
      <c r="N243" s="188"/>
      <c r="O243" s="188"/>
      <c r="P243" s="188"/>
      <c r="Q243" s="188"/>
      <c r="R243" s="188"/>
      <c r="S243" s="188"/>
      <c r="T243" s="188"/>
      <c r="U243" s="188"/>
      <c r="V243" s="188"/>
      <c r="W243" s="188"/>
      <c r="X243" s="188"/>
      <c r="Y243" s="188"/>
      <c r="Z243" s="188"/>
      <c r="AA243" s="188"/>
      <c r="AB243" s="185"/>
      <c r="AC243" s="192"/>
      <c r="AD243" s="192"/>
      <c r="AE243" s="192"/>
      <c r="AF243" s="192"/>
      <c r="AG243" s="192"/>
      <c r="AH243" s="192"/>
      <c r="AI243" s="192"/>
      <c r="AJ243" s="192"/>
      <c r="AK243" s="192"/>
      <c r="AL243" s="192"/>
      <c r="AM243" s="192"/>
      <c r="AN243" s="192"/>
      <c r="AO243" s="192"/>
      <c r="AP243" s="192"/>
      <c r="AQ243" s="192"/>
      <c r="AR243" s="192"/>
      <c r="AS243" s="192"/>
      <c r="AT243" s="192"/>
      <c r="AU243" s="192"/>
      <c r="AV243" s="192"/>
    </row>
    <row r="244" spans="1:48" ht="15.75" customHeight="1" x14ac:dyDescent="0.35">
      <c r="A244" s="184"/>
      <c r="B244" s="185"/>
      <c r="C244" s="186"/>
      <c r="D244" s="186"/>
      <c r="E244" s="187"/>
      <c r="F244" s="188"/>
      <c r="G244" s="188"/>
      <c r="H244" s="188"/>
      <c r="I244" s="188"/>
      <c r="J244" s="188"/>
      <c r="K244" s="188"/>
      <c r="L244" s="188"/>
      <c r="M244" s="188"/>
      <c r="N244" s="188"/>
      <c r="O244" s="188"/>
      <c r="P244" s="188"/>
      <c r="Q244" s="188"/>
      <c r="R244" s="188"/>
      <c r="S244" s="188"/>
      <c r="T244" s="188"/>
      <c r="U244" s="188"/>
      <c r="V244" s="188"/>
      <c r="W244" s="188"/>
      <c r="X244" s="188"/>
      <c r="Y244" s="188"/>
      <c r="Z244" s="188"/>
      <c r="AA244" s="188"/>
      <c r="AB244" s="185"/>
      <c r="AC244" s="192"/>
      <c r="AD244" s="192"/>
      <c r="AE244" s="192"/>
      <c r="AF244" s="192"/>
      <c r="AG244" s="192"/>
      <c r="AH244" s="192"/>
      <c r="AI244" s="192"/>
      <c r="AJ244" s="192"/>
      <c r="AK244" s="192"/>
      <c r="AL244" s="192"/>
      <c r="AM244" s="192"/>
      <c r="AN244" s="192"/>
      <c r="AO244" s="192"/>
      <c r="AP244" s="192"/>
      <c r="AQ244" s="192"/>
      <c r="AR244" s="192"/>
      <c r="AS244" s="192"/>
      <c r="AT244" s="192"/>
      <c r="AU244" s="192"/>
      <c r="AV244" s="192"/>
    </row>
    <row r="245" spans="1:48" ht="15.75" customHeight="1" x14ac:dyDescent="0.35">
      <c r="A245" s="184"/>
      <c r="B245" s="185"/>
      <c r="C245" s="186"/>
      <c r="D245" s="186"/>
      <c r="E245" s="187"/>
      <c r="F245" s="188"/>
      <c r="G245" s="188"/>
      <c r="H245" s="188"/>
      <c r="I245" s="188"/>
      <c r="J245" s="188"/>
      <c r="K245" s="188"/>
      <c r="L245" s="188"/>
      <c r="M245" s="188"/>
      <c r="N245" s="188"/>
      <c r="O245" s="188"/>
      <c r="P245" s="188"/>
      <c r="Q245" s="188"/>
      <c r="R245" s="188"/>
      <c r="S245" s="188"/>
      <c r="T245" s="188"/>
      <c r="U245" s="188"/>
      <c r="V245" s="188"/>
      <c r="W245" s="188"/>
      <c r="X245" s="188"/>
      <c r="Y245" s="188"/>
      <c r="Z245" s="188"/>
      <c r="AA245" s="188"/>
      <c r="AB245" s="185"/>
      <c r="AC245" s="192"/>
      <c r="AD245" s="192"/>
      <c r="AE245" s="192"/>
      <c r="AF245" s="192"/>
      <c r="AG245" s="192"/>
      <c r="AH245" s="192"/>
      <c r="AI245" s="192"/>
      <c r="AJ245" s="192"/>
      <c r="AK245" s="192"/>
      <c r="AL245" s="192"/>
      <c r="AM245" s="192"/>
      <c r="AN245" s="192"/>
      <c r="AO245" s="192"/>
      <c r="AP245" s="192"/>
      <c r="AQ245" s="192"/>
      <c r="AR245" s="192"/>
      <c r="AS245" s="192"/>
      <c r="AT245" s="192"/>
      <c r="AU245" s="192"/>
      <c r="AV245" s="192"/>
    </row>
    <row r="246" spans="1:48" ht="15.75" customHeight="1" x14ac:dyDescent="0.35">
      <c r="A246" s="184"/>
      <c r="B246" s="185"/>
      <c r="C246" s="186"/>
      <c r="D246" s="186"/>
      <c r="E246" s="187"/>
      <c r="F246" s="188"/>
      <c r="G246" s="188"/>
      <c r="H246" s="188"/>
      <c r="I246" s="188"/>
      <c r="J246" s="188"/>
      <c r="K246" s="188"/>
      <c r="L246" s="188"/>
      <c r="M246" s="188"/>
      <c r="N246" s="188"/>
      <c r="O246" s="188"/>
      <c r="P246" s="188"/>
      <c r="Q246" s="188"/>
      <c r="R246" s="188"/>
      <c r="S246" s="188"/>
      <c r="T246" s="188"/>
      <c r="U246" s="188"/>
      <c r="V246" s="188"/>
      <c r="W246" s="188"/>
      <c r="X246" s="188"/>
      <c r="Y246" s="188"/>
      <c r="Z246" s="188"/>
      <c r="AA246" s="188"/>
      <c r="AB246" s="185"/>
      <c r="AC246" s="192"/>
      <c r="AD246" s="192"/>
      <c r="AE246" s="192"/>
      <c r="AF246" s="192"/>
      <c r="AG246" s="192"/>
      <c r="AH246" s="192"/>
      <c r="AI246" s="192"/>
      <c r="AJ246" s="192"/>
      <c r="AK246" s="192"/>
      <c r="AL246" s="192"/>
      <c r="AM246" s="192"/>
      <c r="AN246" s="192"/>
      <c r="AO246" s="192"/>
      <c r="AP246" s="192"/>
      <c r="AQ246" s="192"/>
      <c r="AR246" s="192"/>
      <c r="AS246" s="192"/>
      <c r="AT246" s="192"/>
      <c r="AU246" s="192"/>
      <c r="AV246" s="192"/>
    </row>
    <row r="247" spans="1:48" ht="15.75" customHeight="1" x14ac:dyDescent="0.35">
      <c r="A247" s="184"/>
      <c r="B247" s="185"/>
      <c r="C247" s="186"/>
      <c r="D247" s="186"/>
      <c r="E247" s="187"/>
      <c r="F247" s="188"/>
      <c r="G247" s="188"/>
      <c r="H247" s="188"/>
      <c r="I247" s="188"/>
      <c r="J247" s="188"/>
      <c r="K247" s="188"/>
      <c r="L247" s="188"/>
      <c r="M247" s="188"/>
      <c r="N247" s="188"/>
      <c r="O247" s="188"/>
      <c r="P247" s="188"/>
      <c r="Q247" s="188"/>
      <c r="R247" s="188"/>
      <c r="S247" s="188"/>
      <c r="T247" s="188"/>
      <c r="U247" s="188"/>
      <c r="V247" s="188"/>
      <c r="W247" s="188"/>
      <c r="X247" s="188"/>
      <c r="Y247" s="188"/>
      <c r="Z247" s="188"/>
      <c r="AA247" s="188"/>
      <c r="AB247" s="185"/>
      <c r="AC247" s="192"/>
      <c r="AD247" s="192"/>
      <c r="AE247" s="192"/>
      <c r="AF247" s="192"/>
      <c r="AG247" s="192"/>
      <c r="AH247" s="192"/>
      <c r="AI247" s="192"/>
      <c r="AJ247" s="192"/>
      <c r="AK247" s="192"/>
      <c r="AL247" s="192"/>
      <c r="AM247" s="192"/>
      <c r="AN247" s="192"/>
      <c r="AO247" s="192"/>
      <c r="AP247" s="192"/>
      <c r="AQ247" s="192"/>
      <c r="AR247" s="192"/>
      <c r="AS247" s="192"/>
      <c r="AT247" s="192"/>
      <c r="AU247" s="192"/>
      <c r="AV247" s="192"/>
    </row>
    <row r="248" spans="1:48" ht="15.75" customHeight="1" x14ac:dyDescent="0.35">
      <c r="A248" s="184"/>
      <c r="B248" s="185"/>
      <c r="C248" s="186"/>
      <c r="D248" s="186"/>
      <c r="E248" s="187"/>
      <c r="F248" s="188"/>
      <c r="G248" s="188"/>
      <c r="H248" s="188"/>
      <c r="I248" s="188"/>
      <c r="J248" s="188"/>
      <c r="K248" s="188"/>
      <c r="L248" s="188"/>
      <c r="M248" s="188"/>
      <c r="N248" s="188"/>
      <c r="O248" s="188"/>
      <c r="P248" s="188"/>
      <c r="Q248" s="188"/>
      <c r="R248" s="188"/>
      <c r="S248" s="188"/>
      <c r="T248" s="188"/>
      <c r="U248" s="188"/>
      <c r="V248" s="188"/>
      <c r="W248" s="188"/>
      <c r="X248" s="188"/>
      <c r="Y248" s="188"/>
      <c r="Z248" s="188"/>
      <c r="AA248" s="188"/>
      <c r="AB248" s="185"/>
      <c r="AC248" s="192"/>
      <c r="AD248" s="192"/>
      <c r="AE248" s="192"/>
      <c r="AF248" s="192"/>
      <c r="AG248" s="192"/>
      <c r="AH248" s="192"/>
      <c r="AI248" s="192"/>
      <c r="AJ248" s="192"/>
      <c r="AK248" s="192"/>
      <c r="AL248" s="192"/>
      <c r="AM248" s="192"/>
      <c r="AN248" s="192"/>
      <c r="AO248" s="192"/>
      <c r="AP248" s="192"/>
      <c r="AQ248" s="192"/>
      <c r="AR248" s="192"/>
      <c r="AS248" s="192"/>
      <c r="AT248" s="192"/>
      <c r="AU248" s="192"/>
      <c r="AV248" s="192"/>
    </row>
    <row r="249" spans="1:48" ht="15.75" customHeight="1" x14ac:dyDescent="0.35">
      <c r="A249" s="184"/>
      <c r="B249" s="185"/>
      <c r="C249" s="186"/>
      <c r="D249" s="186"/>
      <c r="E249" s="187"/>
      <c r="F249" s="188"/>
      <c r="G249" s="188"/>
      <c r="H249" s="188"/>
      <c r="I249" s="188"/>
      <c r="J249" s="188"/>
      <c r="K249" s="188"/>
      <c r="L249" s="188"/>
      <c r="M249" s="188"/>
      <c r="N249" s="188"/>
      <c r="O249" s="188"/>
      <c r="P249" s="188"/>
      <c r="Q249" s="188"/>
      <c r="R249" s="188"/>
      <c r="S249" s="188"/>
      <c r="T249" s="188"/>
      <c r="U249" s="188"/>
      <c r="V249" s="188"/>
      <c r="W249" s="188"/>
      <c r="X249" s="188"/>
      <c r="Y249" s="188"/>
      <c r="Z249" s="188"/>
      <c r="AA249" s="188"/>
      <c r="AB249" s="185"/>
      <c r="AC249" s="192"/>
      <c r="AD249" s="192"/>
      <c r="AE249" s="192"/>
      <c r="AF249" s="192"/>
      <c r="AG249" s="192"/>
      <c r="AH249" s="192"/>
      <c r="AI249" s="192"/>
      <c r="AJ249" s="192"/>
      <c r="AK249" s="192"/>
      <c r="AL249" s="192"/>
      <c r="AM249" s="192"/>
      <c r="AN249" s="192"/>
      <c r="AO249" s="192"/>
      <c r="AP249" s="192"/>
      <c r="AQ249" s="192"/>
      <c r="AR249" s="192"/>
      <c r="AS249" s="192"/>
      <c r="AT249" s="192"/>
      <c r="AU249" s="192"/>
      <c r="AV249" s="192"/>
    </row>
    <row r="250" spans="1:48" ht="15.75" customHeight="1" x14ac:dyDescent="0.35">
      <c r="A250" s="184"/>
      <c r="B250" s="185"/>
      <c r="C250" s="186"/>
      <c r="D250" s="186"/>
      <c r="E250" s="187"/>
      <c r="F250" s="188"/>
      <c r="G250" s="188"/>
      <c r="H250" s="188"/>
      <c r="I250" s="188"/>
      <c r="J250" s="188"/>
      <c r="K250" s="188"/>
      <c r="L250" s="188"/>
      <c r="M250" s="188"/>
      <c r="N250" s="188"/>
      <c r="O250" s="188"/>
      <c r="P250" s="188"/>
      <c r="Q250" s="188"/>
      <c r="R250" s="188"/>
      <c r="S250" s="188"/>
      <c r="T250" s="188"/>
      <c r="U250" s="188"/>
      <c r="V250" s="188"/>
      <c r="W250" s="188"/>
      <c r="X250" s="188"/>
      <c r="Y250" s="188"/>
      <c r="Z250" s="188"/>
      <c r="AA250" s="188"/>
      <c r="AB250" s="185"/>
      <c r="AC250" s="192"/>
      <c r="AD250" s="192"/>
      <c r="AE250" s="192"/>
      <c r="AF250" s="192"/>
      <c r="AG250" s="192"/>
      <c r="AH250" s="192"/>
      <c r="AI250" s="192"/>
      <c r="AJ250" s="192"/>
      <c r="AK250" s="192"/>
      <c r="AL250" s="192"/>
      <c r="AM250" s="192"/>
      <c r="AN250" s="192"/>
      <c r="AO250" s="192"/>
      <c r="AP250" s="192"/>
      <c r="AQ250" s="192"/>
      <c r="AR250" s="192"/>
      <c r="AS250" s="192"/>
      <c r="AT250" s="192"/>
      <c r="AU250" s="192"/>
      <c r="AV250" s="192"/>
    </row>
    <row r="251" spans="1:48" ht="15.75" customHeight="1" x14ac:dyDescent="0.35">
      <c r="A251" s="184"/>
      <c r="B251" s="185"/>
      <c r="C251" s="186"/>
      <c r="D251" s="186"/>
      <c r="E251" s="187"/>
      <c r="F251" s="188"/>
      <c r="G251" s="188"/>
      <c r="H251" s="188"/>
      <c r="I251" s="188"/>
      <c r="J251" s="188"/>
      <c r="K251" s="188"/>
      <c r="L251" s="188"/>
      <c r="M251" s="188"/>
      <c r="N251" s="188"/>
      <c r="O251" s="188"/>
      <c r="P251" s="188"/>
      <c r="Q251" s="188"/>
      <c r="R251" s="188"/>
      <c r="S251" s="188"/>
      <c r="T251" s="188"/>
      <c r="U251" s="188"/>
      <c r="V251" s="188"/>
      <c r="W251" s="188"/>
      <c r="X251" s="188"/>
      <c r="Y251" s="188"/>
      <c r="Z251" s="188"/>
      <c r="AA251" s="188"/>
      <c r="AB251" s="185"/>
      <c r="AC251" s="192"/>
      <c r="AD251" s="192"/>
      <c r="AE251" s="192"/>
      <c r="AF251" s="192"/>
      <c r="AG251" s="192"/>
      <c r="AH251" s="192"/>
      <c r="AI251" s="192"/>
      <c r="AJ251" s="192"/>
      <c r="AK251" s="192"/>
      <c r="AL251" s="192"/>
      <c r="AM251" s="192"/>
      <c r="AN251" s="192"/>
      <c r="AO251" s="192"/>
      <c r="AP251" s="192"/>
      <c r="AQ251" s="192"/>
      <c r="AR251" s="192"/>
      <c r="AS251" s="192"/>
      <c r="AT251" s="192"/>
      <c r="AU251" s="192"/>
      <c r="AV251" s="192"/>
    </row>
    <row r="252" spans="1:48" ht="15.75" customHeight="1" x14ac:dyDescent="0.35">
      <c r="A252" s="184"/>
      <c r="B252" s="185"/>
      <c r="C252" s="186"/>
      <c r="D252" s="186"/>
      <c r="E252" s="187"/>
      <c r="F252" s="188"/>
      <c r="G252" s="188"/>
      <c r="H252" s="188"/>
      <c r="I252" s="188"/>
      <c r="J252" s="188"/>
      <c r="K252" s="188"/>
      <c r="L252" s="188"/>
      <c r="M252" s="188"/>
      <c r="N252" s="188"/>
      <c r="O252" s="188"/>
      <c r="P252" s="188"/>
      <c r="Q252" s="188"/>
      <c r="R252" s="188"/>
      <c r="S252" s="188"/>
      <c r="T252" s="188"/>
      <c r="U252" s="188"/>
      <c r="V252" s="188"/>
      <c r="W252" s="188"/>
      <c r="X252" s="188"/>
      <c r="Y252" s="188"/>
      <c r="Z252" s="188"/>
      <c r="AA252" s="188"/>
      <c r="AB252" s="185"/>
      <c r="AC252" s="192"/>
      <c r="AD252" s="192"/>
      <c r="AE252" s="192"/>
      <c r="AF252" s="192"/>
      <c r="AG252" s="192"/>
      <c r="AH252" s="192"/>
      <c r="AI252" s="192"/>
      <c r="AJ252" s="192"/>
      <c r="AK252" s="192"/>
      <c r="AL252" s="192"/>
      <c r="AM252" s="192"/>
      <c r="AN252" s="192"/>
      <c r="AO252" s="192"/>
      <c r="AP252" s="192"/>
      <c r="AQ252" s="192"/>
      <c r="AR252" s="192"/>
      <c r="AS252" s="192"/>
      <c r="AT252" s="192"/>
      <c r="AU252" s="192"/>
      <c r="AV252" s="192"/>
    </row>
    <row r="253" spans="1:48" ht="15.75" customHeight="1" x14ac:dyDescent="0.35">
      <c r="A253" s="184"/>
      <c r="B253" s="185"/>
      <c r="C253" s="186"/>
      <c r="D253" s="186"/>
      <c r="E253" s="187"/>
      <c r="F253" s="188"/>
      <c r="G253" s="188"/>
      <c r="H253" s="188"/>
      <c r="I253" s="188"/>
      <c r="J253" s="188"/>
      <c r="K253" s="188"/>
      <c r="L253" s="188"/>
      <c r="M253" s="188"/>
      <c r="N253" s="188"/>
      <c r="O253" s="188"/>
      <c r="P253" s="188"/>
      <c r="Q253" s="188"/>
      <c r="R253" s="188"/>
      <c r="S253" s="188"/>
      <c r="T253" s="188"/>
      <c r="U253" s="188"/>
      <c r="V253" s="188"/>
      <c r="W253" s="188"/>
      <c r="X253" s="188"/>
      <c r="Y253" s="188"/>
      <c r="Z253" s="188"/>
      <c r="AA253" s="188"/>
      <c r="AB253" s="185"/>
      <c r="AC253" s="192"/>
      <c r="AD253" s="192"/>
      <c r="AE253" s="192"/>
      <c r="AF253" s="192"/>
      <c r="AG253" s="192"/>
      <c r="AH253" s="192"/>
      <c r="AI253" s="192"/>
      <c r="AJ253" s="192"/>
      <c r="AK253" s="192"/>
      <c r="AL253" s="192"/>
      <c r="AM253" s="192"/>
      <c r="AN253" s="192"/>
      <c r="AO253" s="192"/>
      <c r="AP253" s="192"/>
      <c r="AQ253" s="192"/>
      <c r="AR253" s="192"/>
      <c r="AS253" s="192"/>
      <c r="AT253" s="192"/>
      <c r="AU253" s="192"/>
      <c r="AV253" s="192"/>
    </row>
    <row r="254" spans="1:48" ht="15.75" customHeight="1" x14ac:dyDescent="0.35">
      <c r="A254" s="184"/>
      <c r="B254" s="185"/>
      <c r="C254" s="186"/>
      <c r="D254" s="186"/>
      <c r="E254" s="187"/>
      <c r="F254" s="188"/>
      <c r="G254" s="188"/>
      <c r="H254" s="188"/>
      <c r="I254" s="188"/>
      <c r="J254" s="188"/>
      <c r="K254" s="188"/>
      <c r="L254" s="188"/>
      <c r="M254" s="188"/>
      <c r="N254" s="188"/>
      <c r="O254" s="188"/>
      <c r="P254" s="188"/>
      <c r="Q254" s="188"/>
      <c r="R254" s="188"/>
      <c r="S254" s="188"/>
      <c r="T254" s="188"/>
      <c r="U254" s="188"/>
      <c r="V254" s="188"/>
      <c r="W254" s="188"/>
      <c r="X254" s="188"/>
      <c r="Y254" s="188"/>
      <c r="Z254" s="188"/>
      <c r="AA254" s="188"/>
      <c r="AB254" s="185"/>
      <c r="AC254" s="192"/>
      <c r="AD254" s="192"/>
      <c r="AE254" s="192"/>
      <c r="AF254" s="192"/>
      <c r="AG254" s="192"/>
      <c r="AH254" s="192"/>
      <c r="AI254" s="192"/>
      <c r="AJ254" s="192"/>
      <c r="AK254" s="192"/>
      <c r="AL254" s="192"/>
      <c r="AM254" s="192"/>
      <c r="AN254" s="192"/>
      <c r="AO254" s="192"/>
      <c r="AP254" s="192"/>
      <c r="AQ254" s="192"/>
      <c r="AR254" s="192"/>
      <c r="AS254" s="192"/>
      <c r="AT254" s="192"/>
      <c r="AU254" s="192"/>
      <c r="AV254" s="192"/>
    </row>
    <row r="255" spans="1:48" ht="15.75" customHeight="1" x14ac:dyDescent="0.35">
      <c r="A255" s="184"/>
      <c r="B255" s="185"/>
      <c r="C255" s="186"/>
      <c r="D255" s="186"/>
      <c r="E255" s="187"/>
      <c r="F255" s="188"/>
      <c r="G255" s="188"/>
      <c r="H255" s="188"/>
      <c r="I255" s="188"/>
      <c r="J255" s="188"/>
      <c r="K255" s="188"/>
      <c r="L255" s="188"/>
      <c r="M255" s="188"/>
      <c r="N255" s="188"/>
      <c r="O255" s="188"/>
      <c r="P255" s="188"/>
      <c r="Q255" s="188"/>
      <c r="R255" s="188"/>
      <c r="S255" s="188"/>
      <c r="T255" s="188"/>
      <c r="U255" s="188"/>
      <c r="V255" s="188"/>
      <c r="W255" s="188"/>
      <c r="X255" s="188"/>
      <c r="Y255" s="188"/>
      <c r="Z255" s="188"/>
      <c r="AA255" s="188"/>
      <c r="AB255" s="185"/>
      <c r="AC255" s="192"/>
      <c r="AD255" s="192"/>
      <c r="AE255" s="192"/>
      <c r="AF255" s="192"/>
      <c r="AG255" s="192"/>
      <c r="AH255" s="192"/>
      <c r="AI255" s="192"/>
      <c r="AJ255" s="192"/>
      <c r="AK255" s="192"/>
      <c r="AL255" s="192"/>
      <c r="AM255" s="192"/>
      <c r="AN255" s="192"/>
      <c r="AO255" s="192"/>
      <c r="AP255" s="192"/>
      <c r="AQ255" s="192"/>
      <c r="AR255" s="192"/>
      <c r="AS255" s="192"/>
      <c r="AT255" s="192"/>
      <c r="AU255" s="192"/>
      <c r="AV255" s="192"/>
    </row>
    <row r="256" spans="1:48" ht="15.75" customHeight="1" x14ac:dyDescent="0.35">
      <c r="A256" s="184"/>
      <c r="B256" s="185"/>
      <c r="C256" s="186"/>
      <c r="D256" s="186"/>
      <c r="E256" s="187"/>
      <c r="F256" s="188"/>
      <c r="G256" s="188"/>
      <c r="H256" s="188"/>
      <c r="I256" s="188"/>
      <c r="J256" s="188"/>
      <c r="K256" s="188"/>
      <c r="L256" s="188"/>
      <c r="M256" s="188"/>
      <c r="N256" s="188"/>
      <c r="O256" s="188"/>
      <c r="P256" s="188"/>
      <c r="Q256" s="188"/>
      <c r="R256" s="188"/>
      <c r="S256" s="188"/>
      <c r="T256" s="188"/>
      <c r="U256" s="188"/>
      <c r="V256" s="188"/>
      <c r="W256" s="188"/>
      <c r="X256" s="188"/>
      <c r="Y256" s="188"/>
      <c r="Z256" s="188"/>
      <c r="AA256" s="188"/>
      <c r="AB256" s="185"/>
      <c r="AC256" s="192"/>
      <c r="AD256" s="192"/>
      <c r="AE256" s="192"/>
      <c r="AF256" s="192"/>
      <c r="AG256" s="192"/>
      <c r="AH256" s="192"/>
      <c r="AI256" s="192"/>
      <c r="AJ256" s="192"/>
      <c r="AK256" s="192"/>
      <c r="AL256" s="192"/>
      <c r="AM256" s="192"/>
      <c r="AN256" s="192"/>
      <c r="AO256" s="192"/>
      <c r="AP256" s="192"/>
      <c r="AQ256" s="192"/>
      <c r="AR256" s="192"/>
      <c r="AS256" s="192"/>
      <c r="AT256" s="192"/>
      <c r="AU256" s="192"/>
      <c r="AV256" s="192"/>
    </row>
    <row r="257" spans="1:48" ht="15.75" customHeight="1" x14ac:dyDescent="0.35">
      <c r="A257" s="184"/>
      <c r="B257" s="185"/>
      <c r="C257" s="186"/>
      <c r="D257" s="186"/>
      <c r="E257" s="187"/>
      <c r="F257" s="188"/>
      <c r="G257" s="188"/>
      <c r="H257" s="188"/>
      <c r="I257" s="188"/>
      <c r="J257" s="188"/>
      <c r="K257" s="188"/>
      <c r="L257" s="188"/>
      <c r="M257" s="188"/>
      <c r="N257" s="188"/>
      <c r="O257" s="188"/>
      <c r="P257" s="188"/>
      <c r="Q257" s="188"/>
      <c r="R257" s="188"/>
      <c r="S257" s="188"/>
      <c r="T257" s="188"/>
      <c r="U257" s="188"/>
      <c r="V257" s="188"/>
      <c r="W257" s="188"/>
      <c r="X257" s="188"/>
      <c r="Y257" s="188"/>
      <c r="Z257" s="188"/>
      <c r="AA257" s="188"/>
      <c r="AB257" s="185"/>
      <c r="AC257" s="192"/>
      <c r="AD257" s="192"/>
      <c r="AE257" s="192"/>
      <c r="AF257" s="192"/>
      <c r="AG257" s="192"/>
      <c r="AH257" s="192"/>
      <c r="AI257" s="192"/>
      <c r="AJ257" s="192"/>
      <c r="AK257" s="192"/>
      <c r="AL257" s="192"/>
      <c r="AM257" s="192"/>
      <c r="AN257" s="192"/>
      <c r="AO257" s="192"/>
      <c r="AP257" s="192"/>
      <c r="AQ257" s="192"/>
      <c r="AR257" s="192"/>
      <c r="AS257" s="192"/>
      <c r="AT257" s="192"/>
      <c r="AU257" s="192"/>
      <c r="AV257" s="192"/>
    </row>
    <row r="258" spans="1:48" ht="15.75" customHeight="1" x14ac:dyDescent="0.35">
      <c r="A258" s="184"/>
      <c r="B258" s="185"/>
      <c r="C258" s="186"/>
      <c r="D258" s="186"/>
      <c r="E258" s="187"/>
      <c r="F258" s="188"/>
      <c r="G258" s="188"/>
      <c r="H258" s="188"/>
      <c r="I258" s="188"/>
      <c r="J258" s="188"/>
      <c r="K258" s="188"/>
      <c r="L258" s="188"/>
      <c r="M258" s="188"/>
      <c r="N258" s="188"/>
      <c r="O258" s="188"/>
      <c r="P258" s="188"/>
      <c r="Q258" s="188"/>
      <c r="R258" s="188"/>
      <c r="S258" s="188"/>
      <c r="T258" s="188"/>
      <c r="U258" s="188"/>
      <c r="V258" s="188"/>
      <c r="W258" s="188"/>
      <c r="X258" s="188"/>
      <c r="Y258" s="188"/>
      <c r="Z258" s="188"/>
      <c r="AA258" s="188"/>
      <c r="AB258" s="185"/>
      <c r="AC258" s="192"/>
      <c r="AD258" s="192"/>
      <c r="AE258" s="192"/>
      <c r="AF258" s="192"/>
      <c r="AG258" s="192"/>
      <c r="AH258" s="192"/>
      <c r="AI258" s="192"/>
      <c r="AJ258" s="192"/>
      <c r="AK258" s="192"/>
      <c r="AL258" s="192"/>
      <c r="AM258" s="192"/>
      <c r="AN258" s="192"/>
      <c r="AO258" s="192"/>
      <c r="AP258" s="192"/>
      <c r="AQ258" s="192"/>
      <c r="AR258" s="192"/>
      <c r="AS258" s="192"/>
      <c r="AT258" s="192"/>
      <c r="AU258" s="192"/>
      <c r="AV258" s="192"/>
    </row>
    <row r="259" spans="1:48" ht="15.75" customHeight="1" x14ac:dyDescent="0.35">
      <c r="A259" s="184"/>
      <c r="B259" s="185"/>
      <c r="C259" s="186"/>
      <c r="D259" s="186"/>
      <c r="E259" s="187"/>
      <c r="F259" s="188"/>
      <c r="G259" s="188"/>
      <c r="H259" s="188"/>
      <c r="I259" s="188"/>
      <c r="J259" s="188"/>
      <c r="K259" s="188"/>
      <c r="L259" s="188"/>
      <c r="M259" s="188"/>
      <c r="N259" s="188"/>
      <c r="O259" s="188"/>
      <c r="P259" s="188"/>
      <c r="Q259" s="188"/>
      <c r="R259" s="188"/>
      <c r="S259" s="188"/>
      <c r="T259" s="188"/>
      <c r="U259" s="188"/>
      <c r="V259" s="188"/>
      <c r="W259" s="188"/>
      <c r="X259" s="188"/>
      <c r="Y259" s="188"/>
      <c r="Z259" s="188"/>
      <c r="AA259" s="188"/>
      <c r="AB259" s="185"/>
      <c r="AC259" s="192"/>
      <c r="AD259" s="192"/>
      <c r="AE259" s="192"/>
      <c r="AF259" s="192"/>
      <c r="AG259" s="192"/>
      <c r="AH259" s="192"/>
      <c r="AI259" s="192"/>
      <c r="AJ259" s="192"/>
      <c r="AK259" s="192"/>
      <c r="AL259" s="192"/>
      <c r="AM259" s="192"/>
      <c r="AN259" s="192"/>
      <c r="AO259" s="192"/>
      <c r="AP259" s="192"/>
      <c r="AQ259" s="192"/>
      <c r="AR259" s="192"/>
      <c r="AS259" s="192"/>
      <c r="AT259" s="192"/>
      <c r="AU259" s="192"/>
      <c r="AV259" s="192"/>
    </row>
    <row r="260" spans="1:48" ht="15.75" customHeight="1" x14ac:dyDescent="0.35">
      <c r="A260" s="184"/>
      <c r="B260" s="185"/>
      <c r="C260" s="186"/>
      <c r="D260" s="186"/>
      <c r="E260" s="187"/>
      <c r="F260" s="188"/>
      <c r="G260" s="188"/>
      <c r="H260" s="188"/>
      <c r="I260" s="188"/>
      <c r="J260" s="188"/>
      <c r="K260" s="188"/>
      <c r="L260" s="188"/>
      <c r="M260" s="188"/>
      <c r="N260" s="188"/>
      <c r="O260" s="188"/>
      <c r="P260" s="188"/>
      <c r="Q260" s="188"/>
      <c r="R260" s="188"/>
      <c r="S260" s="188"/>
      <c r="T260" s="188"/>
      <c r="U260" s="188"/>
      <c r="V260" s="188"/>
      <c r="W260" s="188"/>
      <c r="X260" s="188"/>
      <c r="Y260" s="188"/>
      <c r="Z260" s="188"/>
      <c r="AA260" s="188"/>
      <c r="AB260" s="185"/>
      <c r="AC260" s="192"/>
      <c r="AD260" s="192"/>
      <c r="AE260" s="192"/>
      <c r="AF260" s="192"/>
      <c r="AG260" s="192"/>
      <c r="AH260" s="192"/>
      <c r="AI260" s="192"/>
      <c r="AJ260" s="192"/>
      <c r="AK260" s="192"/>
      <c r="AL260" s="192"/>
      <c r="AM260" s="192"/>
      <c r="AN260" s="192"/>
      <c r="AO260" s="192"/>
      <c r="AP260" s="192"/>
      <c r="AQ260" s="192"/>
      <c r="AR260" s="192"/>
      <c r="AS260" s="192"/>
      <c r="AT260" s="192"/>
      <c r="AU260" s="192"/>
      <c r="AV260" s="192"/>
    </row>
    <row r="261" spans="1:48" ht="15.75" customHeight="1" x14ac:dyDescent="0.35">
      <c r="A261" s="184"/>
      <c r="B261" s="185"/>
      <c r="C261" s="186"/>
      <c r="D261" s="186"/>
      <c r="E261" s="187"/>
      <c r="F261" s="188"/>
      <c r="G261" s="188"/>
      <c r="H261" s="188"/>
      <c r="I261" s="188"/>
      <c r="J261" s="188"/>
      <c r="K261" s="188"/>
      <c r="L261" s="188"/>
      <c r="M261" s="188"/>
      <c r="N261" s="188"/>
      <c r="O261" s="188"/>
      <c r="P261" s="188"/>
      <c r="Q261" s="188"/>
      <c r="R261" s="188"/>
      <c r="S261" s="188"/>
      <c r="T261" s="188"/>
      <c r="U261" s="188"/>
      <c r="V261" s="188"/>
      <c r="W261" s="188"/>
      <c r="X261" s="188"/>
      <c r="Y261" s="188"/>
      <c r="Z261" s="188"/>
      <c r="AA261" s="188"/>
      <c r="AB261" s="185"/>
      <c r="AC261" s="192"/>
      <c r="AD261" s="192"/>
      <c r="AE261" s="192"/>
      <c r="AF261" s="192"/>
      <c r="AG261" s="192"/>
      <c r="AH261" s="192"/>
      <c r="AI261" s="192"/>
      <c r="AJ261" s="192"/>
      <c r="AK261" s="192"/>
      <c r="AL261" s="192"/>
      <c r="AM261" s="192"/>
      <c r="AN261" s="192"/>
      <c r="AO261" s="192"/>
      <c r="AP261" s="192"/>
      <c r="AQ261" s="192"/>
      <c r="AR261" s="192"/>
      <c r="AS261" s="192"/>
      <c r="AT261" s="192"/>
      <c r="AU261" s="192"/>
      <c r="AV261" s="192"/>
    </row>
    <row r="262" spans="1:48" ht="15.75" customHeight="1" x14ac:dyDescent="0.35">
      <c r="A262" s="184"/>
      <c r="B262" s="185"/>
      <c r="C262" s="186"/>
      <c r="D262" s="186"/>
      <c r="E262" s="187"/>
      <c r="F262" s="188"/>
      <c r="G262" s="188"/>
      <c r="H262" s="188"/>
      <c r="I262" s="188"/>
      <c r="J262" s="188"/>
      <c r="K262" s="188"/>
      <c r="L262" s="188"/>
      <c r="M262" s="188"/>
      <c r="N262" s="188"/>
      <c r="O262" s="188"/>
      <c r="P262" s="188"/>
      <c r="Q262" s="188"/>
      <c r="R262" s="188"/>
      <c r="S262" s="188"/>
      <c r="T262" s="188"/>
      <c r="U262" s="188"/>
      <c r="V262" s="188"/>
      <c r="W262" s="188"/>
      <c r="X262" s="188"/>
      <c r="Y262" s="188"/>
      <c r="Z262" s="188"/>
      <c r="AA262" s="188"/>
      <c r="AB262" s="185"/>
      <c r="AC262" s="192"/>
      <c r="AD262" s="192"/>
      <c r="AE262" s="192"/>
      <c r="AF262" s="192"/>
      <c r="AG262" s="192"/>
      <c r="AH262" s="192"/>
      <c r="AI262" s="192"/>
      <c r="AJ262" s="192"/>
      <c r="AK262" s="192"/>
      <c r="AL262" s="192"/>
      <c r="AM262" s="192"/>
      <c r="AN262" s="192"/>
      <c r="AO262" s="192"/>
      <c r="AP262" s="192"/>
      <c r="AQ262" s="192"/>
      <c r="AR262" s="192"/>
      <c r="AS262" s="192"/>
      <c r="AT262" s="192"/>
      <c r="AU262" s="192"/>
      <c r="AV262" s="192"/>
    </row>
    <row r="263" spans="1:48" ht="15.75" customHeight="1" x14ac:dyDescent="0.35">
      <c r="A263" s="184"/>
      <c r="B263" s="185"/>
      <c r="C263" s="186"/>
      <c r="D263" s="186"/>
      <c r="E263" s="187"/>
      <c r="F263" s="188"/>
      <c r="G263" s="188"/>
      <c r="H263" s="188"/>
      <c r="I263" s="188"/>
      <c r="J263" s="188"/>
      <c r="K263" s="188"/>
      <c r="L263" s="188"/>
      <c r="M263" s="188"/>
      <c r="N263" s="188"/>
      <c r="O263" s="188"/>
      <c r="P263" s="188"/>
      <c r="Q263" s="188"/>
      <c r="R263" s="188"/>
      <c r="S263" s="188"/>
      <c r="T263" s="188"/>
      <c r="U263" s="188"/>
      <c r="V263" s="188"/>
      <c r="W263" s="188"/>
      <c r="X263" s="188"/>
      <c r="Y263" s="188"/>
      <c r="Z263" s="188"/>
      <c r="AA263" s="188"/>
      <c r="AB263" s="185"/>
      <c r="AC263" s="192"/>
      <c r="AD263" s="192"/>
      <c r="AE263" s="192"/>
      <c r="AF263" s="192"/>
      <c r="AG263" s="192"/>
      <c r="AH263" s="192"/>
      <c r="AI263" s="192"/>
      <c r="AJ263" s="192"/>
      <c r="AK263" s="192"/>
      <c r="AL263" s="192"/>
      <c r="AM263" s="192"/>
      <c r="AN263" s="192"/>
      <c r="AO263" s="192"/>
      <c r="AP263" s="192"/>
      <c r="AQ263" s="192"/>
      <c r="AR263" s="192"/>
      <c r="AS263" s="192"/>
      <c r="AT263" s="192"/>
      <c r="AU263" s="192"/>
      <c r="AV263" s="192"/>
    </row>
    <row r="264" spans="1:48" ht="15.75" customHeight="1" x14ac:dyDescent="0.35">
      <c r="A264" s="149"/>
      <c r="B264" s="33"/>
      <c r="C264" s="150"/>
      <c r="D264" s="150"/>
      <c r="E264" s="151"/>
      <c r="F264" s="131"/>
      <c r="G264" s="131"/>
      <c r="M264" s="131"/>
      <c r="N264" s="131"/>
      <c r="O264" s="131"/>
      <c r="P264" s="131"/>
      <c r="Q264" s="131"/>
      <c r="AB264" s="33"/>
    </row>
    <row r="265" spans="1:48" ht="15.75" customHeight="1" x14ac:dyDescent="0.35">
      <c r="A265" s="149"/>
      <c r="B265" s="33"/>
      <c r="C265" s="150"/>
      <c r="D265" s="150"/>
      <c r="E265" s="151"/>
      <c r="F265" s="131"/>
      <c r="G265" s="131"/>
      <c r="M265" s="131"/>
      <c r="N265" s="131"/>
      <c r="O265" s="131"/>
      <c r="P265" s="131"/>
      <c r="Q265" s="131"/>
      <c r="AB265" s="33"/>
    </row>
    <row r="266" spans="1:48" ht="15.75" customHeight="1" x14ac:dyDescent="0.35">
      <c r="A266" s="149"/>
      <c r="B266" s="33"/>
      <c r="C266" s="150"/>
      <c r="D266" s="150"/>
      <c r="E266" s="151"/>
      <c r="F266" s="131"/>
      <c r="G266" s="131"/>
      <c r="M266" s="131"/>
      <c r="N266" s="131"/>
      <c r="O266" s="131"/>
      <c r="P266" s="131"/>
      <c r="Q266" s="131"/>
      <c r="AB266" s="33"/>
    </row>
    <row r="267" spans="1:48" ht="15.75" customHeight="1" x14ac:dyDescent="0.35">
      <c r="A267" s="149"/>
      <c r="B267" s="33"/>
      <c r="C267" s="150"/>
      <c r="D267" s="150"/>
      <c r="E267" s="151"/>
      <c r="F267" s="131"/>
      <c r="G267" s="131"/>
      <c r="M267" s="131"/>
      <c r="N267" s="131"/>
      <c r="O267" s="131"/>
      <c r="P267" s="131"/>
      <c r="Q267" s="131"/>
      <c r="AB267" s="33"/>
    </row>
    <row r="268" spans="1:48" ht="15.75" customHeight="1" x14ac:dyDescent="0.35">
      <c r="A268" s="149"/>
      <c r="B268" s="33"/>
      <c r="C268" s="150"/>
      <c r="D268" s="150"/>
      <c r="E268" s="151"/>
      <c r="F268" s="131"/>
      <c r="G268" s="131"/>
      <c r="M268" s="131"/>
      <c r="N268" s="131"/>
      <c r="O268" s="131"/>
      <c r="P268" s="131"/>
      <c r="Q268" s="131"/>
      <c r="AB268" s="33"/>
    </row>
    <row r="269" spans="1:48" ht="15.75" customHeight="1" x14ac:dyDescent="0.35">
      <c r="A269" s="149"/>
      <c r="B269" s="33"/>
      <c r="C269" s="150"/>
      <c r="D269" s="150"/>
      <c r="E269" s="151"/>
      <c r="F269" s="131"/>
      <c r="G269" s="131"/>
      <c r="M269" s="131"/>
      <c r="N269" s="131"/>
      <c r="O269" s="131"/>
      <c r="P269" s="131"/>
      <c r="Q269" s="131"/>
      <c r="AB269" s="33"/>
    </row>
    <row r="270" spans="1:48" ht="15.75" customHeight="1" x14ac:dyDescent="0.35">
      <c r="A270" s="149"/>
      <c r="B270" s="33"/>
      <c r="C270" s="150"/>
      <c r="D270" s="150"/>
      <c r="E270" s="151"/>
      <c r="F270" s="131"/>
      <c r="G270" s="131"/>
      <c r="M270" s="131"/>
      <c r="N270" s="131"/>
      <c r="O270" s="131"/>
      <c r="P270" s="131"/>
      <c r="Q270" s="131"/>
      <c r="AB270" s="33"/>
    </row>
    <row r="271" spans="1:48" ht="15.75" customHeight="1" x14ac:dyDescent="0.35">
      <c r="A271" s="149"/>
      <c r="B271" s="33"/>
      <c r="C271" s="150"/>
      <c r="D271" s="150"/>
      <c r="E271" s="151"/>
      <c r="F271" s="131"/>
      <c r="G271" s="131"/>
      <c r="M271" s="131"/>
      <c r="N271" s="131"/>
      <c r="O271" s="131"/>
      <c r="P271" s="131"/>
      <c r="Q271" s="131"/>
      <c r="AB271" s="33"/>
    </row>
    <row r="272" spans="1:48" ht="15.75" customHeight="1" x14ac:dyDescent="0.35">
      <c r="A272" s="149"/>
      <c r="B272" s="33"/>
      <c r="C272" s="150"/>
      <c r="D272" s="150"/>
      <c r="E272" s="151"/>
      <c r="F272" s="131"/>
      <c r="G272" s="131"/>
      <c r="M272" s="131"/>
      <c r="N272" s="131"/>
      <c r="O272" s="131"/>
      <c r="P272" s="131"/>
      <c r="Q272" s="131"/>
      <c r="AB272" s="33"/>
    </row>
    <row r="273" spans="1:28" ht="15.75" customHeight="1" x14ac:dyDescent="0.35">
      <c r="A273" s="149"/>
      <c r="B273" s="33"/>
      <c r="C273" s="150"/>
      <c r="D273" s="150"/>
      <c r="E273" s="151"/>
      <c r="F273" s="131"/>
      <c r="G273" s="131"/>
      <c r="M273" s="131"/>
      <c r="N273" s="131"/>
      <c r="O273" s="131"/>
      <c r="P273" s="131"/>
      <c r="Q273" s="131"/>
      <c r="AB273" s="33"/>
    </row>
    <row r="274" spans="1:28" ht="15.75" customHeight="1" x14ac:dyDescent="0.35">
      <c r="A274" s="149"/>
      <c r="B274" s="33"/>
      <c r="C274" s="150"/>
      <c r="D274" s="150"/>
      <c r="E274" s="151"/>
      <c r="F274" s="131"/>
      <c r="G274" s="131"/>
      <c r="M274" s="131"/>
      <c r="N274" s="131"/>
      <c r="O274" s="131"/>
      <c r="P274" s="131"/>
      <c r="Q274" s="131"/>
      <c r="AB274" s="33"/>
    </row>
    <row r="275" spans="1:28" ht="15.75" customHeight="1" x14ac:dyDescent="0.35">
      <c r="A275" s="149"/>
      <c r="B275" s="33"/>
      <c r="C275" s="150"/>
      <c r="D275" s="150"/>
      <c r="E275" s="151"/>
      <c r="F275" s="131"/>
      <c r="G275" s="131"/>
      <c r="M275" s="131"/>
      <c r="N275" s="131"/>
      <c r="O275" s="131"/>
      <c r="P275" s="131"/>
      <c r="Q275" s="131"/>
      <c r="AB275" s="33"/>
    </row>
    <row r="276" spans="1:28" ht="15.75" customHeight="1" x14ac:dyDescent="0.35">
      <c r="A276" s="149"/>
      <c r="B276" s="33"/>
      <c r="C276" s="150"/>
      <c r="D276" s="150"/>
      <c r="E276" s="151"/>
      <c r="F276" s="131"/>
      <c r="G276" s="131"/>
      <c r="M276" s="131"/>
      <c r="N276" s="131"/>
      <c r="O276" s="131"/>
      <c r="P276" s="131"/>
      <c r="Q276" s="131"/>
      <c r="AB276" s="33"/>
    </row>
    <row r="277" spans="1:28" ht="15.75" customHeight="1" x14ac:dyDescent="0.35">
      <c r="A277" s="149"/>
      <c r="B277" s="33"/>
      <c r="C277" s="150"/>
      <c r="D277" s="150"/>
      <c r="E277" s="151"/>
      <c r="F277" s="131"/>
      <c r="G277" s="131"/>
      <c r="M277" s="131"/>
      <c r="N277" s="131"/>
      <c r="O277" s="131"/>
      <c r="P277" s="131"/>
      <c r="Q277" s="131"/>
      <c r="AB277" s="33"/>
    </row>
    <row r="278" spans="1:28" ht="15.75" customHeight="1" x14ac:dyDescent="0.35">
      <c r="A278" s="149"/>
      <c r="B278" s="33"/>
      <c r="C278" s="150"/>
      <c r="D278" s="150"/>
      <c r="E278" s="151"/>
      <c r="F278" s="131"/>
      <c r="G278" s="131"/>
      <c r="M278" s="131"/>
      <c r="N278" s="131"/>
      <c r="O278" s="131"/>
      <c r="P278" s="131"/>
      <c r="Q278" s="131"/>
      <c r="AB278" s="33"/>
    </row>
    <row r="279" spans="1:28" ht="15.75" customHeight="1" x14ac:dyDescent="0.35">
      <c r="A279" s="149"/>
      <c r="B279" s="33"/>
      <c r="C279" s="150"/>
      <c r="D279" s="150"/>
      <c r="E279" s="151"/>
      <c r="F279" s="131"/>
      <c r="G279" s="131"/>
      <c r="M279" s="131"/>
      <c r="N279" s="131"/>
      <c r="O279" s="131"/>
      <c r="P279" s="131"/>
      <c r="Q279" s="131"/>
      <c r="AB279" s="33"/>
    </row>
    <row r="280" spans="1:28" ht="15.75" customHeight="1" x14ac:dyDescent="0.35">
      <c r="A280" s="149"/>
      <c r="B280" s="33"/>
      <c r="C280" s="150"/>
      <c r="D280" s="150"/>
      <c r="E280" s="151"/>
      <c r="F280" s="131"/>
      <c r="G280" s="131"/>
      <c r="M280" s="131"/>
      <c r="N280" s="131"/>
      <c r="O280" s="131"/>
      <c r="P280" s="131"/>
      <c r="Q280" s="131"/>
      <c r="AB280" s="33"/>
    </row>
    <row r="281" spans="1:28" ht="15.75" customHeight="1" x14ac:dyDescent="0.35">
      <c r="A281" s="149"/>
      <c r="B281" s="33"/>
      <c r="C281" s="150"/>
      <c r="D281" s="150"/>
      <c r="E281" s="151"/>
      <c r="F281" s="131"/>
      <c r="G281" s="131"/>
      <c r="M281" s="131"/>
      <c r="N281" s="131"/>
      <c r="O281" s="131"/>
      <c r="P281" s="131"/>
      <c r="Q281" s="131"/>
      <c r="AB281" s="33"/>
    </row>
    <row r="282" spans="1:28" ht="15.75" customHeight="1" x14ac:dyDescent="0.35">
      <c r="A282" s="149"/>
      <c r="B282" s="33"/>
      <c r="C282" s="150"/>
      <c r="D282" s="150"/>
      <c r="E282" s="151"/>
      <c r="F282" s="131"/>
      <c r="G282" s="131"/>
      <c r="M282" s="131"/>
      <c r="N282" s="131"/>
      <c r="O282" s="131"/>
      <c r="P282" s="131"/>
      <c r="Q282" s="131"/>
      <c r="AB282" s="33"/>
    </row>
    <row r="283" spans="1:28" ht="15.75" customHeight="1" x14ac:dyDescent="0.35">
      <c r="A283" s="149"/>
      <c r="B283" s="33"/>
      <c r="C283" s="150"/>
      <c r="D283" s="150"/>
      <c r="E283" s="151"/>
      <c r="F283" s="131"/>
      <c r="G283" s="131"/>
      <c r="M283" s="131"/>
      <c r="N283" s="131"/>
      <c r="O283" s="131"/>
      <c r="P283" s="131"/>
      <c r="Q283" s="131"/>
      <c r="AB283" s="33"/>
    </row>
    <row r="284" spans="1:28" ht="15.75" customHeight="1" x14ac:dyDescent="0.35">
      <c r="A284" s="149"/>
      <c r="B284" s="33"/>
      <c r="C284" s="150"/>
      <c r="D284" s="150"/>
      <c r="E284" s="151"/>
      <c r="F284" s="131"/>
      <c r="G284" s="131"/>
      <c r="M284" s="131"/>
      <c r="N284" s="131"/>
      <c r="O284" s="131"/>
      <c r="P284" s="131"/>
      <c r="Q284" s="131"/>
      <c r="AB284" s="33"/>
    </row>
    <row r="285" spans="1:28" ht="15.75" customHeight="1" x14ac:dyDescent="0.35">
      <c r="A285" s="149"/>
      <c r="B285" s="33"/>
      <c r="C285" s="150"/>
      <c r="D285" s="150"/>
      <c r="E285" s="151"/>
      <c r="F285" s="131"/>
      <c r="G285" s="131"/>
      <c r="M285" s="131"/>
      <c r="N285" s="131"/>
      <c r="O285" s="131"/>
      <c r="P285" s="131"/>
      <c r="Q285" s="131"/>
      <c r="AB285" s="33"/>
    </row>
    <row r="286" spans="1:28" ht="15.75" customHeight="1" x14ac:dyDescent="0.35">
      <c r="A286" s="149"/>
      <c r="B286" s="33"/>
      <c r="C286" s="150"/>
      <c r="D286" s="150"/>
      <c r="E286" s="151"/>
      <c r="F286" s="131"/>
      <c r="G286" s="131"/>
      <c r="M286" s="131"/>
      <c r="N286" s="131"/>
      <c r="O286" s="131"/>
      <c r="P286" s="131"/>
      <c r="Q286" s="131"/>
      <c r="AB286" s="33"/>
    </row>
    <row r="287" spans="1:28" ht="15.75" customHeight="1" x14ac:dyDescent="0.35">
      <c r="A287" s="149"/>
      <c r="B287" s="33"/>
      <c r="C287" s="150"/>
      <c r="D287" s="150"/>
      <c r="E287" s="151"/>
      <c r="F287" s="131"/>
      <c r="G287" s="131"/>
      <c r="M287" s="131"/>
      <c r="N287" s="131"/>
      <c r="O287" s="131"/>
      <c r="P287" s="131"/>
      <c r="Q287" s="131"/>
      <c r="AB287" s="33"/>
    </row>
    <row r="288" spans="1:28" ht="15.75" customHeight="1" x14ac:dyDescent="0.35">
      <c r="A288" s="149"/>
      <c r="B288" s="33"/>
      <c r="C288" s="150"/>
      <c r="D288" s="150"/>
      <c r="E288" s="151"/>
      <c r="F288" s="131"/>
      <c r="G288" s="131"/>
      <c r="M288" s="131"/>
      <c r="N288" s="131"/>
      <c r="O288" s="131"/>
      <c r="P288" s="131"/>
      <c r="Q288" s="131"/>
      <c r="AB288" s="33"/>
    </row>
    <row r="289" spans="1:28" ht="15.75" customHeight="1" x14ac:dyDescent="0.35">
      <c r="A289" s="149"/>
      <c r="B289" s="33"/>
      <c r="C289" s="150"/>
      <c r="D289" s="150"/>
      <c r="E289" s="151"/>
      <c r="F289" s="131"/>
      <c r="G289" s="131"/>
      <c r="M289" s="131"/>
      <c r="N289" s="131"/>
      <c r="O289" s="131"/>
      <c r="P289" s="131"/>
      <c r="Q289" s="131"/>
      <c r="AB289" s="33"/>
    </row>
    <row r="290" spans="1:28" ht="15.75" customHeight="1" x14ac:dyDescent="0.35">
      <c r="A290" s="149"/>
      <c r="B290" s="33"/>
      <c r="C290" s="150"/>
      <c r="D290" s="150"/>
      <c r="E290" s="151"/>
      <c r="F290" s="131"/>
      <c r="G290" s="131"/>
      <c r="M290" s="131"/>
      <c r="N290" s="131"/>
      <c r="O290" s="131"/>
      <c r="P290" s="131"/>
      <c r="Q290" s="131"/>
      <c r="AB290" s="33"/>
    </row>
    <row r="291" spans="1:28" ht="15.75" customHeight="1" x14ac:dyDescent="0.35">
      <c r="A291" s="149"/>
      <c r="B291" s="33"/>
      <c r="C291" s="150"/>
      <c r="D291" s="150"/>
      <c r="E291" s="151"/>
      <c r="F291" s="131"/>
      <c r="G291" s="131"/>
      <c r="M291" s="131"/>
      <c r="N291" s="131"/>
      <c r="O291" s="131"/>
      <c r="P291" s="131"/>
      <c r="Q291" s="131"/>
      <c r="AB291" s="33"/>
    </row>
    <row r="292" spans="1:28" ht="15.75" customHeight="1" x14ac:dyDescent="0.35">
      <c r="A292" s="149"/>
      <c r="B292" s="33"/>
      <c r="C292" s="150"/>
      <c r="D292" s="150"/>
      <c r="E292" s="151"/>
      <c r="F292" s="131"/>
      <c r="G292" s="131"/>
      <c r="M292" s="131"/>
      <c r="N292" s="131"/>
      <c r="O292" s="131"/>
      <c r="P292" s="131"/>
      <c r="Q292" s="131"/>
      <c r="AB292" s="33"/>
    </row>
    <row r="293" spans="1:28" ht="15.75" customHeight="1" x14ac:dyDescent="0.35">
      <c r="A293" s="149"/>
      <c r="B293" s="33"/>
      <c r="C293" s="150"/>
      <c r="D293" s="150"/>
      <c r="E293" s="151"/>
      <c r="F293" s="131"/>
      <c r="G293" s="131"/>
      <c r="M293" s="131"/>
      <c r="N293" s="131"/>
      <c r="O293" s="131"/>
      <c r="P293" s="131"/>
      <c r="Q293" s="131"/>
      <c r="AB293" s="33"/>
    </row>
    <row r="294" spans="1:28" ht="15.75" customHeight="1" x14ac:dyDescent="0.35">
      <c r="A294" s="149"/>
      <c r="B294" s="33"/>
      <c r="C294" s="150"/>
      <c r="D294" s="150"/>
      <c r="E294" s="151"/>
      <c r="F294" s="131"/>
      <c r="G294" s="131"/>
      <c r="M294" s="131"/>
      <c r="N294" s="131"/>
      <c r="O294" s="131"/>
      <c r="P294" s="131"/>
      <c r="Q294" s="131"/>
      <c r="AB294" s="33"/>
    </row>
    <row r="295" spans="1:28" ht="15.75" customHeight="1" x14ac:dyDescent="0.35">
      <c r="A295" s="149"/>
      <c r="B295" s="33"/>
      <c r="C295" s="150"/>
      <c r="D295" s="150"/>
      <c r="E295" s="151"/>
      <c r="F295" s="131"/>
      <c r="G295" s="131"/>
      <c r="M295" s="131"/>
      <c r="N295" s="131"/>
      <c r="O295" s="131"/>
      <c r="P295" s="131"/>
      <c r="Q295" s="131"/>
      <c r="AB295" s="33"/>
    </row>
    <row r="296" spans="1:28" ht="15.75" customHeight="1" x14ac:dyDescent="0.35">
      <c r="A296" s="149"/>
      <c r="B296" s="33"/>
      <c r="C296" s="150"/>
      <c r="D296" s="150"/>
      <c r="E296" s="151"/>
      <c r="F296" s="131"/>
      <c r="G296" s="131"/>
      <c r="M296" s="131"/>
      <c r="N296" s="131"/>
      <c r="O296" s="131"/>
      <c r="P296" s="131"/>
      <c r="Q296" s="131"/>
      <c r="AB296" s="33"/>
    </row>
    <row r="297" spans="1:28" ht="15.75" customHeight="1" x14ac:dyDescent="0.35">
      <c r="A297" s="149"/>
      <c r="B297" s="33"/>
      <c r="C297" s="150"/>
      <c r="D297" s="150"/>
      <c r="E297" s="151"/>
      <c r="F297" s="131"/>
      <c r="G297" s="131"/>
      <c r="M297" s="131"/>
      <c r="N297" s="131"/>
      <c r="O297" s="131"/>
      <c r="P297" s="131"/>
      <c r="Q297" s="131"/>
      <c r="AB297" s="33"/>
    </row>
    <row r="298" spans="1:28" ht="15.75" customHeight="1" x14ac:dyDescent="0.35">
      <c r="A298" s="149"/>
      <c r="B298" s="33"/>
      <c r="C298" s="150"/>
      <c r="D298" s="150"/>
      <c r="E298" s="151"/>
      <c r="F298" s="131"/>
      <c r="G298" s="131"/>
      <c r="M298" s="131"/>
      <c r="N298" s="131"/>
      <c r="O298" s="131"/>
      <c r="P298" s="131"/>
      <c r="Q298" s="131"/>
      <c r="AB298" s="33"/>
    </row>
    <row r="299" spans="1:28" ht="15.75" customHeight="1" x14ac:dyDescent="0.35">
      <c r="A299" s="149"/>
      <c r="B299" s="33"/>
      <c r="C299" s="150"/>
      <c r="D299" s="150"/>
      <c r="E299" s="151"/>
      <c r="F299" s="131"/>
      <c r="G299" s="131"/>
      <c r="M299" s="131"/>
      <c r="N299" s="131"/>
      <c r="O299" s="131"/>
      <c r="P299" s="131"/>
      <c r="Q299" s="131"/>
      <c r="AB299" s="33"/>
    </row>
    <row r="300" spans="1:28" ht="15.75" customHeight="1" x14ac:dyDescent="0.35">
      <c r="A300" s="149"/>
      <c r="B300" s="33"/>
      <c r="C300" s="150"/>
      <c r="D300" s="150"/>
      <c r="E300" s="151"/>
      <c r="F300" s="131"/>
      <c r="G300" s="131"/>
      <c r="M300" s="131"/>
      <c r="N300" s="131"/>
      <c r="O300" s="131"/>
      <c r="P300" s="131"/>
      <c r="Q300" s="131"/>
      <c r="AB300" s="33"/>
    </row>
    <row r="301" spans="1:28" ht="15.75" customHeight="1" x14ac:dyDescent="0.35">
      <c r="A301" s="149"/>
      <c r="B301" s="33"/>
      <c r="C301" s="150"/>
      <c r="D301" s="150"/>
      <c r="E301" s="151"/>
      <c r="F301" s="131"/>
      <c r="G301" s="131"/>
      <c r="M301" s="131"/>
      <c r="N301" s="131"/>
      <c r="O301" s="131"/>
      <c r="P301" s="131"/>
      <c r="Q301" s="131"/>
      <c r="AB301" s="33"/>
    </row>
    <row r="302" spans="1:28" ht="15.75" customHeight="1" x14ac:dyDescent="0.35">
      <c r="A302" s="149"/>
      <c r="B302" s="33"/>
      <c r="C302" s="150"/>
      <c r="D302" s="150"/>
      <c r="E302" s="151"/>
      <c r="F302" s="131"/>
      <c r="G302" s="131"/>
      <c r="M302" s="131"/>
      <c r="N302" s="131"/>
      <c r="O302" s="131"/>
      <c r="P302" s="131"/>
      <c r="Q302" s="131"/>
      <c r="AB302" s="33"/>
    </row>
    <row r="303" spans="1:28" ht="15.75" customHeight="1" x14ac:dyDescent="0.35">
      <c r="A303" s="149"/>
      <c r="B303" s="33"/>
      <c r="C303" s="150"/>
      <c r="D303" s="150"/>
      <c r="E303" s="151"/>
      <c r="F303" s="131"/>
      <c r="G303" s="131"/>
      <c r="M303" s="131"/>
      <c r="N303" s="131"/>
      <c r="O303" s="131"/>
      <c r="P303" s="131"/>
      <c r="Q303" s="131"/>
      <c r="AB303" s="33"/>
    </row>
    <row r="304" spans="1:28" ht="15.75" customHeight="1" x14ac:dyDescent="0.35">
      <c r="A304" s="149"/>
      <c r="B304" s="33"/>
      <c r="C304" s="150"/>
      <c r="D304" s="150"/>
      <c r="E304" s="151"/>
      <c r="F304" s="131"/>
      <c r="G304" s="131"/>
      <c r="M304" s="131"/>
      <c r="N304" s="131"/>
      <c r="O304" s="131"/>
      <c r="P304" s="131"/>
      <c r="Q304" s="131"/>
      <c r="AB304" s="33"/>
    </row>
    <row r="305" spans="1:28" ht="15.75" customHeight="1" x14ac:dyDescent="0.35">
      <c r="A305" s="149"/>
      <c r="B305" s="33"/>
      <c r="C305" s="150"/>
      <c r="D305" s="150"/>
      <c r="E305" s="151"/>
      <c r="F305" s="131"/>
      <c r="G305" s="131"/>
      <c r="M305" s="131"/>
      <c r="N305" s="131"/>
      <c r="O305" s="131"/>
      <c r="P305" s="131"/>
      <c r="Q305" s="131"/>
      <c r="AB305" s="33"/>
    </row>
    <row r="306" spans="1:28" ht="15.75" customHeight="1" x14ac:dyDescent="0.35">
      <c r="A306" s="149"/>
      <c r="B306" s="33"/>
      <c r="C306" s="150"/>
      <c r="D306" s="150"/>
      <c r="E306" s="151"/>
      <c r="F306" s="131"/>
      <c r="G306" s="131"/>
      <c r="M306" s="131"/>
      <c r="N306" s="131"/>
      <c r="O306" s="131"/>
      <c r="P306" s="131"/>
      <c r="Q306" s="131"/>
      <c r="AB306" s="33"/>
    </row>
    <row r="307" spans="1:28" ht="15.75" customHeight="1" x14ac:dyDescent="0.35">
      <c r="A307" s="149"/>
      <c r="B307" s="33"/>
      <c r="C307" s="150"/>
      <c r="D307" s="150"/>
      <c r="E307" s="151"/>
      <c r="F307" s="131"/>
      <c r="G307" s="131"/>
      <c r="M307" s="131"/>
      <c r="N307" s="131"/>
      <c r="O307" s="131"/>
      <c r="P307" s="131"/>
      <c r="Q307" s="131"/>
      <c r="AB307" s="33"/>
    </row>
    <row r="308" spans="1:28" ht="15.75" customHeight="1" x14ac:dyDescent="0.35">
      <c r="A308" s="149"/>
      <c r="B308" s="33"/>
      <c r="C308" s="150"/>
      <c r="D308" s="150"/>
      <c r="E308" s="151"/>
      <c r="F308" s="131"/>
      <c r="G308" s="131"/>
      <c r="M308" s="131"/>
      <c r="N308" s="131"/>
      <c r="O308" s="131"/>
      <c r="P308" s="131"/>
      <c r="Q308" s="131"/>
      <c r="AB308" s="33"/>
    </row>
    <row r="309" spans="1:28" ht="15.75" customHeight="1" x14ac:dyDescent="0.35">
      <c r="A309" s="149"/>
      <c r="B309" s="33"/>
      <c r="C309" s="150"/>
      <c r="D309" s="150"/>
      <c r="E309" s="151"/>
      <c r="F309" s="131"/>
      <c r="G309" s="131"/>
      <c r="M309" s="131"/>
      <c r="N309" s="131"/>
      <c r="O309" s="131"/>
      <c r="P309" s="131"/>
      <c r="Q309" s="131"/>
      <c r="AB309" s="33"/>
    </row>
    <row r="310" spans="1:28" ht="15.75" customHeight="1" x14ac:dyDescent="0.35">
      <c r="A310" s="149"/>
      <c r="B310" s="33"/>
      <c r="C310" s="150"/>
      <c r="D310" s="150"/>
      <c r="E310" s="151"/>
      <c r="F310" s="131"/>
      <c r="G310" s="131"/>
      <c r="M310" s="131"/>
      <c r="N310" s="131"/>
      <c r="O310" s="131"/>
      <c r="P310" s="131"/>
      <c r="Q310" s="131"/>
      <c r="AB310" s="33"/>
    </row>
    <row r="311" spans="1:28" ht="15.75" customHeight="1" x14ac:dyDescent="0.35">
      <c r="A311" s="149"/>
      <c r="B311" s="33"/>
      <c r="C311" s="150"/>
      <c r="D311" s="150"/>
      <c r="E311" s="151"/>
      <c r="F311" s="131"/>
      <c r="G311" s="131"/>
      <c r="M311" s="131"/>
      <c r="N311" s="131"/>
      <c r="O311" s="131"/>
      <c r="P311" s="131"/>
      <c r="Q311" s="131"/>
      <c r="AB311" s="33"/>
    </row>
    <row r="312" spans="1:28" ht="15.75" customHeight="1" x14ac:dyDescent="0.35">
      <c r="A312" s="149"/>
      <c r="B312" s="33"/>
      <c r="C312" s="150"/>
      <c r="D312" s="150"/>
      <c r="E312" s="151"/>
      <c r="F312" s="131"/>
      <c r="G312" s="131"/>
      <c r="M312" s="131"/>
      <c r="N312" s="131"/>
      <c r="O312" s="131"/>
      <c r="P312" s="131"/>
      <c r="Q312" s="131"/>
      <c r="AB312" s="33"/>
    </row>
    <row r="313" spans="1:28" ht="15.75" customHeight="1" x14ac:dyDescent="0.35">
      <c r="A313" s="149"/>
      <c r="B313" s="33"/>
      <c r="C313" s="150"/>
      <c r="D313" s="150"/>
      <c r="E313" s="151"/>
      <c r="F313" s="131"/>
      <c r="G313" s="131"/>
      <c r="M313" s="131"/>
      <c r="N313" s="131"/>
      <c r="O313" s="131"/>
      <c r="P313" s="131"/>
      <c r="Q313" s="131"/>
      <c r="AB313" s="33"/>
    </row>
    <row r="314" spans="1:28" ht="15.75" customHeight="1" x14ac:dyDescent="0.35">
      <c r="A314" s="149"/>
      <c r="B314" s="33"/>
      <c r="C314" s="150"/>
      <c r="D314" s="150"/>
      <c r="E314" s="151"/>
      <c r="F314" s="131"/>
      <c r="G314" s="131"/>
      <c r="M314" s="131"/>
      <c r="N314" s="131"/>
      <c r="O314" s="131"/>
      <c r="P314" s="131"/>
      <c r="Q314" s="131"/>
      <c r="AB314" s="33"/>
    </row>
    <row r="315" spans="1:28" ht="15.75" customHeight="1" x14ac:dyDescent="0.35">
      <c r="A315" s="149"/>
      <c r="B315" s="33"/>
      <c r="C315" s="150"/>
      <c r="D315" s="150"/>
      <c r="E315" s="151"/>
      <c r="F315" s="131"/>
      <c r="G315" s="131"/>
      <c r="M315" s="131"/>
      <c r="N315" s="131"/>
      <c r="O315" s="131"/>
      <c r="P315" s="131"/>
      <c r="Q315" s="131"/>
      <c r="AB315" s="33"/>
    </row>
    <row r="316" spans="1:28" ht="15.75" customHeight="1" x14ac:dyDescent="0.35">
      <c r="A316" s="149"/>
      <c r="B316" s="33"/>
      <c r="C316" s="150"/>
      <c r="D316" s="150"/>
      <c r="E316" s="151"/>
      <c r="F316" s="131"/>
      <c r="G316" s="131"/>
      <c r="M316" s="131"/>
      <c r="N316" s="131"/>
      <c r="O316" s="131"/>
      <c r="P316" s="131"/>
      <c r="Q316" s="131"/>
      <c r="AB316" s="33"/>
    </row>
    <row r="317" spans="1:28" ht="15.75" customHeight="1" x14ac:dyDescent="0.35">
      <c r="A317" s="149"/>
      <c r="B317" s="33"/>
      <c r="C317" s="150"/>
      <c r="D317" s="150"/>
      <c r="E317" s="151"/>
      <c r="F317" s="131"/>
      <c r="G317" s="131"/>
      <c r="M317" s="131"/>
      <c r="N317" s="131"/>
      <c r="O317" s="131"/>
      <c r="P317" s="131"/>
      <c r="Q317" s="131"/>
      <c r="AB317" s="33"/>
    </row>
    <row r="318" spans="1:28" ht="15.75" customHeight="1" x14ac:dyDescent="0.35">
      <c r="A318" s="149"/>
      <c r="B318" s="33"/>
      <c r="C318" s="150"/>
      <c r="D318" s="150"/>
      <c r="E318" s="151"/>
      <c r="F318" s="131"/>
      <c r="G318" s="131"/>
      <c r="M318" s="131"/>
      <c r="N318" s="131"/>
      <c r="O318" s="131"/>
      <c r="P318" s="131"/>
      <c r="Q318" s="131"/>
      <c r="AB318" s="33"/>
    </row>
    <row r="319" spans="1:28" ht="15.75" customHeight="1" x14ac:dyDescent="0.35">
      <c r="A319" s="149"/>
      <c r="B319" s="33"/>
      <c r="C319" s="150"/>
      <c r="D319" s="150"/>
      <c r="E319" s="151"/>
      <c r="F319" s="131"/>
      <c r="G319" s="131"/>
      <c r="M319" s="131"/>
      <c r="N319" s="131"/>
      <c r="O319" s="131"/>
      <c r="P319" s="131"/>
      <c r="Q319" s="131"/>
      <c r="AB319" s="33"/>
    </row>
    <row r="320" spans="1:28" ht="15.75" customHeight="1" x14ac:dyDescent="0.35">
      <c r="A320" s="149"/>
      <c r="B320" s="33"/>
      <c r="C320" s="150"/>
      <c r="D320" s="150"/>
      <c r="E320" s="151"/>
      <c r="F320" s="131"/>
      <c r="G320" s="131"/>
      <c r="M320" s="131"/>
      <c r="N320" s="131"/>
      <c r="O320" s="131"/>
      <c r="P320" s="131"/>
      <c r="Q320" s="131"/>
      <c r="AB320" s="33"/>
    </row>
    <row r="321" spans="1:28" ht="15.75" customHeight="1" x14ac:dyDescent="0.35">
      <c r="A321" s="149"/>
      <c r="B321" s="33"/>
      <c r="C321" s="150"/>
      <c r="D321" s="150"/>
      <c r="E321" s="151"/>
      <c r="F321" s="131"/>
      <c r="G321" s="131"/>
      <c r="M321" s="131"/>
      <c r="N321" s="131"/>
      <c r="O321" s="131"/>
      <c r="P321" s="131"/>
      <c r="Q321" s="131"/>
      <c r="AB321" s="33"/>
    </row>
    <row r="322" spans="1:28" ht="15.75" customHeight="1" x14ac:dyDescent="0.35">
      <c r="A322" s="149"/>
      <c r="B322" s="33"/>
      <c r="C322" s="150"/>
      <c r="D322" s="150"/>
      <c r="E322" s="151"/>
      <c r="F322" s="131"/>
      <c r="G322" s="131"/>
      <c r="M322" s="131"/>
      <c r="N322" s="131"/>
      <c r="O322" s="131"/>
      <c r="P322" s="131"/>
      <c r="Q322" s="131"/>
      <c r="AB322" s="33"/>
    </row>
    <row r="323" spans="1:28" ht="15.75" customHeight="1" x14ac:dyDescent="0.35">
      <c r="A323" s="149"/>
      <c r="B323" s="33"/>
      <c r="C323" s="150"/>
      <c r="D323" s="150"/>
      <c r="E323" s="151"/>
      <c r="F323" s="131"/>
      <c r="G323" s="131"/>
      <c r="M323" s="131"/>
      <c r="N323" s="131"/>
      <c r="O323" s="131"/>
      <c r="P323" s="131"/>
      <c r="Q323" s="131"/>
      <c r="AB323" s="33"/>
    </row>
    <row r="324" spans="1:28" ht="15.75" customHeight="1" x14ac:dyDescent="0.35">
      <c r="A324" s="149"/>
      <c r="B324" s="33"/>
      <c r="C324" s="150"/>
      <c r="D324" s="150"/>
      <c r="E324" s="151"/>
      <c r="F324" s="131"/>
      <c r="G324" s="131"/>
      <c r="M324" s="131"/>
      <c r="N324" s="131"/>
      <c r="O324" s="131"/>
      <c r="P324" s="131"/>
      <c r="Q324" s="131"/>
      <c r="AB324" s="33"/>
    </row>
    <row r="325" spans="1:28" ht="15.75" customHeight="1" x14ac:dyDescent="0.35">
      <c r="A325" s="149"/>
      <c r="B325" s="33"/>
      <c r="C325" s="150"/>
      <c r="D325" s="150"/>
      <c r="E325" s="151"/>
      <c r="F325" s="131"/>
      <c r="G325" s="131"/>
      <c r="M325" s="131"/>
      <c r="N325" s="131"/>
      <c r="O325" s="131"/>
      <c r="P325" s="131"/>
      <c r="Q325" s="131"/>
      <c r="AB325" s="33"/>
    </row>
    <row r="326" spans="1:28" ht="15.75" customHeight="1" x14ac:dyDescent="0.35">
      <c r="A326" s="149"/>
      <c r="B326" s="33"/>
      <c r="C326" s="150"/>
      <c r="D326" s="150"/>
      <c r="E326" s="151"/>
      <c r="F326" s="131"/>
      <c r="G326" s="131"/>
      <c r="M326" s="131"/>
      <c r="N326" s="131"/>
      <c r="O326" s="131"/>
      <c r="P326" s="131"/>
      <c r="Q326" s="131"/>
      <c r="AB326" s="33"/>
    </row>
    <row r="327" spans="1:28" ht="15.75" customHeight="1" x14ac:dyDescent="0.35">
      <c r="A327" s="149"/>
      <c r="B327" s="33"/>
      <c r="C327" s="150"/>
      <c r="D327" s="150"/>
      <c r="E327" s="151"/>
      <c r="F327" s="131"/>
      <c r="G327" s="131"/>
      <c r="M327" s="131"/>
      <c r="N327" s="131"/>
      <c r="O327" s="131"/>
      <c r="P327" s="131"/>
      <c r="Q327" s="131"/>
      <c r="AB327" s="33"/>
    </row>
    <row r="328" spans="1:28" ht="15.75" customHeight="1" x14ac:dyDescent="0.35">
      <c r="A328" s="149"/>
      <c r="B328" s="33"/>
      <c r="C328" s="150"/>
      <c r="D328" s="150"/>
      <c r="E328" s="151"/>
      <c r="F328" s="131"/>
      <c r="G328" s="131"/>
      <c r="M328" s="131"/>
      <c r="N328" s="131"/>
      <c r="O328" s="131"/>
      <c r="P328" s="131"/>
      <c r="Q328" s="131"/>
      <c r="AB328" s="33"/>
    </row>
    <row r="329" spans="1:28" ht="15.75" customHeight="1" x14ac:dyDescent="0.35">
      <c r="A329" s="149"/>
      <c r="B329" s="33"/>
      <c r="C329" s="150"/>
      <c r="D329" s="150"/>
      <c r="E329" s="151"/>
      <c r="F329" s="131"/>
      <c r="G329" s="131"/>
      <c r="M329" s="131"/>
      <c r="N329" s="131"/>
      <c r="O329" s="131"/>
      <c r="P329" s="131"/>
      <c r="Q329" s="131"/>
      <c r="AB329" s="33"/>
    </row>
    <row r="330" spans="1:28" ht="15.75" customHeight="1" x14ac:dyDescent="0.35">
      <c r="A330" s="149"/>
      <c r="B330" s="33"/>
      <c r="C330" s="150"/>
      <c r="D330" s="150"/>
      <c r="E330" s="151"/>
      <c r="F330" s="131"/>
      <c r="G330" s="131"/>
      <c r="M330" s="131"/>
      <c r="N330" s="131"/>
      <c r="O330" s="131"/>
      <c r="P330" s="131"/>
      <c r="Q330" s="131"/>
      <c r="AB330" s="33"/>
    </row>
    <row r="331" spans="1:28" ht="15.75" customHeight="1" x14ac:dyDescent="0.35">
      <c r="A331" s="149"/>
      <c r="B331" s="33"/>
      <c r="C331" s="150"/>
      <c r="D331" s="150"/>
      <c r="E331" s="151"/>
      <c r="F331" s="131"/>
      <c r="G331" s="131"/>
      <c r="M331" s="131"/>
      <c r="N331" s="131"/>
      <c r="O331" s="131"/>
      <c r="P331" s="131"/>
      <c r="Q331" s="131"/>
      <c r="AB331" s="33"/>
    </row>
    <row r="332" spans="1:28" ht="15.75" customHeight="1" x14ac:dyDescent="0.35">
      <c r="A332" s="149"/>
      <c r="B332" s="33"/>
      <c r="C332" s="150"/>
      <c r="D332" s="150"/>
      <c r="E332" s="151"/>
      <c r="F332" s="131"/>
      <c r="G332" s="131"/>
      <c r="M332" s="131"/>
      <c r="N332" s="131"/>
      <c r="O332" s="131"/>
      <c r="P332" s="131"/>
      <c r="Q332" s="131"/>
      <c r="AB332" s="33"/>
    </row>
    <row r="333" spans="1:28" ht="15.75" customHeight="1" x14ac:dyDescent="0.35">
      <c r="A333" s="149"/>
      <c r="B333" s="33"/>
      <c r="C333" s="150"/>
      <c r="D333" s="150"/>
      <c r="E333" s="151"/>
      <c r="F333" s="131"/>
      <c r="G333" s="131"/>
      <c r="M333" s="131"/>
      <c r="N333" s="131"/>
      <c r="O333" s="131"/>
      <c r="P333" s="131"/>
      <c r="Q333" s="131"/>
      <c r="AB333" s="33"/>
    </row>
    <row r="334" spans="1:28" ht="15.75" customHeight="1" x14ac:dyDescent="0.35">
      <c r="A334" s="149"/>
      <c r="B334" s="33"/>
      <c r="C334" s="150"/>
      <c r="D334" s="150"/>
      <c r="E334" s="151"/>
      <c r="F334" s="131"/>
      <c r="G334" s="131"/>
      <c r="M334" s="131"/>
      <c r="N334" s="131"/>
      <c r="O334" s="131"/>
      <c r="P334" s="131"/>
      <c r="Q334" s="131"/>
      <c r="AB334" s="33"/>
    </row>
    <row r="335" spans="1:28" ht="15.75" customHeight="1" x14ac:dyDescent="0.35">
      <c r="A335" s="149"/>
      <c r="B335" s="33"/>
      <c r="C335" s="150"/>
      <c r="D335" s="150"/>
      <c r="E335" s="151"/>
      <c r="F335" s="131"/>
      <c r="G335" s="131"/>
      <c r="M335" s="131"/>
      <c r="N335" s="131"/>
      <c r="O335" s="131"/>
      <c r="P335" s="131"/>
      <c r="Q335" s="131"/>
      <c r="AB335" s="33"/>
    </row>
    <row r="336" spans="1:28" ht="15.75" customHeight="1" x14ac:dyDescent="0.35">
      <c r="A336" s="149"/>
      <c r="B336" s="33"/>
      <c r="C336" s="150"/>
      <c r="D336" s="150"/>
      <c r="E336" s="151"/>
      <c r="F336" s="131"/>
      <c r="G336" s="131"/>
      <c r="M336" s="131"/>
      <c r="N336" s="131"/>
      <c r="O336" s="131"/>
      <c r="P336" s="131"/>
      <c r="Q336" s="131"/>
      <c r="AB336" s="33"/>
    </row>
    <row r="337" spans="1:28" ht="15.75" customHeight="1" x14ac:dyDescent="0.35">
      <c r="A337" s="149"/>
      <c r="B337" s="33"/>
      <c r="C337" s="150"/>
      <c r="D337" s="150"/>
      <c r="E337" s="151"/>
      <c r="F337" s="131"/>
      <c r="G337" s="131"/>
      <c r="M337" s="131"/>
      <c r="N337" s="131"/>
      <c r="O337" s="131"/>
      <c r="P337" s="131"/>
      <c r="Q337" s="131"/>
      <c r="AB337" s="33"/>
    </row>
    <row r="338" spans="1:28" ht="15.75" customHeight="1" x14ac:dyDescent="0.35">
      <c r="A338" s="149"/>
      <c r="B338" s="33"/>
      <c r="C338" s="150"/>
      <c r="D338" s="150"/>
      <c r="E338" s="151"/>
      <c r="F338" s="131"/>
      <c r="G338" s="131"/>
      <c r="M338" s="131"/>
      <c r="N338" s="131"/>
      <c r="O338" s="131"/>
      <c r="P338" s="131"/>
      <c r="Q338" s="131"/>
      <c r="AB338" s="33"/>
    </row>
    <row r="339" spans="1:28" ht="15.75" customHeight="1" x14ac:dyDescent="0.35">
      <c r="A339" s="149"/>
      <c r="B339" s="33"/>
      <c r="C339" s="150"/>
      <c r="D339" s="150"/>
      <c r="E339" s="151"/>
      <c r="F339" s="131"/>
      <c r="G339" s="131"/>
      <c r="M339" s="131"/>
      <c r="N339" s="131"/>
      <c r="O339" s="131"/>
      <c r="P339" s="131"/>
      <c r="Q339" s="131"/>
      <c r="AB339" s="33"/>
    </row>
    <row r="340" spans="1:28" ht="15.75" customHeight="1" x14ac:dyDescent="0.35">
      <c r="A340" s="149"/>
      <c r="B340" s="33"/>
      <c r="C340" s="150"/>
      <c r="D340" s="150"/>
      <c r="E340" s="151"/>
      <c r="F340" s="131"/>
      <c r="G340" s="131"/>
      <c r="M340" s="131"/>
      <c r="N340" s="131"/>
      <c r="O340" s="131"/>
      <c r="P340" s="131"/>
      <c r="Q340" s="131"/>
      <c r="AB340" s="33"/>
    </row>
    <row r="341" spans="1:28" ht="15.75" customHeight="1" x14ac:dyDescent="0.35">
      <c r="A341" s="149"/>
      <c r="B341" s="33"/>
      <c r="C341" s="150"/>
      <c r="D341" s="150"/>
      <c r="E341" s="151"/>
      <c r="F341" s="131"/>
      <c r="G341" s="131"/>
      <c r="M341" s="131"/>
      <c r="N341" s="131"/>
      <c r="O341" s="131"/>
      <c r="P341" s="131"/>
      <c r="Q341" s="131"/>
      <c r="AB341" s="33"/>
    </row>
    <row r="342" spans="1:28" ht="15.75" customHeight="1" x14ac:dyDescent="0.35">
      <c r="A342" s="149"/>
      <c r="B342" s="33"/>
      <c r="C342" s="150"/>
      <c r="D342" s="150"/>
      <c r="E342" s="151"/>
      <c r="F342" s="131"/>
      <c r="G342" s="131"/>
      <c r="M342" s="131"/>
      <c r="N342" s="131"/>
      <c r="O342" s="131"/>
      <c r="P342" s="131"/>
      <c r="Q342" s="131"/>
      <c r="AB342" s="33"/>
    </row>
    <row r="343" spans="1:28" ht="15.75" customHeight="1" x14ac:dyDescent="0.35">
      <c r="A343" s="149"/>
      <c r="B343" s="33"/>
      <c r="C343" s="150"/>
      <c r="D343" s="150"/>
      <c r="E343" s="151"/>
      <c r="F343" s="131"/>
      <c r="G343" s="131"/>
      <c r="M343" s="131"/>
      <c r="N343" s="131"/>
      <c r="O343" s="131"/>
      <c r="P343" s="131"/>
      <c r="Q343" s="131"/>
      <c r="AB343" s="33"/>
    </row>
    <row r="344" spans="1:28" ht="15.75" customHeight="1" x14ac:dyDescent="0.35">
      <c r="A344" s="149"/>
      <c r="B344" s="33"/>
      <c r="C344" s="150"/>
      <c r="D344" s="150"/>
      <c r="E344" s="151"/>
      <c r="F344" s="131"/>
      <c r="G344" s="131"/>
      <c r="M344" s="131"/>
      <c r="N344" s="131"/>
      <c r="O344" s="131"/>
      <c r="P344" s="131"/>
      <c r="Q344" s="131"/>
      <c r="AB344" s="33"/>
    </row>
    <row r="345" spans="1:28" ht="15.75" customHeight="1" x14ac:dyDescent="0.35">
      <c r="A345" s="149"/>
      <c r="B345" s="33"/>
      <c r="C345" s="150"/>
      <c r="D345" s="150"/>
      <c r="E345" s="151"/>
      <c r="F345" s="131"/>
      <c r="G345" s="131"/>
      <c r="M345" s="131"/>
      <c r="N345" s="131"/>
      <c r="O345" s="131"/>
      <c r="P345" s="131"/>
      <c r="Q345" s="131"/>
      <c r="AB345" s="33"/>
    </row>
    <row r="346" spans="1:28" ht="15.75" customHeight="1" x14ac:dyDescent="0.35">
      <c r="A346" s="149"/>
      <c r="B346" s="33"/>
      <c r="C346" s="150"/>
      <c r="D346" s="150"/>
      <c r="E346" s="151"/>
      <c r="F346" s="131"/>
      <c r="G346" s="131"/>
      <c r="M346" s="131"/>
      <c r="N346" s="131"/>
      <c r="O346" s="131"/>
      <c r="P346" s="131"/>
      <c r="Q346" s="131"/>
      <c r="AB346" s="33"/>
    </row>
    <row r="347" spans="1:28" ht="15.75" customHeight="1" x14ac:dyDescent="0.35">
      <c r="A347" s="149"/>
      <c r="B347" s="33"/>
      <c r="C347" s="150"/>
      <c r="D347" s="150"/>
      <c r="E347" s="151"/>
      <c r="F347" s="131"/>
      <c r="G347" s="131"/>
      <c r="M347" s="131"/>
      <c r="N347" s="131"/>
      <c r="O347" s="131"/>
      <c r="P347" s="131"/>
      <c r="Q347" s="131"/>
      <c r="AB347" s="33"/>
    </row>
    <row r="348" spans="1:28" ht="15.75" customHeight="1" x14ac:dyDescent="0.35">
      <c r="A348" s="149"/>
      <c r="B348" s="33"/>
      <c r="C348" s="150"/>
      <c r="D348" s="150"/>
      <c r="E348" s="151"/>
      <c r="F348" s="131"/>
      <c r="G348" s="131"/>
      <c r="M348" s="131"/>
      <c r="N348" s="131"/>
      <c r="O348" s="131"/>
      <c r="P348" s="131"/>
      <c r="Q348" s="131"/>
      <c r="AB348" s="33"/>
    </row>
    <row r="349" spans="1:28" ht="15.75" customHeight="1" x14ac:dyDescent="0.35">
      <c r="A349" s="149"/>
      <c r="B349" s="33"/>
      <c r="C349" s="150"/>
      <c r="D349" s="150"/>
      <c r="E349" s="151"/>
      <c r="F349" s="131"/>
      <c r="G349" s="131"/>
      <c r="M349" s="131"/>
      <c r="N349" s="131"/>
      <c r="O349" s="131"/>
      <c r="P349" s="131"/>
      <c r="Q349" s="131"/>
      <c r="AB349" s="33"/>
    </row>
    <row r="350" spans="1:28" ht="15.75" customHeight="1" x14ac:dyDescent="0.35">
      <c r="A350" s="149"/>
      <c r="B350" s="33"/>
      <c r="C350" s="150"/>
      <c r="D350" s="150"/>
      <c r="E350" s="151"/>
      <c r="F350" s="131"/>
      <c r="G350" s="131"/>
      <c r="M350" s="131"/>
      <c r="N350" s="131"/>
      <c r="O350" s="131"/>
      <c r="P350" s="131"/>
      <c r="Q350" s="131"/>
      <c r="AB350" s="33"/>
    </row>
    <row r="351" spans="1:28" ht="15.75" customHeight="1" x14ac:dyDescent="0.35">
      <c r="A351" s="149"/>
      <c r="B351" s="33"/>
      <c r="C351" s="150"/>
      <c r="D351" s="150"/>
      <c r="E351" s="151"/>
      <c r="F351" s="131"/>
      <c r="G351" s="131"/>
      <c r="M351" s="131"/>
      <c r="N351" s="131"/>
      <c r="O351" s="131"/>
      <c r="P351" s="131"/>
      <c r="Q351" s="131"/>
      <c r="AB351" s="33"/>
    </row>
    <row r="352" spans="1:28" ht="15.75" customHeight="1" x14ac:dyDescent="0.35">
      <c r="A352" s="149"/>
      <c r="B352" s="33"/>
      <c r="C352" s="150"/>
      <c r="D352" s="150"/>
      <c r="E352" s="151"/>
      <c r="F352" s="131"/>
      <c r="G352" s="131"/>
      <c r="M352" s="131"/>
      <c r="N352" s="131"/>
      <c r="O352" s="131"/>
      <c r="P352" s="131"/>
      <c r="Q352" s="131"/>
      <c r="AB352" s="33"/>
    </row>
    <row r="353" spans="1:28" ht="15.75" customHeight="1" x14ac:dyDescent="0.35">
      <c r="A353" s="149"/>
      <c r="B353" s="33"/>
      <c r="C353" s="150"/>
      <c r="D353" s="150"/>
      <c r="E353" s="151"/>
      <c r="F353" s="131"/>
      <c r="G353" s="131"/>
      <c r="M353" s="131"/>
      <c r="N353" s="131"/>
      <c r="O353" s="131"/>
      <c r="P353" s="131"/>
      <c r="Q353" s="131"/>
      <c r="AB353" s="33"/>
    </row>
    <row r="354" spans="1:28" ht="15.75" customHeight="1" x14ac:dyDescent="0.35">
      <c r="A354" s="149"/>
      <c r="B354" s="33"/>
      <c r="C354" s="150"/>
      <c r="D354" s="150"/>
      <c r="E354" s="151"/>
      <c r="F354" s="131"/>
      <c r="G354" s="131"/>
      <c r="M354" s="131"/>
      <c r="N354" s="131"/>
      <c r="O354" s="131"/>
      <c r="P354" s="131"/>
      <c r="Q354" s="131"/>
      <c r="AB354" s="33"/>
    </row>
    <row r="355" spans="1:28" ht="15.75" customHeight="1" x14ac:dyDescent="0.35">
      <c r="A355" s="149"/>
      <c r="B355" s="33"/>
      <c r="C355" s="150"/>
      <c r="D355" s="150"/>
      <c r="E355" s="151"/>
      <c r="F355" s="131"/>
      <c r="G355" s="131"/>
      <c r="M355" s="131"/>
      <c r="N355" s="131"/>
      <c r="O355" s="131"/>
      <c r="P355" s="131"/>
      <c r="Q355" s="131"/>
      <c r="AB355" s="33"/>
    </row>
    <row r="356" spans="1:28" ht="15.75" customHeight="1" x14ac:dyDescent="0.35">
      <c r="A356" s="149"/>
      <c r="B356" s="33"/>
      <c r="C356" s="150"/>
      <c r="D356" s="150"/>
      <c r="E356" s="151"/>
      <c r="F356" s="131"/>
      <c r="G356" s="131"/>
      <c r="M356" s="131"/>
      <c r="N356" s="131"/>
      <c r="O356" s="131"/>
      <c r="P356" s="131"/>
      <c r="Q356" s="131"/>
      <c r="AB356" s="33"/>
    </row>
    <row r="357" spans="1:28" ht="15.75" customHeight="1" x14ac:dyDescent="0.35">
      <c r="A357" s="149"/>
      <c r="B357" s="33"/>
      <c r="C357" s="150"/>
      <c r="D357" s="150"/>
      <c r="E357" s="151"/>
      <c r="F357" s="131"/>
      <c r="G357" s="131"/>
      <c r="M357" s="131"/>
      <c r="N357" s="131"/>
      <c r="O357" s="131"/>
      <c r="P357" s="131"/>
      <c r="Q357" s="131"/>
      <c r="AB357" s="33"/>
    </row>
    <row r="358" spans="1:28" ht="15.75" customHeight="1" x14ac:dyDescent="0.35">
      <c r="A358" s="149"/>
      <c r="B358" s="33"/>
      <c r="C358" s="150"/>
      <c r="D358" s="150"/>
      <c r="E358" s="151"/>
      <c r="F358" s="131"/>
      <c r="G358" s="131"/>
      <c r="M358" s="131"/>
      <c r="N358" s="131"/>
      <c r="O358" s="131"/>
      <c r="P358" s="131"/>
      <c r="Q358" s="131"/>
      <c r="AB358" s="33"/>
    </row>
    <row r="359" spans="1:28" ht="15.75" customHeight="1" x14ac:dyDescent="0.35">
      <c r="A359" s="149"/>
      <c r="B359" s="33"/>
      <c r="C359" s="150"/>
      <c r="D359" s="150"/>
      <c r="E359" s="151"/>
      <c r="F359" s="131"/>
      <c r="G359" s="131"/>
      <c r="M359" s="131"/>
      <c r="N359" s="131"/>
      <c r="O359" s="131"/>
      <c r="P359" s="131"/>
      <c r="Q359" s="131"/>
      <c r="AB359" s="33"/>
    </row>
    <row r="360" spans="1:28" ht="15.75" customHeight="1" x14ac:dyDescent="0.35">
      <c r="A360" s="149"/>
      <c r="B360" s="33"/>
      <c r="C360" s="150"/>
      <c r="D360" s="150"/>
      <c r="E360" s="151"/>
      <c r="F360" s="131"/>
      <c r="G360" s="131"/>
      <c r="M360" s="131"/>
      <c r="N360" s="131"/>
      <c r="O360" s="131"/>
      <c r="P360" s="131"/>
      <c r="Q360" s="131"/>
      <c r="AB360" s="33"/>
    </row>
    <row r="361" spans="1:28" ht="15.75" customHeight="1" x14ac:dyDescent="0.35">
      <c r="A361" s="149"/>
      <c r="B361" s="33"/>
      <c r="C361" s="150"/>
      <c r="D361" s="150"/>
      <c r="E361" s="151"/>
      <c r="F361" s="131"/>
      <c r="G361" s="131"/>
      <c r="M361" s="131"/>
      <c r="N361" s="131"/>
      <c r="O361" s="131"/>
      <c r="P361" s="131"/>
      <c r="Q361" s="131"/>
      <c r="AB361" s="33"/>
    </row>
    <row r="362" spans="1:28" ht="15.75" customHeight="1" x14ac:dyDescent="0.35">
      <c r="A362" s="149"/>
      <c r="B362" s="33"/>
      <c r="C362" s="150"/>
      <c r="D362" s="150"/>
      <c r="E362" s="151"/>
      <c r="F362" s="131"/>
      <c r="G362" s="131"/>
      <c r="M362" s="131"/>
      <c r="N362" s="131"/>
      <c r="O362" s="131"/>
      <c r="P362" s="131"/>
      <c r="Q362" s="131"/>
      <c r="AB362" s="33"/>
    </row>
    <row r="363" spans="1:28" ht="15.75" customHeight="1" x14ac:dyDescent="0.35">
      <c r="A363" s="149"/>
      <c r="B363" s="33"/>
      <c r="C363" s="150"/>
      <c r="D363" s="150"/>
      <c r="E363" s="151"/>
      <c r="F363" s="131"/>
      <c r="G363" s="131"/>
      <c r="M363" s="131"/>
      <c r="N363" s="131"/>
      <c r="O363" s="131"/>
      <c r="P363" s="131"/>
      <c r="Q363" s="131"/>
      <c r="AB363" s="33"/>
    </row>
    <row r="364" spans="1:28" ht="15.75" customHeight="1" x14ac:dyDescent="0.35">
      <c r="A364" s="149"/>
      <c r="B364" s="33"/>
      <c r="C364" s="150"/>
      <c r="D364" s="150"/>
      <c r="E364" s="151"/>
      <c r="F364" s="131"/>
      <c r="G364" s="131"/>
      <c r="M364" s="131"/>
      <c r="N364" s="131"/>
      <c r="O364" s="131"/>
      <c r="P364" s="131"/>
      <c r="Q364" s="131"/>
      <c r="AB364" s="33"/>
    </row>
    <row r="365" spans="1:28" ht="15.75" customHeight="1" x14ac:dyDescent="0.35">
      <c r="A365" s="149"/>
      <c r="B365" s="33"/>
      <c r="C365" s="150"/>
      <c r="D365" s="150"/>
      <c r="E365" s="151"/>
      <c r="F365" s="131"/>
      <c r="G365" s="131"/>
      <c r="M365" s="131"/>
      <c r="N365" s="131"/>
      <c r="O365" s="131"/>
      <c r="P365" s="131"/>
      <c r="Q365" s="131"/>
      <c r="AB365" s="33"/>
    </row>
    <row r="366" spans="1:28" ht="15.75" customHeight="1" x14ac:dyDescent="0.35">
      <c r="A366" s="149"/>
      <c r="B366" s="33"/>
      <c r="C366" s="150"/>
      <c r="D366" s="150"/>
      <c r="E366" s="151"/>
      <c r="F366" s="131"/>
      <c r="G366" s="131"/>
      <c r="M366" s="131"/>
      <c r="N366" s="131"/>
      <c r="O366" s="131"/>
      <c r="P366" s="131"/>
      <c r="Q366" s="131"/>
      <c r="AB366" s="33"/>
    </row>
    <row r="367" spans="1:28" ht="15.75" customHeight="1" x14ac:dyDescent="0.35">
      <c r="A367" s="149"/>
      <c r="B367" s="33"/>
      <c r="C367" s="150"/>
      <c r="D367" s="150"/>
      <c r="E367" s="151"/>
      <c r="F367" s="131"/>
      <c r="G367" s="131"/>
      <c r="M367" s="131"/>
      <c r="N367" s="131"/>
      <c r="O367" s="131"/>
      <c r="P367" s="131"/>
      <c r="Q367" s="131"/>
      <c r="AB367" s="33"/>
    </row>
    <row r="368" spans="1:28" ht="15.75" customHeight="1" x14ac:dyDescent="0.35">
      <c r="A368" s="149"/>
      <c r="B368" s="33"/>
      <c r="C368" s="150"/>
      <c r="D368" s="150"/>
      <c r="E368" s="151"/>
      <c r="F368" s="131"/>
      <c r="G368" s="131"/>
      <c r="M368" s="131"/>
      <c r="N368" s="131"/>
      <c r="O368" s="131"/>
      <c r="P368" s="131"/>
      <c r="Q368" s="131"/>
      <c r="AB368" s="33"/>
    </row>
    <row r="369" spans="1:28" ht="15.75" customHeight="1" x14ac:dyDescent="0.35">
      <c r="A369" s="149"/>
      <c r="B369" s="33"/>
      <c r="C369" s="150"/>
      <c r="D369" s="150"/>
      <c r="E369" s="151"/>
      <c r="F369" s="131"/>
      <c r="G369" s="131"/>
      <c r="M369" s="131"/>
      <c r="N369" s="131"/>
      <c r="O369" s="131"/>
      <c r="P369" s="131"/>
      <c r="Q369" s="131"/>
      <c r="AB369" s="33"/>
    </row>
    <row r="370" spans="1:28" ht="15.75" customHeight="1" x14ac:dyDescent="0.35">
      <c r="A370" s="149"/>
      <c r="B370" s="33"/>
      <c r="C370" s="150"/>
      <c r="D370" s="150"/>
      <c r="E370" s="151"/>
      <c r="F370" s="131"/>
      <c r="G370" s="131"/>
      <c r="M370" s="131"/>
      <c r="N370" s="131"/>
      <c r="O370" s="131"/>
      <c r="P370" s="131"/>
      <c r="Q370" s="131"/>
      <c r="AB370" s="33"/>
    </row>
    <row r="371" spans="1:28" ht="15.75" customHeight="1" x14ac:dyDescent="0.35">
      <c r="A371" s="149"/>
      <c r="B371" s="33"/>
      <c r="C371" s="150"/>
      <c r="D371" s="150"/>
      <c r="E371" s="151"/>
      <c r="F371" s="131"/>
      <c r="G371" s="131"/>
      <c r="M371" s="131"/>
      <c r="N371" s="131"/>
      <c r="O371" s="131"/>
      <c r="P371" s="131"/>
      <c r="Q371" s="131"/>
      <c r="AB371" s="33"/>
    </row>
    <row r="372" spans="1:28" ht="15.75" customHeight="1" x14ac:dyDescent="0.35">
      <c r="A372" s="149"/>
      <c r="B372" s="33"/>
      <c r="C372" s="150"/>
      <c r="D372" s="150"/>
      <c r="E372" s="151"/>
      <c r="F372" s="131"/>
      <c r="G372" s="131"/>
      <c r="M372" s="131"/>
      <c r="N372" s="131"/>
      <c r="O372" s="131"/>
      <c r="P372" s="131"/>
      <c r="Q372" s="131"/>
      <c r="AB372" s="33"/>
    </row>
    <row r="373" spans="1:28" ht="15.75" customHeight="1" x14ac:dyDescent="0.35">
      <c r="A373" s="149"/>
      <c r="B373" s="33"/>
      <c r="C373" s="150"/>
      <c r="D373" s="150"/>
      <c r="E373" s="151"/>
      <c r="F373" s="131"/>
      <c r="G373" s="131"/>
      <c r="M373" s="131"/>
      <c r="N373" s="131"/>
      <c r="O373" s="131"/>
      <c r="P373" s="131"/>
      <c r="Q373" s="131"/>
      <c r="AB373" s="33"/>
    </row>
    <row r="374" spans="1:28" ht="15.75" customHeight="1" x14ac:dyDescent="0.35">
      <c r="A374" s="149"/>
      <c r="B374" s="33"/>
      <c r="C374" s="150"/>
      <c r="D374" s="150"/>
      <c r="E374" s="151"/>
      <c r="F374" s="131"/>
      <c r="G374" s="131"/>
      <c r="M374" s="131"/>
      <c r="N374" s="131"/>
      <c r="O374" s="131"/>
      <c r="P374" s="131"/>
      <c r="Q374" s="131"/>
      <c r="AB374" s="33"/>
    </row>
    <row r="375" spans="1:28" ht="15.75" customHeight="1" x14ac:dyDescent="0.35">
      <c r="A375" s="149"/>
      <c r="B375" s="33"/>
      <c r="C375" s="150"/>
      <c r="D375" s="150"/>
      <c r="E375" s="151"/>
      <c r="F375" s="131"/>
      <c r="G375" s="131"/>
      <c r="M375" s="131"/>
      <c r="N375" s="131"/>
      <c r="O375" s="131"/>
      <c r="P375" s="131"/>
      <c r="Q375" s="131"/>
      <c r="AB375" s="33"/>
    </row>
    <row r="376" spans="1:28" ht="15.75" customHeight="1" x14ac:dyDescent="0.35">
      <c r="A376" s="149"/>
      <c r="B376" s="33"/>
      <c r="C376" s="150"/>
      <c r="D376" s="150"/>
      <c r="E376" s="151"/>
      <c r="F376" s="131"/>
      <c r="G376" s="131"/>
      <c r="M376" s="131"/>
      <c r="N376" s="131"/>
      <c r="O376" s="131"/>
      <c r="P376" s="131"/>
      <c r="Q376" s="131"/>
      <c r="AB376" s="33"/>
    </row>
    <row r="377" spans="1:28" ht="15.75" customHeight="1" x14ac:dyDescent="0.35">
      <c r="A377" s="149"/>
      <c r="B377" s="33"/>
      <c r="C377" s="150"/>
      <c r="D377" s="150"/>
      <c r="E377" s="151"/>
      <c r="F377" s="131"/>
      <c r="G377" s="131"/>
      <c r="M377" s="131"/>
      <c r="N377" s="131"/>
      <c r="O377" s="131"/>
      <c r="P377" s="131"/>
      <c r="Q377" s="131"/>
      <c r="AB377" s="33"/>
    </row>
    <row r="378" spans="1:28" ht="15.75" customHeight="1" x14ac:dyDescent="0.35">
      <c r="A378" s="149"/>
      <c r="B378" s="33"/>
      <c r="C378" s="150"/>
      <c r="D378" s="150"/>
      <c r="E378" s="151"/>
      <c r="F378" s="131"/>
      <c r="G378" s="131"/>
      <c r="M378" s="131"/>
      <c r="N378" s="131"/>
      <c r="O378" s="131"/>
      <c r="P378" s="131"/>
      <c r="Q378" s="131"/>
      <c r="AB378" s="33"/>
    </row>
    <row r="379" spans="1:28" ht="15.75" customHeight="1" x14ac:dyDescent="0.35">
      <c r="A379" s="149"/>
      <c r="B379" s="33"/>
      <c r="C379" s="150"/>
      <c r="D379" s="150"/>
      <c r="E379" s="151"/>
      <c r="F379" s="131"/>
      <c r="G379" s="131"/>
      <c r="M379" s="131"/>
      <c r="N379" s="131"/>
      <c r="O379" s="131"/>
      <c r="P379" s="131"/>
      <c r="Q379" s="131"/>
      <c r="AB379" s="33"/>
    </row>
    <row r="380" spans="1:28" ht="15.75" customHeight="1" x14ac:dyDescent="0.35">
      <c r="A380" s="149"/>
      <c r="B380" s="33"/>
      <c r="C380" s="150"/>
      <c r="D380" s="150"/>
      <c r="E380" s="151"/>
      <c r="F380" s="131"/>
      <c r="G380" s="131"/>
      <c r="M380" s="131"/>
      <c r="N380" s="131"/>
      <c r="O380" s="131"/>
      <c r="P380" s="131"/>
      <c r="Q380" s="131"/>
      <c r="AB380" s="33"/>
    </row>
    <row r="381" spans="1:28" ht="15.75" customHeight="1" x14ac:dyDescent="0.35">
      <c r="A381" s="149"/>
      <c r="B381" s="33"/>
      <c r="C381" s="150"/>
      <c r="D381" s="150"/>
      <c r="E381" s="151"/>
      <c r="F381" s="131"/>
      <c r="G381" s="131"/>
      <c r="M381" s="131"/>
      <c r="N381" s="131"/>
      <c r="O381" s="131"/>
      <c r="P381" s="131"/>
      <c r="Q381" s="131"/>
      <c r="AB381" s="33"/>
    </row>
    <row r="382" spans="1:28" ht="15.75" customHeight="1" x14ac:dyDescent="0.35">
      <c r="A382" s="149"/>
      <c r="B382" s="33"/>
      <c r="C382" s="150"/>
      <c r="D382" s="150"/>
      <c r="E382" s="151"/>
      <c r="F382" s="131"/>
      <c r="G382" s="131"/>
      <c r="M382" s="131"/>
      <c r="N382" s="131"/>
      <c r="O382" s="131"/>
      <c r="P382" s="131"/>
      <c r="Q382" s="131"/>
      <c r="AB382" s="33"/>
    </row>
    <row r="383" spans="1:28" ht="15.75" customHeight="1" x14ac:dyDescent="0.35">
      <c r="A383" s="149"/>
      <c r="B383" s="33"/>
      <c r="C383" s="150"/>
      <c r="D383" s="150"/>
      <c r="E383" s="151"/>
      <c r="F383" s="131"/>
      <c r="G383" s="131"/>
      <c r="M383" s="131"/>
      <c r="N383" s="131"/>
      <c r="O383" s="131"/>
      <c r="P383" s="131"/>
      <c r="Q383" s="131"/>
      <c r="AB383" s="33"/>
    </row>
    <row r="384" spans="1:28" ht="15.75" customHeight="1" x14ac:dyDescent="0.35">
      <c r="A384" s="149"/>
      <c r="B384" s="33"/>
      <c r="C384" s="150"/>
      <c r="D384" s="150"/>
      <c r="E384" s="151"/>
      <c r="F384" s="131"/>
      <c r="G384" s="131"/>
      <c r="M384" s="131"/>
      <c r="N384" s="131"/>
      <c r="O384" s="131"/>
      <c r="P384" s="131"/>
      <c r="Q384" s="131"/>
      <c r="AB384" s="33"/>
    </row>
    <row r="385" spans="1:28" ht="15.75" customHeight="1" x14ac:dyDescent="0.35">
      <c r="A385" s="149"/>
      <c r="B385" s="33"/>
      <c r="C385" s="150"/>
      <c r="D385" s="150"/>
      <c r="E385" s="151"/>
      <c r="F385" s="131"/>
      <c r="G385" s="131"/>
      <c r="M385" s="131"/>
      <c r="N385" s="131"/>
      <c r="O385" s="131"/>
      <c r="P385" s="131"/>
      <c r="Q385" s="131"/>
      <c r="AB385" s="33"/>
    </row>
    <row r="386" spans="1:28" ht="15.75" customHeight="1" x14ac:dyDescent="0.35">
      <c r="A386" s="149"/>
      <c r="B386" s="33"/>
      <c r="C386" s="150"/>
      <c r="D386" s="150"/>
      <c r="E386" s="151"/>
      <c r="F386" s="131"/>
      <c r="G386" s="131"/>
      <c r="M386" s="131"/>
      <c r="N386" s="131"/>
      <c r="O386" s="131"/>
      <c r="P386" s="131"/>
      <c r="Q386" s="131"/>
      <c r="AB386" s="33"/>
    </row>
    <row r="387" spans="1:28" ht="15.75" customHeight="1" x14ac:dyDescent="0.35">
      <c r="A387" s="149"/>
      <c r="B387" s="33"/>
      <c r="C387" s="150"/>
      <c r="D387" s="150"/>
      <c r="E387" s="151"/>
      <c r="F387" s="131"/>
      <c r="G387" s="131"/>
      <c r="M387" s="131"/>
      <c r="N387" s="131"/>
      <c r="O387" s="131"/>
      <c r="P387" s="131"/>
      <c r="Q387" s="131"/>
      <c r="AB387" s="33"/>
    </row>
    <row r="388" spans="1:28" ht="15.75" customHeight="1" x14ac:dyDescent="0.35">
      <c r="A388" s="149"/>
      <c r="B388" s="33"/>
      <c r="C388" s="150"/>
      <c r="D388" s="150"/>
      <c r="E388" s="151"/>
      <c r="F388" s="131"/>
      <c r="G388" s="131"/>
      <c r="M388" s="131"/>
      <c r="N388" s="131"/>
      <c r="O388" s="131"/>
      <c r="P388" s="131"/>
      <c r="Q388" s="131"/>
      <c r="AB388" s="33"/>
    </row>
    <row r="389" spans="1:28" ht="15.75" customHeight="1" x14ac:dyDescent="0.35">
      <c r="A389" s="149"/>
      <c r="B389" s="33"/>
      <c r="C389" s="150"/>
      <c r="D389" s="150"/>
      <c r="E389" s="151"/>
      <c r="F389" s="131"/>
      <c r="G389" s="131"/>
      <c r="M389" s="131"/>
      <c r="N389" s="131"/>
      <c r="O389" s="131"/>
      <c r="P389" s="131"/>
      <c r="Q389" s="131"/>
      <c r="AB389" s="33"/>
    </row>
    <row r="390" spans="1:28" ht="15.75" customHeight="1" x14ac:dyDescent="0.35">
      <c r="A390" s="149"/>
      <c r="B390" s="33"/>
      <c r="C390" s="150"/>
      <c r="D390" s="150"/>
      <c r="E390" s="151"/>
      <c r="F390" s="131"/>
      <c r="G390" s="131"/>
      <c r="M390" s="131"/>
      <c r="N390" s="131"/>
      <c r="O390" s="131"/>
      <c r="P390" s="131"/>
      <c r="Q390" s="131"/>
      <c r="AB390" s="33"/>
    </row>
    <row r="391" spans="1:28" ht="15.75" customHeight="1" x14ac:dyDescent="0.35">
      <c r="A391" s="149"/>
      <c r="B391" s="33"/>
      <c r="C391" s="150"/>
      <c r="D391" s="150"/>
      <c r="E391" s="151"/>
      <c r="F391" s="131"/>
      <c r="G391" s="131"/>
      <c r="M391" s="131"/>
      <c r="N391" s="131"/>
      <c r="O391" s="131"/>
      <c r="P391" s="131"/>
      <c r="Q391" s="131"/>
      <c r="AB391" s="33"/>
    </row>
    <row r="392" spans="1:28" ht="15.75" customHeight="1" x14ac:dyDescent="0.35">
      <c r="A392" s="149"/>
      <c r="B392" s="33"/>
      <c r="C392" s="150"/>
      <c r="D392" s="150"/>
      <c r="E392" s="151"/>
      <c r="F392" s="131"/>
      <c r="G392" s="131"/>
      <c r="M392" s="131"/>
      <c r="N392" s="131"/>
      <c r="O392" s="131"/>
      <c r="P392" s="131"/>
      <c r="Q392" s="131"/>
      <c r="AB392" s="33"/>
    </row>
    <row r="393" spans="1:28" ht="15.75" customHeight="1" x14ac:dyDescent="0.35">
      <c r="A393" s="149"/>
      <c r="B393" s="33"/>
      <c r="C393" s="150"/>
      <c r="D393" s="150"/>
      <c r="E393" s="151"/>
      <c r="F393" s="131"/>
      <c r="G393" s="131"/>
      <c r="M393" s="131"/>
      <c r="N393" s="131"/>
      <c r="O393" s="131"/>
      <c r="P393" s="131"/>
      <c r="Q393" s="131"/>
      <c r="AB393" s="33"/>
    </row>
    <row r="394" spans="1:28" ht="15.75" customHeight="1" x14ac:dyDescent="0.35">
      <c r="A394" s="149"/>
      <c r="B394" s="33"/>
      <c r="C394" s="150"/>
      <c r="D394" s="150"/>
      <c r="E394" s="151"/>
      <c r="F394" s="131"/>
      <c r="G394" s="131"/>
      <c r="M394" s="131"/>
      <c r="N394" s="131"/>
      <c r="O394" s="131"/>
      <c r="P394" s="131"/>
      <c r="Q394" s="131"/>
      <c r="AB394" s="33"/>
    </row>
    <row r="395" spans="1:28" ht="15.75" customHeight="1" x14ac:dyDescent="0.35">
      <c r="A395" s="149"/>
      <c r="B395" s="33"/>
      <c r="C395" s="150"/>
      <c r="D395" s="150"/>
      <c r="E395" s="151"/>
      <c r="F395" s="131"/>
      <c r="G395" s="131"/>
      <c r="M395" s="131"/>
      <c r="N395" s="131"/>
      <c r="O395" s="131"/>
      <c r="P395" s="131"/>
      <c r="Q395" s="131"/>
      <c r="AB395" s="33"/>
    </row>
    <row r="396" spans="1:28" ht="15.75" customHeight="1" x14ac:dyDescent="0.35">
      <c r="A396" s="149"/>
      <c r="B396" s="33"/>
      <c r="C396" s="150"/>
      <c r="D396" s="150"/>
      <c r="E396" s="151"/>
      <c r="F396" s="131"/>
      <c r="G396" s="131"/>
      <c r="M396" s="131"/>
      <c r="N396" s="131"/>
      <c r="O396" s="131"/>
      <c r="P396" s="131"/>
      <c r="Q396" s="131"/>
      <c r="AB396" s="33"/>
    </row>
    <row r="397" spans="1:28" ht="15.75" customHeight="1" x14ac:dyDescent="0.35">
      <c r="A397" s="149"/>
      <c r="B397" s="33"/>
      <c r="C397" s="150"/>
      <c r="D397" s="150"/>
      <c r="E397" s="151"/>
      <c r="F397" s="131"/>
      <c r="G397" s="131"/>
      <c r="M397" s="131"/>
      <c r="N397" s="131"/>
      <c r="O397" s="131"/>
      <c r="P397" s="131"/>
      <c r="Q397" s="131"/>
      <c r="AB397" s="33"/>
    </row>
    <row r="398" spans="1:28" ht="15.75" customHeight="1" x14ac:dyDescent="0.35">
      <c r="A398" s="149"/>
      <c r="B398" s="33"/>
      <c r="C398" s="150"/>
      <c r="D398" s="150"/>
      <c r="E398" s="151"/>
      <c r="F398" s="131"/>
      <c r="G398" s="131"/>
      <c r="M398" s="131"/>
      <c r="N398" s="131"/>
      <c r="O398" s="131"/>
      <c r="P398" s="131"/>
      <c r="Q398" s="131"/>
      <c r="AB398" s="33"/>
    </row>
    <row r="399" spans="1:28" ht="15.75" customHeight="1" x14ac:dyDescent="0.35">
      <c r="A399" s="149"/>
      <c r="B399" s="33"/>
      <c r="C399" s="150"/>
      <c r="D399" s="150"/>
      <c r="E399" s="151"/>
      <c r="F399" s="131"/>
      <c r="G399" s="131"/>
      <c r="M399" s="131"/>
      <c r="N399" s="131"/>
      <c r="O399" s="131"/>
      <c r="P399" s="131"/>
      <c r="Q399" s="131"/>
      <c r="AB399" s="33"/>
    </row>
    <row r="400" spans="1:28" ht="15.75" customHeight="1" x14ac:dyDescent="0.35">
      <c r="A400" s="149"/>
      <c r="B400" s="33"/>
      <c r="C400" s="150"/>
      <c r="D400" s="150"/>
      <c r="E400" s="151"/>
      <c r="F400" s="131"/>
      <c r="G400" s="131"/>
      <c r="M400" s="131"/>
      <c r="N400" s="131"/>
      <c r="O400" s="131"/>
      <c r="P400" s="131"/>
      <c r="Q400" s="131"/>
      <c r="AB400" s="33"/>
    </row>
    <row r="401" spans="1:28" ht="15.75" customHeight="1" x14ac:dyDescent="0.35">
      <c r="A401" s="149"/>
      <c r="B401" s="33"/>
      <c r="C401" s="150"/>
      <c r="D401" s="150"/>
      <c r="E401" s="151"/>
      <c r="F401" s="131"/>
      <c r="G401" s="131"/>
      <c r="M401" s="131"/>
      <c r="N401" s="131"/>
      <c r="O401" s="131"/>
      <c r="P401" s="131"/>
      <c r="Q401" s="131"/>
      <c r="AB401" s="33"/>
    </row>
    <row r="402" spans="1:28" ht="15.75" customHeight="1" x14ac:dyDescent="0.35">
      <c r="A402" s="149"/>
      <c r="B402" s="33"/>
      <c r="C402" s="150"/>
      <c r="D402" s="150"/>
      <c r="E402" s="151"/>
      <c r="F402" s="131"/>
      <c r="G402" s="131"/>
      <c r="M402" s="131"/>
      <c r="N402" s="131"/>
      <c r="O402" s="131"/>
      <c r="P402" s="131"/>
      <c r="Q402" s="131"/>
      <c r="AB402" s="33"/>
    </row>
    <row r="403" spans="1:28" ht="15.75" customHeight="1" x14ac:dyDescent="0.35">
      <c r="A403" s="149"/>
      <c r="B403" s="33"/>
      <c r="C403" s="150"/>
      <c r="D403" s="150"/>
      <c r="E403" s="151"/>
      <c r="F403" s="131"/>
      <c r="G403" s="131"/>
      <c r="M403" s="131"/>
      <c r="N403" s="131"/>
      <c r="O403" s="131"/>
      <c r="P403" s="131"/>
      <c r="Q403" s="131"/>
      <c r="AB403" s="33"/>
    </row>
    <row r="404" spans="1:28" ht="15.75" customHeight="1" x14ac:dyDescent="0.35">
      <c r="A404" s="149"/>
      <c r="B404" s="33"/>
      <c r="C404" s="150"/>
      <c r="D404" s="150"/>
      <c r="E404" s="151"/>
      <c r="F404" s="131"/>
      <c r="G404" s="131"/>
      <c r="M404" s="131"/>
      <c r="N404" s="131"/>
      <c r="O404" s="131"/>
      <c r="P404" s="131"/>
      <c r="Q404" s="131"/>
      <c r="AB404" s="33"/>
    </row>
    <row r="405" spans="1:28" ht="15.75" customHeight="1" x14ac:dyDescent="0.35">
      <c r="A405" s="149"/>
      <c r="B405" s="33"/>
      <c r="C405" s="150"/>
      <c r="D405" s="150"/>
      <c r="E405" s="151"/>
      <c r="F405" s="131"/>
      <c r="G405" s="131"/>
      <c r="M405" s="131"/>
      <c r="N405" s="131"/>
      <c r="O405" s="131"/>
      <c r="P405" s="131"/>
      <c r="Q405" s="131"/>
      <c r="AB405" s="33"/>
    </row>
    <row r="406" spans="1:28" ht="15.75" customHeight="1" x14ac:dyDescent="0.35">
      <c r="A406" s="149"/>
      <c r="B406" s="33"/>
      <c r="C406" s="150"/>
      <c r="D406" s="150"/>
      <c r="E406" s="151"/>
      <c r="F406" s="131"/>
      <c r="G406" s="131"/>
      <c r="M406" s="131"/>
      <c r="N406" s="131"/>
      <c r="O406" s="131"/>
      <c r="P406" s="131"/>
      <c r="Q406" s="131"/>
      <c r="AB406" s="33"/>
    </row>
    <row r="407" spans="1:28" ht="15.75" customHeight="1" x14ac:dyDescent="0.35">
      <c r="A407" s="149"/>
      <c r="B407" s="33"/>
      <c r="C407" s="150"/>
      <c r="D407" s="150"/>
      <c r="E407" s="151"/>
      <c r="F407" s="131"/>
      <c r="G407" s="131"/>
      <c r="M407" s="131"/>
      <c r="N407" s="131"/>
      <c r="O407" s="131"/>
      <c r="P407" s="131"/>
      <c r="Q407" s="131"/>
      <c r="AB407" s="33"/>
    </row>
    <row r="408" spans="1:28" ht="15.75" customHeight="1" x14ac:dyDescent="0.35">
      <c r="A408" s="149"/>
      <c r="B408" s="33"/>
      <c r="C408" s="150"/>
      <c r="D408" s="150"/>
      <c r="E408" s="151"/>
      <c r="F408" s="131"/>
      <c r="G408" s="131"/>
      <c r="M408" s="131"/>
      <c r="N408" s="131"/>
      <c r="O408" s="131"/>
      <c r="P408" s="131"/>
      <c r="Q408" s="131"/>
      <c r="AB408" s="33"/>
    </row>
    <row r="409" spans="1:28" ht="15.75" customHeight="1" x14ac:dyDescent="0.35">
      <c r="A409" s="149"/>
      <c r="B409" s="33"/>
      <c r="C409" s="150"/>
      <c r="D409" s="150"/>
      <c r="E409" s="151"/>
      <c r="F409" s="131"/>
      <c r="G409" s="131"/>
      <c r="M409" s="131"/>
      <c r="N409" s="131"/>
      <c r="O409" s="131"/>
      <c r="P409" s="131"/>
      <c r="Q409" s="131"/>
      <c r="AB409" s="33"/>
    </row>
    <row r="410" spans="1:28" ht="15.75" customHeight="1" x14ac:dyDescent="0.35">
      <c r="A410" s="149"/>
      <c r="B410" s="33"/>
      <c r="C410" s="150"/>
      <c r="D410" s="150"/>
      <c r="E410" s="151"/>
      <c r="F410" s="131"/>
      <c r="G410" s="131"/>
      <c r="M410" s="131"/>
      <c r="N410" s="131"/>
      <c r="O410" s="131"/>
      <c r="P410" s="131"/>
      <c r="Q410" s="131"/>
      <c r="AB410" s="33"/>
    </row>
    <row r="411" spans="1:28" ht="15.75" customHeight="1" x14ac:dyDescent="0.35">
      <c r="A411" s="149"/>
      <c r="B411" s="33"/>
      <c r="C411" s="150"/>
      <c r="D411" s="150"/>
      <c r="E411" s="151"/>
      <c r="F411" s="131"/>
      <c r="G411" s="131"/>
      <c r="M411" s="131"/>
      <c r="N411" s="131"/>
      <c r="O411" s="131"/>
      <c r="P411" s="131"/>
      <c r="Q411" s="131"/>
      <c r="AB411" s="33"/>
    </row>
    <row r="412" spans="1:28" ht="15.75" customHeight="1" x14ac:dyDescent="0.35">
      <c r="A412" s="149"/>
      <c r="B412" s="33"/>
      <c r="C412" s="150"/>
      <c r="D412" s="150"/>
      <c r="E412" s="151"/>
      <c r="F412" s="131"/>
      <c r="G412" s="131"/>
      <c r="M412" s="131"/>
      <c r="N412" s="131"/>
      <c r="O412" s="131"/>
      <c r="P412" s="131"/>
      <c r="Q412" s="131"/>
      <c r="AB412" s="33"/>
    </row>
    <row r="413" spans="1:28" ht="15.75" customHeight="1" x14ac:dyDescent="0.35">
      <c r="A413" s="149"/>
      <c r="B413" s="33"/>
      <c r="C413" s="150"/>
      <c r="D413" s="150"/>
      <c r="E413" s="151"/>
      <c r="F413" s="131"/>
      <c r="G413" s="131"/>
      <c r="M413" s="131"/>
      <c r="N413" s="131"/>
      <c r="O413" s="131"/>
      <c r="P413" s="131"/>
      <c r="Q413" s="131"/>
      <c r="AB413" s="33"/>
    </row>
    <row r="414" spans="1:28" ht="15.75" customHeight="1" x14ac:dyDescent="0.35">
      <c r="A414" s="149"/>
      <c r="B414" s="33"/>
      <c r="C414" s="150"/>
      <c r="D414" s="150"/>
      <c r="E414" s="151"/>
      <c r="F414" s="131"/>
      <c r="G414" s="131"/>
      <c r="M414" s="131"/>
      <c r="N414" s="131"/>
      <c r="O414" s="131"/>
      <c r="P414" s="131"/>
      <c r="Q414" s="131"/>
      <c r="AB414" s="33"/>
    </row>
    <row r="415" spans="1:28" ht="15.75" customHeight="1" x14ac:dyDescent="0.35">
      <c r="A415" s="149"/>
      <c r="B415" s="33"/>
      <c r="C415" s="150"/>
      <c r="D415" s="150"/>
      <c r="E415" s="151"/>
      <c r="F415" s="131"/>
      <c r="G415" s="131"/>
      <c r="M415" s="131"/>
      <c r="N415" s="131"/>
      <c r="O415" s="131"/>
      <c r="P415" s="131"/>
      <c r="Q415" s="131"/>
      <c r="AB415" s="33"/>
    </row>
    <row r="416" spans="1:28" ht="15.75" customHeight="1" x14ac:dyDescent="0.35">
      <c r="A416" s="149"/>
      <c r="B416" s="33"/>
      <c r="C416" s="150"/>
      <c r="D416" s="150"/>
      <c r="E416" s="151"/>
      <c r="F416" s="131"/>
      <c r="G416" s="131"/>
      <c r="M416" s="131"/>
      <c r="N416" s="131"/>
      <c r="O416" s="131"/>
      <c r="P416" s="131"/>
      <c r="Q416" s="131"/>
      <c r="AB416" s="33"/>
    </row>
    <row r="417" spans="1:28" ht="15.75" customHeight="1" x14ac:dyDescent="0.35">
      <c r="A417" s="149"/>
      <c r="B417" s="33"/>
      <c r="C417" s="150"/>
      <c r="D417" s="150"/>
      <c r="E417" s="151"/>
      <c r="F417" s="131"/>
      <c r="G417" s="131"/>
      <c r="M417" s="131"/>
      <c r="N417" s="131"/>
      <c r="O417" s="131"/>
      <c r="P417" s="131"/>
      <c r="Q417" s="131"/>
      <c r="AB417" s="33"/>
    </row>
    <row r="418" spans="1:28" ht="15.75" customHeight="1" x14ac:dyDescent="0.35">
      <c r="A418" s="149"/>
      <c r="B418" s="33"/>
      <c r="C418" s="150"/>
      <c r="D418" s="150"/>
      <c r="E418" s="151"/>
      <c r="F418" s="131"/>
      <c r="G418" s="131"/>
      <c r="M418" s="131"/>
      <c r="N418" s="131"/>
      <c r="O418" s="131"/>
      <c r="P418" s="131"/>
      <c r="Q418" s="131"/>
      <c r="AB418" s="33"/>
    </row>
    <row r="419" spans="1:28" ht="15.75" customHeight="1" x14ac:dyDescent="0.35">
      <c r="A419" s="149"/>
      <c r="B419" s="33"/>
      <c r="C419" s="150"/>
      <c r="D419" s="150"/>
      <c r="E419" s="151"/>
      <c r="F419" s="131"/>
      <c r="G419" s="131"/>
      <c r="M419" s="131"/>
      <c r="N419" s="131"/>
      <c r="O419" s="131"/>
      <c r="P419" s="131"/>
      <c r="Q419" s="131"/>
      <c r="AB419" s="33"/>
    </row>
    <row r="420" spans="1:28" ht="15.75" customHeight="1" x14ac:dyDescent="0.35">
      <c r="A420" s="149"/>
      <c r="B420" s="33"/>
      <c r="C420" s="150"/>
      <c r="D420" s="150"/>
      <c r="E420" s="151"/>
      <c r="F420" s="131"/>
      <c r="G420" s="131"/>
      <c r="M420" s="131"/>
      <c r="N420" s="131"/>
      <c r="O420" s="131"/>
      <c r="P420" s="131"/>
      <c r="Q420" s="131"/>
      <c r="AB420" s="33"/>
    </row>
    <row r="421" spans="1:28" ht="15.75" customHeight="1" x14ac:dyDescent="0.35">
      <c r="A421" s="149"/>
      <c r="B421" s="33"/>
      <c r="C421" s="150"/>
      <c r="D421" s="150"/>
      <c r="E421" s="151"/>
      <c r="F421" s="131"/>
      <c r="G421" s="131"/>
      <c r="M421" s="131"/>
      <c r="N421" s="131"/>
      <c r="O421" s="131"/>
      <c r="P421" s="131"/>
      <c r="Q421" s="131"/>
      <c r="AB421" s="33"/>
    </row>
    <row r="422" spans="1:28" ht="15.75" customHeight="1" x14ac:dyDescent="0.35">
      <c r="A422" s="149"/>
      <c r="B422" s="33"/>
      <c r="C422" s="150"/>
      <c r="D422" s="150"/>
      <c r="E422" s="151"/>
      <c r="F422" s="131"/>
      <c r="G422" s="131"/>
      <c r="M422" s="131"/>
      <c r="N422" s="131"/>
      <c r="O422" s="131"/>
      <c r="P422" s="131"/>
      <c r="Q422" s="131"/>
      <c r="AB422" s="33"/>
    </row>
    <row r="423" spans="1:28" ht="15.75" customHeight="1" x14ac:dyDescent="0.35">
      <c r="A423" s="149"/>
      <c r="B423" s="33"/>
      <c r="C423" s="150"/>
      <c r="D423" s="150"/>
      <c r="E423" s="151"/>
      <c r="F423" s="131"/>
      <c r="G423" s="131"/>
      <c r="M423" s="131"/>
      <c r="N423" s="131"/>
      <c r="O423" s="131"/>
      <c r="P423" s="131"/>
      <c r="Q423" s="131"/>
      <c r="AB423" s="33"/>
    </row>
    <row r="424" spans="1:28" ht="15.75" customHeight="1" x14ac:dyDescent="0.35">
      <c r="A424" s="149"/>
      <c r="B424" s="33"/>
      <c r="C424" s="150"/>
      <c r="D424" s="150"/>
      <c r="E424" s="151"/>
      <c r="F424" s="131"/>
      <c r="G424" s="131"/>
      <c r="M424" s="131"/>
      <c r="N424" s="131"/>
      <c r="O424" s="131"/>
      <c r="P424" s="131"/>
      <c r="Q424" s="131"/>
      <c r="AB424" s="33"/>
    </row>
    <row r="425" spans="1:28" ht="15.75" customHeight="1" x14ac:dyDescent="0.35">
      <c r="A425" s="149"/>
      <c r="B425" s="33"/>
      <c r="C425" s="150"/>
      <c r="D425" s="150"/>
      <c r="E425" s="151"/>
      <c r="F425" s="131"/>
      <c r="G425" s="131"/>
      <c r="M425" s="131"/>
      <c r="N425" s="131"/>
      <c r="O425" s="131"/>
      <c r="P425" s="131"/>
      <c r="Q425" s="131"/>
      <c r="AB425" s="33"/>
    </row>
    <row r="426" spans="1:28" ht="15.75" customHeight="1" x14ac:dyDescent="0.35">
      <c r="A426" s="149"/>
      <c r="B426" s="33"/>
      <c r="C426" s="150"/>
      <c r="D426" s="150"/>
      <c r="E426" s="151"/>
      <c r="F426" s="131"/>
      <c r="G426" s="131"/>
      <c r="M426" s="131"/>
      <c r="N426" s="131"/>
      <c r="O426" s="131"/>
      <c r="P426" s="131"/>
      <c r="Q426" s="131"/>
      <c r="AB426" s="33"/>
    </row>
    <row r="427" spans="1:28" ht="15.75" customHeight="1" x14ac:dyDescent="0.35">
      <c r="A427" s="149"/>
      <c r="B427" s="33"/>
      <c r="C427" s="150"/>
      <c r="D427" s="150"/>
      <c r="E427" s="151"/>
      <c r="F427" s="131"/>
      <c r="G427" s="131"/>
      <c r="M427" s="131"/>
      <c r="N427" s="131"/>
      <c r="O427" s="131"/>
      <c r="P427" s="131"/>
      <c r="Q427" s="131"/>
      <c r="AB427" s="33"/>
    </row>
    <row r="428" spans="1:28" ht="15.75" customHeight="1" x14ac:dyDescent="0.35">
      <c r="A428" s="149"/>
      <c r="B428" s="33"/>
      <c r="C428" s="150"/>
      <c r="D428" s="150"/>
      <c r="E428" s="151"/>
      <c r="F428" s="131"/>
      <c r="G428" s="131"/>
      <c r="M428" s="131"/>
      <c r="N428" s="131"/>
      <c r="O428" s="131"/>
      <c r="P428" s="131"/>
      <c r="Q428" s="131"/>
      <c r="AB428" s="33"/>
    </row>
    <row r="429" spans="1:28" ht="15.75" customHeight="1" x14ac:dyDescent="0.35">
      <c r="A429" s="149"/>
      <c r="B429" s="33"/>
      <c r="C429" s="150"/>
      <c r="D429" s="150"/>
      <c r="E429" s="151"/>
      <c r="F429" s="131"/>
      <c r="G429" s="131"/>
      <c r="M429" s="131"/>
      <c r="N429" s="131"/>
      <c r="O429" s="131"/>
      <c r="P429" s="131"/>
      <c r="Q429" s="131"/>
      <c r="AB429" s="33"/>
    </row>
    <row r="430" spans="1:28" ht="15.75" customHeight="1" x14ac:dyDescent="0.35">
      <c r="A430" s="149"/>
      <c r="B430" s="33"/>
      <c r="C430" s="150"/>
      <c r="D430" s="150"/>
      <c r="E430" s="151"/>
      <c r="F430" s="131"/>
      <c r="G430" s="131"/>
      <c r="M430" s="131"/>
      <c r="N430" s="131"/>
      <c r="O430" s="131"/>
      <c r="P430" s="131"/>
      <c r="Q430" s="131"/>
      <c r="AB430" s="33"/>
    </row>
    <row r="431" spans="1:28" ht="15.75" customHeight="1" x14ac:dyDescent="0.35">
      <c r="A431" s="149"/>
      <c r="B431" s="33"/>
      <c r="C431" s="150"/>
      <c r="D431" s="150"/>
      <c r="E431" s="151"/>
      <c r="F431" s="131"/>
      <c r="G431" s="131"/>
      <c r="M431" s="131"/>
      <c r="N431" s="131"/>
      <c r="O431" s="131"/>
      <c r="P431" s="131"/>
      <c r="Q431" s="131"/>
      <c r="AB431" s="33"/>
    </row>
    <row r="432" spans="1:28" ht="15.75" customHeight="1" x14ac:dyDescent="0.35">
      <c r="A432" s="149"/>
      <c r="B432" s="33"/>
      <c r="C432" s="150"/>
      <c r="D432" s="150"/>
      <c r="E432" s="151"/>
      <c r="F432" s="131"/>
      <c r="G432" s="131"/>
      <c r="M432" s="131"/>
      <c r="N432" s="131"/>
      <c r="O432" s="131"/>
      <c r="P432" s="131"/>
      <c r="Q432" s="131"/>
      <c r="AB432" s="33"/>
    </row>
    <row r="433" spans="1:28" ht="15.75" customHeight="1" x14ac:dyDescent="0.35">
      <c r="A433" s="149"/>
      <c r="B433" s="33"/>
      <c r="C433" s="150"/>
      <c r="D433" s="150"/>
      <c r="E433" s="151"/>
      <c r="F433" s="131"/>
      <c r="G433" s="131"/>
      <c r="M433" s="131"/>
      <c r="N433" s="131"/>
      <c r="O433" s="131"/>
      <c r="P433" s="131"/>
      <c r="Q433" s="131"/>
      <c r="AB433" s="33"/>
    </row>
    <row r="434" spans="1:28" ht="15.75" customHeight="1" x14ac:dyDescent="0.35">
      <c r="A434" s="149"/>
      <c r="B434" s="33"/>
      <c r="C434" s="150"/>
      <c r="D434" s="150"/>
      <c r="E434" s="151"/>
      <c r="F434" s="131"/>
      <c r="G434" s="131"/>
      <c r="M434" s="131"/>
      <c r="N434" s="131"/>
      <c r="O434" s="131"/>
      <c r="P434" s="131"/>
      <c r="Q434" s="131"/>
      <c r="AB434" s="33"/>
    </row>
    <row r="435" spans="1:28" ht="15.75" customHeight="1" x14ac:dyDescent="0.35">
      <c r="A435" s="149"/>
      <c r="B435" s="33"/>
      <c r="C435" s="150"/>
      <c r="D435" s="150"/>
      <c r="E435" s="151"/>
      <c r="F435" s="131"/>
      <c r="G435" s="131"/>
      <c r="M435" s="131"/>
      <c r="N435" s="131"/>
      <c r="O435" s="131"/>
      <c r="P435" s="131"/>
      <c r="Q435" s="131"/>
      <c r="AB435" s="33"/>
    </row>
    <row r="436" spans="1:28" ht="15.75" customHeight="1" x14ac:dyDescent="0.35">
      <c r="A436" s="149"/>
      <c r="B436" s="33"/>
      <c r="C436" s="150"/>
      <c r="D436" s="150"/>
      <c r="E436" s="151"/>
      <c r="F436" s="131"/>
      <c r="G436" s="131"/>
      <c r="M436" s="131"/>
      <c r="N436" s="131"/>
      <c r="O436" s="131"/>
      <c r="P436" s="131"/>
      <c r="Q436" s="131"/>
      <c r="AB436" s="33"/>
    </row>
    <row r="437" spans="1:28" ht="15.75" customHeight="1" x14ac:dyDescent="0.35">
      <c r="A437" s="149"/>
      <c r="B437" s="33"/>
      <c r="C437" s="150"/>
      <c r="D437" s="150"/>
      <c r="E437" s="151"/>
      <c r="F437" s="131"/>
      <c r="G437" s="131"/>
      <c r="M437" s="131"/>
      <c r="N437" s="131"/>
      <c r="O437" s="131"/>
      <c r="P437" s="131"/>
      <c r="Q437" s="131"/>
      <c r="AB437" s="33"/>
    </row>
    <row r="438" spans="1:28" ht="15.75" customHeight="1" x14ac:dyDescent="0.35">
      <c r="A438" s="149"/>
      <c r="B438" s="33"/>
      <c r="C438" s="150"/>
      <c r="D438" s="150"/>
      <c r="E438" s="151"/>
      <c r="F438" s="131"/>
      <c r="G438" s="131"/>
      <c r="M438" s="131"/>
      <c r="N438" s="131"/>
      <c r="O438" s="131"/>
      <c r="P438" s="131"/>
      <c r="Q438" s="131"/>
      <c r="AB438" s="33"/>
    </row>
    <row r="439" spans="1:28" ht="15.75" customHeight="1" x14ac:dyDescent="0.35">
      <c r="A439" s="149"/>
      <c r="B439" s="33"/>
      <c r="C439" s="150"/>
      <c r="D439" s="150"/>
      <c r="E439" s="151"/>
      <c r="F439" s="131"/>
      <c r="G439" s="131"/>
      <c r="M439" s="131"/>
      <c r="N439" s="131"/>
      <c r="O439" s="131"/>
      <c r="P439" s="131"/>
      <c r="Q439" s="131"/>
      <c r="AB439" s="33"/>
    </row>
    <row r="440" spans="1:28" ht="15.75" customHeight="1" x14ac:dyDescent="0.35">
      <c r="A440" s="149"/>
      <c r="B440" s="33"/>
      <c r="C440" s="150"/>
      <c r="D440" s="150"/>
      <c r="E440" s="151"/>
      <c r="F440" s="131"/>
      <c r="G440" s="131"/>
      <c r="M440" s="131"/>
      <c r="N440" s="131"/>
      <c r="O440" s="131"/>
      <c r="P440" s="131"/>
      <c r="Q440" s="131"/>
      <c r="AB440" s="33"/>
    </row>
    <row r="441" spans="1:28" ht="15.75" customHeight="1" x14ac:dyDescent="0.35">
      <c r="A441" s="149"/>
      <c r="B441" s="33"/>
      <c r="C441" s="150"/>
      <c r="D441" s="150"/>
      <c r="E441" s="151"/>
      <c r="F441" s="131"/>
      <c r="G441" s="131"/>
      <c r="M441" s="131"/>
      <c r="N441" s="131"/>
      <c r="O441" s="131"/>
      <c r="P441" s="131"/>
      <c r="Q441" s="131"/>
      <c r="AB441" s="33"/>
    </row>
    <row r="442" spans="1:28" ht="15.75" customHeight="1" x14ac:dyDescent="0.35">
      <c r="A442" s="149"/>
      <c r="B442" s="33"/>
      <c r="C442" s="150"/>
      <c r="D442" s="150"/>
      <c r="E442" s="151"/>
      <c r="F442" s="131"/>
      <c r="G442" s="131"/>
      <c r="M442" s="131"/>
      <c r="N442" s="131"/>
      <c r="O442" s="131"/>
      <c r="P442" s="131"/>
      <c r="Q442" s="131"/>
      <c r="AB442" s="33"/>
    </row>
    <row r="443" spans="1:28" ht="15.75" customHeight="1" x14ac:dyDescent="0.35">
      <c r="A443" s="149"/>
      <c r="B443" s="33"/>
      <c r="C443" s="150"/>
      <c r="D443" s="150"/>
      <c r="E443" s="151"/>
      <c r="F443" s="131"/>
      <c r="G443" s="131"/>
      <c r="M443" s="131"/>
      <c r="N443" s="131"/>
      <c r="O443" s="131"/>
      <c r="P443" s="131"/>
      <c r="Q443" s="131"/>
      <c r="AB443" s="33"/>
    </row>
    <row r="444" spans="1:28" ht="15.75" customHeight="1" x14ac:dyDescent="0.35">
      <c r="A444" s="149"/>
      <c r="B444" s="33"/>
      <c r="C444" s="150"/>
      <c r="D444" s="150"/>
      <c r="E444" s="151"/>
      <c r="F444" s="131"/>
      <c r="G444" s="131"/>
      <c r="M444" s="131"/>
      <c r="N444" s="131"/>
      <c r="O444" s="131"/>
      <c r="P444" s="131"/>
      <c r="Q444" s="131"/>
      <c r="AB444" s="33"/>
    </row>
    <row r="445" spans="1:28" ht="15.75" customHeight="1" x14ac:dyDescent="0.35">
      <c r="A445" s="149"/>
      <c r="B445" s="33"/>
      <c r="C445" s="150"/>
      <c r="D445" s="150"/>
      <c r="E445" s="151"/>
      <c r="F445" s="131"/>
      <c r="G445" s="131"/>
      <c r="M445" s="131"/>
      <c r="N445" s="131"/>
      <c r="O445" s="131"/>
      <c r="P445" s="131"/>
      <c r="Q445" s="131"/>
      <c r="AB445" s="33"/>
    </row>
    <row r="446" spans="1:28" ht="15.75" customHeight="1" x14ac:dyDescent="0.35">
      <c r="A446" s="149"/>
      <c r="B446" s="33"/>
      <c r="C446" s="150"/>
      <c r="D446" s="150"/>
      <c r="E446" s="151"/>
      <c r="F446" s="131"/>
      <c r="G446" s="131"/>
      <c r="M446" s="131"/>
      <c r="N446" s="131"/>
      <c r="O446" s="131"/>
      <c r="P446" s="131"/>
      <c r="Q446" s="131"/>
      <c r="AB446" s="33"/>
    </row>
    <row r="447" spans="1:28" ht="15.75" customHeight="1" x14ac:dyDescent="0.35">
      <c r="A447" s="149"/>
      <c r="B447" s="33"/>
      <c r="C447" s="150"/>
      <c r="D447" s="150"/>
      <c r="E447" s="151"/>
      <c r="F447" s="131"/>
      <c r="G447" s="131"/>
      <c r="M447" s="131"/>
      <c r="N447" s="131"/>
      <c r="O447" s="131"/>
      <c r="P447" s="131"/>
      <c r="Q447" s="131"/>
      <c r="AB447" s="33"/>
    </row>
    <row r="448" spans="1:28" ht="15.75" customHeight="1" x14ac:dyDescent="0.35">
      <c r="A448" s="149"/>
      <c r="B448" s="33"/>
      <c r="C448" s="150"/>
      <c r="D448" s="150"/>
      <c r="E448" s="151"/>
      <c r="F448" s="131"/>
      <c r="G448" s="131"/>
      <c r="M448" s="131"/>
      <c r="N448" s="131"/>
      <c r="O448" s="131"/>
      <c r="P448" s="131"/>
      <c r="Q448" s="131"/>
      <c r="AB448" s="33"/>
    </row>
    <row r="449" spans="1:28" ht="15.75" customHeight="1" x14ac:dyDescent="0.35">
      <c r="A449" s="149"/>
      <c r="B449" s="33"/>
      <c r="C449" s="150"/>
      <c r="D449" s="150"/>
      <c r="E449" s="151"/>
      <c r="F449" s="131"/>
      <c r="G449" s="131"/>
      <c r="M449" s="131"/>
      <c r="N449" s="131"/>
      <c r="O449" s="131"/>
      <c r="P449" s="131"/>
      <c r="Q449" s="131"/>
      <c r="AB449" s="33"/>
    </row>
    <row r="450" spans="1:28" ht="15.75" customHeight="1" x14ac:dyDescent="0.35">
      <c r="A450" s="149"/>
      <c r="B450" s="33"/>
      <c r="C450" s="150"/>
      <c r="D450" s="150"/>
      <c r="E450" s="151"/>
      <c r="F450" s="131"/>
      <c r="G450" s="131"/>
      <c r="M450" s="131"/>
      <c r="N450" s="131"/>
      <c r="O450" s="131"/>
      <c r="P450" s="131"/>
      <c r="Q450" s="131"/>
      <c r="AB450" s="33"/>
    </row>
    <row r="451" spans="1:28" ht="15.75" customHeight="1" x14ac:dyDescent="0.35">
      <c r="A451" s="149"/>
      <c r="B451" s="33"/>
      <c r="C451" s="150"/>
      <c r="D451" s="150"/>
      <c r="E451" s="151"/>
      <c r="F451" s="131"/>
      <c r="G451" s="131"/>
      <c r="M451" s="131"/>
      <c r="N451" s="131"/>
      <c r="O451" s="131"/>
      <c r="P451" s="131"/>
      <c r="Q451" s="131"/>
      <c r="AB451" s="33"/>
    </row>
    <row r="452" spans="1:28" ht="15.75" customHeight="1" x14ac:dyDescent="0.35">
      <c r="A452" s="149"/>
      <c r="B452" s="33"/>
      <c r="C452" s="150"/>
      <c r="D452" s="150"/>
      <c r="E452" s="151"/>
      <c r="F452" s="131"/>
      <c r="G452" s="131"/>
      <c r="M452" s="131"/>
      <c r="N452" s="131"/>
      <c r="O452" s="131"/>
      <c r="P452" s="131"/>
      <c r="Q452" s="131"/>
      <c r="AB452" s="33"/>
    </row>
    <row r="453" spans="1:28" ht="15.75" customHeight="1" x14ac:dyDescent="0.35">
      <c r="A453" s="149"/>
      <c r="B453" s="33"/>
      <c r="C453" s="150"/>
      <c r="D453" s="150"/>
      <c r="E453" s="151"/>
      <c r="F453" s="131"/>
      <c r="G453" s="131"/>
      <c r="M453" s="131"/>
      <c r="N453" s="131"/>
      <c r="O453" s="131"/>
      <c r="P453" s="131"/>
      <c r="Q453" s="131"/>
      <c r="AB453" s="33"/>
    </row>
    <row r="454" spans="1:28" ht="15.75" customHeight="1" x14ac:dyDescent="0.35">
      <c r="A454" s="149"/>
      <c r="B454" s="33"/>
      <c r="C454" s="150"/>
      <c r="D454" s="150"/>
      <c r="E454" s="151"/>
      <c r="F454" s="131"/>
      <c r="G454" s="131"/>
      <c r="M454" s="131"/>
      <c r="N454" s="131"/>
      <c r="O454" s="131"/>
      <c r="P454" s="131"/>
      <c r="Q454" s="131"/>
      <c r="AB454" s="33"/>
    </row>
    <row r="455" spans="1:28" ht="15.75" customHeight="1" x14ac:dyDescent="0.35">
      <c r="A455" s="149"/>
      <c r="B455" s="33"/>
      <c r="C455" s="150"/>
      <c r="D455" s="150"/>
      <c r="E455" s="151"/>
      <c r="F455" s="131"/>
      <c r="G455" s="131"/>
      <c r="M455" s="131"/>
      <c r="N455" s="131"/>
      <c r="O455" s="131"/>
      <c r="P455" s="131"/>
      <c r="Q455" s="131"/>
      <c r="AB455" s="33"/>
    </row>
    <row r="456" spans="1:28" ht="15.75" customHeight="1" x14ac:dyDescent="0.35">
      <c r="A456" s="149"/>
      <c r="B456" s="33"/>
      <c r="C456" s="150"/>
      <c r="D456" s="150"/>
      <c r="E456" s="151"/>
      <c r="F456" s="131"/>
      <c r="G456" s="131"/>
      <c r="M456" s="131"/>
      <c r="N456" s="131"/>
      <c r="O456" s="131"/>
      <c r="P456" s="131"/>
      <c r="Q456" s="131"/>
      <c r="AB456" s="33"/>
    </row>
    <row r="457" spans="1:28" ht="15.75" customHeight="1" x14ac:dyDescent="0.35">
      <c r="A457" s="149"/>
      <c r="B457" s="33"/>
      <c r="C457" s="150"/>
      <c r="D457" s="150"/>
      <c r="E457" s="151"/>
      <c r="F457" s="131"/>
      <c r="G457" s="131"/>
      <c r="M457" s="131"/>
      <c r="N457" s="131"/>
      <c r="O457" s="131"/>
      <c r="P457" s="131"/>
      <c r="Q457" s="131"/>
      <c r="AB457" s="33"/>
    </row>
    <row r="458" spans="1:28" ht="15.75" customHeight="1" x14ac:dyDescent="0.35">
      <c r="A458" s="149"/>
      <c r="B458" s="33"/>
      <c r="C458" s="150"/>
      <c r="D458" s="150"/>
      <c r="E458" s="151"/>
      <c r="F458" s="131"/>
      <c r="G458" s="131"/>
      <c r="M458" s="131"/>
      <c r="N458" s="131"/>
      <c r="O458" s="131"/>
      <c r="P458" s="131"/>
      <c r="Q458" s="131"/>
      <c r="AB458" s="33"/>
    </row>
    <row r="459" spans="1:28" ht="15.75" customHeight="1" x14ac:dyDescent="0.35">
      <c r="A459" s="149"/>
      <c r="B459" s="33"/>
      <c r="C459" s="150"/>
      <c r="D459" s="150"/>
      <c r="E459" s="151"/>
      <c r="F459" s="131"/>
      <c r="G459" s="131"/>
      <c r="M459" s="131"/>
      <c r="N459" s="131"/>
      <c r="O459" s="131"/>
      <c r="P459" s="131"/>
      <c r="Q459" s="131"/>
      <c r="AB459" s="33"/>
    </row>
    <row r="460" spans="1:28" ht="15.75" customHeight="1" x14ac:dyDescent="0.35">
      <c r="A460" s="149"/>
      <c r="B460" s="33"/>
      <c r="C460" s="150"/>
      <c r="D460" s="150"/>
      <c r="E460" s="151"/>
      <c r="F460" s="131"/>
      <c r="G460" s="131"/>
      <c r="M460" s="131"/>
      <c r="N460" s="131"/>
      <c r="O460" s="131"/>
      <c r="P460" s="131"/>
      <c r="Q460" s="131"/>
      <c r="AB460" s="33"/>
    </row>
    <row r="461" spans="1:28" ht="15.75" customHeight="1" x14ac:dyDescent="0.35">
      <c r="A461" s="149"/>
      <c r="B461" s="33"/>
      <c r="C461" s="150"/>
      <c r="D461" s="150"/>
      <c r="E461" s="151"/>
      <c r="F461" s="131"/>
      <c r="G461" s="131"/>
      <c r="M461" s="131"/>
      <c r="N461" s="131"/>
      <c r="O461" s="131"/>
      <c r="P461" s="131"/>
      <c r="Q461" s="131"/>
      <c r="AB461" s="33"/>
    </row>
    <row r="462" spans="1:28" ht="15.75" customHeight="1" x14ac:dyDescent="0.35">
      <c r="A462" s="149"/>
      <c r="B462" s="33"/>
      <c r="C462" s="150"/>
      <c r="D462" s="150"/>
      <c r="E462" s="151"/>
      <c r="F462" s="131"/>
      <c r="G462" s="131"/>
      <c r="M462" s="131"/>
      <c r="N462" s="131"/>
      <c r="O462" s="131"/>
      <c r="P462" s="131"/>
      <c r="Q462" s="131"/>
      <c r="AB462" s="33"/>
    </row>
    <row r="463" spans="1:28" ht="15.75" customHeight="1" x14ac:dyDescent="0.35">
      <c r="A463" s="149"/>
      <c r="B463" s="33"/>
      <c r="C463" s="150"/>
      <c r="D463" s="150"/>
      <c r="E463" s="151"/>
      <c r="F463" s="131"/>
      <c r="G463" s="131"/>
      <c r="M463" s="131"/>
      <c r="N463" s="131"/>
      <c r="O463" s="131"/>
      <c r="P463" s="131"/>
      <c r="Q463" s="131"/>
      <c r="AB463" s="33"/>
    </row>
    <row r="464" spans="1:28" ht="15.75" customHeight="1" x14ac:dyDescent="0.35">
      <c r="A464" s="149"/>
      <c r="B464" s="33"/>
      <c r="C464" s="150"/>
      <c r="D464" s="150"/>
      <c r="E464" s="151"/>
      <c r="F464" s="131"/>
      <c r="G464" s="131"/>
      <c r="M464" s="131"/>
      <c r="N464" s="131"/>
      <c r="O464" s="131"/>
      <c r="P464" s="131"/>
      <c r="Q464" s="131"/>
      <c r="AB464" s="33"/>
    </row>
    <row r="465" spans="1:28" ht="15.75" customHeight="1" x14ac:dyDescent="0.35">
      <c r="A465" s="149"/>
      <c r="B465" s="33"/>
      <c r="C465" s="150"/>
      <c r="D465" s="150"/>
      <c r="E465" s="151"/>
      <c r="F465" s="131"/>
      <c r="G465" s="131"/>
      <c r="M465" s="131"/>
      <c r="N465" s="131"/>
      <c r="O465" s="131"/>
      <c r="P465" s="131"/>
      <c r="Q465" s="131"/>
      <c r="AB465" s="33"/>
    </row>
    <row r="466" spans="1:28" ht="15.75" customHeight="1" x14ac:dyDescent="0.35">
      <c r="A466" s="149"/>
      <c r="B466" s="33"/>
      <c r="C466" s="150"/>
      <c r="D466" s="150"/>
      <c r="E466" s="151"/>
      <c r="F466" s="131"/>
      <c r="G466" s="131"/>
      <c r="M466" s="131"/>
      <c r="N466" s="131"/>
      <c r="O466" s="131"/>
      <c r="P466" s="131"/>
      <c r="Q466" s="131"/>
      <c r="AB466" s="33"/>
    </row>
    <row r="467" spans="1:28" ht="15.75" customHeight="1" x14ac:dyDescent="0.35">
      <c r="A467" s="149"/>
      <c r="B467" s="33"/>
      <c r="C467" s="150"/>
      <c r="D467" s="150"/>
      <c r="E467" s="151"/>
      <c r="F467" s="131"/>
      <c r="G467" s="131"/>
      <c r="M467" s="131"/>
      <c r="N467" s="131"/>
      <c r="O467" s="131"/>
      <c r="P467" s="131"/>
      <c r="Q467" s="131"/>
      <c r="AB467" s="33"/>
    </row>
    <row r="468" spans="1:28" ht="15.75" customHeight="1" x14ac:dyDescent="0.35">
      <c r="A468" s="149"/>
      <c r="B468" s="33"/>
      <c r="C468" s="150"/>
      <c r="D468" s="150"/>
      <c r="E468" s="151"/>
      <c r="F468" s="131"/>
      <c r="G468" s="131"/>
      <c r="M468" s="131"/>
      <c r="N468" s="131"/>
      <c r="O468" s="131"/>
      <c r="P468" s="131"/>
      <c r="Q468" s="131"/>
      <c r="AB468" s="33"/>
    </row>
    <row r="469" spans="1:28" ht="15.75" customHeight="1" x14ac:dyDescent="0.35">
      <c r="A469" s="149"/>
      <c r="B469" s="33"/>
      <c r="C469" s="150"/>
      <c r="D469" s="150"/>
      <c r="E469" s="151"/>
      <c r="F469" s="131"/>
      <c r="G469" s="131"/>
      <c r="M469" s="131"/>
      <c r="N469" s="131"/>
      <c r="O469" s="131"/>
      <c r="P469" s="131"/>
      <c r="Q469" s="131"/>
      <c r="AB469" s="33"/>
    </row>
    <row r="470" spans="1:28" ht="15.75" customHeight="1" x14ac:dyDescent="0.35">
      <c r="A470" s="149"/>
      <c r="B470" s="33"/>
      <c r="C470" s="150"/>
      <c r="D470" s="150"/>
      <c r="E470" s="151"/>
      <c r="F470" s="131"/>
      <c r="G470" s="131"/>
      <c r="M470" s="131"/>
      <c r="N470" s="131"/>
      <c r="O470" s="131"/>
      <c r="P470" s="131"/>
      <c r="Q470" s="131"/>
      <c r="AB470" s="33"/>
    </row>
    <row r="471" spans="1:28" ht="15.75" customHeight="1" x14ac:dyDescent="0.35">
      <c r="A471" s="149"/>
      <c r="B471" s="33"/>
      <c r="C471" s="150"/>
      <c r="D471" s="150"/>
      <c r="E471" s="151"/>
      <c r="F471" s="131"/>
      <c r="G471" s="131"/>
      <c r="M471" s="131"/>
      <c r="N471" s="131"/>
      <c r="O471" s="131"/>
      <c r="P471" s="131"/>
      <c r="Q471" s="131"/>
      <c r="AB471" s="33"/>
    </row>
    <row r="472" spans="1:28" ht="15.75" customHeight="1" x14ac:dyDescent="0.35">
      <c r="A472" s="149"/>
      <c r="B472" s="33"/>
      <c r="C472" s="150"/>
      <c r="D472" s="150"/>
      <c r="E472" s="151"/>
      <c r="F472" s="131"/>
      <c r="G472" s="131"/>
      <c r="M472" s="131"/>
      <c r="N472" s="131"/>
      <c r="O472" s="131"/>
      <c r="P472" s="131"/>
      <c r="Q472" s="131"/>
      <c r="AB472" s="33"/>
    </row>
    <row r="473" spans="1:28" ht="15.75" customHeight="1" x14ac:dyDescent="0.35">
      <c r="A473" s="149"/>
      <c r="B473" s="33"/>
      <c r="C473" s="150"/>
      <c r="D473" s="150"/>
      <c r="E473" s="151"/>
      <c r="F473" s="131"/>
      <c r="G473" s="131"/>
      <c r="M473" s="131"/>
      <c r="N473" s="131"/>
      <c r="O473" s="131"/>
      <c r="P473" s="131"/>
      <c r="Q473" s="131"/>
      <c r="AB473" s="33"/>
    </row>
    <row r="474" spans="1:28" ht="15.75" customHeight="1" x14ac:dyDescent="0.35">
      <c r="A474" s="149"/>
      <c r="B474" s="33"/>
      <c r="C474" s="150"/>
      <c r="D474" s="150"/>
      <c r="E474" s="151"/>
      <c r="F474" s="131"/>
      <c r="G474" s="131"/>
      <c r="M474" s="131"/>
      <c r="N474" s="131"/>
      <c r="O474" s="131"/>
      <c r="P474" s="131"/>
      <c r="Q474" s="131"/>
      <c r="AB474" s="33"/>
    </row>
    <row r="475" spans="1:28" ht="15.75" customHeight="1" x14ac:dyDescent="0.35">
      <c r="A475" s="149"/>
      <c r="B475" s="33"/>
      <c r="C475" s="150"/>
      <c r="D475" s="150"/>
      <c r="E475" s="151"/>
      <c r="F475" s="131"/>
      <c r="G475" s="131"/>
      <c r="M475" s="131"/>
      <c r="N475" s="131"/>
      <c r="O475" s="131"/>
      <c r="P475" s="131"/>
      <c r="Q475" s="131"/>
      <c r="AB475" s="33"/>
    </row>
    <row r="476" spans="1:28" ht="15.75" customHeight="1" x14ac:dyDescent="0.35">
      <c r="A476" s="149"/>
      <c r="B476" s="33"/>
      <c r="C476" s="150"/>
      <c r="D476" s="150"/>
      <c r="E476" s="151"/>
      <c r="F476" s="131"/>
      <c r="G476" s="131"/>
      <c r="M476" s="131"/>
      <c r="N476" s="131"/>
      <c r="O476" s="131"/>
      <c r="P476" s="131"/>
      <c r="Q476" s="131"/>
      <c r="AB476" s="33"/>
    </row>
    <row r="477" spans="1:28" ht="15.75" customHeight="1" x14ac:dyDescent="0.35">
      <c r="A477" s="149"/>
      <c r="B477" s="33"/>
      <c r="C477" s="150"/>
      <c r="D477" s="150"/>
      <c r="E477" s="151"/>
      <c r="F477" s="131"/>
      <c r="G477" s="131"/>
      <c r="M477" s="131"/>
      <c r="N477" s="131"/>
      <c r="O477" s="131"/>
      <c r="P477" s="131"/>
      <c r="Q477" s="131"/>
      <c r="AB477" s="33"/>
    </row>
    <row r="478" spans="1:28" ht="15.75" customHeight="1" x14ac:dyDescent="0.35">
      <c r="A478" s="149"/>
      <c r="B478" s="33"/>
      <c r="C478" s="150"/>
      <c r="D478" s="150"/>
      <c r="E478" s="151"/>
      <c r="F478" s="131"/>
      <c r="G478" s="131"/>
      <c r="M478" s="131"/>
      <c r="N478" s="131"/>
      <c r="O478" s="131"/>
      <c r="P478" s="131"/>
      <c r="Q478" s="131"/>
      <c r="AB478" s="33"/>
    </row>
    <row r="479" spans="1:28" ht="15.75" customHeight="1" x14ac:dyDescent="0.35">
      <c r="A479" s="149"/>
      <c r="B479" s="33"/>
      <c r="C479" s="150"/>
      <c r="D479" s="150"/>
      <c r="E479" s="151"/>
      <c r="F479" s="131"/>
      <c r="G479" s="131"/>
      <c r="M479" s="131"/>
      <c r="N479" s="131"/>
      <c r="O479" s="131"/>
      <c r="P479" s="131"/>
      <c r="Q479" s="131"/>
      <c r="AB479" s="33"/>
    </row>
    <row r="480" spans="1:28" ht="15.75" customHeight="1" x14ac:dyDescent="0.35">
      <c r="A480" s="149"/>
      <c r="B480" s="33"/>
      <c r="C480" s="150"/>
      <c r="D480" s="150"/>
      <c r="E480" s="151"/>
      <c r="F480" s="131"/>
      <c r="G480" s="131"/>
      <c r="M480" s="131"/>
      <c r="N480" s="131"/>
      <c r="O480" s="131"/>
      <c r="P480" s="131"/>
      <c r="Q480" s="131"/>
      <c r="AB480" s="33"/>
    </row>
    <row r="481" spans="1:28" ht="15.75" customHeight="1" x14ac:dyDescent="0.35">
      <c r="A481" s="149"/>
      <c r="B481" s="33"/>
      <c r="C481" s="150"/>
      <c r="D481" s="150"/>
      <c r="E481" s="151"/>
      <c r="F481" s="131"/>
      <c r="G481" s="131"/>
      <c r="M481" s="131"/>
      <c r="N481" s="131"/>
      <c r="O481" s="131"/>
      <c r="P481" s="131"/>
      <c r="Q481" s="131"/>
      <c r="AB481" s="33"/>
    </row>
    <row r="482" spans="1:28" ht="15.75" customHeight="1" x14ac:dyDescent="0.35">
      <c r="A482" s="149"/>
      <c r="B482" s="33"/>
      <c r="C482" s="150"/>
      <c r="D482" s="150"/>
      <c r="E482" s="151"/>
      <c r="F482" s="131"/>
      <c r="G482" s="131"/>
      <c r="M482" s="131"/>
      <c r="N482" s="131"/>
      <c r="O482" s="131"/>
      <c r="P482" s="131"/>
      <c r="Q482" s="131"/>
      <c r="AB482" s="33"/>
    </row>
    <row r="483" spans="1:28" ht="15.75" customHeight="1" x14ac:dyDescent="0.35">
      <c r="A483" s="149"/>
      <c r="B483" s="33"/>
      <c r="C483" s="150"/>
      <c r="D483" s="150"/>
      <c r="E483" s="151"/>
      <c r="F483" s="131"/>
      <c r="G483" s="131"/>
      <c r="M483" s="131"/>
      <c r="N483" s="131"/>
      <c r="O483" s="131"/>
      <c r="P483" s="131"/>
      <c r="Q483" s="131"/>
      <c r="AB483" s="33"/>
    </row>
    <row r="484" spans="1:28" ht="15.75" customHeight="1" x14ac:dyDescent="0.35">
      <c r="A484" s="149"/>
      <c r="B484" s="33"/>
      <c r="C484" s="150"/>
      <c r="D484" s="150"/>
      <c r="E484" s="151"/>
      <c r="F484" s="131"/>
      <c r="G484" s="131"/>
      <c r="M484" s="131"/>
      <c r="N484" s="131"/>
      <c r="O484" s="131"/>
      <c r="P484" s="131"/>
      <c r="Q484" s="131"/>
      <c r="AB484" s="33"/>
    </row>
    <row r="485" spans="1:28" ht="15.75" customHeight="1" x14ac:dyDescent="0.35">
      <c r="A485" s="149"/>
      <c r="B485" s="33"/>
      <c r="C485" s="150"/>
      <c r="D485" s="150"/>
      <c r="E485" s="151"/>
      <c r="F485" s="131"/>
      <c r="G485" s="131"/>
      <c r="M485" s="131"/>
      <c r="N485" s="131"/>
      <c r="O485" s="131"/>
      <c r="P485" s="131"/>
      <c r="Q485" s="131"/>
      <c r="AB485" s="33"/>
    </row>
    <row r="486" spans="1:28" ht="15.75" customHeight="1" x14ac:dyDescent="0.35">
      <c r="A486" s="149"/>
      <c r="B486" s="33"/>
      <c r="C486" s="150"/>
      <c r="D486" s="150"/>
      <c r="E486" s="151"/>
      <c r="F486" s="131"/>
      <c r="G486" s="131"/>
      <c r="M486" s="131"/>
      <c r="N486" s="131"/>
      <c r="O486" s="131"/>
      <c r="P486" s="131"/>
      <c r="Q486" s="131"/>
      <c r="AB486" s="33"/>
    </row>
    <row r="487" spans="1:28" ht="15.75" customHeight="1" x14ac:dyDescent="0.35">
      <c r="A487" s="149"/>
      <c r="B487" s="33"/>
      <c r="C487" s="150"/>
      <c r="D487" s="150"/>
      <c r="E487" s="151"/>
      <c r="F487" s="131"/>
      <c r="G487" s="131"/>
      <c r="M487" s="131"/>
      <c r="N487" s="131"/>
      <c r="O487" s="131"/>
      <c r="P487" s="131"/>
      <c r="Q487" s="131"/>
      <c r="AB487" s="33"/>
    </row>
    <row r="488" spans="1:28" ht="15.75" customHeight="1" x14ac:dyDescent="0.35">
      <c r="A488" s="149"/>
      <c r="B488" s="33"/>
      <c r="C488" s="150"/>
      <c r="D488" s="150"/>
      <c r="E488" s="151"/>
      <c r="F488" s="131"/>
      <c r="G488" s="131"/>
      <c r="M488" s="131"/>
      <c r="N488" s="131"/>
      <c r="O488" s="131"/>
      <c r="P488" s="131"/>
      <c r="Q488" s="131"/>
      <c r="AB488" s="33"/>
    </row>
    <row r="489" spans="1:28" ht="15.75" customHeight="1" x14ac:dyDescent="0.35">
      <c r="A489" s="149"/>
      <c r="B489" s="33"/>
      <c r="C489" s="150"/>
      <c r="D489" s="150"/>
      <c r="E489" s="151"/>
      <c r="F489" s="131"/>
      <c r="G489" s="131"/>
      <c r="M489" s="131"/>
      <c r="N489" s="131"/>
      <c r="O489" s="131"/>
      <c r="P489" s="131"/>
      <c r="Q489" s="131"/>
      <c r="AB489" s="33"/>
    </row>
    <row r="490" spans="1:28" ht="15.75" customHeight="1" x14ac:dyDescent="0.35">
      <c r="A490" s="149"/>
      <c r="B490" s="33"/>
      <c r="C490" s="150"/>
      <c r="D490" s="150"/>
      <c r="E490" s="151"/>
      <c r="F490" s="131"/>
      <c r="G490" s="131"/>
      <c r="M490" s="131"/>
      <c r="N490" s="131"/>
      <c r="O490" s="131"/>
      <c r="P490" s="131"/>
      <c r="Q490" s="131"/>
      <c r="AB490" s="33"/>
    </row>
    <row r="491" spans="1:28" ht="15.75" customHeight="1" x14ac:dyDescent="0.35">
      <c r="A491" s="149"/>
      <c r="B491" s="33"/>
      <c r="C491" s="150"/>
      <c r="D491" s="150"/>
      <c r="E491" s="151"/>
      <c r="F491" s="131"/>
      <c r="G491" s="131"/>
      <c r="M491" s="131"/>
      <c r="N491" s="131"/>
      <c r="O491" s="131"/>
      <c r="P491" s="131"/>
      <c r="Q491" s="131"/>
      <c r="AB491" s="33"/>
    </row>
    <row r="492" spans="1:28" ht="15.75" customHeight="1" x14ac:dyDescent="0.35">
      <c r="A492" s="149"/>
      <c r="B492" s="33"/>
      <c r="C492" s="150"/>
      <c r="D492" s="150"/>
      <c r="E492" s="151"/>
      <c r="F492" s="131"/>
      <c r="G492" s="131"/>
      <c r="M492" s="131"/>
      <c r="N492" s="131"/>
      <c r="O492" s="131"/>
      <c r="P492" s="131"/>
      <c r="Q492" s="131"/>
      <c r="AB492" s="33"/>
    </row>
    <row r="493" spans="1:28" ht="15.75" customHeight="1" x14ac:dyDescent="0.35">
      <c r="A493" s="149"/>
      <c r="B493" s="33"/>
      <c r="C493" s="150"/>
      <c r="D493" s="150"/>
      <c r="E493" s="151"/>
      <c r="F493" s="131"/>
      <c r="G493" s="131"/>
      <c r="M493" s="131"/>
      <c r="N493" s="131"/>
      <c r="O493" s="131"/>
      <c r="P493" s="131"/>
      <c r="Q493" s="131"/>
      <c r="AB493" s="33"/>
    </row>
    <row r="494" spans="1:28" ht="15.75" customHeight="1" x14ac:dyDescent="0.35">
      <c r="A494" s="149"/>
      <c r="B494" s="33"/>
      <c r="C494" s="150"/>
      <c r="D494" s="150"/>
      <c r="E494" s="151"/>
      <c r="F494" s="131"/>
      <c r="G494" s="131"/>
      <c r="M494" s="131"/>
      <c r="N494" s="131"/>
      <c r="O494" s="131"/>
      <c r="P494" s="131"/>
      <c r="Q494" s="131"/>
      <c r="AB494" s="33"/>
    </row>
    <row r="495" spans="1:28" ht="15.75" customHeight="1" x14ac:dyDescent="0.35">
      <c r="A495" s="149"/>
      <c r="B495" s="33"/>
      <c r="C495" s="150"/>
      <c r="D495" s="150"/>
      <c r="E495" s="151"/>
      <c r="F495" s="131"/>
      <c r="G495" s="131"/>
      <c r="M495" s="131"/>
      <c r="N495" s="131"/>
      <c r="O495" s="131"/>
      <c r="P495" s="131"/>
      <c r="Q495" s="131"/>
      <c r="AB495" s="33"/>
    </row>
    <row r="496" spans="1:28" ht="15.75" customHeight="1" x14ac:dyDescent="0.35">
      <c r="A496" s="149"/>
      <c r="B496" s="33"/>
      <c r="C496" s="150"/>
      <c r="D496" s="150"/>
      <c r="E496" s="151"/>
      <c r="F496" s="131"/>
      <c r="G496" s="131"/>
      <c r="M496" s="131"/>
      <c r="N496" s="131"/>
      <c r="O496" s="131"/>
      <c r="P496" s="131"/>
      <c r="Q496" s="131"/>
      <c r="AB496" s="33"/>
    </row>
    <row r="497" spans="1:28" ht="15.75" customHeight="1" x14ac:dyDescent="0.35">
      <c r="A497" s="149"/>
      <c r="B497" s="33"/>
      <c r="C497" s="150"/>
      <c r="D497" s="150"/>
      <c r="E497" s="151"/>
      <c r="F497" s="131"/>
      <c r="G497" s="131"/>
      <c r="M497" s="131"/>
      <c r="N497" s="131"/>
      <c r="O497" s="131"/>
      <c r="P497" s="131"/>
      <c r="Q497" s="131"/>
      <c r="AB497" s="33"/>
    </row>
    <row r="498" spans="1:28" ht="15.75" customHeight="1" x14ac:dyDescent="0.35">
      <c r="A498" s="149"/>
      <c r="B498" s="33"/>
      <c r="C498" s="150"/>
      <c r="D498" s="150"/>
      <c r="E498" s="151"/>
      <c r="F498" s="131"/>
      <c r="G498" s="131"/>
      <c r="M498" s="131"/>
      <c r="N498" s="131"/>
      <c r="O498" s="131"/>
      <c r="P498" s="131"/>
      <c r="Q498" s="131"/>
      <c r="AB498" s="33"/>
    </row>
    <row r="499" spans="1:28" ht="15.75" customHeight="1" x14ac:dyDescent="0.35">
      <c r="A499" s="149"/>
      <c r="B499" s="33"/>
      <c r="C499" s="150"/>
      <c r="D499" s="150"/>
      <c r="E499" s="151"/>
      <c r="F499" s="131"/>
      <c r="G499" s="131"/>
      <c r="M499" s="131"/>
      <c r="N499" s="131"/>
      <c r="O499" s="131"/>
      <c r="P499" s="131"/>
      <c r="Q499" s="131"/>
      <c r="AB499" s="33"/>
    </row>
    <row r="500" spans="1:28" ht="15.75" customHeight="1" x14ac:dyDescent="0.35">
      <c r="A500" s="149"/>
      <c r="B500" s="33"/>
      <c r="C500" s="150"/>
      <c r="D500" s="150"/>
      <c r="E500" s="151"/>
      <c r="F500" s="131"/>
      <c r="G500" s="131"/>
      <c r="M500" s="131"/>
      <c r="N500" s="131"/>
      <c r="O500" s="131"/>
      <c r="P500" s="131"/>
      <c r="Q500" s="131"/>
      <c r="AB500" s="33"/>
    </row>
    <row r="501" spans="1:28" ht="15.75" customHeight="1" x14ac:dyDescent="0.35">
      <c r="A501" s="149"/>
      <c r="B501" s="33"/>
      <c r="C501" s="150"/>
      <c r="D501" s="150"/>
      <c r="E501" s="151"/>
      <c r="F501" s="131"/>
      <c r="G501" s="131"/>
      <c r="M501" s="131"/>
      <c r="N501" s="131"/>
      <c r="O501" s="131"/>
      <c r="P501" s="131"/>
      <c r="Q501" s="131"/>
      <c r="AB501" s="33"/>
    </row>
    <row r="502" spans="1:28" ht="15.75" customHeight="1" x14ac:dyDescent="0.35">
      <c r="A502" s="149"/>
      <c r="B502" s="33"/>
      <c r="C502" s="150"/>
      <c r="D502" s="150"/>
      <c r="E502" s="151"/>
      <c r="F502" s="131"/>
      <c r="G502" s="131"/>
      <c r="M502" s="131"/>
      <c r="N502" s="131"/>
      <c r="O502" s="131"/>
      <c r="P502" s="131"/>
      <c r="Q502" s="131"/>
      <c r="AB502" s="33"/>
    </row>
    <row r="503" spans="1:28" ht="15.75" customHeight="1" x14ac:dyDescent="0.35">
      <c r="A503" s="149"/>
      <c r="B503" s="33"/>
      <c r="C503" s="150"/>
      <c r="D503" s="150"/>
      <c r="E503" s="151"/>
      <c r="F503" s="131"/>
      <c r="G503" s="131"/>
      <c r="M503" s="131"/>
      <c r="N503" s="131"/>
      <c r="O503" s="131"/>
      <c r="P503" s="131"/>
      <c r="Q503" s="131"/>
      <c r="AB503" s="33"/>
    </row>
    <row r="504" spans="1:28" ht="15.75" customHeight="1" x14ac:dyDescent="0.35">
      <c r="A504" s="149"/>
      <c r="B504" s="33"/>
      <c r="C504" s="150"/>
      <c r="D504" s="150"/>
      <c r="E504" s="151"/>
      <c r="F504" s="131"/>
      <c r="G504" s="131"/>
      <c r="M504" s="131"/>
      <c r="N504" s="131"/>
      <c r="O504" s="131"/>
      <c r="P504" s="131"/>
      <c r="Q504" s="131"/>
      <c r="AB504" s="33"/>
    </row>
    <row r="505" spans="1:28" ht="15.75" customHeight="1" x14ac:dyDescent="0.35">
      <c r="A505" s="149"/>
      <c r="B505" s="33"/>
      <c r="C505" s="150"/>
      <c r="D505" s="150"/>
      <c r="E505" s="151"/>
      <c r="F505" s="131"/>
      <c r="G505" s="131"/>
      <c r="M505" s="131"/>
      <c r="N505" s="131"/>
      <c r="O505" s="131"/>
      <c r="P505" s="131"/>
      <c r="Q505" s="131"/>
      <c r="AB505" s="33"/>
    </row>
    <row r="506" spans="1:28" ht="15.75" customHeight="1" x14ac:dyDescent="0.35">
      <c r="A506" s="149"/>
      <c r="B506" s="33"/>
      <c r="C506" s="150"/>
      <c r="D506" s="150"/>
      <c r="E506" s="151"/>
      <c r="F506" s="131"/>
      <c r="G506" s="131"/>
      <c r="M506" s="131"/>
      <c r="N506" s="131"/>
      <c r="O506" s="131"/>
      <c r="P506" s="131"/>
      <c r="Q506" s="131"/>
      <c r="AB506" s="33"/>
    </row>
    <row r="507" spans="1:28" ht="15.75" customHeight="1" x14ac:dyDescent="0.35">
      <c r="A507" s="149"/>
      <c r="B507" s="33"/>
      <c r="C507" s="150"/>
      <c r="D507" s="150"/>
      <c r="E507" s="151"/>
      <c r="F507" s="131"/>
      <c r="G507" s="131"/>
      <c r="M507" s="131"/>
      <c r="N507" s="131"/>
      <c r="O507" s="131"/>
      <c r="P507" s="131"/>
      <c r="Q507" s="131"/>
      <c r="AB507" s="33"/>
    </row>
    <row r="508" spans="1:28" ht="15.75" customHeight="1" x14ac:dyDescent="0.35">
      <c r="A508" s="149"/>
      <c r="B508" s="33"/>
      <c r="C508" s="150"/>
      <c r="D508" s="150"/>
      <c r="E508" s="151"/>
      <c r="F508" s="131"/>
      <c r="G508" s="131"/>
      <c r="M508" s="131"/>
      <c r="N508" s="131"/>
      <c r="O508" s="131"/>
      <c r="P508" s="131"/>
      <c r="Q508" s="131"/>
      <c r="AB508" s="33"/>
    </row>
    <row r="509" spans="1:28" ht="15.75" customHeight="1" x14ac:dyDescent="0.35">
      <c r="A509" s="149"/>
      <c r="B509" s="33"/>
      <c r="C509" s="150"/>
      <c r="D509" s="150"/>
      <c r="E509" s="151"/>
      <c r="F509" s="131"/>
      <c r="G509" s="131"/>
      <c r="M509" s="131"/>
      <c r="N509" s="131"/>
      <c r="O509" s="131"/>
      <c r="P509" s="131"/>
      <c r="Q509" s="131"/>
      <c r="AB509" s="33"/>
    </row>
    <row r="510" spans="1:28" ht="15.75" customHeight="1" x14ac:dyDescent="0.35">
      <c r="A510" s="149"/>
      <c r="B510" s="33"/>
      <c r="C510" s="150"/>
      <c r="D510" s="150"/>
      <c r="E510" s="151"/>
      <c r="F510" s="131"/>
      <c r="G510" s="131"/>
      <c r="M510" s="131"/>
      <c r="N510" s="131"/>
      <c r="O510" s="131"/>
      <c r="P510" s="131"/>
      <c r="Q510" s="131"/>
      <c r="AB510" s="33"/>
    </row>
    <row r="511" spans="1:28" ht="15.75" customHeight="1" x14ac:dyDescent="0.35">
      <c r="A511" s="149"/>
      <c r="B511" s="33"/>
      <c r="C511" s="150"/>
      <c r="D511" s="150"/>
      <c r="E511" s="151"/>
      <c r="F511" s="131"/>
      <c r="G511" s="131"/>
      <c r="M511" s="131"/>
      <c r="N511" s="131"/>
      <c r="O511" s="131"/>
      <c r="P511" s="131"/>
      <c r="Q511" s="131"/>
      <c r="AB511" s="33"/>
    </row>
    <row r="512" spans="1:28" ht="15.75" customHeight="1" x14ac:dyDescent="0.35">
      <c r="A512" s="149"/>
      <c r="B512" s="33"/>
      <c r="C512" s="150"/>
      <c r="D512" s="150"/>
      <c r="E512" s="151"/>
      <c r="F512" s="131"/>
      <c r="G512" s="131"/>
      <c r="M512" s="131"/>
      <c r="N512" s="131"/>
      <c r="O512" s="131"/>
      <c r="P512" s="131"/>
      <c r="Q512" s="131"/>
      <c r="AB512" s="33"/>
    </row>
    <row r="513" spans="1:28" ht="15.75" customHeight="1" x14ac:dyDescent="0.35">
      <c r="A513" s="149"/>
      <c r="B513" s="33"/>
      <c r="C513" s="150"/>
      <c r="D513" s="150"/>
      <c r="E513" s="151"/>
      <c r="F513" s="131"/>
      <c r="G513" s="131"/>
      <c r="M513" s="131"/>
      <c r="N513" s="131"/>
      <c r="O513" s="131"/>
      <c r="P513" s="131"/>
      <c r="Q513" s="131"/>
      <c r="AB513" s="33"/>
    </row>
    <row r="514" spans="1:28" ht="15.75" customHeight="1" x14ac:dyDescent="0.35">
      <c r="A514" s="149"/>
      <c r="B514" s="33"/>
      <c r="C514" s="150"/>
      <c r="D514" s="150"/>
      <c r="E514" s="151"/>
      <c r="F514" s="131"/>
      <c r="G514" s="131"/>
      <c r="M514" s="131"/>
      <c r="N514" s="131"/>
      <c r="O514" s="131"/>
      <c r="P514" s="131"/>
      <c r="Q514" s="131"/>
      <c r="AB514" s="33"/>
    </row>
    <row r="515" spans="1:28" ht="15.75" customHeight="1" x14ac:dyDescent="0.35">
      <c r="A515" s="149"/>
      <c r="B515" s="33"/>
      <c r="C515" s="150"/>
      <c r="D515" s="150"/>
      <c r="E515" s="151"/>
      <c r="F515" s="131"/>
      <c r="G515" s="131"/>
      <c r="M515" s="131"/>
      <c r="N515" s="131"/>
      <c r="O515" s="131"/>
      <c r="P515" s="131"/>
      <c r="Q515" s="131"/>
      <c r="AB515" s="33"/>
    </row>
    <row r="516" spans="1:28" ht="15.75" customHeight="1" x14ac:dyDescent="0.35">
      <c r="A516" s="149"/>
      <c r="B516" s="33"/>
      <c r="C516" s="150"/>
      <c r="D516" s="150"/>
      <c r="E516" s="151"/>
      <c r="F516" s="131"/>
      <c r="G516" s="131"/>
      <c r="M516" s="131"/>
      <c r="N516" s="131"/>
      <c r="O516" s="131"/>
      <c r="P516" s="131"/>
      <c r="Q516" s="131"/>
      <c r="AB516" s="33"/>
    </row>
    <row r="517" spans="1:28" ht="15.75" customHeight="1" x14ac:dyDescent="0.35">
      <c r="A517" s="149"/>
      <c r="B517" s="33"/>
      <c r="C517" s="150"/>
      <c r="D517" s="150"/>
      <c r="E517" s="151"/>
      <c r="F517" s="131"/>
      <c r="G517" s="131"/>
      <c r="M517" s="131"/>
      <c r="N517" s="131"/>
      <c r="O517" s="131"/>
      <c r="P517" s="131"/>
      <c r="Q517" s="131"/>
      <c r="AB517" s="33"/>
    </row>
    <row r="518" spans="1:28" ht="15.75" customHeight="1" x14ac:dyDescent="0.35">
      <c r="A518" s="149"/>
      <c r="B518" s="33"/>
      <c r="C518" s="150"/>
      <c r="D518" s="150"/>
      <c r="E518" s="151"/>
      <c r="F518" s="131"/>
      <c r="G518" s="131"/>
      <c r="M518" s="131"/>
      <c r="N518" s="131"/>
      <c r="O518" s="131"/>
      <c r="P518" s="131"/>
      <c r="Q518" s="131"/>
      <c r="AB518" s="33"/>
    </row>
    <row r="519" spans="1:28" ht="15.75" customHeight="1" x14ac:dyDescent="0.35">
      <c r="A519" s="149"/>
      <c r="B519" s="33"/>
      <c r="C519" s="150"/>
      <c r="D519" s="150"/>
      <c r="E519" s="151"/>
      <c r="F519" s="131"/>
      <c r="G519" s="131"/>
      <c r="M519" s="131"/>
      <c r="N519" s="131"/>
      <c r="O519" s="131"/>
      <c r="P519" s="131"/>
      <c r="Q519" s="131"/>
      <c r="AB519" s="33"/>
    </row>
    <row r="520" spans="1:28" ht="15.75" customHeight="1" x14ac:dyDescent="0.35">
      <c r="A520" s="149"/>
      <c r="B520" s="33"/>
      <c r="C520" s="150"/>
      <c r="D520" s="150"/>
      <c r="E520" s="151"/>
      <c r="F520" s="131"/>
      <c r="G520" s="131"/>
      <c r="M520" s="131"/>
      <c r="N520" s="131"/>
      <c r="O520" s="131"/>
      <c r="P520" s="131"/>
      <c r="Q520" s="131"/>
      <c r="AB520" s="33"/>
    </row>
    <row r="521" spans="1:28" ht="15.75" customHeight="1" x14ac:dyDescent="0.35">
      <c r="A521" s="149"/>
      <c r="B521" s="33"/>
      <c r="C521" s="150"/>
      <c r="D521" s="150"/>
      <c r="E521" s="151"/>
      <c r="F521" s="131"/>
      <c r="G521" s="131"/>
      <c r="M521" s="131"/>
      <c r="N521" s="131"/>
      <c r="O521" s="131"/>
      <c r="P521" s="131"/>
      <c r="Q521" s="131"/>
      <c r="AB521" s="33"/>
    </row>
    <row r="522" spans="1:28" ht="15.75" customHeight="1" x14ac:dyDescent="0.35">
      <c r="A522" s="149"/>
      <c r="B522" s="33"/>
      <c r="C522" s="150"/>
      <c r="D522" s="150"/>
      <c r="E522" s="151"/>
      <c r="F522" s="131"/>
      <c r="G522" s="131"/>
      <c r="M522" s="131"/>
      <c r="N522" s="131"/>
      <c r="O522" s="131"/>
      <c r="P522" s="131"/>
      <c r="Q522" s="131"/>
      <c r="AB522" s="33"/>
    </row>
    <row r="523" spans="1:28" ht="15.75" customHeight="1" x14ac:dyDescent="0.35">
      <c r="A523" s="149"/>
      <c r="B523" s="33"/>
      <c r="C523" s="150"/>
      <c r="D523" s="150"/>
      <c r="E523" s="151"/>
      <c r="F523" s="131"/>
      <c r="G523" s="131"/>
      <c r="M523" s="131"/>
      <c r="N523" s="131"/>
      <c r="O523" s="131"/>
      <c r="P523" s="131"/>
      <c r="Q523" s="131"/>
      <c r="AB523" s="33"/>
    </row>
    <row r="524" spans="1:28" ht="15.75" customHeight="1" x14ac:dyDescent="0.35">
      <c r="A524" s="149"/>
      <c r="B524" s="33"/>
      <c r="C524" s="150"/>
      <c r="D524" s="150"/>
      <c r="E524" s="151"/>
      <c r="F524" s="131"/>
      <c r="G524" s="131"/>
      <c r="M524" s="131"/>
      <c r="N524" s="131"/>
      <c r="O524" s="131"/>
      <c r="P524" s="131"/>
      <c r="Q524" s="131"/>
      <c r="AB524" s="33"/>
    </row>
    <row r="525" spans="1:28" ht="15.75" customHeight="1" x14ac:dyDescent="0.35">
      <c r="A525" s="149"/>
      <c r="B525" s="33"/>
      <c r="C525" s="150"/>
      <c r="D525" s="150"/>
      <c r="E525" s="151"/>
      <c r="F525" s="131"/>
      <c r="G525" s="131"/>
      <c r="M525" s="131"/>
      <c r="N525" s="131"/>
      <c r="O525" s="131"/>
      <c r="P525" s="131"/>
      <c r="Q525" s="131"/>
      <c r="AB525" s="33"/>
    </row>
    <row r="526" spans="1:28" ht="15.75" customHeight="1" x14ac:dyDescent="0.35">
      <c r="A526" s="149"/>
      <c r="B526" s="33"/>
      <c r="C526" s="150"/>
      <c r="D526" s="150"/>
      <c r="E526" s="151"/>
      <c r="F526" s="131"/>
      <c r="G526" s="131"/>
      <c r="M526" s="131"/>
      <c r="N526" s="131"/>
      <c r="O526" s="131"/>
      <c r="P526" s="131"/>
      <c r="Q526" s="131"/>
      <c r="AB526" s="33"/>
    </row>
    <row r="527" spans="1:28" ht="15.75" customHeight="1" x14ac:dyDescent="0.35">
      <c r="A527" s="149"/>
      <c r="B527" s="33"/>
      <c r="C527" s="150"/>
      <c r="D527" s="150"/>
      <c r="E527" s="151"/>
      <c r="F527" s="131"/>
      <c r="G527" s="131"/>
      <c r="M527" s="131"/>
      <c r="N527" s="131"/>
      <c r="O527" s="131"/>
      <c r="P527" s="131"/>
      <c r="Q527" s="131"/>
      <c r="AB527" s="33"/>
    </row>
    <row r="528" spans="1:28" ht="15.75" customHeight="1" x14ac:dyDescent="0.35">
      <c r="A528" s="149"/>
      <c r="B528" s="33"/>
      <c r="C528" s="150"/>
      <c r="D528" s="150"/>
      <c r="E528" s="151"/>
      <c r="F528" s="131"/>
      <c r="G528" s="131"/>
      <c r="M528" s="131"/>
      <c r="N528" s="131"/>
      <c r="O528" s="131"/>
      <c r="P528" s="131"/>
      <c r="Q528" s="131"/>
      <c r="AB528" s="33"/>
    </row>
    <row r="529" spans="1:28" ht="15.75" customHeight="1" x14ac:dyDescent="0.35">
      <c r="A529" s="149"/>
      <c r="B529" s="33"/>
      <c r="C529" s="150"/>
      <c r="D529" s="150"/>
      <c r="E529" s="151"/>
      <c r="F529" s="131"/>
      <c r="G529" s="131"/>
      <c r="M529" s="131"/>
      <c r="N529" s="131"/>
      <c r="O529" s="131"/>
      <c r="P529" s="131"/>
      <c r="Q529" s="131"/>
      <c r="AB529" s="33"/>
    </row>
    <row r="530" spans="1:28" ht="15.75" customHeight="1" x14ac:dyDescent="0.35">
      <c r="A530" s="149"/>
      <c r="B530" s="33"/>
      <c r="C530" s="150"/>
      <c r="D530" s="150"/>
      <c r="E530" s="151"/>
      <c r="F530" s="131"/>
      <c r="G530" s="131"/>
      <c r="M530" s="131"/>
      <c r="N530" s="131"/>
      <c r="O530" s="131"/>
      <c r="P530" s="131"/>
      <c r="Q530" s="131"/>
      <c r="AB530" s="33"/>
    </row>
    <row r="531" spans="1:28" ht="15.75" customHeight="1" x14ac:dyDescent="0.35">
      <c r="A531" s="149"/>
      <c r="B531" s="33"/>
      <c r="C531" s="150"/>
      <c r="D531" s="150"/>
      <c r="E531" s="151"/>
      <c r="F531" s="131"/>
      <c r="G531" s="131"/>
      <c r="M531" s="131"/>
      <c r="N531" s="131"/>
      <c r="O531" s="131"/>
      <c r="P531" s="131"/>
      <c r="Q531" s="131"/>
      <c r="AB531" s="33"/>
    </row>
    <row r="532" spans="1:28" ht="15.75" customHeight="1" x14ac:dyDescent="0.35">
      <c r="A532" s="149"/>
      <c r="B532" s="33"/>
      <c r="C532" s="150"/>
      <c r="D532" s="150"/>
      <c r="E532" s="151"/>
      <c r="F532" s="131"/>
      <c r="G532" s="131"/>
      <c r="M532" s="131"/>
      <c r="N532" s="131"/>
      <c r="O532" s="131"/>
      <c r="P532" s="131"/>
      <c r="Q532" s="131"/>
      <c r="AB532" s="33"/>
    </row>
    <row r="533" spans="1:28" ht="15.75" customHeight="1" x14ac:dyDescent="0.35">
      <c r="A533" s="149"/>
      <c r="B533" s="33"/>
      <c r="C533" s="150"/>
      <c r="D533" s="150"/>
      <c r="E533" s="151"/>
      <c r="F533" s="131"/>
      <c r="G533" s="131"/>
      <c r="M533" s="131"/>
      <c r="N533" s="131"/>
      <c r="O533" s="131"/>
      <c r="P533" s="131"/>
      <c r="Q533" s="131"/>
      <c r="AB533" s="33"/>
    </row>
    <row r="534" spans="1:28" ht="15.75" customHeight="1" x14ac:dyDescent="0.35">
      <c r="A534" s="149"/>
      <c r="B534" s="33"/>
      <c r="C534" s="150"/>
      <c r="D534" s="150"/>
      <c r="E534" s="151"/>
      <c r="F534" s="131"/>
      <c r="G534" s="131"/>
      <c r="M534" s="131"/>
      <c r="N534" s="131"/>
      <c r="O534" s="131"/>
      <c r="P534" s="131"/>
      <c r="Q534" s="131"/>
      <c r="AB534" s="33"/>
    </row>
    <row r="535" spans="1:28" ht="15.75" customHeight="1" x14ac:dyDescent="0.35">
      <c r="A535" s="149"/>
      <c r="B535" s="33"/>
      <c r="C535" s="150"/>
      <c r="D535" s="150"/>
      <c r="E535" s="151"/>
      <c r="F535" s="131"/>
      <c r="G535" s="131"/>
      <c r="M535" s="131"/>
      <c r="N535" s="131"/>
      <c r="O535" s="131"/>
      <c r="P535" s="131"/>
      <c r="Q535" s="131"/>
      <c r="AB535" s="33"/>
    </row>
    <row r="536" spans="1:28" ht="15.75" customHeight="1" x14ac:dyDescent="0.35">
      <c r="A536" s="149"/>
      <c r="B536" s="33"/>
      <c r="C536" s="150"/>
      <c r="D536" s="150"/>
      <c r="E536" s="151"/>
      <c r="F536" s="131"/>
      <c r="G536" s="131"/>
      <c r="M536" s="131"/>
      <c r="N536" s="131"/>
      <c r="O536" s="131"/>
      <c r="P536" s="131"/>
      <c r="Q536" s="131"/>
      <c r="AB536" s="33"/>
    </row>
    <row r="537" spans="1:28" ht="15.75" customHeight="1" x14ac:dyDescent="0.35">
      <c r="A537" s="149"/>
      <c r="B537" s="33"/>
      <c r="C537" s="150"/>
      <c r="D537" s="150"/>
      <c r="E537" s="151"/>
      <c r="F537" s="131"/>
      <c r="G537" s="131"/>
      <c r="M537" s="131"/>
      <c r="N537" s="131"/>
      <c r="O537" s="131"/>
      <c r="P537" s="131"/>
      <c r="Q537" s="131"/>
      <c r="AB537" s="33"/>
    </row>
    <row r="538" spans="1:28" ht="15.75" customHeight="1" x14ac:dyDescent="0.35">
      <c r="A538" s="149"/>
      <c r="B538" s="33"/>
      <c r="C538" s="150"/>
      <c r="D538" s="150"/>
      <c r="E538" s="151"/>
      <c r="F538" s="131"/>
      <c r="G538" s="131"/>
      <c r="M538" s="131"/>
      <c r="N538" s="131"/>
      <c r="O538" s="131"/>
      <c r="P538" s="131"/>
      <c r="Q538" s="131"/>
      <c r="AB538" s="33"/>
    </row>
    <row r="539" spans="1:28" ht="15.75" customHeight="1" x14ac:dyDescent="0.35">
      <c r="A539" s="149"/>
      <c r="B539" s="33"/>
      <c r="C539" s="150"/>
      <c r="D539" s="150"/>
      <c r="E539" s="151"/>
      <c r="F539" s="131"/>
      <c r="G539" s="131"/>
      <c r="M539" s="131"/>
      <c r="N539" s="131"/>
      <c r="O539" s="131"/>
      <c r="P539" s="131"/>
      <c r="Q539" s="131"/>
      <c r="AB539" s="33"/>
    </row>
    <row r="540" spans="1:28" ht="15.75" customHeight="1" x14ac:dyDescent="0.35">
      <c r="A540" s="149"/>
      <c r="B540" s="33"/>
      <c r="C540" s="150"/>
      <c r="D540" s="150"/>
      <c r="E540" s="151"/>
      <c r="F540" s="131"/>
      <c r="G540" s="131"/>
      <c r="M540" s="131"/>
      <c r="N540" s="131"/>
      <c r="O540" s="131"/>
      <c r="P540" s="131"/>
      <c r="Q540" s="131"/>
      <c r="AB540" s="33"/>
    </row>
    <row r="541" spans="1:28" ht="15.75" customHeight="1" x14ac:dyDescent="0.35">
      <c r="A541" s="149"/>
      <c r="B541" s="33"/>
      <c r="C541" s="150"/>
      <c r="D541" s="150"/>
      <c r="E541" s="151"/>
      <c r="F541" s="131"/>
      <c r="G541" s="131"/>
      <c r="M541" s="131"/>
      <c r="N541" s="131"/>
      <c r="O541" s="131"/>
      <c r="P541" s="131"/>
      <c r="Q541" s="131"/>
      <c r="AB541" s="33"/>
    </row>
    <row r="542" spans="1:28" ht="15.75" customHeight="1" x14ac:dyDescent="0.35">
      <c r="A542" s="149"/>
      <c r="B542" s="33"/>
      <c r="C542" s="150"/>
      <c r="D542" s="150"/>
      <c r="E542" s="151"/>
      <c r="F542" s="131"/>
      <c r="G542" s="131"/>
      <c r="M542" s="131"/>
      <c r="N542" s="131"/>
      <c r="O542" s="131"/>
      <c r="P542" s="131"/>
      <c r="Q542" s="131"/>
      <c r="AB542" s="33"/>
    </row>
    <row r="543" spans="1:28" ht="15.75" customHeight="1" x14ac:dyDescent="0.35">
      <c r="A543" s="149"/>
      <c r="B543" s="33"/>
      <c r="C543" s="150"/>
      <c r="D543" s="150"/>
      <c r="E543" s="151"/>
      <c r="F543" s="131"/>
      <c r="G543" s="131"/>
      <c r="M543" s="131"/>
      <c r="N543" s="131"/>
      <c r="O543" s="131"/>
      <c r="P543" s="131"/>
      <c r="Q543" s="131"/>
      <c r="AB543" s="33"/>
    </row>
    <row r="544" spans="1:28" ht="15.75" customHeight="1" x14ac:dyDescent="0.35">
      <c r="A544" s="149"/>
      <c r="B544" s="33"/>
      <c r="C544" s="150"/>
      <c r="D544" s="150"/>
      <c r="E544" s="151"/>
      <c r="F544" s="131"/>
      <c r="G544" s="131"/>
      <c r="M544" s="131"/>
      <c r="N544" s="131"/>
      <c r="O544" s="131"/>
      <c r="P544" s="131"/>
      <c r="Q544" s="131"/>
      <c r="AB544" s="33"/>
    </row>
    <row r="545" spans="1:28" ht="15.75" customHeight="1" x14ac:dyDescent="0.35">
      <c r="A545" s="149"/>
      <c r="B545" s="33"/>
      <c r="C545" s="150"/>
      <c r="D545" s="150"/>
      <c r="E545" s="151"/>
      <c r="F545" s="131"/>
      <c r="G545" s="131"/>
      <c r="M545" s="131"/>
      <c r="N545" s="131"/>
      <c r="O545" s="131"/>
      <c r="P545" s="131"/>
      <c r="Q545" s="131"/>
      <c r="AB545" s="33"/>
    </row>
    <row r="546" spans="1:28" ht="15.75" customHeight="1" x14ac:dyDescent="0.35">
      <c r="A546" s="149"/>
      <c r="B546" s="33"/>
      <c r="C546" s="150"/>
      <c r="D546" s="150"/>
      <c r="E546" s="151"/>
      <c r="F546" s="131"/>
      <c r="G546" s="131"/>
      <c r="M546" s="131"/>
      <c r="N546" s="131"/>
      <c r="O546" s="131"/>
      <c r="P546" s="131"/>
      <c r="Q546" s="131"/>
      <c r="AB546" s="33"/>
    </row>
    <row r="547" spans="1:28" ht="15.75" customHeight="1" x14ac:dyDescent="0.35">
      <c r="A547" s="149"/>
      <c r="B547" s="33"/>
      <c r="C547" s="150"/>
      <c r="D547" s="150"/>
      <c r="E547" s="151"/>
      <c r="F547" s="131"/>
      <c r="G547" s="131"/>
      <c r="M547" s="131"/>
      <c r="N547" s="131"/>
      <c r="O547" s="131"/>
      <c r="P547" s="131"/>
      <c r="Q547" s="131"/>
      <c r="AB547" s="33"/>
    </row>
    <row r="548" spans="1:28" ht="15.75" customHeight="1" x14ac:dyDescent="0.35">
      <c r="A548" s="149"/>
      <c r="B548" s="33"/>
      <c r="C548" s="150"/>
      <c r="D548" s="150"/>
      <c r="E548" s="151"/>
      <c r="F548" s="131"/>
      <c r="G548" s="131"/>
      <c r="M548" s="131"/>
      <c r="N548" s="131"/>
      <c r="O548" s="131"/>
      <c r="P548" s="131"/>
      <c r="Q548" s="131"/>
      <c r="AB548" s="33"/>
    </row>
    <row r="549" spans="1:28" ht="15.75" customHeight="1" x14ac:dyDescent="0.35">
      <c r="A549" s="149"/>
      <c r="B549" s="33"/>
      <c r="C549" s="150"/>
      <c r="D549" s="150"/>
      <c r="E549" s="151"/>
      <c r="F549" s="131"/>
      <c r="G549" s="131"/>
      <c r="M549" s="131"/>
      <c r="N549" s="131"/>
      <c r="O549" s="131"/>
      <c r="P549" s="131"/>
      <c r="Q549" s="131"/>
      <c r="AB549" s="33"/>
    </row>
    <row r="550" spans="1:28" ht="15.75" customHeight="1" x14ac:dyDescent="0.35">
      <c r="A550" s="149"/>
      <c r="B550" s="33"/>
      <c r="C550" s="150"/>
      <c r="D550" s="150"/>
      <c r="E550" s="151"/>
      <c r="F550" s="131"/>
      <c r="G550" s="131"/>
      <c r="M550" s="131"/>
      <c r="N550" s="131"/>
      <c r="O550" s="131"/>
      <c r="P550" s="131"/>
      <c r="Q550" s="131"/>
      <c r="AB550" s="33"/>
    </row>
    <row r="551" spans="1:28" ht="15.75" customHeight="1" x14ac:dyDescent="0.35">
      <c r="A551" s="149"/>
      <c r="B551" s="33"/>
      <c r="C551" s="150"/>
      <c r="D551" s="150"/>
      <c r="E551" s="151"/>
      <c r="F551" s="131"/>
      <c r="G551" s="131"/>
      <c r="M551" s="131"/>
      <c r="N551" s="131"/>
      <c r="O551" s="131"/>
      <c r="P551" s="131"/>
      <c r="Q551" s="131"/>
      <c r="AB551" s="33"/>
    </row>
    <row r="552" spans="1:28" ht="15.75" customHeight="1" x14ac:dyDescent="0.35">
      <c r="A552" s="149"/>
      <c r="B552" s="33"/>
      <c r="C552" s="150"/>
      <c r="D552" s="150"/>
      <c r="E552" s="151"/>
      <c r="F552" s="131"/>
      <c r="G552" s="131"/>
      <c r="M552" s="131"/>
      <c r="N552" s="131"/>
      <c r="O552" s="131"/>
      <c r="P552" s="131"/>
      <c r="Q552" s="131"/>
      <c r="AB552" s="33"/>
    </row>
    <row r="553" spans="1:28" ht="15.75" customHeight="1" x14ac:dyDescent="0.35">
      <c r="A553" s="149"/>
      <c r="B553" s="33"/>
      <c r="C553" s="150"/>
      <c r="D553" s="150"/>
      <c r="E553" s="151"/>
      <c r="F553" s="131"/>
      <c r="G553" s="131"/>
      <c r="M553" s="131"/>
      <c r="N553" s="131"/>
      <c r="O553" s="131"/>
      <c r="P553" s="131"/>
      <c r="Q553" s="131"/>
      <c r="AB553" s="33"/>
    </row>
    <row r="554" spans="1:28" ht="15.75" customHeight="1" x14ac:dyDescent="0.35">
      <c r="A554" s="149"/>
      <c r="B554" s="33"/>
      <c r="C554" s="150"/>
      <c r="D554" s="150"/>
      <c r="E554" s="151"/>
      <c r="F554" s="131"/>
      <c r="G554" s="131"/>
      <c r="M554" s="131"/>
      <c r="N554" s="131"/>
      <c r="O554" s="131"/>
      <c r="P554" s="131"/>
      <c r="Q554" s="131"/>
      <c r="AB554" s="33"/>
    </row>
    <row r="555" spans="1:28" ht="15.75" customHeight="1" x14ac:dyDescent="0.35">
      <c r="A555" s="149"/>
      <c r="B555" s="33"/>
      <c r="C555" s="150"/>
      <c r="D555" s="150"/>
      <c r="E555" s="151"/>
      <c r="F555" s="131"/>
      <c r="G555" s="131"/>
      <c r="M555" s="131"/>
      <c r="N555" s="131"/>
      <c r="O555" s="131"/>
      <c r="P555" s="131"/>
      <c r="Q555" s="131"/>
      <c r="AB555" s="33"/>
    </row>
    <row r="556" spans="1:28" ht="15.75" customHeight="1" x14ac:dyDescent="0.35">
      <c r="A556" s="149"/>
      <c r="B556" s="33"/>
      <c r="C556" s="150"/>
      <c r="D556" s="150"/>
      <c r="E556" s="151"/>
      <c r="F556" s="131"/>
      <c r="G556" s="131"/>
      <c r="M556" s="131"/>
      <c r="N556" s="131"/>
      <c r="O556" s="131"/>
      <c r="P556" s="131"/>
      <c r="Q556" s="131"/>
      <c r="AB556" s="33"/>
    </row>
    <row r="557" spans="1:28" ht="15.75" customHeight="1" x14ac:dyDescent="0.35">
      <c r="A557" s="149"/>
      <c r="B557" s="33"/>
      <c r="C557" s="150"/>
      <c r="D557" s="150"/>
      <c r="E557" s="151"/>
      <c r="F557" s="131"/>
      <c r="G557" s="131"/>
      <c r="M557" s="131"/>
      <c r="N557" s="131"/>
      <c r="O557" s="131"/>
      <c r="P557" s="131"/>
      <c r="Q557" s="131"/>
      <c r="AB557" s="33"/>
    </row>
    <row r="558" spans="1:28" ht="15.75" customHeight="1" x14ac:dyDescent="0.35">
      <c r="A558" s="149"/>
      <c r="B558" s="33"/>
      <c r="C558" s="150"/>
      <c r="D558" s="150"/>
      <c r="E558" s="151"/>
      <c r="F558" s="131"/>
      <c r="G558" s="131"/>
      <c r="M558" s="131"/>
      <c r="N558" s="131"/>
      <c r="O558" s="131"/>
      <c r="P558" s="131"/>
      <c r="Q558" s="131"/>
      <c r="AB558" s="33"/>
    </row>
    <row r="559" spans="1:28" ht="15.75" customHeight="1" x14ac:dyDescent="0.35">
      <c r="A559" s="149"/>
      <c r="B559" s="33"/>
      <c r="C559" s="150"/>
      <c r="D559" s="150"/>
      <c r="E559" s="151"/>
      <c r="F559" s="131"/>
      <c r="G559" s="131"/>
      <c r="M559" s="131"/>
      <c r="N559" s="131"/>
      <c r="O559" s="131"/>
      <c r="P559" s="131"/>
      <c r="Q559" s="131"/>
      <c r="AB559" s="33"/>
    </row>
    <row r="560" spans="1:28" ht="15.75" customHeight="1" x14ac:dyDescent="0.35">
      <c r="A560" s="149"/>
      <c r="B560" s="33"/>
      <c r="C560" s="150"/>
      <c r="D560" s="150"/>
      <c r="E560" s="151"/>
      <c r="F560" s="131"/>
      <c r="G560" s="131"/>
      <c r="M560" s="131"/>
      <c r="N560" s="131"/>
      <c r="O560" s="131"/>
      <c r="P560" s="131"/>
      <c r="Q560" s="131"/>
      <c r="AB560" s="33"/>
    </row>
    <row r="561" spans="1:28" ht="15.75" customHeight="1" x14ac:dyDescent="0.35">
      <c r="A561" s="149"/>
      <c r="B561" s="33"/>
      <c r="C561" s="150"/>
      <c r="D561" s="150"/>
      <c r="E561" s="151"/>
      <c r="F561" s="131"/>
      <c r="G561" s="131"/>
      <c r="M561" s="131"/>
      <c r="N561" s="131"/>
      <c r="O561" s="131"/>
      <c r="P561" s="131"/>
      <c r="Q561" s="131"/>
      <c r="AB561" s="33"/>
    </row>
    <row r="562" spans="1:28" ht="15.75" customHeight="1" x14ac:dyDescent="0.35">
      <c r="A562" s="149"/>
      <c r="B562" s="33"/>
      <c r="C562" s="150"/>
      <c r="D562" s="150"/>
      <c r="E562" s="151"/>
      <c r="F562" s="131"/>
      <c r="G562" s="131"/>
      <c r="M562" s="131"/>
      <c r="N562" s="131"/>
      <c r="O562" s="131"/>
      <c r="P562" s="131"/>
      <c r="Q562" s="131"/>
      <c r="AB562" s="33"/>
    </row>
    <row r="563" spans="1:28" ht="15.75" customHeight="1" x14ac:dyDescent="0.35">
      <c r="A563" s="149"/>
      <c r="B563" s="33"/>
      <c r="C563" s="150"/>
      <c r="D563" s="150"/>
      <c r="E563" s="151"/>
      <c r="F563" s="131"/>
      <c r="G563" s="131"/>
      <c r="M563" s="131"/>
      <c r="N563" s="131"/>
      <c r="O563" s="131"/>
      <c r="P563" s="131"/>
      <c r="Q563" s="131"/>
      <c r="AB563" s="33"/>
    </row>
    <row r="564" spans="1:28" ht="15.75" customHeight="1" x14ac:dyDescent="0.35">
      <c r="A564" s="149"/>
      <c r="B564" s="33"/>
      <c r="C564" s="150"/>
      <c r="D564" s="150"/>
      <c r="E564" s="151"/>
      <c r="F564" s="131"/>
      <c r="G564" s="131"/>
      <c r="M564" s="131"/>
      <c r="N564" s="131"/>
      <c r="O564" s="131"/>
      <c r="P564" s="131"/>
      <c r="Q564" s="131"/>
      <c r="AB564" s="33"/>
    </row>
    <row r="565" spans="1:28" ht="15.75" customHeight="1" x14ac:dyDescent="0.35">
      <c r="A565" s="149"/>
      <c r="B565" s="33"/>
      <c r="C565" s="150"/>
      <c r="D565" s="150"/>
      <c r="E565" s="151"/>
      <c r="F565" s="131"/>
      <c r="G565" s="131"/>
      <c r="M565" s="131"/>
      <c r="N565" s="131"/>
      <c r="O565" s="131"/>
      <c r="P565" s="131"/>
      <c r="Q565" s="131"/>
      <c r="AB565" s="33"/>
    </row>
    <row r="566" spans="1:28" ht="15.75" customHeight="1" x14ac:dyDescent="0.35">
      <c r="A566" s="149"/>
      <c r="B566" s="33"/>
      <c r="C566" s="150"/>
      <c r="D566" s="150"/>
      <c r="E566" s="151"/>
      <c r="F566" s="131"/>
      <c r="G566" s="131"/>
      <c r="M566" s="131"/>
      <c r="N566" s="131"/>
      <c r="O566" s="131"/>
      <c r="P566" s="131"/>
      <c r="Q566" s="131"/>
      <c r="AB566" s="33"/>
    </row>
    <row r="567" spans="1:28" ht="15.75" customHeight="1" x14ac:dyDescent="0.35">
      <c r="A567" s="149"/>
      <c r="B567" s="33"/>
      <c r="C567" s="150"/>
      <c r="D567" s="150"/>
      <c r="E567" s="151"/>
      <c r="F567" s="131"/>
      <c r="G567" s="131"/>
      <c r="M567" s="131"/>
      <c r="N567" s="131"/>
      <c r="O567" s="131"/>
      <c r="P567" s="131"/>
      <c r="Q567" s="131"/>
      <c r="AB567" s="33"/>
    </row>
    <row r="568" spans="1:28" ht="15.75" customHeight="1" x14ac:dyDescent="0.35">
      <c r="A568" s="149"/>
      <c r="B568" s="33"/>
      <c r="C568" s="150"/>
      <c r="D568" s="150"/>
      <c r="E568" s="151"/>
      <c r="F568" s="131"/>
      <c r="G568" s="131"/>
      <c r="M568" s="131"/>
      <c r="N568" s="131"/>
      <c r="O568" s="131"/>
      <c r="P568" s="131"/>
      <c r="Q568" s="131"/>
      <c r="AB568" s="33"/>
    </row>
    <row r="569" spans="1:28" ht="15.75" customHeight="1" x14ac:dyDescent="0.35">
      <c r="A569" s="149"/>
      <c r="B569" s="33"/>
      <c r="C569" s="150"/>
      <c r="D569" s="150"/>
      <c r="E569" s="151"/>
      <c r="F569" s="131"/>
      <c r="G569" s="131"/>
      <c r="M569" s="131"/>
      <c r="N569" s="131"/>
      <c r="O569" s="131"/>
      <c r="P569" s="131"/>
      <c r="Q569" s="131"/>
      <c r="AB569" s="33"/>
    </row>
    <row r="570" spans="1:28" ht="15.75" customHeight="1" x14ac:dyDescent="0.35">
      <c r="A570" s="149"/>
      <c r="B570" s="33"/>
      <c r="C570" s="150"/>
      <c r="D570" s="150"/>
      <c r="E570" s="151"/>
      <c r="F570" s="131"/>
      <c r="G570" s="131"/>
      <c r="M570" s="131"/>
      <c r="N570" s="131"/>
      <c r="O570" s="131"/>
      <c r="P570" s="131"/>
      <c r="Q570" s="131"/>
      <c r="AB570" s="33"/>
    </row>
    <row r="571" spans="1:28" ht="15.75" customHeight="1" x14ac:dyDescent="0.35">
      <c r="A571" s="149"/>
      <c r="B571" s="33"/>
      <c r="C571" s="150"/>
      <c r="D571" s="150"/>
      <c r="E571" s="151"/>
      <c r="F571" s="131"/>
      <c r="G571" s="131"/>
      <c r="M571" s="131"/>
      <c r="N571" s="131"/>
      <c r="O571" s="131"/>
      <c r="P571" s="131"/>
      <c r="Q571" s="131"/>
      <c r="AB571" s="33"/>
    </row>
    <row r="572" spans="1:28" ht="15.75" customHeight="1" x14ac:dyDescent="0.35">
      <c r="A572" s="149"/>
      <c r="B572" s="33"/>
      <c r="C572" s="150"/>
      <c r="D572" s="150"/>
      <c r="E572" s="151"/>
      <c r="F572" s="131"/>
      <c r="G572" s="131"/>
      <c r="M572" s="131"/>
      <c r="N572" s="131"/>
      <c r="O572" s="131"/>
      <c r="P572" s="131"/>
      <c r="Q572" s="131"/>
      <c r="AB572" s="33"/>
    </row>
    <row r="573" spans="1:28" ht="15.75" customHeight="1" x14ac:dyDescent="0.35">
      <c r="A573" s="149"/>
      <c r="B573" s="33"/>
      <c r="C573" s="150"/>
      <c r="D573" s="150"/>
      <c r="E573" s="151"/>
      <c r="F573" s="131"/>
      <c r="G573" s="131"/>
      <c r="M573" s="131"/>
      <c r="N573" s="131"/>
      <c r="O573" s="131"/>
      <c r="P573" s="131"/>
      <c r="Q573" s="131"/>
      <c r="AB573" s="33"/>
    </row>
    <row r="574" spans="1:28" ht="15.75" customHeight="1" x14ac:dyDescent="0.35">
      <c r="A574" s="149"/>
      <c r="B574" s="33"/>
      <c r="C574" s="150"/>
      <c r="D574" s="150"/>
      <c r="E574" s="151"/>
      <c r="F574" s="131"/>
      <c r="G574" s="131"/>
      <c r="M574" s="131"/>
      <c r="N574" s="131"/>
      <c r="O574" s="131"/>
      <c r="P574" s="131"/>
      <c r="Q574" s="131"/>
      <c r="AB574" s="33"/>
    </row>
    <row r="575" spans="1:28" ht="15.75" customHeight="1" x14ac:dyDescent="0.35">
      <c r="A575" s="149"/>
      <c r="B575" s="33"/>
      <c r="C575" s="150"/>
      <c r="D575" s="150"/>
      <c r="E575" s="151"/>
      <c r="F575" s="131"/>
      <c r="G575" s="131"/>
      <c r="M575" s="131"/>
      <c r="N575" s="131"/>
      <c r="O575" s="131"/>
      <c r="P575" s="131"/>
      <c r="Q575" s="131"/>
      <c r="AB575" s="33"/>
    </row>
    <row r="576" spans="1:28" ht="15.75" customHeight="1" x14ac:dyDescent="0.35">
      <c r="A576" s="149"/>
      <c r="B576" s="33"/>
      <c r="C576" s="150"/>
      <c r="D576" s="150"/>
      <c r="E576" s="151"/>
      <c r="F576" s="131"/>
      <c r="G576" s="131"/>
      <c r="M576" s="131"/>
      <c r="N576" s="131"/>
      <c r="O576" s="131"/>
      <c r="P576" s="131"/>
      <c r="Q576" s="131"/>
      <c r="AB576" s="33"/>
    </row>
    <row r="577" spans="1:28" ht="15.75" customHeight="1" x14ac:dyDescent="0.35">
      <c r="A577" s="149"/>
      <c r="B577" s="33"/>
      <c r="C577" s="150"/>
      <c r="D577" s="150"/>
      <c r="E577" s="151"/>
      <c r="F577" s="131"/>
      <c r="G577" s="131"/>
      <c r="M577" s="131"/>
      <c r="N577" s="131"/>
      <c r="O577" s="131"/>
      <c r="P577" s="131"/>
      <c r="Q577" s="131"/>
      <c r="AB577" s="33"/>
    </row>
    <row r="578" spans="1:28" ht="15.75" customHeight="1" x14ac:dyDescent="0.35">
      <c r="A578" s="149"/>
      <c r="B578" s="33"/>
      <c r="C578" s="150"/>
      <c r="D578" s="150"/>
      <c r="E578" s="151"/>
      <c r="F578" s="131"/>
      <c r="G578" s="131"/>
      <c r="M578" s="131"/>
      <c r="N578" s="131"/>
      <c r="O578" s="131"/>
      <c r="P578" s="131"/>
      <c r="Q578" s="131"/>
      <c r="AB578" s="33"/>
    </row>
    <row r="579" spans="1:28" ht="15.75" customHeight="1" x14ac:dyDescent="0.35">
      <c r="A579" s="149"/>
      <c r="B579" s="33"/>
      <c r="C579" s="150"/>
      <c r="D579" s="150"/>
      <c r="E579" s="151"/>
      <c r="F579" s="131"/>
      <c r="G579" s="131"/>
      <c r="M579" s="131"/>
      <c r="N579" s="131"/>
      <c r="O579" s="131"/>
      <c r="P579" s="131"/>
      <c r="Q579" s="131"/>
      <c r="AB579" s="33"/>
    </row>
    <row r="580" spans="1:28" ht="15.75" customHeight="1" x14ac:dyDescent="0.35">
      <c r="A580" s="149"/>
      <c r="B580" s="33"/>
      <c r="C580" s="150"/>
      <c r="D580" s="150"/>
      <c r="E580" s="151"/>
      <c r="F580" s="131"/>
      <c r="G580" s="131"/>
      <c r="M580" s="131"/>
      <c r="N580" s="131"/>
      <c r="O580" s="131"/>
      <c r="P580" s="131"/>
      <c r="Q580" s="131"/>
      <c r="AB580" s="33"/>
    </row>
    <row r="581" spans="1:28" ht="15.75" customHeight="1" x14ac:dyDescent="0.35">
      <c r="A581" s="149"/>
      <c r="B581" s="33"/>
      <c r="C581" s="150"/>
      <c r="D581" s="150"/>
      <c r="E581" s="151"/>
      <c r="F581" s="131"/>
      <c r="G581" s="131"/>
      <c r="M581" s="131"/>
      <c r="N581" s="131"/>
      <c r="O581" s="131"/>
      <c r="P581" s="131"/>
      <c r="Q581" s="131"/>
      <c r="AB581" s="33"/>
    </row>
    <row r="582" spans="1:28" ht="15.75" customHeight="1" x14ac:dyDescent="0.35">
      <c r="A582" s="149"/>
      <c r="B582" s="33"/>
      <c r="C582" s="150"/>
      <c r="D582" s="150"/>
      <c r="E582" s="151"/>
      <c r="F582" s="131"/>
      <c r="G582" s="131"/>
      <c r="M582" s="131"/>
      <c r="N582" s="131"/>
      <c r="O582" s="131"/>
      <c r="P582" s="131"/>
      <c r="Q582" s="131"/>
      <c r="AB582" s="33"/>
    </row>
    <row r="583" spans="1:28" ht="15.75" customHeight="1" x14ac:dyDescent="0.35">
      <c r="A583" s="149"/>
      <c r="B583" s="33"/>
      <c r="C583" s="150"/>
      <c r="D583" s="150"/>
      <c r="E583" s="151"/>
      <c r="F583" s="131"/>
      <c r="G583" s="131"/>
      <c r="M583" s="131"/>
      <c r="N583" s="131"/>
      <c r="O583" s="131"/>
      <c r="P583" s="131"/>
      <c r="Q583" s="131"/>
      <c r="AB583" s="33"/>
    </row>
    <row r="584" spans="1:28" ht="15.75" customHeight="1" x14ac:dyDescent="0.35">
      <c r="A584" s="149"/>
      <c r="B584" s="33"/>
      <c r="C584" s="150"/>
      <c r="D584" s="150"/>
      <c r="E584" s="151"/>
      <c r="F584" s="131"/>
      <c r="G584" s="131"/>
      <c r="M584" s="131"/>
      <c r="N584" s="131"/>
      <c r="O584" s="131"/>
      <c r="P584" s="131"/>
      <c r="Q584" s="131"/>
      <c r="AB584" s="33"/>
    </row>
    <row r="585" spans="1:28" ht="15.75" customHeight="1" x14ac:dyDescent="0.35">
      <c r="A585" s="149"/>
      <c r="B585" s="33"/>
      <c r="C585" s="150"/>
      <c r="D585" s="150"/>
      <c r="E585" s="151"/>
      <c r="F585" s="131"/>
      <c r="G585" s="131"/>
      <c r="M585" s="131"/>
      <c r="N585" s="131"/>
      <c r="O585" s="131"/>
      <c r="P585" s="131"/>
      <c r="Q585" s="131"/>
      <c r="AB585" s="33"/>
    </row>
    <row r="586" spans="1:28" ht="15.75" customHeight="1" x14ac:dyDescent="0.35">
      <c r="A586" s="149"/>
      <c r="B586" s="33"/>
      <c r="C586" s="150"/>
      <c r="D586" s="150"/>
      <c r="E586" s="151"/>
      <c r="F586" s="131"/>
      <c r="G586" s="131"/>
      <c r="M586" s="131"/>
      <c r="N586" s="131"/>
      <c r="O586" s="131"/>
      <c r="P586" s="131"/>
      <c r="Q586" s="131"/>
      <c r="AB586" s="33"/>
    </row>
    <row r="587" spans="1:28" ht="15.75" customHeight="1" x14ac:dyDescent="0.35">
      <c r="A587" s="149"/>
      <c r="B587" s="33"/>
      <c r="C587" s="150"/>
      <c r="D587" s="150"/>
      <c r="E587" s="151"/>
      <c r="F587" s="131"/>
      <c r="G587" s="131"/>
      <c r="M587" s="131"/>
      <c r="N587" s="131"/>
      <c r="O587" s="131"/>
      <c r="P587" s="131"/>
      <c r="Q587" s="131"/>
      <c r="AB587" s="33"/>
    </row>
    <row r="588" spans="1:28" ht="15.75" customHeight="1" x14ac:dyDescent="0.35">
      <c r="A588" s="149"/>
      <c r="B588" s="33"/>
      <c r="C588" s="150"/>
      <c r="D588" s="150"/>
      <c r="E588" s="151"/>
      <c r="F588" s="131"/>
      <c r="G588" s="131"/>
      <c r="M588" s="131"/>
      <c r="N588" s="131"/>
      <c r="O588" s="131"/>
      <c r="P588" s="131"/>
      <c r="Q588" s="131"/>
      <c r="AB588" s="33"/>
    </row>
    <row r="589" spans="1:28" ht="15.75" customHeight="1" x14ac:dyDescent="0.35">
      <c r="A589" s="149"/>
      <c r="B589" s="33"/>
      <c r="C589" s="150"/>
      <c r="D589" s="150"/>
      <c r="E589" s="151"/>
      <c r="F589" s="131"/>
      <c r="G589" s="131"/>
      <c r="M589" s="131"/>
      <c r="N589" s="131"/>
      <c r="O589" s="131"/>
      <c r="P589" s="131"/>
      <c r="Q589" s="131"/>
      <c r="AB589" s="33"/>
    </row>
    <row r="590" spans="1:28" ht="15.75" customHeight="1" x14ac:dyDescent="0.35">
      <c r="A590" s="149"/>
      <c r="B590" s="33"/>
      <c r="C590" s="150"/>
      <c r="D590" s="150"/>
      <c r="E590" s="151"/>
      <c r="F590" s="131"/>
      <c r="G590" s="131"/>
      <c r="M590" s="131"/>
      <c r="N590" s="131"/>
      <c r="O590" s="131"/>
      <c r="P590" s="131"/>
      <c r="Q590" s="131"/>
      <c r="AB590" s="33"/>
    </row>
    <row r="591" spans="1:28" ht="15.75" customHeight="1" x14ac:dyDescent="0.35">
      <c r="A591" s="149"/>
      <c r="B591" s="33"/>
      <c r="C591" s="150"/>
      <c r="D591" s="150"/>
      <c r="E591" s="151"/>
      <c r="F591" s="131"/>
      <c r="G591" s="131"/>
      <c r="M591" s="131"/>
      <c r="N591" s="131"/>
      <c r="O591" s="131"/>
      <c r="P591" s="131"/>
      <c r="Q591" s="131"/>
      <c r="AB591" s="33"/>
    </row>
    <row r="592" spans="1:28" ht="15.75" customHeight="1" x14ac:dyDescent="0.35">
      <c r="A592" s="149"/>
      <c r="B592" s="33"/>
      <c r="C592" s="150"/>
      <c r="D592" s="150"/>
      <c r="E592" s="151"/>
      <c r="F592" s="131"/>
      <c r="G592" s="131"/>
      <c r="M592" s="131"/>
      <c r="N592" s="131"/>
      <c r="O592" s="131"/>
      <c r="P592" s="131"/>
      <c r="Q592" s="131"/>
      <c r="AB592" s="33"/>
    </row>
    <row r="593" spans="1:28" ht="15.75" customHeight="1" x14ac:dyDescent="0.35">
      <c r="A593" s="149"/>
      <c r="B593" s="33"/>
      <c r="C593" s="150"/>
      <c r="D593" s="150"/>
      <c r="E593" s="151"/>
      <c r="F593" s="131"/>
      <c r="G593" s="131"/>
      <c r="M593" s="131"/>
      <c r="N593" s="131"/>
      <c r="O593" s="131"/>
      <c r="P593" s="131"/>
      <c r="Q593" s="131"/>
      <c r="AB593" s="33"/>
    </row>
    <row r="594" spans="1:28" ht="15.75" customHeight="1" x14ac:dyDescent="0.35">
      <c r="A594" s="149"/>
      <c r="B594" s="33"/>
      <c r="C594" s="150"/>
      <c r="D594" s="150"/>
      <c r="E594" s="151"/>
      <c r="F594" s="131"/>
      <c r="G594" s="131"/>
      <c r="M594" s="131"/>
      <c r="N594" s="131"/>
      <c r="O594" s="131"/>
      <c r="P594" s="131"/>
      <c r="Q594" s="131"/>
      <c r="AB594" s="33"/>
    </row>
    <row r="595" spans="1:28" ht="15.75" customHeight="1" x14ac:dyDescent="0.35">
      <c r="A595" s="149"/>
      <c r="B595" s="33"/>
      <c r="C595" s="150"/>
      <c r="D595" s="150"/>
      <c r="E595" s="151"/>
      <c r="F595" s="131"/>
      <c r="G595" s="131"/>
      <c r="M595" s="131"/>
      <c r="N595" s="131"/>
      <c r="O595" s="131"/>
      <c r="P595" s="131"/>
      <c r="Q595" s="131"/>
      <c r="AB595" s="33"/>
    </row>
    <row r="596" spans="1:28" ht="15.75" customHeight="1" x14ac:dyDescent="0.35">
      <c r="A596" s="149"/>
      <c r="B596" s="33"/>
      <c r="C596" s="150"/>
      <c r="D596" s="150"/>
      <c r="E596" s="151"/>
      <c r="F596" s="131"/>
      <c r="G596" s="131"/>
      <c r="M596" s="131"/>
      <c r="N596" s="131"/>
      <c r="O596" s="131"/>
      <c r="P596" s="131"/>
      <c r="Q596" s="131"/>
      <c r="AB596" s="33"/>
    </row>
    <row r="597" spans="1:28" ht="15.75" customHeight="1" x14ac:dyDescent="0.35">
      <c r="A597" s="149"/>
      <c r="B597" s="33"/>
      <c r="C597" s="150"/>
      <c r="D597" s="150"/>
      <c r="E597" s="151"/>
      <c r="F597" s="131"/>
      <c r="G597" s="131"/>
      <c r="M597" s="131"/>
      <c r="N597" s="131"/>
      <c r="O597" s="131"/>
      <c r="P597" s="131"/>
      <c r="Q597" s="131"/>
      <c r="AB597" s="33"/>
    </row>
    <row r="598" spans="1:28" ht="15.75" customHeight="1" x14ac:dyDescent="0.35">
      <c r="A598" s="149"/>
      <c r="B598" s="33"/>
      <c r="C598" s="150"/>
      <c r="D598" s="150"/>
      <c r="E598" s="151"/>
      <c r="F598" s="131"/>
      <c r="G598" s="131"/>
      <c r="M598" s="131"/>
      <c r="N598" s="131"/>
      <c r="O598" s="131"/>
      <c r="P598" s="131"/>
      <c r="Q598" s="131"/>
      <c r="AB598" s="33"/>
    </row>
    <row r="599" spans="1:28" ht="15.75" customHeight="1" x14ac:dyDescent="0.35">
      <c r="A599" s="149"/>
      <c r="B599" s="33"/>
      <c r="C599" s="150"/>
      <c r="D599" s="150"/>
      <c r="E599" s="151"/>
      <c r="F599" s="131"/>
      <c r="G599" s="131"/>
      <c r="M599" s="131"/>
      <c r="N599" s="131"/>
      <c r="O599" s="131"/>
      <c r="P599" s="131"/>
      <c r="Q599" s="131"/>
      <c r="AB599" s="33"/>
    </row>
    <row r="600" spans="1:28" ht="15.75" customHeight="1" x14ac:dyDescent="0.35">
      <c r="A600" s="149"/>
      <c r="B600" s="33"/>
      <c r="C600" s="150"/>
      <c r="D600" s="150"/>
      <c r="E600" s="151"/>
      <c r="F600" s="131"/>
      <c r="G600" s="131"/>
      <c r="M600" s="131"/>
      <c r="N600" s="131"/>
      <c r="O600" s="131"/>
      <c r="P600" s="131"/>
      <c r="Q600" s="131"/>
      <c r="AB600" s="33"/>
    </row>
    <row r="601" spans="1:28" ht="15.75" customHeight="1" x14ac:dyDescent="0.35">
      <c r="A601" s="149"/>
      <c r="B601" s="33"/>
      <c r="C601" s="150"/>
      <c r="D601" s="150"/>
      <c r="E601" s="151"/>
      <c r="F601" s="131"/>
      <c r="G601" s="131"/>
      <c r="M601" s="131"/>
      <c r="N601" s="131"/>
      <c r="O601" s="131"/>
      <c r="P601" s="131"/>
      <c r="Q601" s="131"/>
      <c r="AB601" s="33"/>
    </row>
    <row r="602" spans="1:28" ht="15.75" customHeight="1" x14ac:dyDescent="0.35">
      <c r="A602" s="149"/>
      <c r="B602" s="33"/>
      <c r="C602" s="150"/>
      <c r="D602" s="150"/>
      <c r="E602" s="151"/>
      <c r="F602" s="131"/>
      <c r="G602" s="131"/>
      <c r="M602" s="131"/>
      <c r="N602" s="131"/>
      <c r="O602" s="131"/>
      <c r="P602" s="131"/>
      <c r="Q602" s="131"/>
      <c r="AB602" s="33"/>
    </row>
    <row r="603" spans="1:28" ht="15.75" customHeight="1" x14ac:dyDescent="0.35">
      <c r="A603" s="149"/>
      <c r="B603" s="33"/>
      <c r="C603" s="150"/>
      <c r="D603" s="150"/>
      <c r="E603" s="151"/>
      <c r="F603" s="131"/>
      <c r="G603" s="131"/>
      <c r="M603" s="131"/>
      <c r="N603" s="131"/>
      <c r="O603" s="131"/>
      <c r="P603" s="131"/>
      <c r="Q603" s="131"/>
      <c r="AB603" s="33"/>
    </row>
    <row r="604" spans="1:28" ht="15.75" customHeight="1" x14ac:dyDescent="0.35">
      <c r="A604" s="149"/>
      <c r="B604" s="33"/>
      <c r="C604" s="150"/>
      <c r="D604" s="150"/>
      <c r="E604" s="151"/>
      <c r="F604" s="131"/>
      <c r="G604" s="131"/>
      <c r="M604" s="131"/>
      <c r="N604" s="131"/>
      <c r="O604" s="131"/>
      <c r="P604" s="131"/>
      <c r="Q604" s="131"/>
      <c r="AB604" s="33"/>
    </row>
    <row r="605" spans="1:28" ht="15.75" customHeight="1" x14ac:dyDescent="0.35">
      <c r="A605" s="149"/>
      <c r="B605" s="33"/>
      <c r="C605" s="150"/>
      <c r="D605" s="150"/>
      <c r="E605" s="151"/>
      <c r="F605" s="131"/>
      <c r="G605" s="131"/>
      <c r="M605" s="131"/>
      <c r="N605" s="131"/>
      <c r="O605" s="131"/>
      <c r="P605" s="131"/>
      <c r="Q605" s="131"/>
      <c r="AB605" s="33"/>
    </row>
    <row r="606" spans="1:28" ht="15.75" customHeight="1" x14ac:dyDescent="0.35">
      <c r="A606" s="149"/>
      <c r="B606" s="33"/>
      <c r="C606" s="150"/>
      <c r="D606" s="150"/>
      <c r="E606" s="151"/>
      <c r="F606" s="131"/>
      <c r="G606" s="131"/>
      <c r="M606" s="131"/>
      <c r="N606" s="131"/>
      <c r="O606" s="131"/>
      <c r="P606" s="131"/>
      <c r="Q606" s="131"/>
      <c r="AB606" s="33"/>
    </row>
    <row r="607" spans="1:28" ht="15.75" customHeight="1" x14ac:dyDescent="0.35">
      <c r="A607" s="149"/>
      <c r="B607" s="33"/>
      <c r="C607" s="150"/>
      <c r="D607" s="150"/>
      <c r="E607" s="151"/>
      <c r="F607" s="131"/>
      <c r="G607" s="131"/>
      <c r="M607" s="131"/>
      <c r="N607" s="131"/>
      <c r="O607" s="131"/>
      <c r="P607" s="131"/>
      <c r="Q607" s="131"/>
      <c r="AB607" s="33"/>
    </row>
    <row r="608" spans="1:28" ht="15.75" customHeight="1" x14ac:dyDescent="0.35">
      <c r="A608" s="149"/>
      <c r="B608" s="33"/>
      <c r="C608" s="150"/>
      <c r="D608" s="150"/>
      <c r="E608" s="151"/>
      <c r="F608" s="131"/>
      <c r="G608" s="131"/>
      <c r="M608" s="131"/>
      <c r="N608" s="131"/>
      <c r="O608" s="131"/>
      <c r="P608" s="131"/>
      <c r="Q608" s="131"/>
      <c r="AB608" s="33"/>
    </row>
    <row r="609" spans="1:28" ht="15.75" customHeight="1" x14ac:dyDescent="0.35">
      <c r="A609" s="149"/>
      <c r="B609" s="33"/>
      <c r="C609" s="150"/>
      <c r="D609" s="150"/>
      <c r="E609" s="151"/>
      <c r="F609" s="131"/>
      <c r="G609" s="131"/>
      <c r="M609" s="131"/>
      <c r="N609" s="131"/>
      <c r="O609" s="131"/>
      <c r="P609" s="131"/>
      <c r="Q609" s="131"/>
      <c r="AB609" s="33"/>
    </row>
    <row r="610" spans="1:28" ht="15.75" customHeight="1" x14ac:dyDescent="0.35">
      <c r="A610" s="149"/>
      <c r="B610" s="33"/>
      <c r="C610" s="150"/>
      <c r="D610" s="150"/>
      <c r="E610" s="151"/>
      <c r="F610" s="131"/>
      <c r="G610" s="131"/>
      <c r="M610" s="131"/>
      <c r="N610" s="131"/>
      <c r="O610" s="131"/>
      <c r="P610" s="131"/>
      <c r="Q610" s="131"/>
      <c r="AB610" s="33"/>
    </row>
    <row r="611" spans="1:28" ht="15.75" customHeight="1" x14ac:dyDescent="0.35">
      <c r="A611" s="149"/>
      <c r="B611" s="33"/>
      <c r="C611" s="150"/>
      <c r="D611" s="150"/>
      <c r="E611" s="151"/>
      <c r="F611" s="131"/>
      <c r="G611" s="131"/>
      <c r="M611" s="131"/>
      <c r="N611" s="131"/>
      <c r="O611" s="131"/>
      <c r="P611" s="131"/>
      <c r="Q611" s="131"/>
      <c r="AB611" s="33"/>
    </row>
    <row r="612" spans="1:28" ht="15.75" customHeight="1" x14ac:dyDescent="0.35">
      <c r="A612" s="149"/>
      <c r="B612" s="33"/>
      <c r="C612" s="150"/>
      <c r="D612" s="150"/>
      <c r="E612" s="151"/>
      <c r="F612" s="131"/>
      <c r="G612" s="131"/>
      <c r="M612" s="131"/>
      <c r="N612" s="131"/>
      <c r="O612" s="131"/>
      <c r="P612" s="131"/>
      <c r="Q612" s="131"/>
      <c r="AB612" s="33"/>
    </row>
    <row r="613" spans="1:28" ht="15.75" customHeight="1" x14ac:dyDescent="0.35">
      <c r="A613" s="149"/>
      <c r="B613" s="33"/>
      <c r="C613" s="150"/>
      <c r="D613" s="150"/>
      <c r="E613" s="151"/>
      <c r="F613" s="131"/>
      <c r="G613" s="131"/>
      <c r="M613" s="131"/>
      <c r="N613" s="131"/>
      <c r="O613" s="131"/>
      <c r="P613" s="131"/>
      <c r="Q613" s="131"/>
      <c r="AB613" s="33"/>
    </row>
    <row r="614" spans="1:28" ht="15.75" customHeight="1" x14ac:dyDescent="0.35">
      <c r="A614" s="149"/>
      <c r="B614" s="33"/>
      <c r="C614" s="150"/>
      <c r="D614" s="150"/>
      <c r="E614" s="151"/>
      <c r="F614" s="131"/>
      <c r="G614" s="131"/>
      <c r="M614" s="131"/>
      <c r="N614" s="131"/>
      <c r="O614" s="131"/>
      <c r="P614" s="131"/>
      <c r="Q614" s="131"/>
      <c r="AB614" s="33"/>
    </row>
    <row r="615" spans="1:28" ht="15.75" customHeight="1" x14ac:dyDescent="0.35">
      <c r="A615" s="149"/>
      <c r="B615" s="33"/>
      <c r="C615" s="150"/>
      <c r="D615" s="150"/>
      <c r="E615" s="151"/>
      <c r="F615" s="131"/>
      <c r="G615" s="131"/>
      <c r="M615" s="131"/>
      <c r="N615" s="131"/>
      <c r="O615" s="131"/>
      <c r="P615" s="131"/>
      <c r="Q615" s="131"/>
      <c r="AB615" s="33"/>
    </row>
    <row r="616" spans="1:28" ht="15.75" customHeight="1" x14ac:dyDescent="0.35">
      <c r="A616" s="149"/>
      <c r="B616" s="33"/>
      <c r="C616" s="150"/>
      <c r="D616" s="150"/>
      <c r="E616" s="151"/>
      <c r="F616" s="131"/>
      <c r="G616" s="131"/>
      <c r="M616" s="131"/>
      <c r="N616" s="131"/>
      <c r="O616" s="131"/>
      <c r="P616" s="131"/>
      <c r="Q616" s="131"/>
      <c r="AB616" s="33"/>
    </row>
    <row r="617" spans="1:28" ht="15.75" customHeight="1" x14ac:dyDescent="0.35">
      <c r="A617" s="149"/>
      <c r="B617" s="33"/>
      <c r="C617" s="150"/>
      <c r="D617" s="150"/>
      <c r="E617" s="151"/>
      <c r="F617" s="131"/>
      <c r="G617" s="131"/>
      <c r="M617" s="131"/>
      <c r="N617" s="131"/>
      <c r="O617" s="131"/>
      <c r="P617" s="131"/>
      <c r="Q617" s="131"/>
      <c r="AB617" s="33"/>
    </row>
    <row r="618" spans="1:28" ht="15.75" customHeight="1" x14ac:dyDescent="0.35">
      <c r="A618" s="149"/>
      <c r="B618" s="33"/>
      <c r="C618" s="150"/>
      <c r="D618" s="150"/>
      <c r="E618" s="151"/>
      <c r="F618" s="131"/>
      <c r="G618" s="131"/>
      <c r="M618" s="131"/>
      <c r="N618" s="131"/>
      <c r="O618" s="131"/>
      <c r="P618" s="131"/>
      <c r="Q618" s="131"/>
      <c r="AB618" s="33"/>
    </row>
    <row r="619" spans="1:28" ht="15.75" customHeight="1" x14ac:dyDescent="0.35">
      <c r="A619" s="149"/>
      <c r="B619" s="33"/>
      <c r="C619" s="150"/>
      <c r="D619" s="150"/>
      <c r="E619" s="151"/>
      <c r="F619" s="131"/>
      <c r="G619" s="131"/>
      <c r="M619" s="131"/>
      <c r="N619" s="131"/>
      <c r="O619" s="131"/>
      <c r="P619" s="131"/>
      <c r="Q619" s="131"/>
      <c r="AB619" s="33"/>
    </row>
    <row r="620" spans="1:28" ht="15.75" customHeight="1" x14ac:dyDescent="0.35">
      <c r="A620" s="149"/>
      <c r="B620" s="33"/>
      <c r="C620" s="150"/>
      <c r="D620" s="150"/>
      <c r="E620" s="151"/>
      <c r="F620" s="131"/>
      <c r="G620" s="131"/>
      <c r="M620" s="131"/>
      <c r="N620" s="131"/>
      <c r="O620" s="131"/>
      <c r="P620" s="131"/>
      <c r="Q620" s="131"/>
      <c r="AB620" s="33"/>
    </row>
    <row r="621" spans="1:28" ht="15.75" customHeight="1" x14ac:dyDescent="0.35">
      <c r="A621" s="149"/>
      <c r="B621" s="33"/>
      <c r="C621" s="150"/>
      <c r="D621" s="150"/>
      <c r="E621" s="151"/>
      <c r="F621" s="131"/>
      <c r="G621" s="131"/>
      <c r="M621" s="131"/>
      <c r="N621" s="131"/>
      <c r="O621" s="131"/>
      <c r="P621" s="131"/>
      <c r="Q621" s="131"/>
      <c r="AB621" s="33"/>
    </row>
    <row r="622" spans="1:28" ht="15.75" customHeight="1" x14ac:dyDescent="0.35">
      <c r="A622" s="149"/>
      <c r="B622" s="33"/>
      <c r="C622" s="150"/>
      <c r="D622" s="150"/>
      <c r="E622" s="151"/>
      <c r="F622" s="131"/>
      <c r="G622" s="131"/>
      <c r="M622" s="131"/>
      <c r="N622" s="131"/>
      <c r="O622" s="131"/>
      <c r="P622" s="131"/>
      <c r="Q622" s="131"/>
      <c r="AB622" s="33"/>
    </row>
    <row r="623" spans="1:28" ht="15.75" customHeight="1" x14ac:dyDescent="0.35">
      <c r="A623" s="149"/>
      <c r="B623" s="33"/>
      <c r="C623" s="150"/>
      <c r="D623" s="150"/>
      <c r="E623" s="151"/>
      <c r="F623" s="131"/>
      <c r="G623" s="131"/>
      <c r="M623" s="131"/>
      <c r="N623" s="131"/>
      <c r="O623" s="131"/>
      <c r="P623" s="131"/>
      <c r="Q623" s="131"/>
      <c r="AB623" s="33"/>
    </row>
    <row r="624" spans="1:28" ht="15.75" customHeight="1" x14ac:dyDescent="0.35">
      <c r="A624" s="149"/>
      <c r="B624" s="33"/>
      <c r="C624" s="150"/>
      <c r="D624" s="150"/>
      <c r="E624" s="151"/>
      <c r="F624" s="131"/>
      <c r="G624" s="131"/>
      <c r="M624" s="131"/>
      <c r="N624" s="131"/>
      <c r="O624" s="131"/>
      <c r="P624" s="131"/>
      <c r="Q624" s="131"/>
      <c r="AB624" s="33"/>
    </row>
    <row r="625" spans="1:28" ht="15.75" customHeight="1" x14ac:dyDescent="0.35">
      <c r="A625" s="149"/>
      <c r="B625" s="33"/>
      <c r="C625" s="150"/>
      <c r="D625" s="150"/>
      <c r="E625" s="151"/>
      <c r="F625" s="131"/>
      <c r="G625" s="131"/>
      <c r="M625" s="131"/>
      <c r="N625" s="131"/>
      <c r="O625" s="131"/>
      <c r="P625" s="131"/>
      <c r="Q625" s="131"/>
      <c r="AB625" s="33"/>
    </row>
    <row r="626" spans="1:28" ht="15.75" customHeight="1" x14ac:dyDescent="0.35">
      <c r="A626" s="149"/>
      <c r="B626" s="33"/>
      <c r="C626" s="150"/>
      <c r="D626" s="150"/>
      <c r="E626" s="151"/>
      <c r="F626" s="131"/>
      <c r="G626" s="131"/>
      <c r="M626" s="131"/>
      <c r="N626" s="131"/>
      <c r="O626" s="131"/>
      <c r="P626" s="131"/>
      <c r="Q626" s="131"/>
      <c r="AB626" s="33"/>
    </row>
    <row r="627" spans="1:28" ht="15.75" customHeight="1" x14ac:dyDescent="0.35">
      <c r="A627" s="149"/>
      <c r="B627" s="33"/>
      <c r="C627" s="150"/>
      <c r="D627" s="150"/>
      <c r="E627" s="151"/>
      <c r="F627" s="131"/>
      <c r="G627" s="131"/>
      <c r="M627" s="131"/>
      <c r="N627" s="131"/>
      <c r="O627" s="131"/>
      <c r="P627" s="131"/>
      <c r="Q627" s="131"/>
      <c r="AB627" s="33"/>
    </row>
    <row r="628" spans="1:28" ht="15.75" customHeight="1" x14ac:dyDescent="0.35">
      <c r="A628" s="149"/>
      <c r="B628" s="33"/>
      <c r="C628" s="150"/>
      <c r="D628" s="150"/>
      <c r="E628" s="151"/>
      <c r="F628" s="131"/>
      <c r="G628" s="131"/>
      <c r="M628" s="131"/>
      <c r="N628" s="131"/>
      <c r="O628" s="131"/>
      <c r="P628" s="131"/>
      <c r="Q628" s="131"/>
      <c r="AB628" s="33"/>
    </row>
    <row r="629" spans="1:28" ht="15.75" customHeight="1" x14ac:dyDescent="0.35">
      <c r="A629" s="149"/>
      <c r="B629" s="33"/>
      <c r="C629" s="150"/>
      <c r="D629" s="150"/>
      <c r="E629" s="151"/>
      <c r="F629" s="131"/>
      <c r="G629" s="131"/>
      <c r="M629" s="131"/>
      <c r="N629" s="131"/>
      <c r="O629" s="131"/>
      <c r="P629" s="131"/>
      <c r="Q629" s="131"/>
      <c r="AB629" s="33"/>
    </row>
    <row r="630" spans="1:28" ht="15.75" customHeight="1" x14ac:dyDescent="0.35">
      <c r="A630" s="149"/>
      <c r="B630" s="33"/>
      <c r="C630" s="150"/>
      <c r="D630" s="150"/>
      <c r="E630" s="151"/>
      <c r="F630" s="131"/>
      <c r="G630" s="131"/>
      <c r="M630" s="131"/>
      <c r="N630" s="131"/>
      <c r="O630" s="131"/>
      <c r="P630" s="131"/>
      <c r="Q630" s="131"/>
      <c r="AB630" s="33"/>
    </row>
    <row r="631" spans="1:28" ht="15.75" customHeight="1" x14ac:dyDescent="0.35">
      <c r="A631" s="149"/>
      <c r="B631" s="33"/>
      <c r="C631" s="150"/>
      <c r="D631" s="150"/>
      <c r="E631" s="151"/>
      <c r="F631" s="131"/>
      <c r="G631" s="131"/>
      <c r="M631" s="131"/>
      <c r="N631" s="131"/>
      <c r="O631" s="131"/>
      <c r="P631" s="131"/>
      <c r="Q631" s="131"/>
      <c r="AB631" s="33"/>
    </row>
    <row r="632" spans="1:28" ht="15.75" customHeight="1" x14ac:dyDescent="0.35">
      <c r="A632" s="149"/>
      <c r="B632" s="33"/>
      <c r="C632" s="150"/>
      <c r="D632" s="150"/>
      <c r="E632" s="151"/>
      <c r="F632" s="131"/>
      <c r="G632" s="131"/>
      <c r="M632" s="131"/>
      <c r="N632" s="131"/>
      <c r="O632" s="131"/>
      <c r="P632" s="131"/>
      <c r="Q632" s="131"/>
      <c r="AB632" s="33"/>
    </row>
    <row r="633" spans="1:28" ht="15.75" customHeight="1" x14ac:dyDescent="0.35">
      <c r="A633" s="149"/>
      <c r="B633" s="33"/>
      <c r="C633" s="150"/>
      <c r="D633" s="150"/>
      <c r="E633" s="151"/>
      <c r="F633" s="131"/>
      <c r="G633" s="131"/>
      <c r="M633" s="131"/>
      <c r="N633" s="131"/>
      <c r="O633" s="131"/>
      <c r="P633" s="131"/>
      <c r="Q633" s="131"/>
      <c r="AB633" s="33"/>
    </row>
    <row r="634" spans="1:28" ht="15.75" customHeight="1" x14ac:dyDescent="0.35">
      <c r="A634" s="149"/>
      <c r="B634" s="33"/>
      <c r="C634" s="150"/>
      <c r="D634" s="150"/>
      <c r="E634" s="151"/>
      <c r="F634" s="131"/>
      <c r="G634" s="131"/>
      <c r="M634" s="131"/>
      <c r="N634" s="131"/>
      <c r="O634" s="131"/>
      <c r="P634" s="131"/>
      <c r="Q634" s="131"/>
      <c r="AB634" s="33"/>
    </row>
    <row r="635" spans="1:28" ht="15.75" customHeight="1" x14ac:dyDescent="0.35">
      <c r="A635" s="149"/>
      <c r="B635" s="33"/>
      <c r="C635" s="150"/>
      <c r="D635" s="150"/>
      <c r="E635" s="151"/>
      <c r="F635" s="131"/>
      <c r="G635" s="131"/>
      <c r="M635" s="131"/>
      <c r="N635" s="131"/>
      <c r="O635" s="131"/>
      <c r="P635" s="131"/>
      <c r="Q635" s="131"/>
      <c r="AB635" s="33"/>
    </row>
    <row r="636" spans="1:28" ht="15.75" customHeight="1" x14ac:dyDescent="0.35">
      <c r="A636" s="149"/>
      <c r="B636" s="33"/>
      <c r="C636" s="150"/>
      <c r="D636" s="150"/>
      <c r="E636" s="151"/>
      <c r="F636" s="131"/>
      <c r="G636" s="131"/>
      <c r="M636" s="131"/>
      <c r="N636" s="131"/>
      <c r="O636" s="131"/>
      <c r="P636" s="131"/>
      <c r="Q636" s="131"/>
      <c r="AB636" s="33"/>
    </row>
    <row r="637" spans="1:28" ht="15.75" customHeight="1" x14ac:dyDescent="0.35">
      <c r="A637" s="149"/>
      <c r="B637" s="33"/>
      <c r="C637" s="150"/>
      <c r="D637" s="150"/>
      <c r="E637" s="151"/>
      <c r="F637" s="131"/>
      <c r="G637" s="131"/>
      <c r="M637" s="131"/>
      <c r="N637" s="131"/>
      <c r="O637" s="131"/>
      <c r="P637" s="131"/>
      <c r="Q637" s="131"/>
      <c r="AB637" s="33"/>
    </row>
    <row r="638" spans="1:28" ht="15.75" customHeight="1" x14ac:dyDescent="0.35">
      <c r="A638" s="149"/>
      <c r="B638" s="33"/>
      <c r="C638" s="150"/>
      <c r="D638" s="150"/>
      <c r="E638" s="151"/>
      <c r="F638" s="131"/>
      <c r="G638" s="131"/>
      <c r="M638" s="131"/>
      <c r="N638" s="131"/>
      <c r="O638" s="131"/>
      <c r="P638" s="131"/>
      <c r="Q638" s="131"/>
      <c r="AB638" s="33"/>
    </row>
    <row r="639" spans="1:28" ht="15.75" customHeight="1" x14ac:dyDescent="0.35">
      <c r="A639" s="149"/>
      <c r="B639" s="33"/>
      <c r="C639" s="150"/>
      <c r="D639" s="150"/>
      <c r="E639" s="151"/>
      <c r="F639" s="131"/>
      <c r="G639" s="131"/>
      <c r="M639" s="131"/>
      <c r="N639" s="131"/>
      <c r="O639" s="131"/>
      <c r="P639" s="131"/>
      <c r="Q639" s="131"/>
      <c r="AB639" s="33"/>
    </row>
    <row r="640" spans="1:28" ht="15.75" customHeight="1" x14ac:dyDescent="0.35">
      <c r="A640" s="149"/>
      <c r="B640" s="33"/>
      <c r="C640" s="150"/>
      <c r="D640" s="150"/>
      <c r="E640" s="151"/>
      <c r="F640" s="131"/>
      <c r="G640" s="131"/>
      <c r="M640" s="131"/>
      <c r="N640" s="131"/>
      <c r="O640" s="131"/>
      <c r="P640" s="131"/>
      <c r="Q640" s="131"/>
      <c r="AB640" s="33"/>
    </row>
    <row r="641" spans="1:28" ht="15.75" customHeight="1" x14ac:dyDescent="0.35">
      <c r="A641" s="149"/>
      <c r="B641" s="33"/>
      <c r="C641" s="150"/>
      <c r="D641" s="150"/>
      <c r="E641" s="151"/>
      <c r="F641" s="131"/>
      <c r="G641" s="131"/>
      <c r="M641" s="131"/>
      <c r="N641" s="131"/>
      <c r="O641" s="131"/>
      <c r="P641" s="131"/>
      <c r="Q641" s="131"/>
      <c r="AB641" s="33"/>
    </row>
    <row r="642" spans="1:28" ht="15.75" customHeight="1" x14ac:dyDescent="0.35">
      <c r="A642" s="149"/>
      <c r="B642" s="33"/>
      <c r="C642" s="150"/>
      <c r="D642" s="150"/>
      <c r="E642" s="151"/>
      <c r="F642" s="131"/>
      <c r="G642" s="131"/>
      <c r="M642" s="131"/>
      <c r="N642" s="131"/>
      <c r="O642" s="131"/>
      <c r="P642" s="131"/>
      <c r="Q642" s="131"/>
      <c r="AB642" s="33"/>
    </row>
    <row r="643" spans="1:28" ht="15.75" customHeight="1" x14ac:dyDescent="0.35">
      <c r="A643" s="149"/>
      <c r="B643" s="33"/>
      <c r="C643" s="150"/>
      <c r="D643" s="150"/>
      <c r="E643" s="151"/>
      <c r="F643" s="131"/>
      <c r="G643" s="131"/>
      <c r="M643" s="131"/>
      <c r="N643" s="131"/>
      <c r="O643" s="131"/>
      <c r="P643" s="131"/>
      <c r="Q643" s="131"/>
      <c r="AB643" s="33"/>
    </row>
    <row r="644" spans="1:28" ht="15.75" customHeight="1" x14ac:dyDescent="0.35">
      <c r="A644" s="149"/>
      <c r="B644" s="33"/>
      <c r="C644" s="150"/>
      <c r="D644" s="150"/>
      <c r="E644" s="151"/>
      <c r="F644" s="131"/>
      <c r="G644" s="131"/>
      <c r="M644" s="131"/>
      <c r="N644" s="131"/>
      <c r="O644" s="131"/>
      <c r="P644" s="131"/>
      <c r="Q644" s="131"/>
      <c r="AB644" s="33"/>
    </row>
    <row r="645" spans="1:28" ht="15.75" customHeight="1" x14ac:dyDescent="0.35">
      <c r="A645" s="149"/>
      <c r="B645" s="33"/>
      <c r="C645" s="150"/>
      <c r="D645" s="150"/>
      <c r="E645" s="151"/>
      <c r="F645" s="131"/>
      <c r="G645" s="131"/>
      <c r="M645" s="131"/>
      <c r="N645" s="131"/>
      <c r="O645" s="131"/>
      <c r="P645" s="131"/>
      <c r="Q645" s="131"/>
      <c r="AB645" s="33"/>
    </row>
    <row r="646" spans="1:28" ht="15.75" customHeight="1" x14ac:dyDescent="0.35">
      <c r="A646" s="149"/>
      <c r="B646" s="33"/>
      <c r="C646" s="150"/>
      <c r="D646" s="150"/>
      <c r="E646" s="151"/>
      <c r="F646" s="131"/>
      <c r="G646" s="131"/>
      <c r="M646" s="131"/>
      <c r="N646" s="131"/>
      <c r="O646" s="131"/>
      <c r="P646" s="131"/>
      <c r="Q646" s="131"/>
      <c r="AB646" s="33"/>
    </row>
    <row r="647" spans="1:28" ht="15.75" customHeight="1" x14ac:dyDescent="0.35">
      <c r="A647" s="149"/>
      <c r="B647" s="33"/>
      <c r="C647" s="150"/>
      <c r="D647" s="150"/>
      <c r="E647" s="151"/>
      <c r="F647" s="131"/>
      <c r="G647" s="131"/>
      <c r="M647" s="131"/>
      <c r="N647" s="131"/>
      <c r="O647" s="131"/>
      <c r="P647" s="131"/>
      <c r="Q647" s="131"/>
      <c r="AB647" s="33"/>
    </row>
    <row r="648" spans="1:28" ht="15.75" customHeight="1" x14ac:dyDescent="0.35">
      <c r="A648" s="149"/>
      <c r="B648" s="33"/>
      <c r="C648" s="150"/>
      <c r="D648" s="150"/>
      <c r="E648" s="151"/>
      <c r="F648" s="131"/>
      <c r="G648" s="131"/>
      <c r="M648" s="131"/>
      <c r="N648" s="131"/>
      <c r="O648" s="131"/>
      <c r="P648" s="131"/>
      <c r="Q648" s="131"/>
      <c r="AB648" s="33"/>
    </row>
    <row r="649" spans="1:28" ht="15.75" customHeight="1" x14ac:dyDescent="0.35">
      <c r="A649" s="149"/>
      <c r="B649" s="33"/>
      <c r="C649" s="150"/>
      <c r="D649" s="150"/>
      <c r="E649" s="151"/>
      <c r="F649" s="131"/>
      <c r="G649" s="131"/>
      <c r="M649" s="131"/>
      <c r="N649" s="131"/>
      <c r="O649" s="131"/>
      <c r="P649" s="131"/>
      <c r="Q649" s="131"/>
      <c r="AB649" s="33"/>
    </row>
    <row r="650" spans="1:28" ht="15.75" customHeight="1" x14ac:dyDescent="0.35">
      <c r="A650" s="149"/>
      <c r="B650" s="33"/>
      <c r="C650" s="150"/>
      <c r="D650" s="150"/>
      <c r="E650" s="151"/>
      <c r="F650" s="131"/>
      <c r="G650" s="131"/>
      <c r="M650" s="131"/>
      <c r="N650" s="131"/>
      <c r="O650" s="131"/>
      <c r="P650" s="131"/>
      <c r="Q650" s="131"/>
      <c r="AB650" s="33"/>
    </row>
    <row r="651" spans="1:28" ht="15.75" customHeight="1" x14ac:dyDescent="0.35">
      <c r="A651" s="149"/>
      <c r="B651" s="33"/>
      <c r="C651" s="150"/>
      <c r="D651" s="150"/>
      <c r="E651" s="151"/>
      <c r="F651" s="131"/>
      <c r="G651" s="131"/>
      <c r="M651" s="131"/>
      <c r="N651" s="131"/>
      <c r="O651" s="131"/>
      <c r="P651" s="131"/>
      <c r="Q651" s="131"/>
      <c r="AB651" s="33"/>
    </row>
    <row r="652" spans="1:28" ht="15.75" customHeight="1" x14ac:dyDescent="0.35">
      <c r="A652" s="149"/>
      <c r="B652" s="33"/>
      <c r="C652" s="150"/>
      <c r="D652" s="150"/>
      <c r="E652" s="151"/>
      <c r="F652" s="131"/>
      <c r="G652" s="131"/>
      <c r="M652" s="131"/>
      <c r="N652" s="131"/>
      <c r="O652" s="131"/>
      <c r="P652" s="131"/>
      <c r="Q652" s="131"/>
      <c r="AB652" s="33"/>
    </row>
    <row r="653" spans="1:28" ht="15.75" customHeight="1" x14ac:dyDescent="0.35">
      <c r="A653" s="149"/>
      <c r="B653" s="33"/>
      <c r="C653" s="150"/>
      <c r="D653" s="150"/>
      <c r="E653" s="151"/>
      <c r="F653" s="131"/>
      <c r="G653" s="131"/>
      <c r="M653" s="131"/>
      <c r="N653" s="131"/>
      <c r="O653" s="131"/>
      <c r="P653" s="131"/>
      <c r="Q653" s="131"/>
      <c r="AB653" s="33"/>
    </row>
    <row r="654" spans="1:28" ht="15.75" customHeight="1" x14ac:dyDescent="0.35">
      <c r="A654" s="149"/>
      <c r="B654" s="33"/>
      <c r="C654" s="150"/>
      <c r="D654" s="150"/>
      <c r="E654" s="151"/>
      <c r="F654" s="131"/>
      <c r="G654" s="131"/>
      <c r="M654" s="131"/>
      <c r="N654" s="131"/>
      <c r="O654" s="131"/>
      <c r="P654" s="131"/>
      <c r="Q654" s="131"/>
      <c r="AB654" s="33"/>
    </row>
    <row r="655" spans="1:28" ht="15.75" customHeight="1" x14ac:dyDescent="0.35">
      <c r="A655" s="149"/>
      <c r="B655" s="33"/>
      <c r="C655" s="150"/>
      <c r="D655" s="150"/>
      <c r="E655" s="151"/>
      <c r="F655" s="131"/>
      <c r="G655" s="131"/>
      <c r="M655" s="131"/>
      <c r="N655" s="131"/>
      <c r="O655" s="131"/>
      <c r="P655" s="131"/>
      <c r="Q655" s="131"/>
      <c r="AB655" s="33"/>
    </row>
    <row r="656" spans="1:28" ht="15.75" customHeight="1" x14ac:dyDescent="0.35">
      <c r="A656" s="149"/>
      <c r="B656" s="33"/>
      <c r="C656" s="150"/>
      <c r="D656" s="150"/>
      <c r="E656" s="151"/>
      <c r="F656" s="131"/>
      <c r="G656" s="131"/>
      <c r="M656" s="131"/>
      <c r="N656" s="131"/>
      <c r="O656" s="131"/>
      <c r="P656" s="131"/>
      <c r="Q656" s="131"/>
      <c r="AB656" s="33"/>
    </row>
    <row r="657" spans="1:28" ht="15.75" customHeight="1" x14ac:dyDescent="0.35">
      <c r="A657" s="149"/>
      <c r="B657" s="33"/>
      <c r="C657" s="150"/>
      <c r="D657" s="150"/>
      <c r="E657" s="151"/>
      <c r="F657" s="131"/>
      <c r="G657" s="131"/>
      <c r="M657" s="131"/>
      <c r="N657" s="131"/>
      <c r="O657" s="131"/>
      <c r="P657" s="131"/>
      <c r="Q657" s="131"/>
      <c r="AB657" s="33"/>
    </row>
    <row r="658" spans="1:28" ht="15.75" customHeight="1" x14ac:dyDescent="0.35">
      <c r="A658" s="149"/>
      <c r="B658" s="33"/>
      <c r="C658" s="150"/>
      <c r="D658" s="150"/>
      <c r="E658" s="151"/>
      <c r="F658" s="131"/>
      <c r="G658" s="131"/>
      <c r="M658" s="131"/>
      <c r="N658" s="131"/>
      <c r="O658" s="131"/>
      <c r="P658" s="131"/>
      <c r="Q658" s="131"/>
      <c r="AB658" s="33"/>
    </row>
    <row r="659" spans="1:28" ht="15.75" customHeight="1" x14ac:dyDescent="0.35">
      <c r="A659" s="149"/>
      <c r="B659" s="33"/>
      <c r="C659" s="150"/>
      <c r="D659" s="150"/>
      <c r="E659" s="151"/>
      <c r="F659" s="131"/>
      <c r="G659" s="131"/>
      <c r="M659" s="131"/>
      <c r="N659" s="131"/>
      <c r="O659" s="131"/>
      <c r="P659" s="131"/>
      <c r="Q659" s="131"/>
      <c r="AB659" s="33"/>
    </row>
    <row r="660" spans="1:28" ht="15.75" customHeight="1" x14ac:dyDescent="0.35">
      <c r="A660" s="149"/>
      <c r="B660" s="33"/>
      <c r="C660" s="150"/>
      <c r="D660" s="150"/>
      <c r="E660" s="151"/>
      <c r="F660" s="131"/>
      <c r="G660" s="131"/>
      <c r="M660" s="131"/>
      <c r="N660" s="131"/>
      <c r="O660" s="131"/>
      <c r="P660" s="131"/>
      <c r="Q660" s="131"/>
      <c r="AB660" s="33"/>
    </row>
    <row r="661" spans="1:28" ht="15.75" customHeight="1" x14ac:dyDescent="0.35">
      <c r="A661" s="149"/>
      <c r="B661" s="33"/>
      <c r="C661" s="150"/>
      <c r="D661" s="150"/>
      <c r="E661" s="151"/>
      <c r="F661" s="131"/>
      <c r="G661" s="131"/>
      <c r="M661" s="131"/>
      <c r="N661" s="131"/>
      <c r="O661" s="131"/>
      <c r="P661" s="131"/>
      <c r="Q661" s="131"/>
      <c r="AB661" s="33"/>
    </row>
    <row r="662" spans="1:28" ht="15.75" customHeight="1" x14ac:dyDescent="0.35">
      <c r="A662" s="149"/>
      <c r="B662" s="33"/>
      <c r="C662" s="150"/>
      <c r="D662" s="150"/>
      <c r="E662" s="151"/>
      <c r="F662" s="131"/>
      <c r="G662" s="131"/>
      <c r="M662" s="131"/>
      <c r="N662" s="131"/>
      <c r="O662" s="131"/>
      <c r="P662" s="131"/>
      <c r="Q662" s="131"/>
      <c r="AB662" s="33"/>
    </row>
    <row r="663" spans="1:28" ht="15.75" customHeight="1" x14ac:dyDescent="0.35">
      <c r="A663" s="149"/>
      <c r="B663" s="33"/>
      <c r="C663" s="150"/>
      <c r="D663" s="150"/>
      <c r="E663" s="151"/>
      <c r="F663" s="131"/>
      <c r="G663" s="131"/>
      <c r="M663" s="131"/>
      <c r="N663" s="131"/>
      <c r="O663" s="131"/>
      <c r="P663" s="131"/>
      <c r="Q663" s="131"/>
      <c r="AB663" s="33"/>
    </row>
    <row r="664" spans="1:28" ht="15.75" customHeight="1" x14ac:dyDescent="0.35">
      <c r="A664" s="149"/>
      <c r="B664" s="33"/>
      <c r="C664" s="150"/>
      <c r="D664" s="150"/>
      <c r="E664" s="151"/>
      <c r="F664" s="131"/>
      <c r="G664" s="131"/>
      <c r="M664" s="131"/>
      <c r="N664" s="131"/>
      <c r="O664" s="131"/>
      <c r="P664" s="131"/>
      <c r="Q664" s="131"/>
      <c r="AB664" s="33"/>
    </row>
    <row r="665" spans="1:28" ht="15.75" customHeight="1" x14ac:dyDescent="0.35">
      <c r="A665" s="149"/>
      <c r="B665" s="33"/>
      <c r="C665" s="150"/>
      <c r="D665" s="150"/>
      <c r="E665" s="151"/>
      <c r="F665" s="131"/>
      <c r="G665" s="131"/>
      <c r="M665" s="131"/>
      <c r="N665" s="131"/>
      <c r="O665" s="131"/>
      <c r="P665" s="131"/>
      <c r="Q665" s="131"/>
      <c r="AB665" s="33"/>
    </row>
    <row r="666" spans="1:28" ht="15.75" customHeight="1" x14ac:dyDescent="0.35">
      <c r="A666" s="149"/>
      <c r="B666" s="33"/>
      <c r="C666" s="150"/>
      <c r="D666" s="150"/>
      <c r="E666" s="151"/>
      <c r="F666" s="131"/>
      <c r="G666" s="131"/>
      <c r="M666" s="131"/>
      <c r="N666" s="131"/>
      <c r="O666" s="131"/>
      <c r="P666" s="131"/>
      <c r="Q666" s="131"/>
      <c r="AB666" s="33"/>
    </row>
    <row r="667" spans="1:28" ht="15.75" customHeight="1" x14ac:dyDescent="0.35">
      <c r="A667" s="149"/>
      <c r="B667" s="33"/>
      <c r="C667" s="150"/>
      <c r="D667" s="150"/>
      <c r="E667" s="151"/>
      <c r="F667" s="131"/>
      <c r="G667" s="131"/>
      <c r="M667" s="131"/>
      <c r="N667" s="131"/>
      <c r="O667" s="131"/>
      <c r="P667" s="131"/>
      <c r="Q667" s="131"/>
      <c r="AB667" s="33"/>
    </row>
    <row r="668" spans="1:28" ht="15.75" customHeight="1" x14ac:dyDescent="0.35">
      <c r="A668" s="149"/>
      <c r="B668" s="33"/>
      <c r="C668" s="150"/>
      <c r="D668" s="150"/>
      <c r="E668" s="151"/>
      <c r="F668" s="131"/>
      <c r="G668" s="131"/>
      <c r="M668" s="131"/>
      <c r="N668" s="131"/>
      <c r="O668" s="131"/>
      <c r="P668" s="131"/>
      <c r="Q668" s="131"/>
      <c r="AB668" s="33"/>
    </row>
    <row r="669" spans="1:28" ht="15.75" customHeight="1" x14ac:dyDescent="0.35">
      <c r="A669" s="149"/>
      <c r="B669" s="33"/>
      <c r="C669" s="150"/>
      <c r="D669" s="150"/>
      <c r="E669" s="151"/>
      <c r="F669" s="131"/>
      <c r="G669" s="131"/>
      <c r="M669" s="131"/>
      <c r="N669" s="131"/>
      <c r="O669" s="131"/>
      <c r="P669" s="131"/>
      <c r="Q669" s="131"/>
      <c r="AB669" s="33"/>
    </row>
    <row r="670" spans="1:28" ht="15.75" customHeight="1" x14ac:dyDescent="0.35">
      <c r="A670" s="149"/>
      <c r="B670" s="33"/>
      <c r="C670" s="150"/>
      <c r="D670" s="150"/>
      <c r="E670" s="151"/>
      <c r="F670" s="131"/>
      <c r="G670" s="131"/>
      <c r="M670" s="131"/>
      <c r="N670" s="131"/>
      <c r="O670" s="131"/>
      <c r="P670" s="131"/>
      <c r="Q670" s="131"/>
      <c r="AB670" s="33"/>
    </row>
    <row r="671" spans="1:28" ht="15.75" customHeight="1" x14ac:dyDescent="0.35">
      <c r="A671" s="149"/>
      <c r="B671" s="33"/>
      <c r="C671" s="150"/>
      <c r="D671" s="150"/>
      <c r="E671" s="151"/>
      <c r="F671" s="131"/>
      <c r="G671" s="131"/>
      <c r="M671" s="131"/>
      <c r="N671" s="131"/>
      <c r="O671" s="131"/>
      <c r="P671" s="131"/>
      <c r="Q671" s="131"/>
      <c r="AB671" s="33"/>
    </row>
    <row r="672" spans="1:28" ht="15.75" customHeight="1" x14ac:dyDescent="0.35">
      <c r="A672" s="149"/>
      <c r="B672" s="33"/>
      <c r="C672" s="150"/>
      <c r="D672" s="150"/>
      <c r="E672" s="151"/>
      <c r="F672" s="131"/>
      <c r="G672" s="131"/>
      <c r="M672" s="131"/>
      <c r="N672" s="131"/>
      <c r="O672" s="131"/>
      <c r="P672" s="131"/>
      <c r="Q672" s="131"/>
      <c r="AB672" s="33"/>
    </row>
    <row r="673" spans="1:28" ht="15.75" customHeight="1" x14ac:dyDescent="0.35">
      <c r="A673" s="149"/>
      <c r="B673" s="33"/>
      <c r="C673" s="150"/>
      <c r="D673" s="150"/>
      <c r="E673" s="151"/>
      <c r="F673" s="131"/>
      <c r="G673" s="131"/>
      <c r="M673" s="131"/>
      <c r="N673" s="131"/>
      <c r="O673" s="131"/>
      <c r="P673" s="131"/>
      <c r="Q673" s="131"/>
      <c r="AB673" s="33"/>
    </row>
    <row r="674" spans="1:28" ht="15.75" customHeight="1" x14ac:dyDescent="0.35">
      <c r="A674" s="149"/>
      <c r="B674" s="33"/>
      <c r="C674" s="150"/>
      <c r="D674" s="150"/>
      <c r="E674" s="151"/>
      <c r="F674" s="131"/>
      <c r="G674" s="131"/>
      <c r="M674" s="131"/>
      <c r="N674" s="131"/>
      <c r="O674" s="131"/>
      <c r="P674" s="131"/>
      <c r="Q674" s="131"/>
      <c r="AB674" s="33"/>
    </row>
    <row r="675" spans="1:28" ht="15.75" customHeight="1" x14ac:dyDescent="0.35">
      <c r="A675" s="149"/>
      <c r="B675" s="33"/>
      <c r="C675" s="150"/>
      <c r="D675" s="150"/>
      <c r="E675" s="151"/>
      <c r="F675" s="131"/>
      <c r="G675" s="131"/>
      <c r="M675" s="131"/>
      <c r="N675" s="131"/>
      <c r="O675" s="131"/>
      <c r="P675" s="131"/>
      <c r="Q675" s="131"/>
      <c r="AB675" s="33"/>
    </row>
    <row r="676" spans="1:28" ht="15.75" customHeight="1" x14ac:dyDescent="0.35">
      <c r="A676" s="149"/>
      <c r="B676" s="33"/>
      <c r="C676" s="150"/>
      <c r="D676" s="150"/>
      <c r="E676" s="151"/>
      <c r="F676" s="131"/>
      <c r="G676" s="131"/>
      <c r="M676" s="131"/>
      <c r="N676" s="131"/>
      <c r="O676" s="131"/>
      <c r="P676" s="131"/>
      <c r="Q676" s="131"/>
      <c r="AB676" s="33"/>
    </row>
    <row r="677" spans="1:28" ht="15.75" customHeight="1" x14ac:dyDescent="0.35">
      <c r="A677" s="149"/>
      <c r="B677" s="33"/>
      <c r="C677" s="150"/>
      <c r="D677" s="150"/>
      <c r="E677" s="151"/>
      <c r="F677" s="131"/>
      <c r="G677" s="131"/>
      <c r="M677" s="131"/>
      <c r="N677" s="131"/>
      <c r="O677" s="131"/>
      <c r="P677" s="131"/>
      <c r="Q677" s="131"/>
      <c r="AB677" s="33"/>
    </row>
    <row r="678" spans="1:28" ht="15.75" customHeight="1" x14ac:dyDescent="0.35">
      <c r="A678" s="149"/>
      <c r="B678" s="33"/>
      <c r="C678" s="150"/>
      <c r="D678" s="150"/>
      <c r="E678" s="151"/>
      <c r="F678" s="131"/>
      <c r="G678" s="131"/>
      <c r="M678" s="131"/>
      <c r="N678" s="131"/>
      <c r="O678" s="131"/>
      <c r="P678" s="131"/>
      <c r="Q678" s="131"/>
      <c r="AB678" s="33"/>
    </row>
    <row r="679" spans="1:28" ht="15.75" customHeight="1" x14ac:dyDescent="0.35">
      <c r="A679" s="149"/>
      <c r="B679" s="33"/>
      <c r="C679" s="150"/>
      <c r="D679" s="150"/>
      <c r="E679" s="151"/>
      <c r="F679" s="131"/>
      <c r="G679" s="131"/>
      <c r="M679" s="131"/>
      <c r="N679" s="131"/>
      <c r="O679" s="131"/>
      <c r="P679" s="131"/>
      <c r="Q679" s="131"/>
      <c r="AB679" s="33"/>
    </row>
    <row r="680" spans="1:28" ht="15.75" customHeight="1" x14ac:dyDescent="0.35">
      <c r="A680" s="149"/>
      <c r="B680" s="33"/>
      <c r="C680" s="150"/>
      <c r="D680" s="150"/>
      <c r="E680" s="151"/>
      <c r="F680" s="131"/>
      <c r="G680" s="131"/>
      <c r="M680" s="131"/>
      <c r="N680" s="131"/>
      <c r="O680" s="131"/>
      <c r="P680" s="131"/>
      <c r="Q680" s="131"/>
      <c r="AB680" s="33"/>
    </row>
    <row r="681" spans="1:28" ht="15.75" customHeight="1" x14ac:dyDescent="0.35">
      <c r="A681" s="149"/>
      <c r="B681" s="33"/>
      <c r="C681" s="150"/>
      <c r="D681" s="150"/>
      <c r="E681" s="151"/>
      <c r="F681" s="131"/>
      <c r="G681" s="131"/>
      <c r="M681" s="131"/>
      <c r="N681" s="131"/>
      <c r="O681" s="131"/>
      <c r="P681" s="131"/>
      <c r="Q681" s="131"/>
      <c r="AB681" s="33"/>
    </row>
    <row r="682" spans="1:28" ht="15.75" customHeight="1" x14ac:dyDescent="0.35">
      <c r="A682" s="149"/>
      <c r="B682" s="33"/>
      <c r="C682" s="150"/>
      <c r="D682" s="150"/>
      <c r="E682" s="151"/>
      <c r="F682" s="131"/>
      <c r="G682" s="131"/>
      <c r="M682" s="131"/>
      <c r="N682" s="131"/>
      <c r="O682" s="131"/>
      <c r="P682" s="131"/>
      <c r="Q682" s="131"/>
      <c r="AB682" s="33"/>
    </row>
    <row r="683" spans="1:28" ht="15.75" customHeight="1" x14ac:dyDescent="0.35">
      <c r="A683" s="149"/>
      <c r="B683" s="33"/>
      <c r="C683" s="150"/>
      <c r="D683" s="150"/>
      <c r="E683" s="151"/>
      <c r="F683" s="131"/>
      <c r="G683" s="131"/>
      <c r="M683" s="131"/>
      <c r="N683" s="131"/>
      <c r="O683" s="131"/>
      <c r="P683" s="131"/>
      <c r="Q683" s="131"/>
      <c r="AB683" s="33"/>
    </row>
    <row r="684" spans="1:28" ht="15.75" customHeight="1" x14ac:dyDescent="0.35">
      <c r="A684" s="149"/>
      <c r="B684" s="33"/>
      <c r="C684" s="150"/>
      <c r="D684" s="150"/>
      <c r="E684" s="151"/>
      <c r="F684" s="131"/>
      <c r="G684" s="131"/>
      <c r="M684" s="131"/>
      <c r="N684" s="131"/>
      <c r="O684" s="131"/>
      <c r="P684" s="131"/>
      <c r="Q684" s="131"/>
      <c r="AB684" s="33"/>
    </row>
    <row r="685" spans="1:28" ht="15.75" customHeight="1" x14ac:dyDescent="0.35">
      <c r="A685" s="149"/>
      <c r="B685" s="33"/>
      <c r="C685" s="150"/>
      <c r="D685" s="150"/>
      <c r="E685" s="151"/>
      <c r="F685" s="131"/>
      <c r="G685" s="131"/>
      <c r="M685" s="131"/>
      <c r="N685" s="131"/>
      <c r="O685" s="131"/>
      <c r="P685" s="131"/>
      <c r="Q685" s="131"/>
      <c r="AB685" s="33"/>
    </row>
    <row r="686" spans="1:28" ht="15.75" customHeight="1" x14ac:dyDescent="0.35">
      <c r="A686" s="149"/>
      <c r="B686" s="33"/>
      <c r="C686" s="150"/>
      <c r="D686" s="150"/>
      <c r="E686" s="151"/>
      <c r="F686" s="131"/>
      <c r="G686" s="131"/>
      <c r="M686" s="131"/>
      <c r="N686" s="131"/>
      <c r="O686" s="131"/>
      <c r="P686" s="131"/>
      <c r="Q686" s="131"/>
      <c r="AB686" s="33"/>
    </row>
    <row r="687" spans="1:28" ht="15.75" customHeight="1" x14ac:dyDescent="0.35">
      <c r="A687" s="149"/>
      <c r="B687" s="33"/>
      <c r="C687" s="150"/>
      <c r="D687" s="150"/>
      <c r="E687" s="151"/>
      <c r="F687" s="131"/>
      <c r="G687" s="131"/>
      <c r="M687" s="131"/>
      <c r="N687" s="131"/>
      <c r="O687" s="131"/>
      <c r="P687" s="131"/>
      <c r="Q687" s="131"/>
      <c r="AB687" s="33"/>
    </row>
    <row r="688" spans="1:28" ht="15.75" customHeight="1" x14ac:dyDescent="0.35">
      <c r="A688" s="149"/>
      <c r="B688" s="33"/>
      <c r="C688" s="150"/>
      <c r="D688" s="150"/>
      <c r="E688" s="151"/>
      <c r="F688" s="131"/>
      <c r="G688" s="131"/>
      <c r="M688" s="131"/>
      <c r="N688" s="131"/>
      <c r="O688" s="131"/>
      <c r="P688" s="131"/>
      <c r="Q688" s="131"/>
      <c r="AB688" s="33"/>
    </row>
    <row r="689" spans="1:28" ht="15.75" customHeight="1" x14ac:dyDescent="0.35">
      <c r="A689" s="149"/>
      <c r="B689" s="33"/>
      <c r="C689" s="150"/>
      <c r="D689" s="150"/>
      <c r="E689" s="151"/>
      <c r="F689" s="131"/>
      <c r="G689" s="131"/>
      <c r="M689" s="131"/>
      <c r="N689" s="131"/>
      <c r="O689" s="131"/>
      <c r="P689" s="131"/>
      <c r="Q689" s="131"/>
      <c r="AB689" s="33"/>
    </row>
    <row r="690" spans="1:28" ht="15.75" customHeight="1" x14ac:dyDescent="0.35">
      <c r="A690" s="149"/>
      <c r="B690" s="33"/>
      <c r="C690" s="150"/>
      <c r="D690" s="150"/>
      <c r="E690" s="151"/>
      <c r="F690" s="131"/>
      <c r="G690" s="131"/>
      <c r="M690" s="131"/>
      <c r="N690" s="131"/>
      <c r="O690" s="131"/>
      <c r="P690" s="131"/>
      <c r="Q690" s="131"/>
      <c r="AB690" s="33"/>
    </row>
    <row r="691" spans="1:28" ht="15.75" customHeight="1" x14ac:dyDescent="0.35">
      <c r="A691" s="149"/>
      <c r="B691" s="33"/>
      <c r="C691" s="150"/>
      <c r="D691" s="150"/>
      <c r="E691" s="151"/>
      <c r="F691" s="131"/>
      <c r="G691" s="131"/>
      <c r="M691" s="131"/>
      <c r="N691" s="131"/>
      <c r="O691" s="131"/>
      <c r="P691" s="131"/>
      <c r="Q691" s="131"/>
      <c r="AB691" s="33"/>
    </row>
    <row r="692" spans="1:28" ht="15.75" customHeight="1" x14ac:dyDescent="0.35">
      <c r="A692" s="149"/>
      <c r="B692" s="33"/>
      <c r="C692" s="150"/>
      <c r="D692" s="150"/>
      <c r="E692" s="151"/>
      <c r="F692" s="131"/>
      <c r="G692" s="131"/>
      <c r="M692" s="131"/>
      <c r="N692" s="131"/>
      <c r="O692" s="131"/>
      <c r="P692" s="131"/>
      <c r="Q692" s="131"/>
      <c r="AB692" s="33"/>
    </row>
    <row r="693" spans="1:28" ht="15.75" customHeight="1" x14ac:dyDescent="0.35">
      <c r="A693" s="149"/>
      <c r="B693" s="33"/>
      <c r="C693" s="150"/>
      <c r="D693" s="150"/>
      <c r="E693" s="151"/>
      <c r="F693" s="131"/>
      <c r="G693" s="131"/>
      <c r="M693" s="131"/>
      <c r="N693" s="131"/>
      <c r="O693" s="131"/>
      <c r="P693" s="131"/>
      <c r="Q693" s="131"/>
      <c r="AB693" s="33"/>
    </row>
    <row r="694" spans="1:28" ht="15.75" customHeight="1" x14ac:dyDescent="0.35">
      <c r="A694" s="149"/>
      <c r="B694" s="33"/>
      <c r="C694" s="150"/>
      <c r="D694" s="150"/>
      <c r="E694" s="151"/>
      <c r="F694" s="131"/>
      <c r="G694" s="131"/>
      <c r="M694" s="131"/>
      <c r="N694" s="131"/>
      <c r="O694" s="131"/>
      <c r="P694" s="131"/>
      <c r="Q694" s="131"/>
      <c r="AB694" s="33"/>
    </row>
    <row r="695" spans="1:28" ht="15.75" customHeight="1" x14ac:dyDescent="0.35">
      <c r="A695" s="149"/>
      <c r="B695" s="33"/>
      <c r="C695" s="150"/>
      <c r="D695" s="150"/>
      <c r="E695" s="151"/>
      <c r="F695" s="131"/>
      <c r="G695" s="131"/>
      <c r="M695" s="131"/>
      <c r="N695" s="131"/>
      <c r="O695" s="131"/>
      <c r="P695" s="131"/>
      <c r="Q695" s="131"/>
      <c r="AB695" s="33"/>
    </row>
    <row r="696" spans="1:28" ht="15.75" customHeight="1" x14ac:dyDescent="0.35">
      <c r="A696" s="149"/>
      <c r="B696" s="33"/>
      <c r="C696" s="150"/>
      <c r="D696" s="150"/>
      <c r="E696" s="151"/>
      <c r="F696" s="131"/>
      <c r="G696" s="131"/>
      <c r="M696" s="131"/>
      <c r="N696" s="131"/>
      <c r="O696" s="131"/>
      <c r="P696" s="131"/>
      <c r="Q696" s="131"/>
      <c r="AB696" s="33"/>
    </row>
    <row r="697" spans="1:28" ht="15.75" customHeight="1" x14ac:dyDescent="0.35">
      <c r="A697" s="149"/>
      <c r="B697" s="33"/>
      <c r="C697" s="150"/>
      <c r="D697" s="150"/>
      <c r="E697" s="151"/>
      <c r="F697" s="131"/>
      <c r="G697" s="131"/>
      <c r="M697" s="131"/>
      <c r="N697" s="131"/>
      <c r="O697" s="131"/>
      <c r="P697" s="131"/>
      <c r="Q697" s="131"/>
      <c r="AB697" s="33"/>
    </row>
    <row r="698" spans="1:28" ht="15.75" customHeight="1" x14ac:dyDescent="0.35">
      <c r="A698" s="149"/>
      <c r="B698" s="33"/>
      <c r="C698" s="150"/>
      <c r="D698" s="150"/>
      <c r="E698" s="151"/>
      <c r="F698" s="131"/>
      <c r="G698" s="131"/>
      <c r="M698" s="131"/>
      <c r="N698" s="131"/>
      <c r="O698" s="131"/>
      <c r="P698" s="131"/>
      <c r="Q698" s="131"/>
      <c r="AB698" s="33"/>
    </row>
    <row r="699" spans="1:28" ht="15.75" customHeight="1" x14ac:dyDescent="0.35">
      <c r="A699" s="149"/>
      <c r="B699" s="33"/>
      <c r="C699" s="150"/>
      <c r="D699" s="150"/>
      <c r="E699" s="151"/>
      <c r="F699" s="131"/>
      <c r="G699" s="131"/>
      <c r="M699" s="131"/>
      <c r="N699" s="131"/>
      <c r="O699" s="131"/>
      <c r="P699" s="131"/>
      <c r="Q699" s="131"/>
      <c r="AB699" s="33"/>
    </row>
    <row r="700" spans="1:28" ht="15.75" customHeight="1" x14ac:dyDescent="0.35">
      <c r="A700" s="149"/>
      <c r="B700" s="33"/>
      <c r="C700" s="150"/>
      <c r="D700" s="150"/>
      <c r="E700" s="151"/>
      <c r="F700" s="131"/>
      <c r="G700" s="131"/>
      <c r="M700" s="131"/>
      <c r="N700" s="131"/>
      <c r="O700" s="131"/>
      <c r="P700" s="131"/>
      <c r="Q700" s="131"/>
      <c r="AB700" s="33"/>
    </row>
    <row r="701" spans="1:28" ht="15.75" customHeight="1" x14ac:dyDescent="0.35">
      <c r="A701" s="149"/>
      <c r="B701" s="33"/>
      <c r="C701" s="150"/>
      <c r="D701" s="150"/>
      <c r="E701" s="151"/>
      <c r="F701" s="131"/>
      <c r="G701" s="131"/>
      <c r="M701" s="131"/>
      <c r="N701" s="131"/>
      <c r="O701" s="131"/>
      <c r="P701" s="131"/>
      <c r="Q701" s="131"/>
      <c r="AB701" s="33"/>
    </row>
    <row r="702" spans="1:28" ht="15.75" customHeight="1" x14ac:dyDescent="0.35">
      <c r="A702" s="149"/>
      <c r="B702" s="33"/>
      <c r="C702" s="150"/>
      <c r="D702" s="150"/>
      <c r="E702" s="151"/>
      <c r="F702" s="131"/>
      <c r="G702" s="131"/>
      <c r="M702" s="131"/>
      <c r="N702" s="131"/>
      <c r="O702" s="131"/>
      <c r="P702" s="131"/>
      <c r="Q702" s="131"/>
      <c r="AB702" s="33"/>
    </row>
    <row r="703" spans="1:28" ht="15.75" customHeight="1" x14ac:dyDescent="0.35">
      <c r="A703" s="149"/>
      <c r="B703" s="33"/>
      <c r="C703" s="150"/>
      <c r="D703" s="150"/>
      <c r="E703" s="151"/>
      <c r="F703" s="131"/>
      <c r="G703" s="131"/>
      <c r="M703" s="131"/>
      <c r="N703" s="131"/>
      <c r="O703" s="131"/>
      <c r="P703" s="131"/>
      <c r="Q703" s="131"/>
      <c r="AB703" s="33"/>
    </row>
    <row r="704" spans="1:28" ht="15.75" customHeight="1" x14ac:dyDescent="0.35">
      <c r="A704" s="149"/>
      <c r="B704" s="33"/>
      <c r="C704" s="150"/>
      <c r="D704" s="150"/>
      <c r="E704" s="151"/>
      <c r="F704" s="131"/>
      <c r="G704" s="131"/>
      <c r="M704" s="131"/>
      <c r="N704" s="131"/>
      <c r="O704" s="131"/>
      <c r="P704" s="131"/>
      <c r="Q704" s="131"/>
      <c r="AB704" s="33"/>
    </row>
    <row r="705" spans="1:28" ht="15.75" customHeight="1" x14ac:dyDescent="0.35">
      <c r="A705" s="149"/>
      <c r="B705" s="33"/>
      <c r="C705" s="150"/>
      <c r="D705" s="150"/>
      <c r="E705" s="151"/>
      <c r="F705" s="131"/>
      <c r="G705" s="131"/>
      <c r="M705" s="131"/>
      <c r="N705" s="131"/>
      <c r="O705" s="131"/>
      <c r="P705" s="131"/>
      <c r="Q705" s="131"/>
      <c r="AB705" s="33"/>
    </row>
    <row r="706" spans="1:28" ht="15.75" customHeight="1" x14ac:dyDescent="0.35">
      <c r="A706" s="149"/>
      <c r="B706" s="33"/>
      <c r="C706" s="150"/>
      <c r="D706" s="150"/>
      <c r="E706" s="151"/>
      <c r="F706" s="131"/>
      <c r="G706" s="131"/>
      <c r="M706" s="131"/>
      <c r="N706" s="131"/>
      <c r="O706" s="131"/>
      <c r="P706" s="131"/>
      <c r="Q706" s="131"/>
      <c r="AB706" s="33"/>
    </row>
    <row r="707" spans="1:28" ht="15.75" customHeight="1" x14ac:dyDescent="0.35">
      <c r="A707" s="149"/>
      <c r="B707" s="33"/>
      <c r="C707" s="150"/>
      <c r="D707" s="150"/>
      <c r="E707" s="151"/>
      <c r="F707" s="131"/>
      <c r="G707" s="131"/>
      <c r="M707" s="131"/>
      <c r="N707" s="131"/>
      <c r="O707" s="131"/>
      <c r="P707" s="131"/>
      <c r="Q707" s="131"/>
      <c r="AB707" s="33"/>
    </row>
    <row r="708" spans="1:28" ht="15.75" customHeight="1" x14ac:dyDescent="0.35">
      <c r="A708" s="149"/>
      <c r="B708" s="33"/>
      <c r="C708" s="150"/>
      <c r="D708" s="150"/>
      <c r="E708" s="151"/>
      <c r="F708" s="131"/>
      <c r="G708" s="131"/>
      <c r="M708" s="131"/>
      <c r="N708" s="131"/>
      <c r="O708" s="131"/>
      <c r="P708" s="131"/>
      <c r="Q708" s="131"/>
      <c r="AB708" s="33"/>
    </row>
    <row r="709" spans="1:28" ht="15.75" customHeight="1" x14ac:dyDescent="0.35">
      <c r="A709" s="149"/>
      <c r="B709" s="33"/>
      <c r="C709" s="150"/>
      <c r="D709" s="150"/>
      <c r="E709" s="151"/>
      <c r="F709" s="131"/>
      <c r="G709" s="131"/>
      <c r="M709" s="131"/>
      <c r="N709" s="131"/>
      <c r="O709" s="131"/>
      <c r="P709" s="131"/>
      <c r="Q709" s="131"/>
      <c r="AB709" s="33"/>
    </row>
    <row r="710" spans="1:28" ht="15.75" customHeight="1" x14ac:dyDescent="0.35">
      <c r="A710" s="149"/>
      <c r="B710" s="33"/>
      <c r="C710" s="150"/>
      <c r="D710" s="150"/>
      <c r="E710" s="151"/>
      <c r="F710" s="131"/>
      <c r="G710" s="131"/>
      <c r="M710" s="131"/>
      <c r="N710" s="131"/>
      <c r="O710" s="131"/>
      <c r="P710" s="131"/>
      <c r="Q710" s="131"/>
      <c r="AB710" s="33"/>
    </row>
    <row r="711" spans="1:28" ht="15.75" customHeight="1" x14ac:dyDescent="0.35">
      <c r="A711" s="149"/>
      <c r="B711" s="33"/>
      <c r="C711" s="150"/>
      <c r="D711" s="150"/>
      <c r="E711" s="151"/>
      <c r="F711" s="131"/>
      <c r="G711" s="131"/>
      <c r="M711" s="131"/>
      <c r="N711" s="131"/>
      <c r="O711" s="131"/>
      <c r="P711" s="131"/>
      <c r="Q711" s="131"/>
      <c r="AB711" s="33"/>
    </row>
    <row r="712" spans="1:28" ht="15.75" customHeight="1" x14ac:dyDescent="0.35">
      <c r="A712" s="149"/>
      <c r="B712" s="33"/>
      <c r="C712" s="150"/>
      <c r="D712" s="150"/>
      <c r="E712" s="151"/>
      <c r="F712" s="131"/>
      <c r="G712" s="131"/>
      <c r="M712" s="131"/>
      <c r="N712" s="131"/>
      <c r="O712" s="131"/>
      <c r="P712" s="131"/>
      <c r="Q712" s="131"/>
      <c r="AB712" s="33"/>
    </row>
    <row r="713" spans="1:28" ht="15.75" customHeight="1" x14ac:dyDescent="0.35">
      <c r="A713" s="149"/>
      <c r="B713" s="33"/>
      <c r="C713" s="150"/>
      <c r="D713" s="150"/>
      <c r="E713" s="151"/>
      <c r="F713" s="131"/>
      <c r="G713" s="131"/>
      <c r="M713" s="131"/>
      <c r="N713" s="131"/>
      <c r="O713" s="131"/>
      <c r="P713" s="131"/>
      <c r="Q713" s="131"/>
      <c r="AB713" s="33"/>
    </row>
    <row r="714" spans="1:28" ht="15.75" customHeight="1" x14ac:dyDescent="0.35">
      <c r="A714" s="149"/>
      <c r="B714" s="33"/>
      <c r="C714" s="150"/>
      <c r="D714" s="150"/>
      <c r="E714" s="151"/>
      <c r="F714" s="131"/>
      <c r="G714" s="131"/>
      <c r="M714" s="131"/>
      <c r="N714" s="131"/>
      <c r="O714" s="131"/>
      <c r="P714" s="131"/>
      <c r="Q714" s="131"/>
      <c r="AB714" s="33"/>
    </row>
    <row r="715" spans="1:28" ht="15.75" customHeight="1" x14ac:dyDescent="0.35">
      <c r="A715" s="149"/>
      <c r="B715" s="33"/>
      <c r="C715" s="150"/>
      <c r="D715" s="150"/>
      <c r="E715" s="151"/>
      <c r="F715" s="131"/>
      <c r="G715" s="131"/>
      <c r="M715" s="131"/>
      <c r="N715" s="131"/>
      <c r="O715" s="131"/>
      <c r="P715" s="131"/>
      <c r="Q715" s="131"/>
      <c r="AB715" s="33"/>
    </row>
    <row r="716" spans="1:28" ht="15.75" customHeight="1" x14ac:dyDescent="0.35">
      <c r="A716" s="149"/>
      <c r="B716" s="33"/>
      <c r="C716" s="150"/>
      <c r="D716" s="150"/>
      <c r="E716" s="151"/>
      <c r="F716" s="131"/>
      <c r="G716" s="131"/>
      <c r="M716" s="131"/>
      <c r="N716" s="131"/>
      <c r="O716" s="131"/>
      <c r="P716" s="131"/>
      <c r="Q716" s="131"/>
      <c r="AB716" s="33"/>
    </row>
    <row r="717" spans="1:28" ht="15.75" customHeight="1" x14ac:dyDescent="0.35">
      <c r="A717" s="149"/>
      <c r="B717" s="33"/>
      <c r="C717" s="150"/>
      <c r="D717" s="150"/>
      <c r="E717" s="151"/>
      <c r="F717" s="131"/>
      <c r="G717" s="131"/>
      <c r="M717" s="131"/>
      <c r="N717" s="131"/>
      <c r="O717" s="131"/>
      <c r="P717" s="131"/>
      <c r="Q717" s="131"/>
      <c r="AB717" s="33"/>
    </row>
    <row r="718" spans="1:28" ht="15.75" customHeight="1" x14ac:dyDescent="0.35">
      <c r="A718" s="149"/>
      <c r="B718" s="33"/>
      <c r="C718" s="150"/>
      <c r="D718" s="150"/>
      <c r="E718" s="151"/>
      <c r="F718" s="131"/>
      <c r="G718" s="131"/>
      <c r="M718" s="131"/>
      <c r="N718" s="131"/>
      <c r="O718" s="131"/>
      <c r="P718" s="131"/>
      <c r="Q718" s="131"/>
      <c r="AB718" s="33"/>
    </row>
    <row r="719" spans="1:28" ht="15.75" customHeight="1" x14ac:dyDescent="0.35">
      <c r="A719" s="149"/>
      <c r="B719" s="33"/>
      <c r="C719" s="150"/>
      <c r="D719" s="150"/>
      <c r="E719" s="151"/>
      <c r="F719" s="131"/>
      <c r="G719" s="131"/>
      <c r="M719" s="131"/>
      <c r="N719" s="131"/>
      <c r="O719" s="131"/>
      <c r="P719" s="131"/>
      <c r="Q719" s="131"/>
      <c r="AB719" s="33"/>
    </row>
    <row r="720" spans="1:28" ht="15.75" customHeight="1" x14ac:dyDescent="0.35">
      <c r="A720" s="149"/>
      <c r="B720" s="33"/>
      <c r="C720" s="150"/>
      <c r="D720" s="150"/>
      <c r="E720" s="151"/>
      <c r="F720" s="131"/>
      <c r="G720" s="131"/>
      <c r="M720" s="131"/>
      <c r="N720" s="131"/>
      <c r="O720" s="131"/>
      <c r="P720" s="131"/>
      <c r="Q720" s="131"/>
      <c r="AB720" s="33"/>
    </row>
    <row r="721" spans="1:28" ht="15.75" customHeight="1" x14ac:dyDescent="0.35">
      <c r="A721" s="149"/>
      <c r="B721" s="33"/>
      <c r="C721" s="150"/>
      <c r="D721" s="150"/>
      <c r="E721" s="151"/>
      <c r="F721" s="131"/>
      <c r="G721" s="131"/>
      <c r="M721" s="131"/>
      <c r="N721" s="131"/>
      <c r="O721" s="131"/>
      <c r="P721" s="131"/>
      <c r="Q721" s="131"/>
      <c r="AB721" s="33"/>
    </row>
    <row r="722" spans="1:28" ht="15.75" customHeight="1" x14ac:dyDescent="0.35">
      <c r="A722" s="149"/>
      <c r="B722" s="33"/>
      <c r="C722" s="150"/>
      <c r="D722" s="150"/>
      <c r="E722" s="151"/>
      <c r="F722" s="131"/>
      <c r="G722" s="131"/>
      <c r="M722" s="131"/>
      <c r="N722" s="131"/>
      <c r="O722" s="131"/>
      <c r="P722" s="131"/>
      <c r="Q722" s="131"/>
      <c r="AB722" s="33"/>
    </row>
    <row r="723" spans="1:28" ht="15.75" customHeight="1" x14ac:dyDescent="0.35">
      <c r="A723" s="149"/>
      <c r="B723" s="33"/>
      <c r="C723" s="150"/>
      <c r="D723" s="150"/>
      <c r="E723" s="151"/>
      <c r="F723" s="131"/>
      <c r="G723" s="131"/>
      <c r="M723" s="131"/>
      <c r="N723" s="131"/>
      <c r="O723" s="131"/>
      <c r="P723" s="131"/>
      <c r="Q723" s="131"/>
      <c r="AB723" s="33"/>
    </row>
    <row r="724" spans="1:28" ht="15.75" customHeight="1" x14ac:dyDescent="0.35">
      <c r="A724" s="149"/>
      <c r="B724" s="33"/>
      <c r="C724" s="150"/>
      <c r="D724" s="150"/>
      <c r="E724" s="151"/>
      <c r="F724" s="131"/>
      <c r="G724" s="131"/>
      <c r="M724" s="131"/>
      <c r="N724" s="131"/>
      <c r="O724" s="131"/>
      <c r="P724" s="131"/>
      <c r="Q724" s="131"/>
      <c r="AB724" s="33"/>
    </row>
    <row r="725" spans="1:28" ht="15.75" customHeight="1" x14ac:dyDescent="0.35">
      <c r="A725" s="149"/>
      <c r="B725" s="33"/>
      <c r="C725" s="150"/>
      <c r="D725" s="150"/>
      <c r="E725" s="151"/>
      <c r="F725" s="131"/>
      <c r="G725" s="131"/>
      <c r="M725" s="131"/>
      <c r="N725" s="131"/>
      <c r="O725" s="131"/>
      <c r="P725" s="131"/>
      <c r="Q725" s="131"/>
      <c r="AB725" s="33"/>
    </row>
    <row r="726" spans="1:28" ht="15.75" customHeight="1" x14ac:dyDescent="0.35">
      <c r="A726" s="149"/>
      <c r="B726" s="33"/>
      <c r="C726" s="150"/>
      <c r="D726" s="150"/>
      <c r="E726" s="151"/>
      <c r="F726" s="131"/>
      <c r="G726" s="131"/>
      <c r="M726" s="131"/>
      <c r="N726" s="131"/>
      <c r="O726" s="131"/>
      <c r="P726" s="131"/>
      <c r="Q726" s="131"/>
      <c r="AB726" s="33"/>
    </row>
    <row r="727" spans="1:28" ht="15.75" customHeight="1" x14ac:dyDescent="0.35">
      <c r="A727" s="149"/>
      <c r="B727" s="33"/>
      <c r="C727" s="150"/>
      <c r="D727" s="150"/>
      <c r="E727" s="151"/>
      <c r="F727" s="131"/>
      <c r="G727" s="131"/>
      <c r="M727" s="131"/>
      <c r="N727" s="131"/>
      <c r="O727" s="131"/>
      <c r="P727" s="131"/>
      <c r="Q727" s="131"/>
      <c r="AB727" s="33"/>
    </row>
    <row r="728" spans="1:28" ht="15.75" customHeight="1" x14ac:dyDescent="0.35">
      <c r="A728" s="149"/>
      <c r="B728" s="33"/>
      <c r="C728" s="150"/>
      <c r="D728" s="150"/>
      <c r="E728" s="151"/>
      <c r="F728" s="131"/>
      <c r="G728" s="131"/>
      <c r="M728" s="131"/>
      <c r="N728" s="131"/>
      <c r="O728" s="131"/>
      <c r="P728" s="131"/>
      <c r="Q728" s="131"/>
      <c r="AB728" s="33"/>
    </row>
    <row r="729" spans="1:28" ht="15.75" customHeight="1" x14ac:dyDescent="0.35">
      <c r="A729" s="149"/>
      <c r="B729" s="33"/>
      <c r="C729" s="150"/>
      <c r="D729" s="150"/>
      <c r="E729" s="151"/>
      <c r="F729" s="131"/>
      <c r="G729" s="131"/>
      <c r="M729" s="131"/>
      <c r="N729" s="131"/>
      <c r="O729" s="131"/>
      <c r="P729" s="131"/>
      <c r="Q729" s="131"/>
      <c r="AB729" s="33"/>
    </row>
    <row r="730" spans="1:28" ht="15.75" customHeight="1" x14ac:dyDescent="0.35">
      <c r="A730" s="149"/>
      <c r="B730" s="33"/>
      <c r="C730" s="150"/>
      <c r="D730" s="150"/>
      <c r="E730" s="151"/>
      <c r="F730" s="131"/>
      <c r="G730" s="131"/>
      <c r="M730" s="131"/>
      <c r="N730" s="131"/>
      <c r="O730" s="131"/>
      <c r="P730" s="131"/>
      <c r="Q730" s="131"/>
      <c r="AB730" s="33"/>
    </row>
    <row r="731" spans="1:28" ht="15.75" customHeight="1" x14ac:dyDescent="0.35">
      <c r="A731" s="149"/>
      <c r="B731" s="33"/>
      <c r="C731" s="150"/>
      <c r="D731" s="150"/>
      <c r="E731" s="151"/>
      <c r="F731" s="131"/>
      <c r="G731" s="131"/>
      <c r="M731" s="131"/>
      <c r="N731" s="131"/>
      <c r="O731" s="131"/>
      <c r="P731" s="131"/>
      <c r="Q731" s="131"/>
      <c r="AB731" s="33"/>
    </row>
    <row r="732" spans="1:28" ht="15.75" customHeight="1" x14ac:dyDescent="0.35">
      <c r="A732" s="149"/>
      <c r="B732" s="33"/>
      <c r="C732" s="150"/>
      <c r="D732" s="150"/>
      <c r="E732" s="151"/>
      <c r="F732" s="131"/>
      <c r="G732" s="131"/>
      <c r="M732" s="131"/>
      <c r="N732" s="131"/>
      <c r="O732" s="131"/>
      <c r="P732" s="131"/>
      <c r="Q732" s="131"/>
      <c r="AB732" s="33"/>
    </row>
    <row r="733" spans="1:28" ht="15.75" customHeight="1" x14ac:dyDescent="0.35">
      <c r="A733" s="149"/>
      <c r="B733" s="33"/>
      <c r="C733" s="150"/>
      <c r="D733" s="150"/>
      <c r="E733" s="151"/>
      <c r="F733" s="131"/>
      <c r="G733" s="131"/>
      <c r="M733" s="131"/>
      <c r="N733" s="131"/>
      <c r="O733" s="131"/>
      <c r="P733" s="131"/>
      <c r="Q733" s="131"/>
      <c r="AB733" s="33"/>
    </row>
    <row r="734" spans="1:28" ht="15.75" customHeight="1" x14ac:dyDescent="0.35">
      <c r="A734" s="149"/>
      <c r="B734" s="33"/>
      <c r="C734" s="150"/>
      <c r="D734" s="150"/>
      <c r="E734" s="151"/>
      <c r="F734" s="131"/>
      <c r="G734" s="131"/>
      <c r="M734" s="131"/>
      <c r="N734" s="131"/>
      <c r="O734" s="131"/>
      <c r="P734" s="131"/>
      <c r="Q734" s="131"/>
      <c r="AB734" s="33"/>
    </row>
    <row r="735" spans="1:28" ht="15.75" customHeight="1" x14ac:dyDescent="0.35">
      <c r="A735" s="149"/>
      <c r="B735" s="33"/>
      <c r="C735" s="150"/>
      <c r="D735" s="150"/>
      <c r="E735" s="151"/>
      <c r="F735" s="131"/>
      <c r="G735" s="131"/>
      <c r="M735" s="131"/>
      <c r="N735" s="131"/>
      <c r="O735" s="131"/>
      <c r="P735" s="131"/>
      <c r="Q735" s="131"/>
      <c r="AB735" s="33"/>
    </row>
    <row r="736" spans="1:28" ht="15.75" customHeight="1" x14ac:dyDescent="0.35">
      <c r="A736" s="149"/>
      <c r="B736" s="33"/>
      <c r="C736" s="150"/>
      <c r="D736" s="150"/>
      <c r="E736" s="151"/>
      <c r="F736" s="131"/>
      <c r="G736" s="131"/>
      <c r="M736" s="131"/>
      <c r="N736" s="131"/>
      <c r="O736" s="131"/>
      <c r="P736" s="131"/>
      <c r="Q736" s="131"/>
      <c r="AB736" s="33"/>
    </row>
    <row r="737" spans="1:28" ht="15.75" customHeight="1" x14ac:dyDescent="0.35">
      <c r="A737" s="149"/>
      <c r="B737" s="33"/>
      <c r="C737" s="150"/>
      <c r="D737" s="150"/>
      <c r="E737" s="151"/>
      <c r="F737" s="131"/>
      <c r="G737" s="131"/>
      <c r="M737" s="131"/>
      <c r="N737" s="131"/>
      <c r="O737" s="131"/>
      <c r="P737" s="131"/>
      <c r="Q737" s="131"/>
      <c r="AB737" s="33"/>
    </row>
    <row r="738" spans="1:28" ht="15.75" customHeight="1" x14ac:dyDescent="0.35">
      <c r="A738" s="149"/>
      <c r="B738" s="33"/>
      <c r="C738" s="150"/>
      <c r="D738" s="150"/>
      <c r="E738" s="151"/>
      <c r="F738" s="131"/>
      <c r="G738" s="131"/>
      <c r="M738" s="131"/>
      <c r="N738" s="131"/>
      <c r="O738" s="131"/>
      <c r="P738" s="131"/>
      <c r="Q738" s="131"/>
      <c r="AB738" s="33"/>
    </row>
  </sheetData>
  <mergeCells count="1">
    <mergeCell ref="F5:U5"/>
  </mergeCells>
  <pageMargins left="0.7" right="0.7" top="0.75" bottom="0.75" header="0.511811023622047" footer="0.511811023622047"/>
  <pageSetup paperSize="9" scale="85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6B8DE-41ED-4471-8B0D-F4B4172F42AB}">
  <dimension ref="A1:O607"/>
  <sheetViews>
    <sheetView zoomScale="80" zoomScaleNormal="80" workbookViewId="0">
      <pane xSplit="3" ySplit="1" topLeftCell="D2" activePane="bottomRight" state="frozen"/>
      <selection pane="topRight" activeCell="F1" sqref="F1"/>
      <selection pane="bottomLeft" activeCell="A8" sqref="A8"/>
      <selection pane="bottomRight" activeCell="O4" sqref="O4:O18"/>
    </sheetView>
  </sheetViews>
  <sheetFormatPr defaultColWidth="14.42578125" defaultRowHeight="17.25" x14ac:dyDescent="0.35"/>
  <cols>
    <col min="1" max="1" width="4.42578125" style="152" customWidth="1"/>
    <col min="2" max="2" width="15.7109375" style="29" customWidth="1"/>
    <col min="3" max="3" width="15.7109375" style="156" customWidth="1"/>
    <col min="4" max="5" width="15.7109375" style="132" customWidth="1"/>
    <col min="6" max="11" width="14.42578125" style="132"/>
    <col min="12" max="12" width="15.7109375" style="132" customWidth="1"/>
    <col min="13" max="13" width="42.140625" style="29" customWidth="1"/>
    <col min="14" max="14" width="14.42578125" style="29"/>
    <col min="15" max="15" width="14.42578125" style="132"/>
    <col min="16" max="16384" width="14.42578125" style="29"/>
  </cols>
  <sheetData>
    <row r="1" spans="1:15" ht="23.25" x14ac:dyDescent="0.35">
      <c r="A1" s="325" t="s">
        <v>77</v>
      </c>
      <c r="B1" s="326"/>
      <c r="C1" s="326"/>
      <c r="D1" s="326"/>
      <c r="E1"/>
    </row>
    <row r="2" spans="1:15" ht="19.5" customHeight="1" x14ac:dyDescent="0.35">
      <c r="A2" s="149"/>
      <c r="B2" s="33"/>
      <c r="C2" s="155"/>
    </row>
    <row r="3" spans="1:15" ht="49.5" customHeight="1" x14ac:dyDescent="0.35">
      <c r="A3" s="149"/>
      <c r="B3" s="33"/>
      <c r="C3" s="155" t="s">
        <v>78</v>
      </c>
      <c r="D3" s="164" t="s">
        <v>83</v>
      </c>
      <c r="E3" s="164" t="s">
        <v>108</v>
      </c>
      <c r="F3" s="164" t="s">
        <v>90</v>
      </c>
      <c r="G3" s="164" t="s">
        <v>168</v>
      </c>
      <c r="H3" s="164" t="s">
        <v>145</v>
      </c>
      <c r="I3" s="164" t="s">
        <v>84</v>
      </c>
      <c r="J3" s="164" t="s">
        <v>105</v>
      </c>
      <c r="K3" s="164" t="s">
        <v>104</v>
      </c>
      <c r="L3" s="132" t="s">
        <v>49</v>
      </c>
      <c r="M3" s="162" t="s">
        <v>50</v>
      </c>
      <c r="N3" s="163"/>
      <c r="O3" s="132" t="s">
        <v>78</v>
      </c>
    </row>
    <row r="4" spans="1:15" ht="19.5" customHeight="1" x14ac:dyDescent="0.35">
      <c r="A4" s="149"/>
      <c r="B4" s="33" t="s">
        <v>35</v>
      </c>
      <c r="C4" s="155">
        <f>+O19</f>
        <v>148623.21249999999</v>
      </c>
      <c r="D4" s="132">
        <f>+' EXPENSES'!V104</f>
        <v>34786.959999999999</v>
      </c>
      <c r="E4" s="132">
        <f>SUM(' EXPENSES'!V97:V100)</f>
        <v>0</v>
      </c>
      <c r="K4" s="132">
        <f>SUM(D4:J4)</f>
        <v>34786.959999999999</v>
      </c>
      <c r="L4" s="132">
        <f>+C4+K4</f>
        <v>183410.17249999999</v>
      </c>
      <c r="M4" s="213" t="s">
        <v>73</v>
      </c>
      <c r="N4" s="222">
        <f>+' EXPENSES'!E108</f>
        <v>238169.60000000001</v>
      </c>
      <c r="O4" s="148">
        <f t="shared" ref="O4:O18" si="0">+N4/4</f>
        <v>59542.400000000001</v>
      </c>
    </row>
    <row r="5" spans="1:15" ht="19.5" customHeight="1" x14ac:dyDescent="0.35">
      <c r="A5" s="149"/>
      <c r="B5" s="33" t="s">
        <v>42</v>
      </c>
      <c r="C5" s="155">
        <f>+C4</f>
        <v>148623.21249999999</v>
      </c>
      <c r="D5" s="132">
        <f>+' EXPENSES'!W104</f>
        <v>63095.360000000001</v>
      </c>
      <c r="I5" s="132">
        <f>+' EXPENSES'!W81</f>
        <v>0</v>
      </c>
      <c r="K5" s="132">
        <f t="shared" ref="K5:K7" si="1">SUM(D5:J5)</f>
        <v>63095.360000000001</v>
      </c>
      <c r="L5" s="132">
        <f>+C5+K5</f>
        <v>211718.57250000001</v>
      </c>
      <c r="M5" s="213" t="s">
        <v>54</v>
      </c>
      <c r="N5" s="222">
        <v>49000</v>
      </c>
      <c r="O5" s="148">
        <f t="shared" si="0"/>
        <v>12250</v>
      </c>
    </row>
    <row r="6" spans="1:15" ht="19.5" customHeight="1" x14ac:dyDescent="0.35">
      <c r="A6" s="149"/>
      <c r="B6" s="33" t="s">
        <v>36</v>
      </c>
      <c r="C6" s="155">
        <f>+C5</f>
        <v>148623.21249999999</v>
      </c>
      <c r="D6" s="132">
        <f>+' EXPENSES'!X30+' EXPENSES'!X34</f>
        <v>38090</v>
      </c>
      <c r="G6" s="132">
        <f>+' EXPENSES'!X91</f>
        <v>0</v>
      </c>
      <c r="H6" s="132">
        <f>+' EXPENSES'!X49</f>
        <v>10208</v>
      </c>
      <c r="J6" s="132">
        <f>+' EXPENSES'!X44+' EXPENSES'!X69</f>
        <v>0</v>
      </c>
      <c r="K6" s="132">
        <f t="shared" si="1"/>
        <v>48298</v>
      </c>
      <c r="L6" s="132">
        <f t="shared" ref="L6:L7" si="2">+C6+K6</f>
        <v>196921.21249999999</v>
      </c>
      <c r="M6" s="213" t="s">
        <v>56</v>
      </c>
      <c r="N6" s="222">
        <v>6850.5599999999995</v>
      </c>
      <c r="O6" s="148">
        <f t="shared" si="0"/>
        <v>1712.6399999999999</v>
      </c>
    </row>
    <row r="7" spans="1:15" ht="19.5" customHeight="1" x14ac:dyDescent="0.35">
      <c r="A7" s="149"/>
      <c r="B7" s="33" t="s">
        <v>37</v>
      </c>
      <c r="C7" s="155">
        <f>+C6</f>
        <v>148623.21249999999</v>
      </c>
      <c r="D7" s="132">
        <f>+' EXPENSES'!Y104</f>
        <v>44850</v>
      </c>
      <c r="I7" s="132">
        <f>+' EXPENSES'!Y36</f>
        <v>0</v>
      </c>
      <c r="K7" s="132">
        <f t="shared" si="1"/>
        <v>44850</v>
      </c>
      <c r="L7" s="132">
        <f t="shared" si="2"/>
        <v>193473.21249999999</v>
      </c>
      <c r="M7" s="213" t="s">
        <v>76</v>
      </c>
      <c r="N7" s="222">
        <v>184125.8</v>
      </c>
      <c r="O7" s="148">
        <f t="shared" si="0"/>
        <v>46031.45</v>
      </c>
    </row>
    <row r="8" spans="1:15" ht="19.5" customHeight="1" x14ac:dyDescent="0.35">
      <c r="A8" s="149"/>
      <c r="B8" s="33"/>
      <c r="C8" s="155"/>
      <c r="L8" s="132">
        <f>SUM(L4:L7)</f>
        <v>785523.17</v>
      </c>
      <c r="M8" s="213" t="s">
        <v>58</v>
      </c>
      <c r="N8" s="222">
        <v>89111.26</v>
      </c>
      <c r="O8" s="148">
        <f t="shared" si="0"/>
        <v>22277.814999999999</v>
      </c>
    </row>
    <row r="9" spans="1:15" ht="19.5" customHeight="1" x14ac:dyDescent="0.35">
      <c r="A9" s="149"/>
      <c r="B9" s="33"/>
      <c r="C9" s="155"/>
      <c r="L9" s="132">
        <f>+' EXPENSES'!E4</f>
        <v>785523.17000000016</v>
      </c>
      <c r="M9" s="227" t="s">
        <v>59</v>
      </c>
      <c r="N9" s="222">
        <v>24235.63</v>
      </c>
      <c r="O9" s="148">
        <f t="shared" si="0"/>
        <v>6058.9075000000003</v>
      </c>
    </row>
    <row r="10" spans="1:15" ht="19.5" customHeight="1" x14ac:dyDescent="0.35">
      <c r="A10" s="149"/>
      <c r="B10" s="33"/>
      <c r="C10" s="155"/>
      <c r="L10" s="132">
        <f>+L8-L9</f>
        <v>0</v>
      </c>
      <c r="M10" s="213" t="s">
        <v>60</v>
      </c>
      <c r="N10" s="222">
        <v>0</v>
      </c>
      <c r="O10" s="148">
        <f t="shared" si="0"/>
        <v>0</v>
      </c>
    </row>
    <row r="11" spans="1:15" ht="19.5" customHeight="1" x14ac:dyDescent="0.35">
      <c r="A11" s="149"/>
      <c r="B11" s="33"/>
      <c r="C11" s="155"/>
      <c r="M11" s="213" t="s">
        <v>61</v>
      </c>
      <c r="N11" s="222">
        <v>0</v>
      </c>
      <c r="O11" s="148">
        <f t="shared" si="0"/>
        <v>0</v>
      </c>
    </row>
    <row r="12" spans="1:15" ht="19.5" customHeight="1" x14ac:dyDescent="0.35">
      <c r="A12" s="149"/>
      <c r="B12" s="33"/>
      <c r="C12" s="155"/>
      <c r="M12" s="213" t="s">
        <v>103</v>
      </c>
      <c r="N12" s="222">
        <v>0</v>
      </c>
      <c r="O12" s="148">
        <f t="shared" si="0"/>
        <v>0</v>
      </c>
    </row>
    <row r="13" spans="1:15" ht="19.5" customHeight="1" x14ac:dyDescent="0.35">
      <c r="A13" s="149"/>
      <c r="B13" s="33"/>
      <c r="C13" s="155"/>
      <c r="M13" s="213" t="s">
        <v>62</v>
      </c>
      <c r="N13" s="222">
        <v>0</v>
      </c>
      <c r="O13" s="148">
        <f t="shared" si="0"/>
        <v>0</v>
      </c>
    </row>
    <row r="14" spans="1:15" ht="19.5" customHeight="1" x14ac:dyDescent="0.35">
      <c r="A14" s="149"/>
      <c r="B14" s="33"/>
      <c r="C14" s="155"/>
      <c r="M14" s="213" t="s">
        <v>63</v>
      </c>
      <c r="N14" s="222"/>
      <c r="O14" s="148">
        <f t="shared" si="0"/>
        <v>0</v>
      </c>
    </row>
    <row r="15" spans="1:15" ht="19.5" customHeight="1" x14ac:dyDescent="0.35">
      <c r="A15" s="149"/>
      <c r="B15" s="33"/>
      <c r="C15" s="155"/>
      <c r="M15" s="213" t="s">
        <v>64</v>
      </c>
      <c r="N15" s="222">
        <v>0</v>
      </c>
      <c r="O15" s="148">
        <f t="shared" si="0"/>
        <v>0</v>
      </c>
    </row>
    <row r="16" spans="1:15" ht="19.5" customHeight="1" x14ac:dyDescent="0.35">
      <c r="A16" s="149"/>
      <c r="B16" s="33"/>
      <c r="C16" s="155"/>
      <c r="M16" s="213" t="s">
        <v>65</v>
      </c>
      <c r="N16" s="222">
        <v>0</v>
      </c>
      <c r="O16" s="148">
        <f t="shared" si="0"/>
        <v>0</v>
      </c>
    </row>
    <row r="17" spans="1:15" ht="19.5" customHeight="1" x14ac:dyDescent="0.35">
      <c r="A17" s="149"/>
      <c r="B17" s="33"/>
      <c r="C17" s="155"/>
      <c r="M17" s="189" t="s">
        <v>66</v>
      </c>
      <c r="N17" s="222">
        <v>0</v>
      </c>
      <c r="O17" s="148">
        <f t="shared" si="0"/>
        <v>0</v>
      </c>
    </row>
    <row r="18" spans="1:15" ht="19.5" customHeight="1" x14ac:dyDescent="0.35">
      <c r="A18" s="149"/>
      <c r="B18" s="33"/>
      <c r="C18" s="155"/>
      <c r="M18" s="213" t="s">
        <v>160</v>
      </c>
      <c r="N18" s="222">
        <v>3000</v>
      </c>
      <c r="O18" s="148">
        <f t="shared" si="0"/>
        <v>750</v>
      </c>
    </row>
    <row r="19" spans="1:15" ht="19.5" customHeight="1" x14ac:dyDescent="0.35">
      <c r="A19" s="149"/>
      <c r="B19" s="33"/>
      <c r="C19" s="155"/>
      <c r="M19" s="213"/>
      <c r="N19" s="222">
        <f>SUM(N4:N18)</f>
        <v>594492.85</v>
      </c>
      <c r="O19" s="148">
        <f>SUM(O4:O18)</f>
        <v>148623.21249999999</v>
      </c>
    </row>
    <row r="20" spans="1:15" ht="19.5" customHeight="1" x14ac:dyDescent="0.35">
      <c r="A20" s="149"/>
      <c r="B20" s="33"/>
      <c r="C20" s="155"/>
      <c r="M20" s="213"/>
      <c r="N20" s="222"/>
      <c r="O20" s="148"/>
    </row>
    <row r="21" spans="1:15" ht="19.5" customHeight="1" x14ac:dyDescent="0.35">
      <c r="A21" s="149"/>
      <c r="B21" s="33"/>
      <c r="C21" s="155"/>
      <c r="M21" s="213"/>
      <c r="N21" s="222"/>
      <c r="O21" s="148"/>
    </row>
    <row r="22" spans="1:15" ht="19.5" customHeight="1" x14ac:dyDescent="0.35">
      <c r="A22" s="149"/>
      <c r="B22" s="33"/>
      <c r="C22" s="155"/>
      <c r="M22" s="213"/>
      <c r="N22" s="222"/>
      <c r="O22" s="148"/>
    </row>
    <row r="23" spans="1:15" ht="19.5" customHeight="1" x14ac:dyDescent="0.35">
      <c r="A23" s="149"/>
      <c r="B23" s="33"/>
      <c r="C23" s="155"/>
      <c r="M23" s="213"/>
      <c r="N23" s="163"/>
      <c r="O23" s="148"/>
    </row>
    <row r="24" spans="1:15" ht="19.5" customHeight="1" x14ac:dyDescent="0.35">
      <c r="A24" s="149"/>
      <c r="B24" s="33"/>
      <c r="C24" s="155"/>
      <c r="M24" s="213" t="s">
        <v>67</v>
      </c>
      <c r="N24" s="148">
        <f>+' EXPENSES'!V104</f>
        <v>34786.959999999999</v>
      </c>
      <c r="O24" s="148">
        <f>+N24</f>
        <v>34786.959999999999</v>
      </c>
    </row>
    <row r="25" spans="1:15" ht="19.5" customHeight="1" x14ac:dyDescent="0.35">
      <c r="A25" s="149"/>
      <c r="B25" s="33"/>
      <c r="C25" s="155"/>
      <c r="M25" s="213" t="s">
        <v>68</v>
      </c>
      <c r="N25" s="148">
        <f>+' EXPENSES'!E124</f>
        <v>63095.360000000001</v>
      </c>
      <c r="O25" s="148">
        <f>+N25</f>
        <v>63095.360000000001</v>
      </c>
    </row>
    <row r="26" spans="1:15" ht="19.5" customHeight="1" x14ac:dyDescent="0.35">
      <c r="A26" s="149"/>
      <c r="B26" s="33"/>
      <c r="C26" s="155"/>
      <c r="M26" s="213" t="s">
        <v>69</v>
      </c>
      <c r="N26" s="148">
        <f>+' EXPENSES'!E125</f>
        <v>48298</v>
      </c>
      <c r="O26" s="148">
        <f>+N26</f>
        <v>48298</v>
      </c>
    </row>
    <row r="27" spans="1:15" ht="19.5" customHeight="1" x14ac:dyDescent="0.35">
      <c r="A27" s="149"/>
      <c r="B27" s="33"/>
      <c r="C27" s="155"/>
      <c r="M27" s="213" t="s">
        <v>70</v>
      </c>
      <c r="N27" s="148">
        <f>+' EXPENSES'!Y104</f>
        <v>44850</v>
      </c>
      <c r="O27" s="148">
        <f>+N27</f>
        <v>44850</v>
      </c>
    </row>
    <row r="28" spans="1:15" ht="19.5" customHeight="1" x14ac:dyDescent="0.35">
      <c r="A28" s="149"/>
      <c r="B28" s="33"/>
      <c r="C28" s="155"/>
      <c r="N28" s="132">
        <f>+N19+N24+N25+N26+N27</f>
        <v>785523.16999999993</v>
      </c>
    </row>
    <row r="29" spans="1:15" ht="19.5" customHeight="1" x14ac:dyDescent="0.35">
      <c r="A29" s="149"/>
      <c r="B29" s="33"/>
      <c r="C29" s="155"/>
    </row>
    <row r="30" spans="1:15" ht="19.5" customHeight="1" x14ac:dyDescent="0.35">
      <c r="A30" s="149"/>
      <c r="B30" s="33"/>
      <c r="C30" s="155"/>
      <c r="N30" s="132">
        <f>+' EXPENSES'!E128</f>
        <v>785523.16999999993</v>
      </c>
    </row>
    <row r="31" spans="1:15" ht="19.5" customHeight="1" x14ac:dyDescent="0.35">
      <c r="A31" s="149"/>
      <c r="B31" s="33"/>
      <c r="C31" s="155"/>
      <c r="N31" s="132">
        <f>+N28-N30</f>
        <v>0</v>
      </c>
    </row>
    <row r="32" spans="1:15" ht="19.5" customHeight="1" x14ac:dyDescent="0.35">
      <c r="A32" s="149"/>
      <c r="B32" s="33"/>
      <c r="C32" s="155"/>
    </row>
    <row r="33" spans="1:3" ht="19.5" customHeight="1" x14ac:dyDescent="0.35">
      <c r="A33" s="149"/>
      <c r="B33" s="33"/>
      <c r="C33" s="155"/>
    </row>
    <row r="34" spans="1:3" ht="19.5" customHeight="1" x14ac:dyDescent="0.35">
      <c r="A34" s="149"/>
      <c r="B34" s="33"/>
      <c r="C34" s="155"/>
    </row>
    <row r="35" spans="1:3" ht="19.5" customHeight="1" x14ac:dyDescent="0.35">
      <c r="A35" s="149"/>
      <c r="B35" s="33"/>
      <c r="C35" s="155"/>
    </row>
    <row r="36" spans="1:3" ht="19.5" customHeight="1" x14ac:dyDescent="0.35">
      <c r="A36" s="149"/>
      <c r="B36" s="33"/>
      <c r="C36" s="155"/>
    </row>
    <row r="37" spans="1:3" ht="19.5" customHeight="1" x14ac:dyDescent="0.35">
      <c r="A37" s="149"/>
      <c r="B37" s="33"/>
      <c r="C37" s="155"/>
    </row>
    <row r="38" spans="1:3" ht="19.5" customHeight="1" x14ac:dyDescent="0.35">
      <c r="A38" s="149"/>
      <c r="B38" s="33"/>
      <c r="C38" s="155"/>
    </row>
    <row r="39" spans="1:3" ht="19.5" customHeight="1" x14ac:dyDescent="0.35">
      <c r="A39" s="149"/>
      <c r="B39" s="33"/>
      <c r="C39" s="155"/>
    </row>
    <row r="40" spans="1:3" ht="19.5" customHeight="1" x14ac:dyDescent="0.35">
      <c r="A40" s="149"/>
      <c r="B40" s="33"/>
      <c r="C40" s="155"/>
    </row>
    <row r="41" spans="1:3" ht="19.5" customHeight="1" x14ac:dyDescent="0.35">
      <c r="A41" s="149"/>
      <c r="B41" s="33"/>
      <c r="C41" s="155"/>
    </row>
    <row r="42" spans="1:3" ht="19.5" customHeight="1" x14ac:dyDescent="0.35">
      <c r="A42" s="149"/>
      <c r="B42" s="33"/>
      <c r="C42" s="155"/>
    </row>
    <row r="43" spans="1:3" ht="19.5" customHeight="1" x14ac:dyDescent="0.35">
      <c r="A43" s="149"/>
      <c r="B43" s="33"/>
      <c r="C43" s="155"/>
    </row>
    <row r="44" spans="1:3" ht="15.75" customHeight="1" x14ac:dyDescent="0.35">
      <c r="A44" s="149"/>
      <c r="B44" s="33"/>
      <c r="C44" s="155"/>
    </row>
    <row r="45" spans="1:3" ht="15.75" customHeight="1" x14ac:dyDescent="0.35">
      <c r="A45" s="149"/>
      <c r="B45" s="33"/>
      <c r="C45" s="155"/>
    </row>
    <row r="46" spans="1:3" ht="15.75" customHeight="1" x14ac:dyDescent="0.35">
      <c r="A46" s="149"/>
      <c r="B46" s="33"/>
      <c r="C46" s="155"/>
    </row>
    <row r="47" spans="1:3" ht="15.75" customHeight="1" x14ac:dyDescent="0.35">
      <c r="A47" s="149"/>
      <c r="B47" s="33"/>
      <c r="C47" s="155"/>
    </row>
    <row r="48" spans="1:3" ht="15.75" customHeight="1" x14ac:dyDescent="0.35">
      <c r="A48" s="149"/>
      <c r="B48" s="33"/>
      <c r="C48" s="155"/>
    </row>
    <row r="49" spans="1:3" ht="15.75" customHeight="1" x14ac:dyDescent="0.35">
      <c r="A49" s="149"/>
      <c r="B49" s="33"/>
      <c r="C49" s="155"/>
    </row>
    <row r="50" spans="1:3" ht="15.75" customHeight="1" x14ac:dyDescent="0.35">
      <c r="A50" s="149"/>
      <c r="B50" s="33"/>
      <c r="C50" s="155"/>
    </row>
    <row r="51" spans="1:3" ht="15.75" customHeight="1" x14ac:dyDescent="0.35">
      <c r="A51" s="149"/>
      <c r="B51" s="33"/>
      <c r="C51" s="155"/>
    </row>
    <row r="52" spans="1:3" ht="15.75" customHeight="1" x14ac:dyDescent="0.35">
      <c r="A52" s="149"/>
      <c r="B52" s="33"/>
      <c r="C52" s="155"/>
    </row>
    <row r="53" spans="1:3" ht="15.75" customHeight="1" x14ac:dyDescent="0.35">
      <c r="A53" s="149"/>
      <c r="B53" s="33"/>
      <c r="C53" s="155"/>
    </row>
    <row r="54" spans="1:3" ht="15.75" customHeight="1" x14ac:dyDescent="0.35">
      <c r="A54" s="149"/>
      <c r="B54" s="33"/>
      <c r="C54" s="155"/>
    </row>
    <row r="55" spans="1:3" ht="15.75" customHeight="1" x14ac:dyDescent="0.35">
      <c r="A55" s="149"/>
      <c r="B55" s="33"/>
      <c r="C55" s="155"/>
    </row>
    <row r="56" spans="1:3" ht="15.75" customHeight="1" x14ac:dyDescent="0.35">
      <c r="A56" s="149"/>
      <c r="B56" s="33"/>
      <c r="C56" s="155"/>
    </row>
    <row r="57" spans="1:3" ht="15.75" customHeight="1" x14ac:dyDescent="0.35">
      <c r="A57" s="149"/>
      <c r="B57" s="33"/>
      <c r="C57" s="155"/>
    </row>
    <row r="58" spans="1:3" ht="15.75" customHeight="1" x14ac:dyDescent="0.35">
      <c r="A58" s="149"/>
      <c r="B58" s="33"/>
      <c r="C58" s="155"/>
    </row>
    <row r="59" spans="1:3" ht="15.75" customHeight="1" x14ac:dyDescent="0.35">
      <c r="A59" s="149"/>
      <c r="B59" s="33"/>
      <c r="C59" s="155"/>
    </row>
    <row r="60" spans="1:3" ht="15.75" customHeight="1" x14ac:dyDescent="0.35">
      <c r="A60" s="149"/>
      <c r="B60" s="33"/>
      <c r="C60" s="155"/>
    </row>
    <row r="61" spans="1:3" ht="15.75" customHeight="1" x14ac:dyDescent="0.35">
      <c r="A61" s="149"/>
      <c r="B61" s="33"/>
      <c r="C61" s="155"/>
    </row>
    <row r="62" spans="1:3" ht="15.75" customHeight="1" x14ac:dyDescent="0.35">
      <c r="A62" s="149"/>
      <c r="B62" s="33"/>
      <c r="C62" s="155"/>
    </row>
    <row r="63" spans="1:3" ht="15.75" customHeight="1" x14ac:dyDescent="0.35">
      <c r="A63" s="149"/>
      <c r="B63" s="33"/>
      <c r="C63" s="155"/>
    </row>
    <row r="64" spans="1:3" ht="15.75" customHeight="1" x14ac:dyDescent="0.35">
      <c r="A64" s="149"/>
      <c r="B64" s="33"/>
      <c r="C64" s="155"/>
    </row>
    <row r="65" spans="1:3" ht="15.75" customHeight="1" x14ac:dyDescent="0.35">
      <c r="A65" s="149"/>
      <c r="B65" s="33"/>
      <c r="C65" s="155"/>
    </row>
    <row r="66" spans="1:3" ht="15.75" customHeight="1" x14ac:dyDescent="0.35">
      <c r="A66" s="149"/>
      <c r="B66" s="33"/>
      <c r="C66" s="155"/>
    </row>
    <row r="67" spans="1:3" ht="15.75" customHeight="1" x14ac:dyDescent="0.35">
      <c r="A67" s="149"/>
      <c r="B67" s="33"/>
      <c r="C67" s="155"/>
    </row>
    <row r="68" spans="1:3" ht="15.75" customHeight="1" x14ac:dyDescent="0.35">
      <c r="A68" s="149"/>
      <c r="B68" s="33"/>
      <c r="C68" s="155"/>
    </row>
    <row r="69" spans="1:3" ht="15.75" customHeight="1" x14ac:dyDescent="0.35">
      <c r="A69" s="149"/>
      <c r="B69" s="33"/>
      <c r="C69" s="155"/>
    </row>
    <row r="70" spans="1:3" ht="15.75" customHeight="1" x14ac:dyDescent="0.35">
      <c r="A70" s="149"/>
      <c r="B70" s="33"/>
      <c r="C70" s="155"/>
    </row>
    <row r="71" spans="1:3" ht="15.75" customHeight="1" x14ac:dyDescent="0.35">
      <c r="A71" s="149"/>
      <c r="B71" s="33"/>
      <c r="C71" s="155"/>
    </row>
    <row r="72" spans="1:3" ht="15.75" customHeight="1" x14ac:dyDescent="0.35">
      <c r="A72" s="149"/>
      <c r="B72" s="33"/>
      <c r="C72" s="155"/>
    </row>
    <row r="73" spans="1:3" ht="15.75" customHeight="1" x14ac:dyDescent="0.35">
      <c r="A73" s="149"/>
      <c r="B73" s="33"/>
      <c r="C73" s="155"/>
    </row>
    <row r="74" spans="1:3" ht="15.75" customHeight="1" x14ac:dyDescent="0.35">
      <c r="A74" s="149"/>
      <c r="B74" s="33"/>
      <c r="C74" s="155"/>
    </row>
    <row r="75" spans="1:3" ht="15.75" customHeight="1" x14ac:dyDescent="0.35">
      <c r="A75" s="149"/>
      <c r="B75" s="33"/>
      <c r="C75" s="155"/>
    </row>
    <row r="76" spans="1:3" ht="15.75" customHeight="1" x14ac:dyDescent="0.35">
      <c r="A76" s="149"/>
      <c r="B76" s="33"/>
      <c r="C76" s="155"/>
    </row>
    <row r="77" spans="1:3" ht="15.75" customHeight="1" x14ac:dyDescent="0.35">
      <c r="A77" s="149"/>
      <c r="B77" s="33"/>
      <c r="C77" s="155"/>
    </row>
    <row r="78" spans="1:3" ht="15.75" customHeight="1" x14ac:dyDescent="0.35">
      <c r="A78" s="149"/>
      <c r="B78" s="33"/>
      <c r="C78" s="155"/>
    </row>
    <row r="79" spans="1:3" ht="15.75" customHeight="1" x14ac:dyDescent="0.35">
      <c r="A79" s="149"/>
      <c r="B79" s="33"/>
      <c r="C79" s="155"/>
    </row>
    <row r="80" spans="1:3" ht="15.75" customHeight="1" x14ac:dyDescent="0.35">
      <c r="A80" s="149"/>
      <c r="B80" s="33"/>
      <c r="C80" s="155"/>
    </row>
    <row r="81" spans="1:3" ht="15.75" customHeight="1" x14ac:dyDescent="0.35">
      <c r="A81" s="149"/>
      <c r="B81" s="33"/>
      <c r="C81" s="155"/>
    </row>
    <row r="82" spans="1:3" ht="15.75" customHeight="1" x14ac:dyDescent="0.35">
      <c r="A82" s="149"/>
      <c r="B82" s="33"/>
      <c r="C82" s="155"/>
    </row>
    <row r="83" spans="1:3" ht="15.75" customHeight="1" x14ac:dyDescent="0.35">
      <c r="A83" s="149"/>
      <c r="B83" s="33"/>
      <c r="C83" s="155"/>
    </row>
    <row r="84" spans="1:3" ht="15.75" customHeight="1" x14ac:dyDescent="0.35">
      <c r="A84" s="149"/>
      <c r="B84" s="33"/>
      <c r="C84" s="155"/>
    </row>
    <row r="85" spans="1:3" ht="15.75" customHeight="1" x14ac:dyDescent="0.35">
      <c r="A85" s="149"/>
      <c r="B85" s="33"/>
      <c r="C85" s="155"/>
    </row>
    <row r="86" spans="1:3" ht="15.75" customHeight="1" x14ac:dyDescent="0.35">
      <c r="A86" s="149"/>
      <c r="B86" s="33"/>
      <c r="C86" s="155"/>
    </row>
    <row r="87" spans="1:3" ht="15.75" customHeight="1" x14ac:dyDescent="0.35">
      <c r="A87" s="149"/>
      <c r="B87" s="33"/>
      <c r="C87" s="155"/>
    </row>
    <row r="88" spans="1:3" ht="15.75" customHeight="1" x14ac:dyDescent="0.35">
      <c r="A88" s="149"/>
      <c r="B88" s="33"/>
      <c r="C88" s="155"/>
    </row>
    <row r="89" spans="1:3" ht="15.75" customHeight="1" x14ac:dyDescent="0.35">
      <c r="A89" s="149"/>
      <c r="B89" s="33"/>
      <c r="C89" s="155"/>
    </row>
    <row r="90" spans="1:3" ht="15.75" customHeight="1" x14ac:dyDescent="0.35">
      <c r="A90" s="149"/>
      <c r="B90" s="33"/>
      <c r="C90" s="155"/>
    </row>
    <row r="91" spans="1:3" ht="15.75" customHeight="1" x14ac:dyDescent="0.35">
      <c r="A91" s="149"/>
      <c r="B91" s="33"/>
      <c r="C91" s="155"/>
    </row>
    <row r="92" spans="1:3" ht="15.75" customHeight="1" x14ac:dyDescent="0.35">
      <c r="A92" s="149"/>
      <c r="B92" s="33"/>
      <c r="C92" s="155"/>
    </row>
    <row r="93" spans="1:3" ht="15.75" customHeight="1" x14ac:dyDescent="0.35">
      <c r="A93" s="149"/>
      <c r="B93" s="33"/>
      <c r="C93" s="155"/>
    </row>
    <row r="94" spans="1:3" ht="15.75" customHeight="1" x14ac:dyDescent="0.35">
      <c r="A94" s="149"/>
      <c r="B94" s="33"/>
      <c r="C94" s="155"/>
    </row>
    <row r="95" spans="1:3" ht="15.75" customHeight="1" x14ac:dyDescent="0.35">
      <c r="A95" s="149"/>
      <c r="B95" s="33"/>
      <c r="C95" s="155"/>
    </row>
    <row r="96" spans="1:3" ht="15.75" customHeight="1" x14ac:dyDescent="0.35">
      <c r="A96" s="149"/>
      <c r="B96" s="33"/>
      <c r="C96" s="155"/>
    </row>
    <row r="97" spans="1:3" ht="15.75" customHeight="1" x14ac:dyDescent="0.35">
      <c r="A97" s="149"/>
      <c r="B97" s="33"/>
      <c r="C97" s="155"/>
    </row>
    <row r="98" spans="1:3" ht="15.75" customHeight="1" x14ac:dyDescent="0.35">
      <c r="A98" s="149"/>
      <c r="B98" s="33"/>
      <c r="C98" s="155"/>
    </row>
    <row r="99" spans="1:3" ht="15.75" customHeight="1" x14ac:dyDescent="0.35">
      <c r="A99" s="149"/>
      <c r="B99" s="33"/>
      <c r="C99" s="155"/>
    </row>
    <row r="100" spans="1:3" ht="15.75" customHeight="1" x14ac:dyDescent="0.35">
      <c r="A100" s="149"/>
      <c r="B100" s="33"/>
      <c r="C100" s="155"/>
    </row>
    <row r="101" spans="1:3" ht="15.75" customHeight="1" x14ac:dyDescent="0.35">
      <c r="A101" s="149"/>
      <c r="B101" s="33"/>
      <c r="C101" s="155"/>
    </row>
    <row r="102" spans="1:3" ht="15.75" customHeight="1" x14ac:dyDescent="0.35">
      <c r="A102" s="149"/>
      <c r="B102" s="33"/>
      <c r="C102" s="155"/>
    </row>
    <row r="103" spans="1:3" ht="15.75" customHeight="1" x14ac:dyDescent="0.35">
      <c r="A103" s="149"/>
      <c r="B103" s="33"/>
      <c r="C103" s="155"/>
    </row>
    <row r="104" spans="1:3" ht="15.75" customHeight="1" x14ac:dyDescent="0.35">
      <c r="A104" s="149"/>
      <c r="B104" s="33"/>
      <c r="C104" s="155"/>
    </row>
    <row r="105" spans="1:3" ht="15.75" customHeight="1" x14ac:dyDescent="0.35">
      <c r="A105" s="149"/>
      <c r="B105" s="33"/>
      <c r="C105" s="155"/>
    </row>
    <row r="106" spans="1:3" ht="15.75" customHeight="1" x14ac:dyDescent="0.35">
      <c r="A106" s="149"/>
      <c r="B106" s="33"/>
      <c r="C106" s="155"/>
    </row>
    <row r="107" spans="1:3" ht="15.75" customHeight="1" x14ac:dyDescent="0.35">
      <c r="A107" s="149"/>
      <c r="B107" s="33"/>
      <c r="C107" s="155"/>
    </row>
    <row r="108" spans="1:3" ht="15.75" customHeight="1" x14ac:dyDescent="0.35">
      <c r="A108" s="149"/>
      <c r="B108" s="33"/>
      <c r="C108" s="155"/>
    </row>
    <row r="109" spans="1:3" ht="15.75" customHeight="1" x14ac:dyDescent="0.35">
      <c r="A109" s="149"/>
      <c r="B109" s="33"/>
      <c r="C109" s="155"/>
    </row>
    <row r="110" spans="1:3" ht="15.75" customHeight="1" x14ac:dyDescent="0.35">
      <c r="A110" s="149"/>
      <c r="B110" s="33"/>
      <c r="C110" s="155"/>
    </row>
    <row r="111" spans="1:3" ht="15.75" customHeight="1" x14ac:dyDescent="0.35">
      <c r="A111" s="149"/>
      <c r="B111" s="33"/>
      <c r="C111" s="155"/>
    </row>
    <row r="112" spans="1:3" ht="15.75" customHeight="1" x14ac:dyDescent="0.35">
      <c r="A112" s="149"/>
      <c r="B112" s="33"/>
      <c r="C112" s="155"/>
    </row>
    <row r="113" spans="1:3" ht="15.75" customHeight="1" x14ac:dyDescent="0.35">
      <c r="A113" s="149"/>
      <c r="B113" s="33"/>
      <c r="C113" s="155"/>
    </row>
    <row r="114" spans="1:3" ht="15.75" customHeight="1" x14ac:dyDescent="0.35">
      <c r="A114" s="149"/>
      <c r="B114" s="33"/>
      <c r="C114" s="155"/>
    </row>
    <row r="115" spans="1:3" ht="15.75" customHeight="1" x14ac:dyDescent="0.35">
      <c r="A115" s="149"/>
      <c r="B115" s="33"/>
      <c r="C115" s="155"/>
    </row>
    <row r="116" spans="1:3" ht="15.75" customHeight="1" x14ac:dyDescent="0.35">
      <c r="A116" s="149"/>
      <c r="B116" s="33"/>
      <c r="C116" s="155"/>
    </row>
    <row r="117" spans="1:3" ht="15.75" customHeight="1" x14ac:dyDescent="0.35">
      <c r="A117" s="149"/>
      <c r="B117" s="33"/>
      <c r="C117" s="155"/>
    </row>
    <row r="118" spans="1:3" ht="15.75" customHeight="1" x14ac:dyDescent="0.35">
      <c r="A118" s="149"/>
      <c r="B118" s="33"/>
      <c r="C118" s="155"/>
    </row>
    <row r="119" spans="1:3" ht="15.75" customHeight="1" x14ac:dyDescent="0.35">
      <c r="A119" s="149"/>
      <c r="B119" s="33"/>
      <c r="C119" s="155"/>
    </row>
    <row r="120" spans="1:3" ht="15.75" customHeight="1" x14ac:dyDescent="0.35">
      <c r="A120" s="149"/>
      <c r="B120" s="33"/>
      <c r="C120" s="155"/>
    </row>
    <row r="121" spans="1:3" ht="15.75" customHeight="1" x14ac:dyDescent="0.35">
      <c r="A121" s="149"/>
      <c r="B121" s="33"/>
      <c r="C121" s="155"/>
    </row>
    <row r="122" spans="1:3" ht="15.75" customHeight="1" x14ac:dyDescent="0.35">
      <c r="A122" s="149"/>
      <c r="B122" s="33"/>
      <c r="C122" s="155"/>
    </row>
    <row r="123" spans="1:3" ht="15.75" customHeight="1" x14ac:dyDescent="0.35">
      <c r="A123" s="149"/>
      <c r="B123" s="33"/>
      <c r="C123" s="155"/>
    </row>
    <row r="124" spans="1:3" ht="15.75" customHeight="1" x14ac:dyDescent="0.35">
      <c r="A124" s="149"/>
      <c r="B124" s="33"/>
      <c r="C124" s="155"/>
    </row>
    <row r="125" spans="1:3" ht="15.75" customHeight="1" x14ac:dyDescent="0.35">
      <c r="A125" s="149"/>
      <c r="B125" s="33"/>
      <c r="C125" s="155"/>
    </row>
    <row r="126" spans="1:3" ht="15.75" customHeight="1" x14ac:dyDescent="0.35">
      <c r="A126" s="149"/>
      <c r="B126" s="33"/>
      <c r="C126" s="155"/>
    </row>
    <row r="127" spans="1:3" ht="15.75" customHeight="1" x14ac:dyDescent="0.35">
      <c r="A127" s="149"/>
      <c r="B127" s="33"/>
      <c r="C127" s="155"/>
    </row>
    <row r="128" spans="1:3" ht="15.75" customHeight="1" x14ac:dyDescent="0.35">
      <c r="A128" s="149"/>
      <c r="B128" s="33"/>
      <c r="C128" s="155"/>
    </row>
    <row r="129" spans="1:3" ht="15.75" customHeight="1" x14ac:dyDescent="0.35">
      <c r="A129" s="149"/>
      <c r="B129" s="33"/>
      <c r="C129" s="155"/>
    </row>
    <row r="130" spans="1:3" ht="15.75" customHeight="1" x14ac:dyDescent="0.35">
      <c r="A130" s="149"/>
      <c r="B130" s="33"/>
      <c r="C130" s="155"/>
    </row>
    <row r="131" spans="1:3" ht="15.75" customHeight="1" x14ac:dyDescent="0.35">
      <c r="A131" s="149"/>
      <c r="B131" s="33"/>
      <c r="C131" s="155"/>
    </row>
    <row r="132" spans="1:3" ht="15.75" customHeight="1" x14ac:dyDescent="0.35">
      <c r="A132" s="149"/>
      <c r="B132" s="33"/>
      <c r="C132" s="155"/>
    </row>
    <row r="133" spans="1:3" ht="15.75" customHeight="1" x14ac:dyDescent="0.35">
      <c r="A133" s="149"/>
      <c r="B133" s="33"/>
      <c r="C133" s="155"/>
    </row>
    <row r="134" spans="1:3" ht="15.75" customHeight="1" x14ac:dyDescent="0.35">
      <c r="A134" s="149"/>
      <c r="B134" s="33"/>
      <c r="C134" s="155"/>
    </row>
    <row r="135" spans="1:3" ht="15.75" customHeight="1" x14ac:dyDescent="0.35">
      <c r="A135" s="149"/>
      <c r="B135" s="33"/>
      <c r="C135" s="155"/>
    </row>
    <row r="136" spans="1:3" ht="15.75" customHeight="1" x14ac:dyDescent="0.35">
      <c r="A136" s="149"/>
      <c r="B136" s="33"/>
      <c r="C136" s="155"/>
    </row>
    <row r="137" spans="1:3" ht="15.75" customHeight="1" x14ac:dyDescent="0.35">
      <c r="A137" s="149"/>
      <c r="B137" s="33"/>
      <c r="C137" s="155"/>
    </row>
    <row r="138" spans="1:3" ht="15.75" customHeight="1" x14ac:dyDescent="0.35">
      <c r="A138" s="149"/>
      <c r="B138" s="33"/>
      <c r="C138" s="155"/>
    </row>
    <row r="139" spans="1:3" ht="15.75" customHeight="1" x14ac:dyDescent="0.35">
      <c r="A139" s="149"/>
      <c r="B139" s="33"/>
      <c r="C139" s="155"/>
    </row>
    <row r="140" spans="1:3" ht="15.75" customHeight="1" x14ac:dyDescent="0.35">
      <c r="A140" s="149"/>
      <c r="B140" s="33"/>
      <c r="C140" s="155"/>
    </row>
    <row r="141" spans="1:3" ht="15.75" customHeight="1" x14ac:dyDescent="0.35">
      <c r="A141" s="149"/>
      <c r="B141" s="33"/>
      <c r="C141" s="155"/>
    </row>
    <row r="142" spans="1:3" ht="15.75" customHeight="1" x14ac:dyDescent="0.35">
      <c r="A142" s="149"/>
      <c r="B142" s="33"/>
      <c r="C142" s="155"/>
    </row>
    <row r="143" spans="1:3" ht="15.75" customHeight="1" x14ac:dyDescent="0.35">
      <c r="A143" s="149"/>
      <c r="B143" s="33"/>
      <c r="C143" s="155"/>
    </row>
    <row r="144" spans="1:3" ht="15.75" customHeight="1" x14ac:dyDescent="0.35">
      <c r="A144" s="149"/>
      <c r="B144" s="33"/>
      <c r="C144" s="155"/>
    </row>
    <row r="145" spans="1:3" ht="15.75" customHeight="1" x14ac:dyDescent="0.35">
      <c r="A145" s="149"/>
      <c r="B145" s="33"/>
      <c r="C145" s="155"/>
    </row>
    <row r="146" spans="1:3" ht="15.75" customHeight="1" x14ac:dyDescent="0.35">
      <c r="A146" s="149"/>
      <c r="B146" s="33"/>
      <c r="C146" s="155"/>
    </row>
    <row r="147" spans="1:3" ht="15.75" customHeight="1" x14ac:dyDescent="0.35">
      <c r="A147" s="149"/>
      <c r="B147" s="33"/>
      <c r="C147" s="155"/>
    </row>
    <row r="148" spans="1:3" ht="15.75" customHeight="1" x14ac:dyDescent="0.35">
      <c r="A148" s="149"/>
      <c r="B148" s="33"/>
      <c r="C148" s="155"/>
    </row>
    <row r="149" spans="1:3" ht="15.75" customHeight="1" x14ac:dyDescent="0.35">
      <c r="A149" s="149"/>
      <c r="B149" s="33"/>
      <c r="C149" s="155"/>
    </row>
    <row r="150" spans="1:3" ht="15.75" customHeight="1" x14ac:dyDescent="0.35">
      <c r="A150" s="149"/>
      <c r="B150" s="33"/>
      <c r="C150" s="155"/>
    </row>
    <row r="151" spans="1:3" ht="15.75" customHeight="1" x14ac:dyDescent="0.35">
      <c r="A151" s="149"/>
      <c r="B151" s="33"/>
      <c r="C151" s="155"/>
    </row>
    <row r="152" spans="1:3" ht="15.75" customHeight="1" x14ac:dyDescent="0.35">
      <c r="A152" s="149"/>
      <c r="B152" s="33"/>
      <c r="C152" s="155"/>
    </row>
    <row r="153" spans="1:3" ht="15.75" customHeight="1" x14ac:dyDescent="0.35">
      <c r="A153" s="149"/>
      <c r="B153" s="33"/>
      <c r="C153" s="155"/>
    </row>
    <row r="154" spans="1:3" ht="15.75" customHeight="1" x14ac:dyDescent="0.35">
      <c r="A154" s="149"/>
      <c r="B154" s="33"/>
      <c r="C154" s="155"/>
    </row>
    <row r="155" spans="1:3" ht="15.75" customHeight="1" x14ac:dyDescent="0.35">
      <c r="A155" s="149"/>
      <c r="B155" s="33"/>
      <c r="C155" s="155"/>
    </row>
    <row r="156" spans="1:3" ht="15.75" customHeight="1" x14ac:dyDescent="0.35">
      <c r="A156" s="149"/>
      <c r="B156" s="33"/>
      <c r="C156" s="155"/>
    </row>
    <row r="157" spans="1:3" ht="15.75" customHeight="1" x14ac:dyDescent="0.35">
      <c r="A157" s="149"/>
      <c r="B157" s="33"/>
      <c r="C157" s="155"/>
    </row>
    <row r="158" spans="1:3" ht="15.75" customHeight="1" x14ac:dyDescent="0.35">
      <c r="A158" s="149"/>
      <c r="B158" s="33"/>
      <c r="C158" s="155"/>
    </row>
    <row r="159" spans="1:3" ht="15.75" customHeight="1" x14ac:dyDescent="0.35">
      <c r="A159" s="149"/>
      <c r="B159" s="33"/>
      <c r="C159" s="155"/>
    </row>
    <row r="160" spans="1:3" ht="15.75" customHeight="1" x14ac:dyDescent="0.35">
      <c r="A160" s="149"/>
      <c r="B160" s="33"/>
      <c r="C160" s="155"/>
    </row>
    <row r="161" spans="1:3" ht="15.75" customHeight="1" x14ac:dyDescent="0.35">
      <c r="A161" s="149"/>
      <c r="B161" s="33"/>
      <c r="C161" s="155"/>
    </row>
    <row r="162" spans="1:3" ht="15.75" customHeight="1" x14ac:dyDescent="0.35">
      <c r="A162" s="149"/>
      <c r="B162" s="33"/>
      <c r="C162" s="155"/>
    </row>
    <row r="163" spans="1:3" ht="15.75" customHeight="1" x14ac:dyDescent="0.35">
      <c r="A163" s="149"/>
      <c r="B163" s="33"/>
      <c r="C163" s="155"/>
    </row>
    <row r="164" spans="1:3" ht="15.75" customHeight="1" x14ac:dyDescent="0.35">
      <c r="A164" s="149"/>
      <c r="B164" s="33"/>
      <c r="C164" s="155"/>
    </row>
    <row r="165" spans="1:3" ht="15.75" customHeight="1" x14ac:dyDescent="0.35">
      <c r="A165" s="149"/>
      <c r="B165" s="33"/>
      <c r="C165" s="155"/>
    </row>
    <row r="166" spans="1:3" ht="15.75" customHeight="1" x14ac:dyDescent="0.35">
      <c r="A166" s="149"/>
      <c r="B166" s="33"/>
      <c r="C166" s="155"/>
    </row>
    <row r="167" spans="1:3" ht="15.75" customHeight="1" x14ac:dyDescent="0.35">
      <c r="A167" s="149"/>
      <c r="B167" s="33"/>
      <c r="C167" s="155"/>
    </row>
    <row r="168" spans="1:3" ht="15.75" customHeight="1" x14ac:dyDescent="0.35">
      <c r="A168" s="149"/>
      <c r="B168" s="33"/>
      <c r="C168" s="155"/>
    </row>
    <row r="169" spans="1:3" ht="15.75" customHeight="1" x14ac:dyDescent="0.35">
      <c r="A169" s="149"/>
      <c r="B169" s="33"/>
      <c r="C169" s="155"/>
    </row>
    <row r="170" spans="1:3" ht="15.75" customHeight="1" x14ac:dyDescent="0.35">
      <c r="A170" s="149"/>
      <c r="B170" s="33"/>
      <c r="C170" s="155"/>
    </row>
    <row r="171" spans="1:3" ht="15.75" customHeight="1" x14ac:dyDescent="0.35">
      <c r="A171" s="149"/>
      <c r="B171" s="33"/>
      <c r="C171" s="155"/>
    </row>
    <row r="172" spans="1:3" ht="15.75" customHeight="1" x14ac:dyDescent="0.35">
      <c r="A172" s="149"/>
      <c r="B172" s="33"/>
      <c r="C172" s="155"/>
    </row>
    <row r="173" spans="1:3" ht="15.75" customHeight="1" x14ac:dyDescent="0.35">
      <c r="A173" s="149"/>
      <c r="B173" s="33"/>
      <c r="C173" s="155"/>
    </row>
    <row r="174" spans="1:3" ht="15.75" customHeight="1" x14ac:dyDescent="0.35">
      <c r="A174" s="149"/>
      <c r="B174" s="33"/>
      <c r="C174" s="155"/>
    </row>
    <row r="175" spans="1:3" ht="15.75" customHeight="1" x14ac:dyDescent="0.35">
      <c r="A175" s="149"/>
      <c r="B175" s="33"/>
      <c r="C175" s="155"/>
    </row>
    <row r="176" spans="1:3" ht="15.75" customHeight="1" x14ac:dyDescent="0.35">
      <c r="A176" s="149"/>
      <c r="B176" s="33"/>
      <c r="C176" s="155"/>
    </row>
    <row r="177" spans="1:3" ht="15.75" customHeight="1" x14ac:dyDescent="0.35">
      <c r="A177" s="149"/>
      <c r="B177" s="33"/>
      <c r="C177" s="155"/>
    </row>
    <row r="178" spans="1:3" ht="15.75" customHeight="1" x14ac:dyDescent="0.35">
      <c r="A178" s="149"/>
      <c r="B178" s="33"/>
      <c r="C178" s="155"/>
    </row>
    <row r="179" spans="1:3" ht="15.75" customHeight="1" x14ac:dyDescent="0.35">
      <c r="A179" s="149"/>
      <c r="B179" s="33"/>
      <c r="C179" s="155"/>
    </row>
    <row r="180" spans="1:3" ht="15.75" customHeight="1" x14ac:dyDescent="0.35">
      <c r="A180" s="149"/>
      <c r="B180" s="33"/>
      <c r="C180" s="155"/>
    </row>
    <row r="181" spans="1:3" ht="15.75" customHeight="1" x14ac:dyDescent="0.35">
      <c r="A181" s="149"/>
      <c r="B181" s="33"/>
      <c r="C181" s="155"/>
    </row>
    <row r="182" spans="1:3" ht="15.75" customHeight="1" x14ac:dyDescent="0.35">
      <c r="A182" s="149"/>
      <c r="B182" s="33"/>
      <c r="C182" s="155"/>
    </row>
    <row r="183" spans="1:3" ht="15.75" customHeight="1" x14ac:dyDescent="0.35">
      <c r="A183" s="149"/>
      <c r="B183" s="33"/>
      <c r="C183" s="155"/>
    </row>
    <row r="184" spans="1:3" ht="15.75" customHeight="1" x14ac:dyDescent="0.35">
      <c r="A184" s="149"/>
      <c r="B184" s="33"/>
      <c r="C184" s="155"/>
    </row>
    <row r="185" spans="1:3" ht="15.75" customHeight="1" x14ac:dyDescent="0.35">
      <c r="A185" s="149"/>
      <c r="B185" s="33"/>
      <c r="C185" s="155"/>
    </row>
    <row r="186" spans="1:3" ht="15.75" customHeight="1" x14ac:dyDescent="0.35">
      <c r="A186" s="149"/>
      <c r="B186" s="33"/>
      <c r="C186" s="155"/>
    </row>
    <row r="187" spans="1:3" ht="15.75" customHeight="1" x14ac:dyDescent="0.35">
      <c r="A187" s="149"/>
      <c r="B187" s="33"/>
      <c r="C187" s="155"/>
    </row>
    <row r="188" spans="1:3" ht="15.75" customHeight="1" x14ac:dyDescent="0.35">
      <c r="A188" s="149"/>
      <c r="B188" s="33"/>
      <c r="C188" s="155"/>
    </row>
    <row r="189" spans="1:3" ht="15.75" customHeight="1" x14ac:dyDescent="0.35">
      <c r="A189" s="149"/>
      <c r="B189" s="33"/>
      <c r="C189" s="155"/>
    </row>
    <row r="190" spans="1:3" ht="15.75" customHeight="1" x14ac:dyDescent="0.35">
      <c r="A190" s="149"/>
      <c r="B190" s="33"/>
      <c r="C190" s="155"/>
    </row>
    <row r="191" spans="1:3" ht="15.75" customHeight="1" x14ac:dyDescent="0.35">
      <c r="A191" s="149"/>
      <c r="B191" s="33"/>
      <c r="C191" s="155"/>
    </row>
    <row r="192" spans="1:3" ht="15.75" customHeight="1" x14ac:dyDescent="0.35">
      <c r="A192" s="149"/>
      <c r="B192" s="33"/>
      <c r="C192" s="155"/>
    </row>
    <row r="193" spans="1:3" ht="15.75" customHeight="1" x14ac:dyDescent="0.35">
      <c r="A193" s="149"/>
      <c r="B193" s="33"/>
      <c r="C193" s="155"/>
    </row>
    <row r="194" spans="1:3" ht="15.75" customHeight="1" x14ac:dyDescent="0.35">
      <c r="A194" s="149"/>
      <c r="B194" s="33"/>
      <c r="C194" s="155"/>
    </row>
    <row r="195" spans="1:3" ht="15.75" customHeight="1" x14ac:dyDescent="0.35">
      <c r="A195" s="149"/>
      <c r="B195" s="33"/>
      <c r="C195" s="155"/>
    </row>
    <row r="196" spans="1:3" ht="15.75" customHeight="1" x14ac:dyDescent="0.35">
      <c r="A196" s="149"/>
      <c r="B196" s="33"/>
      <c r="C196" s="155"/>
    </row>
    <row r="197" spans="1:3" ht="15.75" customHeight="1" x14ac:dyDescent="0.35">
      <c r="A197" s="149"/>
      <c r="B197" s="33"/>
      <c r="C197" s="155"/>
    </row>
    <row r="198" spans="1:3" ht="15.75" customHeight="1" x14ac:dyDescent="0.35">
      <c r="A198" s="149"/>
      <c r="B198" s="33"/>
      <c r="C198" s="155"/>
    </row>
    <row r="199" spans="1:3" ht="15.75" customHeight="1" x14ac:dyDescent="0.35">
      <c r="A199" s="149"/>
      <c r="B199" s="33"/>
      <c r="C199" s="155"/>
    </row>
    <row r="200" spans="1:3" ht="15.75" customHeight="1" x14ac:dyDescent="0.35">
      <c r="A200" s="149"/>
      <c r="B200" s="33"/>
      <c r="C200" s="155"/>
    </row>
    <row r="201" spans="1:3" ht="15.75" customHeight="1" x14ac:dyDescent="0.35">
      <c r="A201" s="149"/>
      <c r="B201" s="33"/>
      <c r="C201" s="155"/>
    </row>
    <row r="202" spans="1:3" ht="15.75" customHeight="1" x14ac:dyDescent="0.35">
      <c r="A202" s="149"/>
      <c r="B202" s="33"/>
      <c r="C202" s="155"/>
    </row>
    <row r="203" spans="1:3" ht="15.75" customHeight="1" x14ac:dyDescent="0.35">
      <c r="A203" s="149"/>
      <c r="B203" s="33"/>
      <c r="C203" s="155"/>
    </row>
    <row r="204" spans="1:3" ht="15.75" customHeight="1" x14ac:dyDescent="0.35">
      <c r="A204" s="149"/>
      <c r="B204" s="33"/>
      <c r="C204" s="155"/>
    </row>
    <row r="205" spans="1:3" ht="15.75" customHeight="1" x14ac:dyDescent="0.35">
      <c r="A205" s="149"/>
      <c r="B205" s="33"/>
      <c r="C205" s="155"/>
    </row>
    <row r="206" spans="1:3" ht="15.75" customHeight="1" x14ac:dyDescent="0.35">
      <c r="A206" s="149"/>
      <c r="B206" s="33"/>
      <c r="C206" s="155"/>
    </row>
    <row r="207" spans="1:3" ht="15.75" customHeight="1" x14ac:dyDescent="0.35">
      <c r="A207" s="149"/>
      <c r="B207" s="33"/>
      <c r="C207" s="155"/>
    </row>
    <row r="208" spans="1:3" ht="15.75" customHeight="1" x14ac:dyDescent="0.35">
      <c r="A208" s="149"/>
      <c r="B208" s="33"/>
      <c r="C208" s="155"/>
    </row>
    <row r="209" spans="1:3" ht="15.75" customHeight="1" x14ac:dyDescent="0.35">
      <c r="A209" s="149"/>
      <c r="B209" s="33"/>
      <c r="C209" s="155"/>
    </row>
    <row r="210" spans="1:3" ht="15.75" customHeight="1" x14ac:dyDescent="0.35">
      <c r="A210" s="149"/>
      <c r="B210" s="33"/>
      <c r="C210" s="155"/>
    </row>
    <row r="211" spans="1:3" ht="15.75" customHeight="1" x14ac:dyDescent="0.35">
      <c r="A211" s="149"/>
      <c r="B211" s="33"/>
      <c r="C211" s="155"/>
    </row>
    <row r="212" spans="1:3" ht="15.75" customHeight="1" x14ac:dyDescent="0.35">
      <c r="A212" s="149"/>
      <c r="B212" s="33"/>
      <c r="C212" s="155"/>
    </row>
    <row r="213" spans="1:3" ht="15.75" customHeight="1" x14ac:dyDescent="0.35">
      <c r="A213" s="149"/>
      <c r="B213" s="33"/>
      <c r="C213" s="155"/>
    </row>
    <row r="214" spans="1:3" ht="15.75" customHeight="1" x14ac:dyDescent="0.35">
      <c r="A214" s="149"/>
      <c r="B214" s="33"/>
      <c r="C214" s="155"/>
    </row>
    <row r="215" spans="1:3" ht="15.75" customHeight="1" x14ac:dyDescent="0.35">
      <c r="A215" s="149"/>
      <c r="B215" s="33"/>
      <c r="C215" s="155"/>
    </row>
    <row r="216" spans="1:3" ht="15.75" customHeight="1" x14ac:dyDescent="0.35">
      <c r="A216" s="149"/>
      <c r="B216" s="33"/>
      <c r="C216" s="155"/>
    </row>
    <row r="217" spans="1:3" ht="15.75" customHeight="1" x14ac:dyDescent="0.35">
      <c r="A217" s="149"/>
      <c r="B217" s="33"/>
      <c r="C217" s="155"/>
    </row>
    <row r="218" spans="1:3" ht="15.75" customHeight="1" x14ac:dyDescent="0.35">
      <c r="A218" s="149"/>
      <c r="B218" s="33"/>
      <c r="C218" s="155"/>
    </row>
    <row r="219" spans="1:3" ht="15.75" customHeight="1" x14ac:dyDescent="0.35">
      <c r="A219" s="149"/>
      <c r="B219" s="33"/>
      <c r="C219" s="155"/>
    </row>
    <row r="220" spans="1:3" ht="15.75" customHeight="1" x14ac:dyDescent="0.35">
      <c r="A220" s="149"/>
      <c r="B220" s="33"/>
      <c r="C220" s="155"/>
    </row>
    <row r="221" spans="1:3" ht="15.75" customHeight="1" x14ac:dyDescent="0.35">
      <c r="A221" s="149"/>
      <c r="B221" s="33"/>
      <c r="C221" s="155"/>
    </row>
    <row r="222" spans="1:3" ht="15.75" customHeight="1" x14ac:dyDescent="0.35">
      <c r="A222" s="149"/>
      <c r="B222" s="33"/>
      <c r="C222" s="155"/>
    </row>
    <row r="223" spans="1:3" ht="15.75" customHeight="1" x14ac:dyDescent="0.35">
      <c r="A223" s="149"/>
      <c r="B223" s="33"/>
      <c r="C223" s="155"/>
    </row>
    <row r="224" spans="1:3" ht="15.75" customHeight="1" x14ac:dyDescent="0.35">
      <c r="A224" s="149"/>
      <c r="B224" s="33"/>
      <c r="C224" s="155"/>
    </row>
    <row r="225" spans="1:3" ht="15.75" customHeight="1" x14ac:dyDescent="0.35">
      <c r="A225" s="149"/>
      <c r="B225" s="33"/>
      <c r="C225" s="155"/>
    </row>
    <row r="226" spans="1:3" ht="15.75" customHeight="1" x14ac:dyDescent="0.35">
      <c r="A226" s="149"/>
      <c r="B226" s="33"/>
      <c r="C226" s="155"/>
    </row>
    <row r="227" spans="1:3" ht="15.75" customHeight="1" x14ac:dyDescent="0.35">
      <c r="A227" s="149"/>
      <c r="B227" s="33"/>
      <c r="C227" s="155"/>
    </row>
    <row r="228" spans="1:3" ht="15.75" customHeight="1" x14ac:dyDescent="0.35">
      <c r="A228" s="149"/>
      <c r="B228" s="33"/>
      <c r="C228" s="155"/>
    </row>
    <row r="229" spans="1:3" ht="15.75" customHeight="1" x14ac:dyDescent="0.35">
      <c r="A229" s="149"/>
      <c r="B229" s="33"/>
      <c r="C229" s="155"/>
    </row>
    <row r="230" spans="1:3" ht="15.75" customHeight="1" x14ac:dyDescent="0.35">
      <c r="A230" s="149"/>
      <c r="B230" s="33"/>
      <c r="C230" s="155"/>
    </row>
    <row r="231" spans="1:3" ht="15.75" customHeight="1" x14ac:dyDescent="0.35">
      <c r="A231" s="149"/>
      <c r="B231" s="33"/>
      <c r="C231" s="155"/>
    </row>
    <row r="232" spans="1:3" ht="15.75" customHeight="1" x14ac:dyDescent="0.35">
      <c r="A232" s="149"/>
      <c r="B232" s="33"/>
      <c r="C232" s="155"/>
    </row>
    <row r="233" spans="1:3" ht="15.75" customHeight="1" x14ac:dyDescent="0.35">
      <c r="A233" s="149"/>
      <c r="B233" s="33"/>
      <c r="C233" s="155"/>
    </row>
    <row r="234" spans="1:3" ht="15.75" customHeight="1" x14ac:dyDescent="0.35">
      <c r="A234" s="149"/>
      <c r="B234" s="33"/>
      <c r="C234" s="155"/>
    </row>
    <row r="235" spans="1:3" ht="15.75" customHeight="1" x14ac:dyDescent="0.35">
      <c r="A235" s="149"/>
      <c r="B235" s="33"/>
      <c r="C235" s="155"/>
    </row>
    <row r="236" spans="1:3" ht="15.75" customHeight="1" x14ac:dyDescent="0.35">
      <c r="A236" s="149"/>
      <c r="B236" s="33"/>
      <c r="C236" s="155"/>
    </row>
    <row r="237" spans="1:3" ht="15.75" customHeight="1" x14ac:dyDescent="0.35">
      <c r="A237" s="149"/>
      <c r="B237" s="33"/>
      <c r="C237" s="155"/>
    </row>
    <row r="238" spans="1:3" ht="15.75" customHeight="1" x14ac:dyDescent="0.35">
      <c r="A238" s="149"/>
      <c r="B238" s="33"/>
      <c r="C238" s="155"/>
    </row>
    <row r="239" spans="1:3" ht="15.75" customHeight="1" x14ac:dyDescent="0.35">
      <c r="A239" s="149"/>
      <c r="B239" s="33"/>
      <c r="C239" s="155"/>
    </row>
    <row r="240" spans="1:3" ht="15.75" customHeight="1" x14ac:dyDescent="0.35">
      <c r="A240" s="149"/>
      <c r="B240" s="33"/>
      <c r="C240" s="155"/>
    </row>
    <row r="241" spans="1:3" ht="15.75" customHeight="1" x14ac:dyDescent="0.35">
      <c r="A241" s="149"/>
      <c r="B241" s="33"/>
      <c r="C241" s="155"/>
    </row>
    <row r="242" spans="1:3" ht="15.75" customHeight="1" x14ac:dyDescent="0.35">
      <c r="A242" s="149"/>
      <c r="B242" s="33"/>
      <c r="C242" s="155"/>
    </row>
    <row r="243" spans="1:3" ht="15.75" customHeight="1" x14ac:dyDescent="0.35">
      <c r="A243" s="149"/>
      <c r="B243" s="33"/>
      <c r="C243" s="155"/>
    </row>
    <row r="244" spans="1:3" ht="15.75" customHeight="1" x14ac:dyDescent="0.35">
      <c r="A244" s="149"/>
      <c r="B244" s="33"/>
      <c r="C244" s="155"/>
    </row>
    <row r="245" spans="1:3" ht="15.75" customHeight="1" x14ac:dyDescent="0.35">
      <c r="A245" s="149"/>
      <c r="B245" s="33"/>
      <c r="C245" s="155"/>
    </row>
    <row r="246" spans="1:3" ht="15.75" customHeight="1" x14ac:dyDescent="0.35">
      <c r="A246" s="149"/>
      <c r="B246" s="33"/>
      <c r="C246" s="155"/>
    </row>
    <row r="247" spans="1:3" ht="15.75" customHeight="1" x14ac:dyDescent="0.35">
      <c r="A247" s="149"/>
      <c r="B247" s="33"/>
      <c r="C247" s="155"/>
    </row>
    <row r="248" spans="1:3" ht="15.75" customHeight="1" x14ac:dyDescent="0.35">
      <c r="A248" s="149"/>
      <c r="B248" s="33"/>
      <c r="C248" s="155"/>
    </row>
    <row r="249" spans="1:3" ht="15.75" customHeight="1" x14ac:dyDescent="0.35">
      <c r="A249" s="149"/>
      <c r="B249" s="33"/>
      <c r="C249" s="155"/>
    </row>
    <row r="250" spans="1:3" ht="15.75" customHeight="1" x14ac:dyDescent="0.35">
      <c r="A250" s="149"/>
      <c r="B250" s="33"/>
      <c r="C250" s="155"/>
    </row>
    <row r="251" spans="1:3" ht="15.75" customHeight="1" x14ac:dyDescent="0.35">
      <c r="A251" s="149"/>
      <c r="B251" s="33"/>
      <c r="C251" s="155"/>
    </row>
    <row r="252" spans="1:3" ht="15.75" customHeight="1" x14ac:dyDescent="0.35">
      <c r="A252" s="149"/>
      <c r="B252" s="33"/>
      <c r="C252" s="155"/>
    </row>
    <row r="253" spans="1:3" ht="15.75" customHeight="1" x14ac:dyDescent="0.35">
      <c r="A253" s="149"/>
      <c r="B253" s="33"/>
      <c r="C253" s="155"/>
    </row>
    <row r="254" spans="1:3" ht="15.75" customHeight="1" x14ac:dyDescent="0.35">
      <c r="A254" s="149"/>
      <c r="B254" s="33"/>
      <c r="C254" s="155"/>
    </row>
    <row r="255" spans="1:3" ht="15.75" customHeight="1" x14ac:dyDescent="0.35">
      <c r="A255" s="149"/>
      <c r="B255" s="33"/>
      <c r="C255" s="155"/>
    </row>
    <row r="256" spans="1:3" ht="15.75" customHeight="1" x14ac:dyDescent="0.35">
      <c r="A256" s="149"/>
      <c r="B256" s="33"/>
      <c r="C256" s="155"/>
    </row>
    <row r="257" spans="1:3" ht="15.75" customHeight="1" x14ac:dyDescent="0.35">
      <c r="A257" s="149"/>
      <c r="B257" s="33"/>
      <c r="C257" s="155"/>
    </row>
    <row r="258" spans="1:3" ht="15.75" customHeight="1" x14ac:dyDescent="0.35">
      <c r="A258" s="149"/>
      <c r="B258" s="33"/>
      <c r="C258" s="155"/>
    </row>
    <row r="259" spans="1:3" ht="15.75" customHeight="1" x14ac:dyDescent="0.35">
      <c r="A259" s="149"/>
      <c r="B259" s="33"/>
      <c r="C259" s="155"/>
    </row>
    <row r="260" spans="1:3" ht="15.75" customHeight="1" x14ac:dyDescent="0.35">
      <c r="A260" s="149"/>
      <c r="B260" s="33"/>
      <c r="C260" s="155"/>
    </row>
    <row r="261" spans="1:3" ht="15.75" customHeight="1" x14ac:dyDescent="0.35">
      <c r="A261" s="149"/>
      <c r="B261" s="33"/>
      <c r="C261" s="155"/>
    </row>
    <row r="262" spans="1:3" ht="15.75" customHeight="1" x14ac:dyDescent="0.35">
      <c r="A262" s="149"/>
      <c r="B262" s="33"/>
      <c r="C262" s="155"/>
    </row>
    <row r="263" spans="1:3" ht="15.75" customHeight="1" x14ac:dyDescent="0.35">
      <c r="A263" s="149"/>
      <c r="B263" s="33"/>
      <c r="C263" s="155"/>
    </row>
    <row r="264" spans="1:3" ht="15.75" customHeight="1" x14ac:dyDescent="0.35">
      <c r="A264" s="149"/>
      <c r="B264" s="33"/>
      <c r="C264" s="155"/>
    </row>
    <row r="265" spans="1:3" ht="15.75" customHeight="1" x14ac:dyDescent="0.35">
      <c r="A265" s="149"/>
      <c r="B265" s="33"/>
      <c r="C265" s="155"/>
    </row>
    <row r="266" spans="1:3" ht="15.75" customHeight="1" x14ac:dyDescent="0.35">
      <c r="A266" s="149"/>
      <c r="B266" s="33"/>
      <c r="C266" s="155"/>
    </row>
    <row r="267" spans="1:3" ht="15.75" customHeight="1" x14ac:dyDescent="0.35">
      <c r="A267" s="149"/>
      <c r="B267" s="33"/>
      <c r="C267" s="155"/>
    </row>
    <row r="268" spans="1:3" ht="15.75" customHeight="1" x14ac:dyDescent="0.35">
      <c r="A268" s="149"/>
      <c r="B268" s="33"/>
      <c r="C268" s="155"/>
    </row>
    <row r="269" spans="1:3" ht="15.75" customHeight="1" x14ac:dyDescent="0.35">
      <c r="A269" s="149"/>
      <c r="B269" s="33"/>
      <c r="C269" s="155"/>
    </row>
    <row r="270" spans="1:3" ht="15.75" customHeight="1" x14ac:dyDescent="0.35">
      <c r="A270" s="149"/>
      <c r="B270" s="33"/>
      <c r="C270" s="155"/>
    </row>
    <row r="271" spans="1:3" ht="15.75" customHeight="1" x14ac:dyDescent="0.35">
      <c r="A271" s="149"/>
      <c r="B271" s="33"/>
      <c r="C271" s="155"/>
    </row>
    <row r="272" spans="1:3" ht="15.75" customHeight="1" x14ac:dyDescent="0.35">
      <c r="A272" s="149"/>
      <c r="B272" s="33"/>
      <c r="C272" s="155"/>
    </row>
    <row r="273" spans="1:3" ht="15.75" customHeight="1" x14ac:dyDescent="0.35">
      <c r="A273" s="149"/>
      <c r="B273" s="33"/>
      <c r="C273" s="155"/>
    </row>
    <row r="274" spans="1:3" ht="15.75" customHeight="1" x14ac:dyDescent="0.35">
      <c r="A274" s="149"/>
      <c r="B274" s="33"/>
      <c r="C274" s="155"/>
    </row>
    <row r="275" spans="1:3" ht="15.75" customHeight="1" x14ac:dyDescent="0.35">
      <c r="A275" s="149"/>
      <c r="B275" s="33"/>
      <c r="C275" s="155"/>
    </row>
    <row r="276" spans="1:3" ht="15.75" customHeight="1" x14ac:dyDescent="0.35">
      <c r="A276" s="149"/>
      <c r="B276" s="33"/>
      <c r="C276" s="155"/>
    </row>
    <row r="277" spans="1:3" ht="15.75" customHeight="1" x14ac:dyDescent="0.35">
      <c r="A277" s="149"/>
      <c r="B277" s="33"/>
      <c r="C277" s="155"/>
    </row>
    <row r="278" spans="1:3" ht="15.75" customHeight="1" x14ac:dyDescent="0.35">
      <c r="A278" s="149"/>
      <c r="B278" s="33"/>
      <c r="C278" s="155"/>
    </row>
    <row r="279" spans="1:3" ht="15.75" customHeight="1" x14ac:dyDescent="0.35">
      <c r="A279" s="149"/>
      <c r="B279" s="33"/>
      <c r="C279" s="155"/>
    </row>
    <row r="280" spans="1:3" ht="15.75" customHeight="1" x14ac:dyDescent="0.35">
      <c r="A280" s="149"/>
      <c r="B280" s="33"/>
      <c r="C280" s="155"/>
    </row>
    <row r="281" spans="1:3" ht="15.75" customHeight="1" x14ac:dyDescent="0.35">
      <c r="A281" s="149"/>
      <c r="B281" s="33"/>
      <c r="C281" s="155"/>
    </row>
    <row r="282" spans="1:3" ht="15.75" customHeight="1" x14ac:dyDescent="0.35">
      <c r="A282" s="149"/>
      <c r="B282" s="33"/>
      <c r="C282" s="155"/>
    </row>
    <row r="283" spans="1:3" ht="15.75" customHeight="1" x14ac:dyDescent="0.35">
      <c r="A283" s="149"/>
      <c r="B283" s="33"/>
      <c r="C283" s="155"/>
    </row>
    <row r="284" spans="1:3" ht="15.75" customHeight="1" x14ac:dyDescent="0.35">
      <c r="A284" s="149"/>
      <c r="B284" s="33"/>
      <c r="C284" s="155"/>
    </row>
    <row r="285" spans="1:3" ht="15.75" customHeight="1" x14ac:dyDescent="0.35">
      <c r="A285" s="149"/>
      <c r="B285" s="33"/>
      <c r="C285" s="155"/>
    </row>
    <row r="286" spans="1:3" ht="15.75" customHeight="1" x14ac:dyDescent="0.35">
      <c r="A286" s="149"/>
      <c r="B286" s="33"/>
      <c r="C286" s="155"/>
    </row>
    <row r="287" spans="1:3" ht="15.75" customHeight="1" x14ac:dyDescent="0.35">
      <c r="A287" s="149"/>
      <c r="B287" s="33"/>
      <c r="C287" s="155"/>
    </row>
    <row r="288" spans="1:3" ht="15.75" customHeight="1" x14ac:dyDescent="0.35">
      <c r="A288" s="149"/>
      <c r="B288" s="33"/>
      <c r="C288" s="155"/>
    </row>
    <row r="289" spans="1:3" ht="15.75" customHeight="1" x14ac:dyDescent="0.35">
      <c r="A289" s="149"/>
      <c r="B289" s="33"/>
      <c r="C289" s="155"/>
    </row>
    <row r="290" spans="1:3" ht="15.75" customHeight="1" x14ac:dyDescent="0.35">
      <c r="A290" s="149"/>
      <c r="B290" s="33"/>
      <c r="C290" s="155"/>
    </row>
    <row r="291" spans="1:3" ht="15.75" customHeight="1" x14ac:dyDescent="0.35">
      <c r="A291" s="149"/>
      <c r="B291" s="33"/>
      <c r="C291" s="155"/>
    </row>
    <row r="292" spans="1:3" ht="15.75" customHeight="1" x14ac:dyDescent="0.35">
      <c r="A292" s="149"/>
      <c r="B292" s="33"/>
      <c r="C292" s="155"/>
    </row>
    <row r="293" spans="1:3" ht="15.75" customHeight="1" x14ac:dyDescent="0.35">
      <c r="A293" s="149"/>
      <c r="B293" s="33"/>
      <c r="C293" s="155"/>
    </row>
    <row r="294" spans="1:3" ht="15.75" customHeight="1" x14ac:dyDescent="0.35">
      <c r="A294" s="149"/>
      <c r="B294" s="33"/>
      <c r="C294" s="155"/>
    </row>
    <row r="295" spans="1:3" ht="15.75" customHeight="1" x14ac:dyDescent="0.35">
      <c r="A295" s="149"/>
      <c r="B295" s="33"/>
      <c r="C295" s="155"/>
    </row>
    <row r="296" spans="1:3" ht="15.75" customHeight="1" x14ac:dyDescent="0.35">
      <c r="A296" s="149"/>
      <c r="B296" s="33"/>
      <c r="C296" s="155"/>
    </row>
    <row r="297" spans="1:3" ht="15.75" customHeight="1" x14ac:dyDescent="0.35">
      <c r="A297" s="149"/>
      <c r="B297" s="33"/>
      <c r="C297" s="155"/>
    </row>
    <row r="298" spans="1:3" ht="15.75" customHeight="1" x14ac:dyDescent="0.35">
      <c r="A298" s="149"/>
      <c r="B298" s="33"/>
      <c r="C298" s="155"/>
    </row>
    <row r="299" spans="1:3" ht="15.75" customHeight="1" x14ac:dyDescent="0.35">
      <c r="A299" s="149"/>
      <c r="B299" s="33"/>
      <c r="C299" s="155"/>
    </row>
    <row r="300" spans="1:3" ht="15.75" customHeight="1" x14ac:dyDescent="0.35">
      <c r="A300" s="149"/>
      <c r="B300" s="33"/>
      <c r="C300" s="155"/>
    </row>
    <row r="301" spans="1:3" ht="15.75" customHeight="1" x14ac:dyDescent="0.35">
      <c r="A301" s="149"/>
      <c r="B301" s="33"/>
      <c r="C301" s="155"/>
    </row>
    <row r="302" spans="1:3" ht="15.75" customHeight="1" x14ac:dyDescent="0.35">
      <c r="A302" s="149"/>
      <c r="B302" s="33"/>
      <c r="C302" s="155"/>
    </row>
    <row r="303" spans="1:3" ht="15.75" customHeight="1" x14ac:dyDescent="0.35">
      <c r="A303" s="149"/>
      <c r="B303" s="33"/>
      <c r="C303" s="155"/>
    </row>
    <row r="304" spans="1:3" ht="15.75" customHeight="1" x14ac:dyDescent="0.35">
      <c r="A304" s="149"/>
      <c r="B304" s="33"/>
      <c r="C304" s="155"/>
    </row>
    <row r="305" spans="1:3" ht="15.75" customHeight="1" x14ac:dyDescent="0.35">
      <c r="A305" s="149"/>
      <c r="B305" s="33"/>
      <c r="C305" s="155"/>
    </row>
    <row r="306" spans="1:3" ht="15.75" customHeight="1" x14ac:dyDescent="0.35">
      <c r="A306" s="149"/>
      <c r="B306" s="33"/>
      <c r="C306" s="155"/>
    </row>
    <row r="307" spans="1:3" ht="15.75" customHeight="1" x14ac:dyDescent="0.35">
      <c r="A307" s="149"/>
      <c r="B307" s="33"/>
      <c r="C307" s="155"/>
    </row>
    <row r="308" spans="1:3" ht="15.75" customHeight="1" x14ac:dyDescent="0.35">
      <c r="A308" s="149"/>
      <c r="B308" s="33"/>
      <c r="C308" s="155"/>
    </row>
    <row r="309" spans="1:3" ht="15.75" customHeight="1" x14ac:dyDescent="0.35">
      <c r="A309" s="149"/>
      <c r="B309" s="33"/>
      <c r="C309" s="155"/>
    </row>
    <row r="310" spans="1:3" ht="15.75" customHeight="1" x14ac:dyDescent="0.35">
      <c r="A310" s="149"/>
      <c r="B310" s="33"/>
      <c r="C310" s="155"/>
    </row>
    <row r="311" spans="1:3" ht="15.75" customHeight="1" x14ac:dyDescent="0.35">
      <c r="A311" s="149"/>
      <c r="B311" s="33"/>
      <c r="C311" s="155"/>
    </row>
    <row r="312" spans="1:3" ht="15.75" customHeight="1" x14ac:dyDescent="0.35">
      <c r="A312" s="149"/>
      <c r="B312" s="33"/>
      <c r="C312" s="155"/>
    </row>
    <row r="313" spans="1:3" ht="15.75" customHeight="1" x14ac:dyDescent="0.35">
      <c r="A313" s="149"/>
      <c r="B313" s="33"/>
      <c r="C313" s="155"/>
    </row>
    <row r="314" spans="1:3" ht="15.75" customHeight="1" x14ac:dyDescent="0.35">
      <c r="A314" s="149"/>
      <c r="B314" s="33"/>
      <c r="C314" s="155"/>
    </row>
    <row r="315" spans="1:3" ht="15.75" customHeight="1" x14ac:dyDescent="0.35">
      <c r="A315" s="149"/>
      <c r="B315" s="33"/>
      <c r="C315" s="155"/>
    </row>
    <row r="316" spans="1:3" ht="15.75" customHeight="1" x14ac:dyDescent="0.35">
      <c r="A316" s="149"/>
      <c r="B316" s="33"/>
      <c r="C316" s="155"/>
    </row>
    <row r="317" spans="1:3" ht="15.75" customHeight="1" x14ac:dyDescent="0.35">
      <c r="A317" s="149"/>
      <c r="B317" s="33"/>
      <c r="C317" s="155"/>
    </row>
    <row r="318" spans="1:3" ht="15.75" customHeight="1" x14ac:dyDescent="0.35">
      <c r="A318" s="149"/>
      <c r="B318" s="33"/>
      <c r="C318" s="155"/>
    </row>
    <row r="319" spans="1:3" ht="15.75" customHeight="1" x14ac:dyDescent="0.35">
      <c r="A319" s="149"/>
      <c r="B319" s="33"/>
      <c r="C319" s="155"/>
    </row>
    <row r="320" spans="1:3" ht="15.75" customHeight="1" x14ac:dyDescent="0.35">
      <c r="A320" s="149"/>
      <c r="B320" s="33"/>
      <c r="C320" s="155"/>
    </row>
    <row r="321" spans="1:3" ht="15.75" customHeight="1" x14ac:dyDescent="0.35">
      <c r="A321" s="149"/>
      <c r="B321" s="33"/>
      <c r="C321" s="155"/>
    </row>
    <row r="322" spans="1:3" ht="15.75" customHeight="1" x14ac:dyDescent="0.35">
      <c r="A322" s="149"/>
      <c r="B322" s="33"/>
      <c r="C322" s="155"/>
    </row>
    <row r="323" spans="1:3" ht="15.75" customHeight="1" x14ac:dyDescent="0.35">
      <c r="A323" s="149"/>
      <c r="B323" s="33"/>
      <c r="C323" s="155"/>
    </row>
    <row r="324" spans="1:3" ht="15.75" customHeight="1" x14ac:dyDescent="0.35">
      <c r="A324" s="149"/>
      <c r="B324" s="33"/>
      <c r="C324" s="155"/>
    </row>
    <row r="325" spans="1:3" ht="15.75" customHeight="1" x14ac:dyDescent="0.35">
      <c r="A325" s="149"/>
      <c r="B325" s="33"/>
      <c r="C325" s="155"/>
    </row>
    <row r="326" spans="1:3" ht="15.75" customHeight="1" x14ac:dyDescent="0.35">
      <c r="A326" s="149"/>
      <c r="B326" s="33"/>
      <c r="C326" s="155"/>
    </row>
    <row r="327" spans="1:3" ht="15.75" customHeight="1" x14ac:dyDescent="0.35">
      <c r="A327" s="149"/>
      <c r="B327" s="33"/>
      <c r="C327" s="155"/>
    </row>
    <row r="328" spans="1:3" ht="15.75" customHeight="1" x14ac:dyDescent="0.35">
      <c r="A328" s="149"/>
      <c r="B328" s="33"/>
      <c r="C328" s="155"/>
    </row>
    <row r="329" spans="1:3" ht="15.75" customHeight="1" x14ac:dyDescent="0.35">
      <c r="A329" s="149"/>
      <c r="B329" s="33"/>
      <c r="C329" s="155"/>
    </row>
    <row r="330" spans="1:3" ht="15.75" customHeight="1" x14ac:dyDescent="0.35">
      <c r="A330" s="149"/>
      <c r="B330" s="33"/>
      <c r="C330" s="155"/>
    </row>
    <row r="331" spans="1:3" ht="15.75" customHeight="1" x14ac:dyDescent="0.35">
      <c r="A331" s="149"/>
      <c r="B331" s="33"/>
      <c r="C331" s="155"/>
    </row>
    <row r="332" spans="1:3" ht="15.75" customHeight="1" x14ac:dyDescent="0.35">
      <c r="A332" s="149"/>
      <c r="B332" s="33"/>
      <c r="C332" s="155"/>
    </row>
    <row r="333" spans="1:3" ht="15.75" customHeight="1" x14ac:dyDescent="0.35">
      <c r="A333" s="149"/>
      <c r="B333" s="33"/>
      <c r="C333" s="155"/>
    </row>
    <row r="334" spans="1:3" ht="15.75" customHeight="1" x14ac:dyDescent="0.35">
      <c r="A334" s="149"/>
      <c r="B334" s="33"/>
      <c r="C334" s="155"/>
    </row>
    <row r="335" spans="1:3" ht="15.75" customHeight="1" x14ac:dyDescent="0.35">
      <c r="A335" s="149"/>
      <c r="B335" s="33"/>
      <c r="C335" s="155"/>
    </row>
    <row r="336" spans="1:3" ht="15.75" customHeight="1" x14ac:dyDescent="0.35">
      <c r="A336" s="149"/>
      <c r="B336" s="33"/>
      <c r="C336" s="155"/>
    </row>
    <row r="337" spans="1:3" ht="15.75" customHeight="1" x14ac:dyDescent="0.35">
      <c r="A337" s="149"/>
      <c r="B337" s="33"/>
      <c r="C337" s="155"/>
    </row>
    <row r="338" spans="1:3" ht="15.75" customHeight="1" x14ac:dyDescent="0.35">
      <c r="A338" s="149"/>
      <c r="B338" s="33"/>
      <c r="C338" s="155"/>
    </row>
    <row r="339" spans="1:3" ht="15.75" customHeight="1" x14ac:dyDescent="0.35">
      <c r="A339" s="149"/>
      <c r="B339" s="33"/>
      <c r="C339" s="155"/>
    </row>
    <row r="340" spans="1:3" ht="15.75" customHeight="1" x14ac:dyDescent="0.35">
      <c r="A340" s="149"/>
      <c r="B340" s="33"/>
      <c r="C340" s="155"/>
    </row>
    <row r="341" spans="1:3" ht="15.75" customHeight="1" x14ac:dyDescent="0.35">
      <c r="A341" s="149"/>
      <c r="B341" s="33"/>
      <c r="C341" s="155"/>
    </row>
    <row r="342" spans="1:3" ht="15.75" customHeight="1" x14ac:dyDescent="0.35">
      <c r="A342" s="149"/>
      <c r="B342" s="33"/>
      <c r="C342" s="155"/>
    </row>
    <row r="343" spans="1:3" ht="15.75" customHeight="1" x14ac:dyDescent="0.35">
      <c r="A343" s="149"/>
      <c r="B343" s="33"/>
      <c r="C343" s="155"/>
    </row>
    <row r="344" spans="1:3" ht="15.75" customHeight="1" x14ac:dyDescent="0.35">
      <c r="A344" s="149"/>
      <c r="B344" s="33"/>
      <c r="C344" s="155"/>
    </row>
    <row r="345" spans="1:3" ht="15.75" customHeight="1" x14ac:dyDescent="0.35">
      <c r="A345" s="149"/>
      <c r="B345" s="33"/>
      <c r="C345" s="155"/>
    </row>
    <row r="346" spans="1:3" ht="15.75" customHeight="1" x14ac:dyDescent="0.35">
      <c r="A346" s="149"/>
      <c r="B346" s="33"/>
      <c r="C346" s="155"/>
    </row>
    <row r="347" spans="1:3" ht="15.75" customHeight="1" x14ac:dyDescent="0.35">
      <c r="A347" s="149"/>
      <c r="B347" s="33"/>
      <c r="C347" s="155"/>
    </row>
    <row r="348" spans="1:3" ht="15.75" customHeight="1" x14ac:dyDescent="0.35">
      <c r="A348" s="149"/>
      <c r="B348" s="33"/>
      <c r="C348" s="155"/>
    </row>
    <row r="349" spans="1:3" ht="15.75" customHeight="1" x14ac:dyDescent="0.35">
      <c r="A349" s="149"/>
      <c r="B349" s="33"/>
      <c r="C349" s="155"/>
    </row>
    <row r="350" spans="1:3" ht="15.75" customHeight="1" x14ac:dyDescent="0.35">
      <c r="A350" s="149"/>
      <c r="B350" s="33"/>
      <c r="C350" s="155"/>
    </row>
    <row r="351" spans="1:3" ht="15.75" customHeight="1" x14ac:dyDescent="0.35">
      <c r="A351" s="149"/>
      <c r="B351" s="33"/>
      <c r="C351" s="155"/>
    </row>
    <row r="352" spans="1:3" ht="15.75" customHeight="1" x14ac:dyDescent="0.35">
      <c r="A352" s="149"/>
      <c r="B352" s="33"/>
      <c r="C352" s="155"/>
    </row>
    <row r="353" spans="1:3" ht="15.75" customHeight="1" x14ac:dyDescent="0.35">
      <c r="A353" s="149"/>
      <c r="B353" s="33"/>
      <c r="C353" s="155"/>
    </row>
    <row r="354" spans="1:3" ht="15.75" customHeight="1" x14ac:dyDescent="0.35">
      <c r="A354" s="149"/>
      <c r="B354" s="33"/>
      <c r="C354" s="155"/>
    </row>
    <row r="355" spans="1:3" ht="15.75" customHeight="1" x14ac:dyDescent="0.35">
      <c r="A355" s="149"/>
      <c r="B355" s="33"/>
      <c r="C355" s="155"/>
    </row>
    <row r="356" spans="1:3" ht="15.75" customHeight="1" x14ac:dyDescent="0.35">
      <c r="A356" s="149"/>
      <c r="B356" s="33"/>
      <c r="C356" s="155"/>
    </row>
    <row r="357" spans="1:3" ht="15.75" customHeight="1" x14ac:dyDescent="0.35">
      <c r="A357" s="149"/>
      <c r="B357" s="33"/>
      <c r="C357" s="155"/>
    </row>
    <row r="358" spans="1:3" ht="15.75" customHeight="1" x14ac:dyDescent="0.35">
      <c r="A358" s="149"/>
      <c r="B358" s="33"/>
      <c r="C358" s="155"/>
    </row>
    <row r="359" spans="1:3" ht="15.75" customHeight="1" x14ac:dyDescent="0.35">
      <c r="A359" s="149"/>
      <c r="B359" s="33"/>
      <c r="C359" s="155"/>
    </row>
    <row r="360" spans="1:3" ht="15.75" customHeight="1" x14ac:dyDescent="0.35">
      <c r="A360" s="149"/>
      <c r="B360" s="33"/>
      <c r="C360" s="155"/>
    </row>
    <row r="361" spans="1:3" ht="15.75" customHeight="1" x14ac:dyDescent="0.35">
      <c r="A361" s="149"/>
      <c r="B361" s="33"/>
      <c r="C361" s="155"/>
    </row>
    <row r="362" spans="1:3" ht="15.75" customHeight="1" x14ac:dyDescent="0.35">
      <c r="A362" s="149"/>
      <c r="B362" s="33"/>
      <c r="C362" s="155"/>
    </row>
    <row r="363" spans="1:3" ht="15.75" customHeight="1" x14ac:dyDescent="0.35">
      <c r="A363" s="149"/>
      <c r="B363" s="33"/>
      <c r="C363" s="155"/>
    </row>
    <row r="364" spans="1:3" ht="15.75" customHeight="1" x14ac:dyDescent="0.35">
      <c r="A364" s="149"/>
      <c r="B364" s="33"/>
      <c r="C364" s="155"/>
    </row>
    <row r="365" spans="1:3" ht="15.75" customHeight="1" x14ac:dyDescent="0.35">
      <c r="A365" s="149"/>
      <c r="B365" s="33"/>
      <c r="C365" s="155"/>
    </row>
    <row r="366" spans="1:3" ht="15.75" customHeight="1" x14ac:dyDescent="0.35">
      <c r="A366" s="149"/>
      <c r="B366" s="33"/>
      <c r="C366" s="155"/>
    </row>
    <row r="367" spans="1:3" ht="15.75" customHeight="1" x14ac:dyDescent="0.35">
      <c r="A367" s="149"/>
      <c r="B367" s="33"/>
      <c r="C367" s="155"/>
    </row>
    <row r="368" spans="1:3" ht="15.75" customHeight="1" x14ac:dyDescent="0.35">
      <c r="A368" s="149"/>
      <c r="B368" s="33"/>
      <c r="C368" s="155"/>
    </row>
    <row r="369" spans="1:3" ht="15.75" customHeight="1" x14ac:dyDescent="0.35">
      <c r="A369" s="149"/>
      <c r="B369" s="33"/>
      <c r="C369" s="155"/>
    </row>
    <row r="370" spans="1:3" ht="15.75" customHeight="1" x14ac:dyDescent="0.35">
      <c r="A370" s="149"/>
      <c r="B370" s="33"/>
      <c r="C370" s="155"/>
    </row>
    <row r="371" spans="1:3" ht="15.75" customHeight="1" x14ac:dyDescent="0.35">
      <c r="A371" s="149"/>
      <c r="B371" s="33"/>
      <c r="C371" s="155"/>
    </row>
    <row r="372" spans="1:3" ht="15.75" customHeight="1" x14ac:dyDescent="0.35">
      <c r="A372" s="149"/>
      <c r="B372" s="33"/>
      <c r="C372" s="155"/>
    </row>
    <row r="373" spans="1:3" ht="15.75" customHeight="1" x14ac:dyDescent="0.35">
      <c r="A373" s="149"/>
      <c r="B373" s="33"/>
      <c r="C373" s="155"/>
    </row>
    <row r="374" spans="1:3" ht="15.75" customHeight="1" x14ac:dyDescent="0.35">
      <c r="A374" s="149"/>
      <c r="B374" s="33"/>
      <c r="C374" s="155"/>
    </row>
    <row r="375" spans="1:3" ht="15.75" customHeight="1" x14ac:dyDescent="0.35">
      <c r="A375" s="149"/>
      <c r="B375" s="33"/>
      <c r="C375" s="155"/>
    </row>
    <row r="376" spans="1:3" ht="15.75" customHeight="1" x14ac:dyDescent="0.35">
      <c r="A376" s="149"/>
      <c r="B376" s="33"/>
      <c r="C376" s="155"/>
    </row>
    <row r="377" spans="1:3" ht="15.75" customHeight="1" x14ac:dyDescent="0.35">
      <c r="A377" s="149"/>
      <c r="B377" s="33"/>
      <c r="C377" s="155"/>
    </row>
    <row r="378" spans="1:3" ht="15.75" customHeight="1" x14ac:dyDescent="0.35">
      <c r="A378" s="149"/>
      <c r="B378" s="33"/>
      <c r="C378" s="155"/>
    </row>
    <row r="379" spans="1:3" ht="15.75" customHeight="1" x14ac:dyDescent="0.35">
      <c r="A379" s="149"/>
      <c r="B379" s="33"/>
      <c r="C379" s="155"/>
    </row>
    <row r="380" spans="1:3" ht="15.75" customHeight="1" x14ac:dyDescent="0.35">
      <c r="A380" s="149"/>
      <c r="B380" s="33"/>
      <c r="C380" s="155"/>
    </row>
    <row r="381" spans="1:3" ht="15.75" customHeight="1" x14ac:dyDescent="0.35">
      <c r="A381" s="149"/>
      <c r="B381" s="33"/>
      <c r="C381" s="155"/>
    </row>
    <row r="382" spans="1:3" ht="15.75" customHeight="1" x14ac:dyDescent="0.35">
      <c r="A382" s="149"/>
      <c r="B382" s="33"/>
      <c r="C382" s="155"/>
    </row>
    <row r="383" spans="1:3" ht="15.75" customHeight="1" x14ac:dyDescent="0.35">
      <c r="A383" s="149"/>
      <c r="B383" s="33"/>
      <c r="C383" s="155"/>
    </row>
    <row r="384" spans="1:3" ht="15.75" customHeight="1" x14ac:dyDescent="0.35">
      <c r="A384" s="149"/>
      <c r="B384" s="33"/>
      <c r="C384" s="155"/>
    </row>
    <row r="385" spans="1:3" ht="15.75" customHeight="1" x14ac:dyDescent="0.35">
      <c r="A385" s="149"/>
      <c r="B385" s="33"/>
      <c r="C385" s="155"/>
    </row>
    <row r="386" spans="1:3" ht="15.75" customHeight="1" x14ac:dyDescent="0.35">
      <c r="A386" s="149"/>
      <c r="B386" s="33"/>
      <c r="C386" s="155"/>
    </row>
    <row r="387" spans="1:3" ht="15.75" customHeight="1" x14ac:dyDescent="0.35">
      <c r="A387" s="149"/>
      <c r="B387" s="33"/>
      <c r="C387" s="155"/>
    </row>
    <row r="388" spans="1:3" ht="15.75" customHeight="1" x14ac:dyDescent="0.35">
      <c r="A388" s="149"/>
      <c r="B388" s="33"/>
      <c r="C388" s="155"/>
    </row>
    <row r="389" spans="1:3" ht="15.75" customHeight="1" x14ac:dyDescent="0.35">
      <c r="A389" s="149"/>
      <c r="B389" s="33"/>
      <c r="C389" s="155"/>
    </row>
    <row r="390" spans="1:3" ht="15.75" customHeight="1" x14ac:dyDescent="0.35">
      <c r="A390" s="149"/>
      <c r="B390" s="33"/>
      <c r="C390" s="155"/>
    </row>
    <row r="391" spans="1:3" ht="15.75" customHeight="1" x14ac:dyDescent="0.35">
      <c r="A391" s="149"/>
      <c r="B391" s="33"/>
      <c r="C391" s="155"/>
    </row>
    <row r="392" spans="1:3" ht="15.75" customHeight="1" x14ac:dyDescent="0.35">
      <c r="A392" s="149"/>
      <c r="B392" s="33"/>
      <c r="C392" s="155"/>
    </row>
    <row r="393" spans="1:3" ht="15.75" customHeight="1" x14ac:dyDescent="0.35">
      <c r="A393" s="149"/>
      <c r="B393" s="33"/>
      <c r="C393" s="155"/>
    </row>
    <row r="394" spans="1:3" ht="15.75" customHeight="1" x14ac:dyDescent="0.35">
      <c r="A394" s="149"/>
      <c r="B394" s="33"/>
      <c r="C394" s="155"/>
    </row>
    <row r="395" spans="1:3" ht="15.75" customHeight="1" x14ac:dyDescent="0.35">
      <c r="A395" s="149"/>
      <c r="B395" s="33"/>
      <c r="C395" s="155"/>
    </row>
    <row r="396" spans="1:3" ht="15.75" customHeight="1" x14ac:dyDescent="0.35">
      <c r="A396" s="149"/>
      <c r="B396" s="33"/>
      <c r="C396" s="155"/>
    </row>
    <row r="397" spans="1:3" ht="15.75" customHeight="1" x14ac:dyDescent="0.35">
      <c r="A397" s="149"/>
      <c r="B397" s="33"/>
      <c r="C397" s="155"/>
    </row>
    <row r="398" spans="1:3" ht="15.75" customHeight="1" x14ac:dyDescent="0.35">
      <c r="A398" s="149"/>
      <c r="B398" s="33"/>
      <c r="C398" s="155"/>
    </row>
    <row r="399" spans="1:3" ht="15.75" customHeight="1" x14ac:dyDescent="0.35">
      <c r="A399" s="149"/>
      <c r="B399" s="33"/>
      <c r="C399" s="155"/>
    </row>
    <row r="400" spans="1:3" ht="15.75" customHeight="1" x14ac:dyDescent="0.35">
      <c r="A400" s="149"/>
      <c r="B400" s="33"/>
      <c r="C400" s="155"/>
    </row>
    <row r="401" spans="1:3" ht="15.75" customHeight="1" x14ac:dyDescent="0.35">
      <c r="A401" s="149"/>
      <c r="B401" s="33"/>
      <c r="C401" s="155"/>
    </row>
    <row r="402" spans="1:3" ht="15.75" customHeight="1" x14ac:dyDescent="0.35">
      <c r="A402" s="149"/>
      <c r="B402" s="33"/>
      <c r="C402" s="155"/>
    </row>
    <row r="403" spans="1:3" ht="15.75" customHeight="1" x14ac:dyDescent="0.35">
      <c r="A403" s="149"/>
      <c r="B403" s="33"/>
      <c r="C403" s="155"/>
    </row>
    <row r="404" spans="1:3" ht="15.75" customHeight="1" x14ac:dyDescent="0.35">
      <c r="A404" s="149"/>
      <c r="B404" s="33"/>
      <c r="C404" s="155"/>
    </row>
    <row r="405" spans="1:3" ht="15.75" customHeight="1" x14ac:dyDescent="0.35">
      <c r="A405" s="149"/>
      <c r="B405" s="33"/>
      <c r="C405" s="155"/>
    </row>
    <row r="406" spans="1:3" ht="15.75" customHeight="1" x14ac:dyDescent="0.35">
      <c r="A406" s="149"/>
      <c r="B406" s="33"/>
      <c r="C406" s="155"/>
    </row>
    <row r="407" spans="1:3" ht="15.75" customHeight="1" x14ac:dyDescent="0.35">
      <c r="A407" s="149"/>
      <c r="B407" s="33"/>
      <c r="C407" s="155"/>
    </row>
    <row r="408" spans="1:3" ht="15.75" customHeight="1" x14ac:dyDescent="0.35">
      <c r="A408" s="149"/>
      <c r="B408" s="33"/>
      <c r="C408" s="155"/>
    </row>
    <row r="409" spans="1:3" ht="15.75" customHeight="1" x14ac:dyDescent="0.35">
      <c r="A409" s="149"/>
      <c r="B409" s="33"/>
      <c r="C409" s="155"/>
    </row>
    <row r="410" spans="1:3" ht="15.75" customHeight="1" x14ac:dyDescent="0.35">
      <c r="A410" s="149"/>
      <c r="B410" s="33"/>
      <c r="C410" s="155"/>
    </row>
    <row r="411" spans="1:3" ht="15.75" customHeight="1" x14ac:dyDescent="0.35">
      <c r="A411" s="149"/>
      <c r="B411" s="33"/>
      <c r="C411" s="155"/>
    </row>
    <row r="412" spans="1:3" ht="15.75" customHeight="1" x14ac:dyDescent="0.35">
      <c r="A412" s="149"/>
      <c r="B412" s="33"/>
      <c r="C412" s="155"/>
    </row>
    <row r="413" spans="1:3" ht="15.75" customHeight="1" x14ac:dyDescent="0.35">
      <c r="A413" s="149"/>
      <c r="B413" s="33"/>
      <c r="C413" s="155"/>
    </row>
    <row r="414" spans="1:3" ht="15.75" customHeight="1" x14ac:dyDescent="0.35">
      <c r="A414" s="149"/>
      <c r="B414" s="33"/>
      <c r="C414" s="155"/>
    </row>
    <row r="415" spans="1:3" ht="15.75" customHeight="1" x14ac:dyDescent="0.35">
      <c r="A415" s="149"/>
      <c r="B415" s="33"/>
      <c r="C415" s="155"/>
    </row>
    <row r="416" spans="1:3" ht="15.75" customHeight="1" x14ac:dyDescent="0.35">
      <c r="A416" s="149"/>
      <c r="B416" s="33"/>
      <c r="C416" s="155"/>
    </row>
    <row r="417" spans="1:3" ht="15.75" customHeight="1" x14ac:dyDescent="0.35">
      <c r="A417" s="149"/>
      <c r="B417" s="33"/>
      <c r="C417" s="155"/>
    </row>
    <row r="418" spans="1:3" ht="15.75" customHeight="1" x14ac:dyDescent="0.35">
      <c r="A418" s="149"/>
      <c r="B418" s="33"/>
      <c r="C418" s="155"/>
    </row>
    <row r="419" spans="1:3" ht="15.75" customHeight="1" x14ac:dyDescent="0.35">
      <c r="A419" s="149"/>
      <c r="B419" s="33"/>
      <c r="C419" s="155"/>
    </row>
    <row r="420" spans="1:3" ht="15.75" customHeight="1" x14ac:dyDescent="0.35">
      <c r="A420" s="149"/>
      <c r="B420" s="33"/>
      <c r="C420" s="155"/>
    </row>
    <row r="421" spans="1:3" ht="15.75" customHeight="1" x14ac:dyDescent="0.35">
      <c r="A421" s="149"/>
      <c r="B421" s="33"/>
      <c r="C421" s="155"/>
    </row>
    <row r="422" spans="1:3" ht="15.75" customHeight="1" x14ac:dyDescent="0.35">
      <c r="A422" s="149"/>
      <c r="B422" s="33"/>
      <c r="C422" s="155"/>
    </row>
    <row r="423" spans="1:3" ht="15.75" customHeight="1" x14ac:dyDescent="0.35">
      <c r="A423" s="149"/>
      <c r="B423" s="33"/>
      <c r="C423" s="155"/>
    </row>
    <row r="424" spans="1:3" ht="15.75" customHeight="1" x14ac:dyDescent="0.35">
      <c r="A424" s="149"/>
      <c r="B424" s="33"/>
      <c r="C424" s="155"/>
    </row>
    <row r="425" spans="1:3" ht="15.75" customHeight="1" x14ac:dyDescent="0.35">
      <c r="A425" s="149"/>
      <c r="B425" s="33"/>
      <c r="C425" s="155"/>
    </row>
    <row r="426" spans="1:3" ht="15.75" customHeight="1" x14ac:dyDescent="0.35">
      <c r="A426" s="149"/>
      <c r="B426" s="33"/>
      <c r="C426" s="155"/>
    </row>
    <row r="427" spans="1:3" ht="15.75" customHeight="1" x14ac:dyDescent="0.35">
      <c r="A427" s="149"/>
      <c r="B427" s="33"/>
      <c r="C427" s="155"/>
    </row>
    <row r="428" spans="1:3" ht="15.75" customHeight="1" x14ac:dyDescent="0.35">
      <c r="A428" s="149"/>
      <c r="B428" s="33"/>
      <c r="C428" s="155"/>
    </row>
    <row r="429" spans="1:3" ht="15.75" customHeight="1" x14ac:dyDescent="0.35">
      <c r="A429" s="149"/>
      <c r="B429" s="33"/>
      <c r="C429" s="155"/>
    </row>
    <row r="430" spans="1:3" ht="15.75" customHeight="1" x14ac:dyDescent="0.35">
      <c r="A430" s="149"/>
      <c r="B430" s="33"/>
      <c r="C430" s="155"/>
    </row>
    <row r="431" spans="1:3" ht="15.75" customHeight="1" x14ac:dyDescent="0.35">
      <c r="A431" s="149"/>
      <c r="B431" s="33"/>
      <c r="C431" s="155"/>
    </row>
    <row r="432" spans="1:3" ht="15.75" customHeight="1" x14ac:dyDescent="0.35">
      <c r="A432" s="149"/>
      <c r="B432" s="33"/>
      <c r="C432" s="155"/>
    </row>
    <row r="433" spans="1:3" ht="15.75" customHeight="1" x14ac:dyDescent="0.35">
      <c r="A433" s="149"/>
      <c r="B433" s="33"/>
      <c r="C433" s="155"/>
    </row>
    <row r="434" spans="1:3" ht="15.75" customHeight="1" x14ac:dyDescent="0.35">
      <c r="A434" s="149"/>
      <c r="B434" s="33"/>
      <c r="C434" s="155"/>
    </row>
    <row r="435" spans="1:3" ht="15.75" customHeight="1" x14ac:dyDescent="0.35">
      <c r="A435" s="149"/>
      <c r="B435" s="33"/>
      <c r="C435" s="155"/>
    </row>
    <row r="436" spans="1:3" ht="15.75" customHeight="1" x14ac:dyDescent="0.35">
      <c r="A436" s="149"/>
      <c r="B436" s="33"/>
      <c r="C436" s="155"/>
    </row>
    <row r="437" spans="1:3" ht="15.75" customHeight="1" x14ac:dyDescent="0.35">
      <c r="A437" s="149"/>
      <c r="B437" s="33"/>
      <c r="C437" s="155"/>
    </row>
    <row r="438" spans="1:3" ht="15.75" customHeight="1" x14ac:dyDescent="0.35">
      <c r="A438" s="149"/>
      <c r="B438" s="33"/>
      <c r="C438" s="155"/>
    </row>
    <row r="439" spans="1:3" ht="15.75" customHeight="1" x14ac:dyDescent="0.35">
      <c r="A439" s="149"/>
      <c r="B439" s="33"/>
      <c r="C439" s="155"/>
    </row>
    <row r="440" spans="1:3" ht="15.75" customHeight="1" x14ac:dyDescent="0.35">
      <c r="A440" s="149"/>
      <c r="B440" s="33"/>
      <c r="C440" s="155"/>
    </row>
    <row r="441" spans="1:3" ht="15.75" customHeight="1" x14ac:dyDescent="0.35">
      <c r="A441" s="149"/>
      <c r="B441" s="33"/>
      <c r="C441" s="155"/>
    </row>
    <row r="442" spans="1:3" ht="15.75" customHeight="1" x14ac:dyDescent="0.35">
      <c r="A442" s="149"/>
      <c r="B442" s="33"/>
      <c r="C442" s="155"/>
    </row>
    <row r="443" spans="1:3" ht="15.75" customHeight="1" x14ac:dyDescent="0.35">
      <c r="A443" s="149"/>
      <c r="B443" s="33"/>
      <c r="C443" s="155"/>
    </row>
    <row r="444" spans="1:3" ht="15.75" customHeight="1" x14ac:dyDescent="0.35">
      <c r="A444" s="149"/>
      <c r="B444" s="33"/>
      <c r="C444" s="155"/>
    </row>
    <row r="445" spans="1:3" ht="15.75" customHeight="1" x14ac:dyDescent="0.35">
      <c r="A445" s="149"/>
      <c r="B445" s="33"/>
      <c r="C445" s="155"/>
    </row>
    <row r="446" spans="1:3" ht="15.75" customHeight="1" x14ac:dyDescent="0.35">
      <c r="A446" s="149"/>
      <c r="B446" s="33"/>
      <c r="C446" s="155"/>
    </row>
    <row r="447" spans="1:3" ht="15.75" customHeight="1" x14ac:dyDescent="0.35">
      <c r="A447" s="149"/>
      <c r="B447" s="33"/>
      <c r="C447" s="155"/>
    </row>
    <row r="448" spans="1:3" ht="15.75" customHeight="1" x14ac:dyDescent="0.35">
      <c r="A448" s="149"/>
      <c r="B448" s="33"/>
      <c r="C448" s="155"/>
    </row>
    <row r="449" spans="1:3" ht="15.75" customHeight="1" x14ac:dyDescent="0.35">
      <c r="A449" s="149"/>
      <c r="B449" s="33"/>
      <c r="C449" s="155"/>
    </row>
    <row r="450" spans="1:3" ht="15.75" customHeight="1" x14ac:dyDescent="0.35">
      <c r="A450" s="149"/>
      <c r="B450" s="33"/>
      <c r="C450" s="155"/>
    </row>
    <row r="451" spans="1:3" ht="15.75" customHeight="1" x14ac:dyDescent="0.35">
      <c r="A451" s="149"/>
      <c r="B451" s="33"/>
      <c r="C451" s="155"/>
    </row>
    <row r="452" spans="1:3" ht="15.75" customHeight="1" x14ac:dyDescent="0.35">
      <c r="A452" s="149"/>
      <c r="B452" s="33"/>
      <c r="C452" s="155"/>
    </row>
    <row r="453" spans="1:3" ht="15.75" customHeight="1" x14ac:dyDescent="0.35">
      <c r="A453" s="149"/>
      <c r="B453" s="33"/>
      <c r="C453" s="155"/>
    </row>
    <row r="454" spans="1:3" ht="15.75" customHeight="1" x14ac:dyDescent="0.35">
      <c r="A454" s="149"/>
      <c r="B454" s="33"/>
      <c r="C454" s="155"/>
    </row>
    <row r="455" spans="1:3" ht="15.75" customHeight="1" x14ac:dyDescent="0.35">
      <c r="A455" s="149"/>
      <c r="B455" s="33"/>
      <c r="C455" s="155"/>
    </row>
    <row r="456" spans="1:3" ht="15.75" customHeight="1" x14ac:dyDescent="0.35">
      <c r="A456" s="149"/>
      <c r="B456" s="33"/>
      <c r="C456" s="155"/>
    </row>
    <row r="457" spans="1:3" ht="15.75" customHeight="1" x14ac:dyDescent="0.35">
      <c r="A457" s="149"/>
      <c r="B457" s="33"/>
      <c r="C457" s="155"/>
    </row>
    <row r="458" spans="1:3" ht="15.75" customHeight="1" x14ac:dyDescent="0.35">
      <c r="A458" s="149"/>
      <c r="B458" s="33"/>
      <c r="C458" s="155"/>
    </row>
    <row r="459" spans="1:3" ht="15.75" customHeight="1" x14ac:dyDescent="0.35">
      <c r="A459" s="149"/>
      <c r="B459" s="33"/>
      <c r="C459" s="155"/>
    </row>
    <row r="460" spans="1:3" ht="15.75" customHeight="1" x14ac:dyDescent="0.35">
      <c r="A460" s="149"/>
      <c r="B460" s="33"/>
      <c r="C460" s="155"/>
    </row>
    <row r="461" spans="1:3" ht="15.75" customHeight="1" x14ac:dyDescent="0.35">
      <c r="A461" s="149"/>
      <c r="B461" s="33"/>
      <c r="C461" s="155"/>
    </row>
    <row r="462" spans="1:3" ht="15.75" customHeight="1" x14ac:dyDescent="0.35">
      <c r="A462" s="149"/>
      <c r="B462" s="33"/>
      <c r="C462" s="155"/>
    </row>
    <row r="463" spans="1:3" ht="15.75" customHeight="1" x14ac:dyDescent="0.35">
      <c r="A463" s="149"/>
      <c r="B463" s="33"/>
      <c r="C463" s="155"/>
    </row>
    <row r="464" spans="1:3" ht="15.75" customHeight="1" x14ac:dyDescent="0.35">
      <c r="A464" s="149"/>
      <c r="B464" s="33"/>
      <c r="C464" s="155"/>
    </row>
    <row r="465" spans="1:3" ht="15.75" customHeight="1" x14ac:dyDescent="0.35">
      <c r="A465" s="149"/>
      <c r="B465" s="33"/>
      <c r="C465" s="155"/>
    </row>
    <row r="466" spans="1:3" ht="15.75" customHeight="1" x14ac:dyDescent="0.35">
      <c r="A466" s="149"/>
      <c r="B466" s="33"/>
      <c r="C466" s="155"/>
    </row>
    <row r="467" spans="1:3" ht="15.75" customHeight="1" x14ac:dyDescent="0.35">
      <c r="A467" s="149"/>
      <c r="B467" s="33"/>
      <c r="C467" s="155"/>
    </row>
    <row r="468" spans="1:3" ht="15.75" customHeight="1" x14ac:dyDescent="0.35">
      <c r="A468" s="149"/>
      <c r="B468" s="33"/>
      <c r="C468" s="155"/>
    </row>
    <row r="469" spans="1:3" ht="15.75" customHeight="1" x14ac:dyDescent="0.35">
      <c r="A469" s="149"/>
      <c r="B469" s="33"/>
      <c r="C469" s="155"/>
    </row>
    <row r="470" spans="1:3" ht="15.75" customHeight="1" x14ac:dyDescent="0.35">
      <c r="A470" s="149"/>
      <c r="B470" s="33"/>
      <c r="C470" s="155"/>
    </row>
    <row r="471" spans="1:3" ht="15.75" customHeight="1" x14ac:dyDescent="0.35">
      <c r="A471" s="149"/>
      <c r="B471" s="33"/>
      <c r="C471" s="155"/>
    </row>
    <row r="472" spans="1:3" ht="15.75" customHeight="1" x14ac:dyDescent="0.35">
      <c r="A472" s="149"/>
      <c r="B472" s="33"/>
      <c r="C472" s="155"/>
    </row>
    <row r="473" spans="1:3" ht="15.75" customHeight="1" x14ac:dyDescent="0.35">
      <c r="A473" s="149"/>
      <c r="B473" s="33"/>
      <c r="C473" s="155"/>
    </row>
    <row r="474" spans="1:3" ht="15.75" customHeight="1" x14ac:dyDescent="0.35">
      <c r="A474" s="149"/>
      <c r="B474" s="33"/>
      <c r="C474" s="155"/>
    </row>
    <row r="475" spans="1:3" ht="15.75" customHeight="1" x14ac:dyDescent="0.35">
      <c r="A475" s="149"/>
      <c r="B475" s="33"/>
      <c r="C475" s="155"/>
    </row>
    <row r="476" spans="1:3" ht="15.75" customHeight="1" x14ac:dyDescent="0.35">
      <c r="A476" s="149"/>
      <c r="B476" s="33"/>
      <c r="C476" s="155"/>
    </row>
    <row r="477" spans="1:3" ht="15.75" customHeight="1" x14ac:dyDescent="0.35">
      <c r="A477" s="149"/>
      <c r="B477" s="33"/>
      <c r="C477" s="155"/>
    </row>
    <row r="478" spans="1:3" ht="15.75" customHeight="1" x14ac:dyDescent="0.35">
      <c r="A478" s="149"/>
      <c r="B478" s="33"/>
      <c r="C478" s="155"/>
    </row>
    <row r="479" spans="1:3" ht="15.75" customHeight="1" x14ac:dyDescent="0.35">
      <c r="A479" s="149"/>
      <c r="B479" s="33"/>
      <c r="C479" s="155"/>
    </row>
    <row r="480" spans="1:3" ht="15.75" customHeight="1" x14ac:dyDescent="0.35">
      <c r="A480" s="149"/>
      <c r="B480" s="33"/>
      <c r="C480" s="155"/>
    </row>
    <row r="481" spans="1:3" ht="15.75" customHeight="1" x14ac:dyDescent="0.35">
      <c r="A481" s="149"/>
      <c r="B481" s="33"/>
      <c r="C481" s="155"/>
    </row>
    <row r="482" spans="1:3" ht="15.75" customHeight="1" x14ac:dyDescent="0.35">
      <c r="A482" s="149"/>
      <c r="B482" s="33"/>
      <c r="C482" s="155"/>
    </row>
    <row r="483" spans="1:3" ht="15.75" customHeight="1" x14ac:dyDescent="0.35">
      <c r="A483" s="149"/>
      <c r="B483" s="33"/>
      <c r="C483" s="155"/>
    </row>
    <row r="484" spans="1:3" ht="15.75" customHeight="1" x14ac:dyDescent="0.35">
      <c r="A484" s="149"/>
      <c r="B484" s="33"/>
      <c r="C484" s="155"/>
    </row>
    <row r="485" spans="1:3" ht="15.75" customHeight="1" x14ac:dyDescent="0.35">
      <c r="A485" s="149"/>
      <c r="B485" s="33"/>
      <c r="C485" s="155"/>
    </row>
    <row r="486" spans="1:3" ht="15.75" customHeight="1" x14ac:dyDescent="0.35">
      <c r="A486" s="149"/>
      <c r="B486" s="33"/>
      <c r="C486" s="155"/>
    </row>
    <row r="487" spans="1:3" ht="15.75" customHeight="1" x14ac:dyDescent="0.35">
      <c r="A487" s="149"/>
      <c r="B487" s="33"/>
      <c r="C487" s="155"/>
    </row>
    <row r="488" spans="1:3" ht="15.75" customHeight="1" x14ac:dyDescent="0.35">
      <c r="A488" s="149"/>
      <c r="B488" s="33"/>
      <c r="C488" s="155"/>
    </row>
    <row r="489" spans="1:3" ht="15.75" customHeight="1" x14ac:dyDescent="0.35">
      <c r="A489" s="149"/>
      <c r="B489" s="33"/>
      <c r="C489" s="155"/>
    </row>
    <row r="490" spans="1:3" ht="15.75" customHeight="1" x14ac:dyDescent="0.35">
      <c r="A490" s="149"/>
      <c r="B490" s="33"/>
      <c r="C490" s="155"/>
    </row>
    <row r="491" spans="1:3" ht="15.75" customHeight="1" x14ac:dyDescent="0.35">
      <c r="A491" s="149"/>
      <c r="B491" s="33"/>
      <c r="C491" s="155"/>
    </row>
    <row r="492" spans="1:3" ht="15.75" customHeight="1" x14ac:dyDescent="0.35">
      <c r="A492" s="149"/>
      <c r="B492" s="33"/>
      <c r="C492" s="155"/>
    </row>
    <row r="493" spans="1:3" ht="15.75" customHeight="1" x14ac:dyDescent="0.35">
      <c r="A493" s="149"/>
      <c r="B493" s="33"/>
      <c r="C493" s="155"/>
    </row>
    <row r="494" spans="1:3" ht="15.75" customHeight="1" x14ac:dyDescent="0.35">
      <c r="A494" s="149"/>
      <c r="B494" s="33"/>
      <c r="C494" s="155"/>
    </row>
    <row r="495" spans="1:3" ht="15.75" customHeight="1" x14ac:dyDescent="0.35">
      <c r="A495" s="149"/>
      <c r="B495" s="33"/>
      <c r="C495" s="155"/>
    </row>
    <row r="496" spans="1:3" ht="15.75" customHeight="1" x14ac:dyDescent="0.35">
      <c r="A496" s="149"/>
      <c r="B496" s="33"/>
      <c r="C496" s="155"/>
    </row>
    <row r="497" spans="1:3" ht="15.75" customHeight="1" x14ac:dyDescent="0.35">
      <c r="A497" s="149"/>
      <c r="B497" s="33"/>
      <c r="C497" s="155"/>
    </row>
    <row r="498" spans="1:3" ht="15.75" customHeight="1" x14ac:dyDescent="0.35">
      <c r="A498" s="149"/>
      <c r="B498" s="33"/>
      <c r="C498" s="155"/>
    </row>
    <row r="499" spans="1:3" ht="15.75" customHeight="1" x14ac:dyDescent="0.35">
      <c r="A499" s="149"/>
      <c r="B499" s="33"/>
      <c r="C499" s="155"/>
    </row>
    <row r="500" spans="1:3" ht="15.75" customHeight="1" x14ac:dyDescent="0.35">
      <c r="A500" s="149"/>
      <c r="B500" s="33"/>
      <c r="C500" s="155"/>
    </row>
    <row r="501" spans="1:3" ht="15.75" customHeight="1" x14ac:dyDescent="0.35">
      <c r="A501" s="149"/>
      <c r="B501" s="33"/>
      <c r="C501" s="155"/>
    </row>
    <row r="502" spans="1:3" ht="15.75" customHeight="1" x14ac:dyDescent="0.35">
      <c r="A502" s="149"/>
      <c r="B502" s="33"/>
      <c r="C502" s="155"/>
    </row>
    <row r="503" spans="1:3" ht="15.75" customHeight="1" x14ac:dyDescent="0.35">
      <c r="A503" s="149"/>
      <c r="B503" s="33"/>
      <c r="C503" s="155"/>
    </row>
    <row r="504" spans="1:3" ht="15.75" customHeight="1" x14ac:dyDescent="0.35">
      <c r="A504" s="149"/>
      <c r="B504" s="33"/>
      <c r="C504" s="155"/>
    </row>
    <row r="505" spans="1:3" ht="15.75" customHeight="1" x14ac:dyDescent="0.35">
      <c r="A505" s="149"/>
      <c r="B505" s="33"/>
      <c r="C505" s="155"/>
    </row>
    <row r="506" spans="1:3" ht="15.75" customHeight="1" x14ac:dyDescent="0.35">
      <c r="A506" s="149"/>
      <c r="B506" s="33"/>
      <c r="C506" s="155"/>
    </row>
    <row r="507" spans="1:3" ht="15.75" customHeight="1" x14ac:dyDescent="0.35">
      <c r="A507" s="149"/>
      <c r="B507" s="33"/>
      <c r="C507" s="155"/>
    </row>
    <row r="508" spans="1:3" ht="15.75" customHeight="1" x14ac:dyDescent="0.35">
      <c r="A508" s="149"/>
      <c r="B508" s="33"/>
      <c r="C508" s="155"/>
    </row>
    <row r="509" spans="1:3" ht="15.75" customHeight="1" x14ac:dyDescent="0.35">
      <c r="A509" s="149"/>
      <c r="B509" s="33"/>
      <c r="C509" s="155"/>
    </row>
    <row r="510" spans="1:3" ht="15.75" customHeight="1" x14ac:dyDescent="0.35">
      <c r="A510" s="149"/>
      <c r="B510" s="33"/>
      <c r="C510" s="155"/>
    </row>
    <row r="511" spans="1:3" ht="15.75" customHeight="1" x14ac:dyDescent="0.35">
      <c r="A511" s="149"/>
      <c r="B511" s="33"/>
      <c r="C511" s="155"/>
    </row>
    <row r="512" spans="1:3" ht="15.75" customHeight="1" x14ac:dyDescent="0.35">
      <c r="A512" s="149"/>
      <c r="B512" s="33"/>
      <c r="C512" s="155"/>
    </row>
    <row r="513" spans="1:3" ht="15.75" customHeight="1" x14ac:dyDescent="0.35">
      <c r="A513" s="149"/>
      <c r="B513" s="33"/>
      <c r="C513" s="155"/>
    </row>
    <row r="514" spans="1:3" ht="15.75" customHeight="1" x14ac:dyDescent="0.35">
      <c r="A514" s="149"/>
      <c r="B514" s="33"/>
      <c r="C514" s="155"/>
    </row>
    <row r="515" spans="1:3" ht="15.75" customHeight="1" x14ac:dyDescent="0.35">
      <c r="A515" s="149"/>
      <c r="B515" s="33"/>
      <c r="C515" s="155"/>
    </row>
    <row r="516" spans="1:3" ht="15.75" customHeight="1" x14ac:dyDescent="0.35">
      <c r="A516" s="149"/>
      <c r="B516" s="33"/>
      <c r="C516" s="155"/>
    </row>
    <row r="517" spans="1:3" ht="15.75" customHeight="1" x14ac:dyDescent="0.35">
      <c r="A517" s="149"/>
      <c r="B517" s="33"/>
      <c r="C517" s="155"/>
    </row>
    <row r="518" spans="1:3" ht="15.75" customHeight="1" x14ac:dyDescent="0.35">
      <c r="A518" s="149"/>
      <c r="B518" s="33"/>
      <c r="C518" s="155"/>
    </row>
    <row r="519" spans="1:3" ht="15.75" customHeight="1" x14ac:dyDescent="0.35">
      <c r="A519" s="149"/>
      <c r="B519" s="33"/>
      <c r="C519" s="155"/>
    </row>
    <row r="520" spans="1:3" ht="15.75" customHeight="1" x14ac:dyDescent="0.35">
      <c r="A520" s="149"/>
      <c r="B520" s="33"/>
      <c r="C520" s="155"/>
    </row>
    <row r="521" spans="1:3" ht="15.75" customHeight="1" x14ac:dyDescent="0.35">
      <c r="A521" s="149"/>
      <c r="B521" s="33"/>
      <c r="C521" s="155"/>
    </row>
    <row r="522" spans="1:3" ht="15.75" customHeight="1" x14ac:dyDescent="0.35">
      <c r="A522" s="149"/>
      <c r="B522" s="33"/>
      <c r="C522" s="155"/>
    </row>
    <row r="523" spans="1:3" ht="15.75" customHeight="1" x14ac:dyDescent="0.35">
      <c r="A523" s="149"/>
      <c r="B523" s="33"/>
      <c r="C523" s="155"/>
    </row>
    <row r="524" spans="1:3" ht="15.75" customHeight="1" x14ac:dyDescent="0.35">
      <c r="A524" s="149"/>
      <c r="B524" s="33"/>
      <c r="C524" s="155"/>
    </row>
    <row r="525" spans="1:3" ht="15.75" customHeight="1" x14ac:dyDescent="0.35">
      <c r="A525" s="149"/>
      <c r="B525" s="33"/>
      <c r="C525" s="155"/>
    </row>
    <row r="526" spans="1:3" ht="15.75" customHeight="1" x14ac:dyDescent="0.35">
      <c r="A526" s="149"/>
      <c r="B526" s="33"/>
      <c r="C526" s="155"/>
    </row>
    <row r="527" spans="1:3" ht="15.75" customHeight="1" x14ac:dyDescent="0.35">
      <c r="A527" s="149"/>
      <c r="B527" s="33"/>
      <c r="C527" s="155"/>
    </row>
    <row r="528" spans="1:3" ht="15.75" customHeight="1" x14ac:dyDescent="0.35">
      <c r="A528" s="149"/>
      <c r="B528" s="33"/>
      <c r="C528" s="155"/>
    </row>
    <row r="529" spans="1:3" ht="15.75" customHeight="1" x14ac:dyDescent="0.35">
      <c r="A529" s="149"/>
      <c r="B529" s="33"/>
      <c r="C529" s="155"/>
    </row>
    <row r="530" spans="1:3" ht="15.75" customHeight="1" x14ac:dyDescent="0.35">
      <c r="A530" s="149"/>
      <c r="B530" s="33"/>
      <c r="C530" s="155"/>
    </row>
    <row r="531" spans="1:3" ht="15.75" customHeight="1" x14ac:dyDescent="0.35">
      <c r="A531" s="149"/>
      <c r="B531" s="33"/>
      <c r="C531" s="155"/>
    </row>
    <row r="532" spans="1:3" ht="15.75" customHeight="1" x14ac:dyDescent="0.35">
      <c r="A532" s="149"/>
      <c r="B532" s="33"/>
      <c r="C532" s="155"/>
    </row>
    <row r="533" spans="1:3" ht="15.75" customHeight="1" x14ac:dyDescent="0.35">
      <c r="A533" s="149"/>
      <c r="B533" s="33"/>
      <c r="C533" s="155"/>
    </row>
    <row r="534" spans="1:3" ht="15.75" customHeight="1" x14ac:dyDescent="0.35">
      <c r="A534" s="149"/>
      <c r="B534" s="33"/>
      <c r="C534" s="155"/>
    </row>
    <row r="535" spans="1:3" ht="15.75" customHeight="1" x14ac:dyDescent="0.35">
      <c r="A535" s="149"/>
      <c r="B535" s="33"/>
      <c r="C535" s="155"/>
    </row>
    <row r="536" spans="1:3" ht="15.75" customHeight="1" x14ac:dyDescent="0.35">
      <c r="A536" s="149"/>
      <c r="B536" s="33"/>
      <c r="C536" s="155"/>
    </row>
    <row r="537" spans="1:3" ht="15.75" customHeight="1" x14ac:dyDescent="0.35">
      <c r="A537" s="149"/>
      <c r="B537" s="33"/>
      <c r="C537" s="155"/>
    </row>
    <row r="538" spans="1:3" ht="15.75" customHeight="1" x14ac:dyDescent="0.35">
      <c r="A538" s="149"/>
      <c r="B538" s="33"/>
      <c r="C538" s="155"/>
    </row>
    <row r="539" spans="1:3" ht="15.75" customHeight="1" x14ac:dyDescent="0.35">
      <c r="A539" s="149"/>
      <c r="B539" s="33"/>
      <c r="C539" s="155"/>
    </row>
    <row r="540" spans="1:3" ht="15.75" customHeight="1" x14ac:dyDescent="0.35">
      <c r="A540" s="149"/>
      <c r="B540" s="33"/>
      <c r="C540" s="155"/>
    </row>
    <row r="541" spans="1:3" ht="15.75" customHeight="1" x14ac:dyDescent="0.35">
      <c r="A541" s="149"/>
      <c r="B541" s="33"/>
      <c r="C541" s="155"/>
    </row>
    <row r="542" spans="1:3" ht="15.75" customHeight="1" x14ac:dyDescent="0.35">
      <c r="A542" s="149"/>
      <c r="B542" s="33"/>
      <c r="C542" s="155"/>
    </row>
    <row r="543" spans="1:3" ht="15.75" customHeight="1" x14ac:dyDescent="0.35">
      <c r="A543" s="149"/>
      <c r="B543" s="33"/>
      <c r="C543" s="155"/>
    </row>
    <row r="544" spans="1:3" ht="15.75" customHeight="1" x14ac:dyDescent="0.35">
      <c r="A544" s="149"/>
      <c r="B544" s="33"/>
      <c r="C544" s="155"/>
    </row>
    <row r="545" spans="1:3" ht="15.75" customHeight="1" x14ac:dyDescent="0.35">
      <c r="A545" s="149"/>
      <c r="B545" s="33"/>
      <c r="C545" s="155"/>
    </row>
    <row r="546" spans="1:3" ht="15.75" customHeight="1" x14ac:dyDescent="0.35">
      <c r="A546" s="149"/>
      <c r="B546" s="33"/>
      <c r="C546" s="155"/>
    </row>
    <row r="547" spans="1:3" ht="15.75" customHeight="1" x14ac:dyDescent="0.35">
      <c r="A547" s="149"/>
      <c r="B547" s="33"/>
      <c r="C547" s="155"/>
    </row>
    <row r="548" spans="1:3" ht="15.75" customHeight="1" x14ac:dyDescent="0.35">
      <c r="A548" s="149"/>
      <c r="B548" s="33"/>
      <c r="C548" s="155"/>
    </row>
    <row r="549" spans="1:3" ht="15.75" customHeight="1" x14ac:dyDescent="0.35">
      <c r="A549" s="149"/>
      <c r="B549" s="33"/>
      <c r="C549" s="155"/>
    </row>
    <row r="550" spans="1:3" ht="15.75" customHeight="1" x14ac:dyDescent="0.35">
      <c r="A550" s="149"/>
      <c r="B550" s="33"/>
      <c r="C550" s="155"/>
    </row>
    <row r="551" spans="1:3" ht="15.75" customHeight="1" x14ac:dyDescent="0.35">
      <c r="A551" s="149"/>
      <c r="B551" s="33"/>
      <c r="C551" s="155"/>
    </row>
    <row r="552" spans="1:3" ht="15.75" customHeight="1" x14ac:dyDescent="0.35">
      <c r="A552" s="149"/>
      <c r="B552" s="33"/>
      <c r="C552" s="155"/>
    </row>
    <row r="553" spans="1:3" ht="15.75" customHeight="1" x14ac:dyDescent="0.35">
      <c r="A553" s="149"/>
      <c r="B553" s="33"/>
      <c r="C553" s="155"/>
    </row>
    <row r="554" spans="1:3" ht="15.75" customHeight="1" x14ac:dyDescent="0.35">
      <c r="A554" s="149"/>
      <c r="B554" s="33"/>
      <c r="C554" s="155"/>
    </row>
    <row r="555" spans="1:3" ht="15.75" customHeight="1" x14ac:dyDescent="0.35">
      <c r="A555" s="149"/>
      <c r="B555" s="33"/>
      <c r="C555" s="155"/>
    </row>
    <row r="556" spans="1:3" ht="15.75" customHeight="1" x14ac:dyDescent="0.35">
      <c r="A556" s="149"/>
      <c r="B556" s="33"/>
      <c r="C556" s="155"/>
    </row>
    <row r="557" spans="1:3" ht="15.75" customHeight="1" x14ac:dyDescent="0.35">
      <c r="A557" s="149"/>
      <c r="B557" s="33"/>
      <c r="C557" s="155"/>
    </row>
    <row r="558" spans="1:3" ht="15.75" customHeight="1" x14ac:dyDescent="0.35">
      <c r="A558" s="149"/>
      <c r="B558" s="33"/>
      <c r="C558" s="155"/>
    </row>
    <row r="559" spans="1:3" ht="15.75" customHeight="1" x14ac:dyDescent="0.35">
      <c r="A559" s="149"/>
      <c r="B559" s="33"/>
      <c r="C559" s="155"/>
    </row>
    <row r="560" spans="1:3" ht="15.75" customHeight="1" x14ac:dyDescent="0.35">
      <c r="A560" s="149"/>
      <c r="B560" s="33"/>
      <c r="C560" s="155"/>
    </row>
    <row r="561" spans="1:3" ht="15.75" customHeight="1" x14ac:dyDescent="0.35">
      <c r="A561" s="149"/>
      <c r="B561" s="33"/>
      <c r="C561" s="155"/>
    </row>
    <row r="562" spans="1:3" ht="15.75" customHeight="1" x14ac:dyDescent="0.35">
      <c r="A562" s="149"/>
      <c r="B562" s="33"/>
      <c r="C562" s="155"/>
    </row>
    <row r="563" spans="1:3" ht="15.75" customHeight="1" x14ac:dyDescent="0.35">
      <c r="A563" s="149"/>
      <c r="B563" s="33"/>
      <c r="C563" s="155"/>
    </row>
    <row r="564" spans="1:3" ht="15.75" customHeight="1" x14ac:dyDescent="0.35">
      <c r="A564" s="149"/>
      <c r="B564" s="33"/>
      <c r="C564" s="155"/>
    </row>
    <row r="565" spans="1:3" ht="15.75" customHeight="1" x14ac:dyDescent="0.35">
      <c r="A565" s="149"/>
      <c r="B565" s="33"/>
      <c r="C565" s="155"/>
    </row>
    <row r="566" spans="1:3" ht="15.75" customHeight="1" x14ac:dyDescent="0.35">
      <c r="A566" s="149"/>
      <c r="B566" s="33"/>
      <c r="C566" s="155"/>
    </row>
    <row r="567" spans="1:3" ht="15.75" customHeight="1" x14ac:dyDescent="0.35">
      <c r="A567" s="149"/>
      <c r="B567" s="33"/>
      <c r="C567" s="155"/>
    </row>
    <row r="568" spans="1:3" ht="15.75" customHeight="1" x14ac:dyDescent="0.35">
      <c r="A568" s="149"/>
      <c r="B568" s="33"/>
      <c r="C568" s="155"/>
    </row>
    <row r="569" spans="1:3" ht="15.75" customHeight="1" x14ac:dyDescent="0.35">
      <c r="A569" s="149"/>
      <c r="B569" s="33"/>
      <c r="C569" s="155"/>
    </row>
    <row r="570" spans="1:3" ht="15.75" customHeight="1" x14ac:dyDescent="0.35">
      <c r="A570" s="149"/>
      <c r="B570" s="33"/>
      <c r="C570" s="155"/>
    </row>
    <row r="571" spans="1:3" ht="15.75" customHeight="1" x14ac:dyDescent="0.35">
      <c r="A571" s="149"/>
      <c r="B571" s="33"/>
      <c r="C571" s="155"/>
    </row>
    <row r="572" spans="1:3" ht="15.75" customHeight="1" x14ac:dyDescent="0.35">
      <c r="A572" s="149"/>
      <c r="B572" s="33"/>
      <c r="C572" s="155"/>
    </row>
    <row r="573" spans="1:3" ht="15.75" customHeight="1" x14ac:dyDescent="0.35">
      <c r="A573" s="149"/>
      <c r="B573" s="33"/>
      <c r="C573" s="155"/>
    </row>
    <row r="574" spans="1:3" ht="15.75" customHeight="1" x14ac:dyDescent="0.35">
      <c r="A574" s="149"/>
      <c r="B574" s="33"/>
      <c r="C574" s="155"/>
    </row>
    <row r="575" spans="1:3" ht="15.75" customHeight="1" x14ac:dyDescent="0.35">
      <c r="A575" s="149"/>
      <c r="B575" s="33"/>
      <c r="C575" s="155"/>
    </row>
    <row r="576" spans="1:3" ht="15.75" customHeight="1" x14ac:dyDescent="0.35">
      <c r="A576" s="149"/>
      <c r="B576" s="33"/>
      <c r="C576" s="155"/>
    </row>
    <row r="577" spans="1:3" ht="15.75" customHeight="1" x14ac:dyDescent="0.35">
      <c r="A577" s="149"/>
      <c r="B577" s="33"/>
      <c r="C577" s="155"/>
    </row>
    <row r="578" spans="1:3" ht="15.75" customHeight="1" x14ac:dyDescent="0.35">
      <c r="A578" s="149"/>
      <c r="B578" s="33"/>
      <c r="C578" s="155"/>
    </row>
    <row r="579" spans="1:3" ht="15.75" customHeight="1" x14ac:dyDescent="0.35">
      <c r="A579" s="149"/>
      <c r="B579" s="33"/>
      <c r="C579" s="155"/>
    </row>
    <row r="580" spans="1:3" ht="15.75" customHeight="1" x14ac:dyDescent="0.35">
      <c r="A580" s="149"/>
      <c r="B580" s="33"/>
      <c r="C580" s="155"/>
    </row>
    <row r="581" spans="1:3" ht="15.75" customHeight="1" x14ac:dyDescent="0.35">
      <c r="A581" s="149"/>
      <c r="B581" s="33"/>
      <c r="C581" s="155"/>
    </row>
    <row r="582" spans="1:3" ht="15.75" customHeight="1" x14ac:dyDescent="0.35">
      <c r="A582" s="149"/>
      <c r="B582" s="33"/>
      <c r="C582" s="155"/>
    </row>
    <row r="583" spans="1:3" ht="15.75" customHeight="1" x14ac:dyDescent="0.35">
      <c r="A583" s="149"/>
      <c r="B583" s="33"/>
      <c r="C583" s="155"/>
    </row>
    <row r="584" spans="1:3" ht="15.75" customHeight="1" x14ac:dyDescent="0.35">
      <c r="A584" s="149"/>
      <c r="B584" s="33"/>
      <c r="C584" s="155"/>
    </row>
    <row r="585" spans="1:3" ht="15.75" customHeight="1" x14ac:dyDescent="0.35">
      <c r="A585" s="149"/>
      <c r="B585" s="33"/>
      <c r="C585" s="155"/>
    </row>
    <row r="586" spans="1:3" ht="15.75" customHeight="1" x14ac:dyDescent="0.35">
      <c r="A586" s="149"/>
      <c r="B586" s="33"/>
      <c r="C586" s="155"/>
    </row>
    <row r="587" spans="1:3" ht="15.75" customHeight="1" x14ac:dyDescent="0.35">
      <c r="A587" s="149"/>
      <c r="B587" s="33"/>
      <c r="C587" s="155"/>
    </row>
    <row r="588" spans="1:3" ht="15.75" customHeight="1" x14ac:dyDescent="0.35">
      <c r="A588" s="149"/>
      <c r="B588" s="33"/>
      <c r="C588" s="155"/>
    </row>
    <row r="589" spans="1:3" ht="15.75" customHeight="1" x14ac:dyDescent="0.35">
      <c r="A589" s="149"/>
      <c r="B589" s="33"/>
      <c r="C589" s="155"/>
    </row>
    <row r="590" spans="1:3" ht="15.75" customHeight="1" x14ac:dyDescent="0.35">
      <c r="A590" s="149"/>
      <c r="B590" s="33"/>
      <c r="C590" s="155"/>
    </row>
    <row r="591" spans="1:3" ht="15.75" customHeight="1" x14ac:dyDescent="0.35">
      <c r="A591" s="149"/>
      <c r="B591" s="33"/>
      <c r="C591" s="155"/>
    </row>
    <row r="592" spans="1:3" ht="15.75" customHeight="1" x14ac:dyDescent="0.35">
      <c r="A592" s="149"/>
      <c r="B592" s="33"/>
      <c r="C592" s="155"/>
    </row>
    <row r="593" spans="1:3" ht="15.75" customHeight="1" x14ac:dyDescent="0.35">
      <c r="A593" s="149"/>
      <c r="B593" s="33"/>
      <c r="C593" s="155"/>
    </row>
    <row r="594" spans="1:3" ht="15.75" customHeight="1" x14ac:dyDescent="0.35">
      <c r="A594" s="149"/>
      <c r="B594" s="33"/>
      <c r="C594" s="155"/>
    </row>
    <row r="595" spans="1:3" ht="15.75" customHeight="1" x14ac:dyDescent="0.35">
      <c r="A595" s="149"/>
      <c r="B595" s="33"/>
      <c r="C595" s="155"/>
    </row>
    <row r="596" spans="1:3" ht="15.75" customHeight="1" x14ac:dyDescent="0.35">
      <c r="A596" s="149"/>
      <c r="B596" s="33"/>
      <c r="C596" s="155"/>
    </row>
    <row r="597" spans="1:3" ht="15.75" customHeight="1" x14ac:dyDescent="0.35">
      <c r="A597" s="149"/>
      <c r="B597" s="33"/>
      <c r="C597" s="155"/>
    </row>
    <row r="598" spans="1:3" ht="15.75" customHeight="1" x14ac:dyDescent="0.35">
      <c r="A598" s="149"/>
      <c r="B598" s="33"/>
      <c r="C598" s="155"/>
    </row>
    <row r="599" spans="1:3" ht="15.75" customHeight="1" x14ac:dyDescent="0.35">
      <c r="A599" s="149"/>
      <c r="B599" s="33"/>
      <c r="C599" s="155"/>
    </row>
    <row r="600" spans="1:3" ht="15.75" customHeight="1" x14ac:dyDescent="0.35">
      <c r="A600" s="149"/>
      <c r="B600" s="33"/>
      <c r="C600" s="155"/>
    </row>
    <row r="601" spans="1:3" ht="15.75" customHeight="1" x14ac:dyDescent="0.35">
      <c r="A601" s="149"/>
      <c r="B601" s="33"/>
      <c r="C601" s="155"/>
    </row>
    <row r="602" spans="1:3" ht="15.75" customHeight="1" x14ac:dyDescent="0.35">
      <c r="A602" s="149"/>
      <c r="B602" s="33"/>
      <c r="C602" s="155"/>
    </row>
    <row r="603" spans="1:3" ht="15.75" customHeight="1" x14ac:dyDescent="0.35">
      <c r="A603" s="149"/>
      <c r="B603" s="33"/>
      <c r="C603" s="155"/>
    </row>
    <row r="604" spans="1:3" ht="15.75" customHeight="1" x14ac:dyDescent="0.35">
      <c r="A604" s="149"/>
      <c r="B604" s="33"/>
      <c r="C604" s="155"/>
    </row>
    <row r="605" spans="1:3" ht="15.75" customHeight="1" x14ac:dyDescent="0.35">
      <c r="A605" s="149"/>
      <c r="B605" s="33"/>
      <c r="C605" s="155"/>
    </row>
    <row r="606" spans="1:3" ht="15.75" customHeight="1" x14ac:dyDescent="0.35">
      <c r="A606" s="149"/>
      <c r="B606" s="33"/>
      <c r="C606" s="155"/>
    </row>
    <row r="607" spans="1:3" ht="15.75" customHeight="1" x14ac:dyDescent="0.35">
      <c r="A607" s="149"/>
      <c r="B607" s="33"/>
      <c r="C607" s="155"/>
    </row>
  </sheetData>
  <mergeCells count="1">
    <mergeCell ref="A1:D1"/>
  </mergeCells>
  <pageMargins left="0.7" right="0.7" top="0.75" bottom="0.75" header="0.511811023622047" footer="0.511811023622047"/>
  <pageSetup paperSize="9" scale="85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9CF05-7E16-4003-8586-99DD0F6FF07C}">
  <dimension ref="A1:AY520"/>
  <sheetViews>
    <sheetView zoomScale="80" zoomScaleNormal="80" workbookViewId="0">
      <pane xSplit="3" ySplit="2" topLeftCell="D3" activePane="bottomRight" state="frozen"/>
      <selection pane="topRight" activeCell="F1" sqref="F1"/>
      <selection pane="bottomLeft" activeCell="A4" sqref="A4"/>
      <selection pane="bottomRight" activeCell="C5" sqref="C5"/>
    </sheetView>
  </sheetViews>
  <sheetFormatPr defaultColWidth="14.42578125" defaultRowHeight="17.25" x14ac:dyDescent="0.35"/>
  <cols>
    <col min="1" max="1" width="4.7109375" style="29" customWidth="1"/>
    <col min="2" max="2" width="19.5703125" style="108" customWidth="1"/>
    <col min="3" max="3" width="22.85546875" style="119" customWidth="1"/>
    <col min="4" max="4" width="23.85546875" style="29" customWidth="1"/>
    <col min="5" max="16384" width="14.42578125" style="29"/>
  </cols>
  <sheetData>
    <row r="1" spans="1:51" ht="23.25" x14ac:dyDescent="0.35">
      <c r="A1" s="52" t="s">
        <v>44</v>
      </c>
      <c r="B1" s="103"/>
      <c r="C1" s="109"/>
    </row>
    <row r="2" spans="1:51" ht="66.599999999999994" customHeight="1" x14ac:dyDescent="0.35">
      <c r="A2" s="30"/>
      <c r="B2" s="104" t="s">
        <v>32</v>
      </c>
      <c r="C2" s="110" t="s">
        <v>33</v>
      </c>
      <c r="D2" s="29">
        <v>63.25</v>
      </c>
    </row>
    <row r="3" spans="1:51" ht="19.899999999999999" customHeight="1" x14ac:dyDescent="0.35">
      <c r="A3" s="30"/>
      <c r="B3" s="104"/>
      <c r="C3" s="110"/>
    </row>
    <row r="4" spans="1:51" ht="19.899999999999999" customHeight="1" x14ac:dyDescent="0.35">
      <c r="A4" s="30"/>
      <c r="B4" s="105">
        <v>46023</v>
      </c>
      <c r="C4" s="111">
        <f>+' EXPENSES'!E128</f>
        <v>785523.16999999993</v>
      </c>
      <c r="D4" s="120">
        <f>+C4/$D$2</f>
        <v>12419.338656126482</v>
      </c>
    </row>
    <row r="5" spans="1:51" ht="19.5" customHeight="1" x14ac:dyDescent="0.35">
      <c r="A5" s="96"/>
      <c r="B5" s="105">
        <v>46055</v>
      </c>
      <c r="C5" s="112"/>
      <c r="D5" s="120">
        <f t="shared" ref="D5:D15" si="0">+C5/$D$2</f>
        <v>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</row>
    <row r="6" spans="1:51" ht="19.5" customHeight="1" x14ac:dyDescent="0.35">
      <c r="A6" s="31"/>
      <c r="B6" s="105">
        <v>46087</v>
      </c>
      <c r="C6" s="113"/>
      <c r="D6" s="120">
        <f t="shared" si="0"/>
        <v>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</row>
    <row r="7" spans="1:51" ht="19.5" customHeight="1" x14ac:dyDescent="0.35">
      <c r="A7" s="31"/>
      <c r="B7" s="105">
        <v>46119</v>
      </c>
      <c r="C7" s="112"/>
      <c r="D7" s="120">
        <f t="shared" si="0"/>
        <v>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</row>
    <row r="8" spans="1:51" ht="19.5" customHeight="1" x14ac:dyDescent="0.35">
      <c r="A8" s="31"/>
      <c r="B8" s="105">
        <v>46151</v>
      </c>
      <c r="C8" s="112"/>
      <c r="D8" s="120">
        <f t="shared" si="0"/>
        <v>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</row>
    <row r="9" spans="1:51" ht="19.5" customHeight="1" x14ac:dyDescent="0.35">
      <c r="A9" s="31"/>
      <c r="B9" s="105">
        <v>46183</v>
      </c>
      <c r="C9" s="113"/>
      <c r="D9" s="120">
        <f t="shared" si="0"/>
        <v>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</row>
    <row r="10" spans="1:51" ht="19.5" customHeight="1" x14ac:dyDescent="0.35">
      <c r="A10" s="31"/>
      <c r="B10" s="105">
        <v>46215</v>
      </c>
      <c r="C10" s="112"/>
      <c r="D10" s="120">
        <f t="shared" si="0"/>
        <v>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</row>
    <row r="11" spans="1:51" ht="19.5" customHeight="1" x14ac:dyDescent="0.35">
      <c r="A11" s="31"/>
      <c r="B11" s="105">
        <v>46247</v>
      </c>
      <c r="C11" s="112"/>
      <c r="D11" s="120">
        <f t="shared" si="0"/>
        <v>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1" ht="19.5" customHeight="1" x14ac:dyDescent="0.35">
      <c r="A12" s="31"/>
      <c r="B12" s="105">
        <v>46279</v>
      </c>
      <c r="C12" s="113"/>
      <c r="D12" s="120">
        <f t="shared" si="0"/>
        <v>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1" ht="19.5" customHeight="1" x14ac:dyDescent="0.35">
      <c r="A13" s="31"/>
      <c r="B13" s="105">
        <v>46311</v>
      </c>
      <c r="C13" s="112"/>
      <c r="D13" s="120">
        <f t="shared" si="0"/>
        <v>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</row>
    <row r="14" spans="1:51" ht="19.5" customHeight="1" x14ac:dyDescent="0.35">
      <c r="A14" s="31"/>
      <c r="B14" s="105">
        <v>46343</v>
      </c>
      <c r="C14" s="113"/>
      <c r="D14" s="120">
        <f t="shared" si="0"/>
        <v>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</row>
    <row r="15" spans="1:51" ht="19.5" customHeight="1" x14ac:dyDescent="0.35">
      <c r="A15" s="31"/>
      <c r="B15" s="105">
        <v>46375</v>
      </c>
      <c r="C15" s="114"/>
      <c r="D15" s="120">
        <f t="shared" si="0"/>
        <v>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</row>
    <row r="16" spans="1:51" ht="19.5" customHeight="1" thickBot="1" x14ac:dyDescent="0.4">
      <c r="A16" s="31"/>
      <c r="B16" s="106"/>
      <c r="C16" s="115">
        <f>SUM(C4:C15)</f>
        <v>785523.16999999993</v>
      </c>
      <c r="D16" s="121">
        <f>SUM(D4:D15)</f>
        <v>12419.338656126482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</row>
    <row r="17" spans="1:51" ht="19.5" customHeight="1" thickTop="1" x14ac:dyDescent="0.35">
      <c r="A17" s="31"/>
      <c r="B17" s="106"/>
      <c r="C17" s="116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</row>
    <row r="18" spans="1:51" ht="29.45" customHeight="1" x14ac:dyDescent="0.35">
      <c r="A18" s="31"/>
      <c r="B18" s="106" t="s">
        <v>34</v>
      </c>
      <c r="C18" s="117">
        <f>+C16/9</f>
        <v>87280.352222222209</v>
      </c>
      <c r="D18" s="122">
        <f>+D16/9</f>
        <v>1379.9265173473868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</row>
    <row r="19" spans="1:51" ht="15.75" customHeight="1" x14ac:dyDescent="0.35">
      <c r="A19" s="33"/>
      <c r="B19" s="107"/>
      <c r="C19" s="118"/>
    </row>
    <row r="20" spans="1:51" ht="15.75" customHeight="1" x14ac:dyDescent="0.35">
      <c r="A20" s="33"/>
      <c r="B20" s="107"/>
      <c r="C20" s="118"/>
    </row>
    <row r="21" spans="1:51" ht="15.75" customHeight="1" x14ac:dyDescent="0.35">
      <c r="A21" s="33"/>
      <c r="B21" s="107"/>
      <c r="C21" s="118"/>
    </row>
    <row r="22" spans="1:51" ht="15.75" customHeight="1" x14ac:dyDescent="0.35">
      <c r="A22" s="33"/>
      <c r="B22" s="107"/>
      <c r="C22" s="118"/>
    </row>
    <row r="23" spans="1:51" ht="15.75" customHeight="1" x14ac:dyDescent="0.35">
      <c r="A23" s="33"/>
      <c r="B23" s="107"/>
      <c r="C23" s="118"/>
    </row>
    <row r="24" spans="1:51" ht="15.75" customHeight="1" x14ac:dyDescent="0.35">
      <c r="A24" s="33"/>
      <c r="B24" s="107"/>
      <c r="C24" s="118"/>
    </row>
    <row r="25" spans="1:51" ht="15.75" customHeight="1" x14ac:dyDescent="0.35">
      <c r="A25" s="33"/>
      <c r="B25" s="107"/>
      <c r="C25" s="118"/>
    </row>
    <row r="26" spans="1:51" ht="15.75" customHeight="1" x14ac:dyDescent="0.35">
      <c r="A26" s="33"/>
      <c r="B26" s="107"/>
      <c r="C26" s="118"/>
    </row>
    <row r="27" spans="1:51" ht="15.75" customHeight="1" x14ac:dyDescent="0.35">
      <c r="A27" s="33"/>
      <c r="B27" s="107"/>
      <c r="C27" s="118"/>
    </row>
    <row r="28" spans="1:51" ht="15.75" customHeight="1" x14ac:dyDescent="0.35">
      <c r="A28" s="33"/>
      <c r="B28" s="107"/>
      <c r="C28" s="118"/>
    </row>
    <row r="29" spans="1:51" ht="15.75" customHeight="1" x14ac:dyDescent="0.35">
      <c r="A29" s="33"/>
      <c r="B29" s="107"/>
      <c r="C29" s="118"/>
    </row>
    <row r="30" spans="1:51" ht="15.75" customHeight="1" x14ac:dyDescent="0.35">
      <c r="A30" s="33"/>
      <c r="B30" s="107"/>
      <c r="C30" s="118"/>
    </row>
    <row r="31" spans="1:51" ht="15.75" customHeight="1" x14ac:dyDescent="0.35">
      <c r="A31" s="33"/>
      <c r="B31" s="107"/>
      <c r="C31" s="118"/>
    </row>
    <row r="32" spans="1:51" ht="15.75" customHeight="1" x14ac:dyDescent="0.35">
      <c r="A32" s="33"/>
      <c r="B32" s="107"/>
      <c r="C32" s="118"/>
    </row>
    <row r="33" spans="1:3" ht="15.75" customHeight="1" x14ac:dyDescent="0.35">
      <c r="A33" s="33"/>
      <c r="B33" s="107"/>
      <c r="C33" s="118"/>
    </row>
    <row r="34" spans="1:3" ht="15.75" customHeight="1" x14ac:dyDescent="0.35">
      <c r="A34" s="33"/>
      <c r="B34" s="107"/>
      <c r="C34" s="118"/>
    </row>
    <row r="35" spans="1:3" ht="15.75" customHeight="1" x14ac:dyDescent="0.35">
      <c r="A35" s="33"/>
      <c r="B35" s="107"/>
      <c r="C35" s="118"/>
    </row>
    <row r="36" spans="1:3" ht="15.75" customHeight="1" x14ac:dyDescent="0.35">
      <c r="A36" s="33"/>
      <c r="B36" s="107"/>
      <c r="C36" s="118"/>
    </row>
    <row r="37" spans="1:3" ht="15.75" customHeight="1" x14ac:dyDescent="0.35">
      <c r="A37" s="33"/>
      <c r="B37" s="107"/>
      <c r="C37" s="118"/>
    </row>
    <row r="38" spans="1:3" ht="15.75" customHeight="1" x14ac:dyDescent="0.35">
      <c r="A38" s="33"/>
      <c r="B38" s="107"/>
      <c r="C38" s="118"/>
    </row>
    <row r="39" spans="1:3" ht="15.75" customHeight="1" x14ac:dyDescent="0.35">
      <c r="A39" s="33"/>
      <c r="B39" s="107"/>
      <c r="C39" s="118"/>
    </row>
    <row r="40" spans="1:3" ht="15.75" customHeight="1" x14ac:dyDescent="0.35">
      <c r="A40" s="33"/>
      <c r="B40" s="107"/>
      <c r="C40" s="118"/>
    </row>
    <row r="41" spans="1:3" ht="15.75" customHeight="1" x14ac:dyDescent="0.35">
      <c r="A41" s="33"/>
      <c r="B41" s="107"/>
      <c r="C41" s="118"/>
    </row>
    <row r="42" spans="1:3" ht="15.75" customHeight="1" x14ac:dyDescent="0.35">
      <c r="A42" s="33"/>
      <c r="B42" s="107"/>
      <c r="C42" s="118"/>
    </row>
    <row r="43" spans="1:3" ht="15.75" customHeight="1" x14ac:dyDescent="0.35">
      <c r="A43" s="33"/>
      <c r="B43" s="107"/>
      <c r="C43" s="118"/>
    </row>
    <row r="44" spans="1:3" ht="15.75" customHeight="1" x14ac:dyDescent="0.35">
      <c r="A44" s="33"/>
      <c r="B44" s="107"/>
      <c r="C44" s="118"/>
    </row>
    <row r="45" spans="1:3" ht="15.75" customHeight="1" x14ac:dyDescent="0.35">
      <c r="A45" s="33"/>
      <c r="B45" s="107"/>
      <c r="C45" s="118"/>
    </row>
    <row r="46" spans="1:3" ht="15.75" customHeight="1" x14ac:dyDescent="0.35">
      <c r="A46" s="33"/>
      <c r="B46" s="107"/>
      <c r="C46" s="118"/>
    </row>
    <row r="47" spans="1:3" ht="15.75" customHeight="1" x14ac:dyDescent="0.35">
      <c r="A47" s="33"/>
      <c r="B47" s="107"/>
      <c r="C47" s="118"/>
    </row>
    <row r="48" spans="1:3" ht="15.75" customHeight="1" x14ac:dyDescent="0.35">
      <c r="A48" s="33"/>
      <c r="B48" s="107"/>
      <c r="C48" s="118"/>
    </row>
    <row r="49" spans="1:3" ht="15.75" customHeight="1" x14ac:dyDescent="0.35">
      <c r="A49" s="33"/>
      <c r="B49" s="107"/>
      <c r="C49" s="118"/>
    </row>
    <row r="50" spans="1:3" ht="15.75" customHeight="1" x14ac:dyDescent="0.35">
      <c r="A50" s="33"/>
      <c r="B50" s="107"/>
      <c r="C50" s="118"/>
    </row>
    <row r="51" spans="1:3" ht="15.75" customHeight="1" x14ac:dyDescent="0.35">
      <c r="A51" s="33"/>
      <c r="B51" s="107"/>
      <c r="C51" s="118"/>
    </row>
    <row r="52" spans="1:3" ht="15.75" customHeight="1" x14ac:dyDescent="0.35">
      <c r="A52" s="33"/>
      <c r="B52" s="107"/>
      <c r="C52" s="118"/>
    </row>
    <row r="53" spans="1:3" ht="15.75" customHeight="1" x14ac:dyDescent="0.35">
      <c r="A53" s="33"/>
      <c r="B53" s="107"/>
      <c r="C53" s="118"/>
    </row>
    <row r="54" spans="1:3" ht="15.75" customHeight="1" x14ac:dyDescent="0.35">
      <c r="A54" s="33"/>
      <c r="B54" s="107"/>
      <c r="C54" s="118"/>
    </row>
    <row r="55" spans="1:3" ht="15.75" customHeight="1" x14ac:dyDescent="0.35">
      <c r="A55" s="33"/>
      <c r="B55" s="107"/>
      <c r="C55" s="118"/>
    </row>
    <row r="56" spans="1:3" ht="15.75" customHeight="1" x14ac:dyDescent="0.35">
      <c r="A56" s="33"/>
      <c r="B56" s="107"/>
      <c r="C56" s="118"/>
    </row>
    <row r="57" spans="1:3" ht="15.75" customHeight="1" x14ac:dyDescent="0.35">
      <c r="A57" s="33"/>
      <c r="B57" s="107"/>
      <c r="C57" s="118"/>
    </row>
    <row r="58" spans="1:3" ht="15.75" customHeight="1" x14ac:dyDescent="0.35">
      <c r="A58" s="33"/>
      <c r="B58" s="107"/>
      <c r="C58" s="118"/>
    </row>
    <row r="59" spans="1:3" ht="15.75" customHeight="1" x14ac:dyDescent="0.35">
      <c r="A59" s="33"/>
      <c r="B59" s="107"/>
      <c r="C59" s="118"/>
    </row>
    <row r="60" spans="1:3" ht="15.75" customHeight="1" x14ac:dyDescent="0.35">
      <c r="A60" s="33"/>
      <c r="B60" s="107"/>
      <c r="C60" s="118"/>
    </row>
    <row r="61" spans="1:3" ht="15.75" customHeight="1" x14ac:dyDescent="0.35">
      <c r="A61" s="33"/>
      <c r="B61" s="107"/>
      <c r="C61" s="118"/>
    </row>
    <row r="62" spans="1:3" ht="15.75" customHeight="1" x14ac:dyDescent="0.35">
      <c r="A62" s="33"/>
      <c r="B62" s="107"/>
      <c r="C62" s="118"/>
    </row>
    <row r="63" spans="1:3" ht="15.75" customHeight="1" x14ac:dyDescent="0.35">
      <c r="A63" s="33"/>
      <c r="B63" s="107"/>
      <c r="C63" s="118"/>
    </row>
    <row r="64" spans="1:3" ht="15.75" customHeight="1" x14ac:dyDescent="0.35">
      <c r="A64" s="33"/>
      <c r="B64" s="107"/>
      <c r="C64" s="118"/>
    </row>
    <row r="65" spans="1:3" ht="15.75" customHeight="1" x14ac:dyDescent="0.35">
      <c r="A65" s="33"/>
      <c r="B65" s="107"/>
      <c r="C65" s="118"/>
    </row>
    <row r="66" spans="1:3" ht="15.75" customHeight="1" x14ac:dyDescent="0.35">
      <c r="A66" s="33"/>
      <c r="B66" s="107"/>
      <c r="C66" s="118"/>
    </row>
    <row r="67" spans="1:3" ht="15.75" customHeight="1" x14ac:dyDescent="0.35">
      <c r="A67" s="33"/>
      <c r="B67" s="107"/>
      <c r="C67" s="118"/>
    </row>
    <row r="68" spans="1:3" ht="15.75" customHeight="1" x14ac:dyDescent="0.35">
      <c r="A68" s="33"/>
      <c r="B68" s="107"/>
      <c r="C68" s="118"/>
    </row>
    <row r="69" spans="1:3" ht="15.75" customHeight="1" x14ac:dyDescent="0.35">
      <c r="A69" s="33"/>
      <c r="B69" s="107"/>
      <c r="C69" s="118"/>
    </row>
    <row r="70" spans="1:3" ht="15.75" customHeight="1" x14ac:dyDescent="0.35">
      <c r="A70" s="33"/>
      <c r="B70" s="107"/>
      <c r="C70" s="118"/>
    </row>
    <row r="71" spans="1:3" ht="15.75" customHeight="1" x14ac:dyDescent="0.35">
      <c r="A71" s="33"/>
      <c r="B71" s="107"/>
      <c r="C71" s="118"/>
    </row>
    <row r="72" spans="1:3" ht="15.75" customHeight="1" x14ac:dyDescent="0.35">
      <c r="A72" s="33"/>
      <c r="B72" s="107"/>
      <c r="C72" s="118"/>
    </row>
    <row r="73" spans="1:3" ht="15.75" customHeight="1" x14ac:dyDescent="0.35">
      <c r="A73" s="33"/>
      <c r="B73" s="107"/>
      <c r="C73" s="118"/>
    </row>
    <row r="74" spans="1:3" ht="15.75" customHeight="1" x14ac:dyDescent="0.35">
      <c r="A74" s="33"/>
      <c r="B74" s="107"/>
      <c r="C74" s="118"/>
    </row>
    <row r="75" spans="1:3" ht="15.75" customHeight="1" x14ac:dyDescent="0.35">
      <c r="A75" s="33"/>
      <c r="B75" s="107"/>
      <c r="C75" s="118"/>
    </row>
    <row r="76" spans="1:3" ht="15.75" customHeight="1" x14ac:dyDescent="0.35">
      <c r="A76" s="33"/>
      <c r="B76" s="107"/>
      <c r="C76" s="118"/>
    </row>
    <row r="77" spans="1:3" ht="15.75" customHeight="1" x14ac:dyDescent="0.35">
      <c r="A77" s="33"/>
      <c r="B77" s="107"/>
      <c r="C77" s="118"/>
    </row>
    <row r="78" spans="1:3" ht="15.75" customHeight="1" x14ac:dyDescent="0.35">
      <c r="A78" s="33"/>
      <c r="B78" s="107"/>
      <c r="C78" s="118"/>
    </row>
    <row r="79" spans="1:3" ht="15.75" customHeight="1" x14ac:dyDescent="0.35">
      <c r="A79" s="33"/>
      <c r="B79" s="107"/>
      <c r="C79" s="118"/>
    </row>
    <row r="80" spans="1:3" ht="15.75" customHeight="1" x14ac:dyDescent="0.35">
      <c r="A80" s="33"/>
      <c r="B80" s="107"/>
      <c r="C80" s="118"/>
    </row>
    <row r="81" spans="1:3" ht="15.75" customHeight="1" x14ac:dyDescent="0.35">
      <c r="A81" s="33"/>
      <c r="B81" s="107"/>
      <c r="C81" s="118"/>
    </row>
    <row r="82" spans="1:3" ht="15.75" customHeight="1" x14ac:dyDescent="0.35">
      <c r="A82" s="33"/>
      <c r="B82" s="107"/>
      <c r="C82" s="118"/>
    </row>
    <row r="83" spans="1:3" ht="15.75" customHeight="1" x14ac:dyDescent="0.35">
      <c r="A83" s="33"/>
      <c r="B83" s="107"/>
      <c r="C83" s="118"/>
    </row>
    <row r="84" spans="1:3" ht="15.75" customHeight="1" x14ac:dyDescent="0.35">
      <c r="A84" s="33"/>
      <c r="B84" s="107"/>
      <c r="C84" s="118"/>
    </row>
    <row r="85" spans="1:3" ht="15.75" customHeight="1" x14ac:dyDescent="0.35">
      <c r="A85" s="33"/>
      <c r="B85" s="107"/>
      <c r="C85" s="118"/>
    </row>
    <row r="86" spans="1:3" ht="15.75" customHeight="1" x14ac:dyDescent="0.35">
      <c r="A86" s="33"/>
      <c r="B86" s="107"/>
      <c r="C86" s="118"/>
    </row>
    <row r="87" spans="1:3" ht="15.75" customHeight="1" x14ac:dyDescent="0.35">
      <c r="A87" s="33"/>
      <c r="B87" s="107"/>
      <c r="C87" s="118"/>
    </row>
    <row r="88" spans="1:3" ht="15.75" customHeight="1" x14ac:dyDescent="0.35">
      <c r="A88" s="33"/>
      <c r="B88" s="107"/>
      <c r="C88" s="118"/>
    </row>
    <row r="89" spans="1:3" ht="15.75" customHeight="1" x14ac:dyDescent="0.35">
      <c r="A89" s="33"/>
      <c r="B89" s="107"/>
      <c r="C89" s="118"/>
    </row>
    <row r="90" spans="1:3" ht="15.75" customHeight="1" x14ac:dyDescent="0.35">
      <c r="A90" s="33"/>
      <c r="B90" s="107"/>
      <c r="C90" s="118"/>
    </row>
    <row r="91" spans="1:3" ht="15.75" customHeight="1" x14ac:dyDescent="0.35">
      <c r="A91" s="33"/>
      <c r="B91" s="107"/>
      <c r="C91" s="118"/>
    </row>
    <row r="92" spans="1:3" ht="15.75" customHeight="1" x14ac:dyDescent="0.35">
      <c r="A92" s="33"/>
      <c r="B92" s="107"/>
      <c r="C92" s="118"/>
    </row>
    <row r="93" spans="1:3" ht="15.75" customHeight="1" x14ac:dyDescent="0.35">
      <c r="A93" s="33"/>
      <c r="B93" s="107"/>
      <c r="C93" s="118"/>
    </row>
    <row r="94" spans="1:3" ht="15.75" customHeight="1" x14ac:dyDescent="0.35">
      <c r="A94" s="33"/>
      <c r="B94" s="107"/>
      <c r="C94" s="118"/>
    </row>
    <row r="95" spans="1:3" ht="15.75" customHeight="1" x14ac:dyDescent="0.35">
      <c r="A95" s="33"/>
      <c r="B95" s="107"/>
      <c r="C95" s="118"/>
    </row>
    <row r="96" spans="1:3" ht="15.75" customHeight="1" x14ac:dyDescent="0.35">
      <c r="A96" s="33"/>
      <c r="B96" s="107"/>
      <c r="C96" s="118"/>
    </row>
    <row r="97" spans="1:3" ht="15.75" customHeight="1" x14ac:dyDescent="0.35">
      <c r="A97" s="33"/>
      <c r="B97" s="107"/>
      <c r="C97" s="118"/>
    </row>
    <row r="98" spans="1:3" ht="15.75" customHeight="1" x14ac:dyDescent="0.35">
      <c r="A98" s="33"/>
      <c r="B98" s="107"/>
      <c r="C98" s="118"/>
    </row>
    <row r="99" spans="1:3" ht="15.75" customHeight="1" x14ac:dyDescent="0.35">
      <c r="A99" s="33"/>
      <c r="B99" s="107"/>
      <c r="C99" s="118"/>
    </row>
    <row r="100" spans="1:3" ht="15.75" customHeight="1" x14ac:dyDescent="0.35">
      <c r="A100" s="33"/>
      <c r="B100" s="107"/>
      <c r="C100" s="118"/>
    </row>
    <row r="101" spans="1:3" ht="15.75" customHeight="1" x14ac:dyDescent="0.35">
      <c r="A101" s="33"/>
      <c r="B101" s="107"/>
      <c r="C101" s="118"/>
    </row>
    <row r="102" spans="1:3" ht="15.75" customHeight="1" x14ac:dyDescent="0.35">
      <c r="A102" s="33"/>
      <c r="B102" s="107"/>
      <c r="C102" s="118"/>
    </row>
    <row r="103" spans="1:3" ht="15.75" customHeight="1" x14ac:dyDescent="0.35">
      <c r="A103" s="33"/>
      <c r="B103" s="107"/>
      <c r="C103" s="118"/>
    </row>
    <row r="104" spans="1:3" ht="15.75" customHeight="1" x14ac:dyDescent="0.35">
      <c r="A104" s="33"/>
      <c r="B104" s="107"/>
      <c r="C104" s="118"/>
    </row>
    <row r="105" spans="1:3" ht="15.75" customHeight="1" x14ac:dyDescent="0.35">
      <c r="A105" s="33"/>
      <c r="B105" s="107"/>
      <c r="C105" s="118"/>
    </row>
    <row r="106" spans="1:3" ht="15.75" customHeight="1" x14ac:dyDescent="0.35">
      <c r="A106" s="33"/>
      <c r="B106" s="107"/>
      <c r="C106" s="118"/>
    </row>
    <row r="107" spans="1:3" ht="15.75" customHeight="1" x14ac:dyDescent="0.35">
      <c r="A107" s="33"/>
      <c r="B107" s="107"/>
      <c r="C107" s="118"/>
    </row>
    <row r="108" spans="1:3" ht="15.75" customHeight="1" x14ac:dyDescent="0.35">
      <c r="A108" s="33"/>
      <c r="B108" s="107"/>
      <c r="C108" s="118"/>
    </row>
    <row r="109" spans="1:3" ht="15.75" customHeight="1" x14ac:dyDescent="0.35">
      <c r="A109" s="33"/>
      <c r="B109" s="107"/>
      <c r="C109" s="118"/>
    </row>
    <row r="110" spans="1:3" ht="15.75" customHeight="1" x14ac:dyDescent="0.35">
      <c r="A110" s="33"/>
      <c r="B110" s="107"/>
      <c r="C110" s="118"/>
    </row>
    <row r="111" spans="1:3" ht="15.75" customHeight="1" x14ac:dyDescent="0.35">
      <c r="A111" s="33"/>
      <c r="B111" s="107"/>
      <c r="C111" s="118"/>
    </row>
    <row r="112" spans="1:3" ht="15.75" customHeight="1" x14ac:dyDescent="0.35">
      <c r="A112" s="33"/>
      <c r="B112" s="107"/>
      <c r="C112" s="118"/>
    </row>
    <row r="113" spans="1:3" ht="15.75" customHeight="1" x14ac:dyDescent="0.35">
      <c r="A113" s="33"/>
      <c r="B113" s="107"/>
      <c r="C113" s="118"/>
    </row>
    <row r="114" spans="1:3" ht="15.75" customHeight="1" x14ac:dyDescent="0.35">
      <c r="A114" s="33"/>
      <c r="B114" s="107"/>
      <c r="C114" s="118"/>
    </row>
    <row r="115" spans="1:3" ht="15.75" customHeight="1" x14ac:dyDescent="0.35">
      <c r="A115" s="33"/>
      <c r="B115" s="107"/>
      <c r="C115" s="118"/>
    </row>
    <row r="116" spans="1:3" ht="15.75" customHeight="1" x14ac:dyDescent="0.35">
      <c r="A116" s="33"/>
      <c r="B116" s="107"/>
      <c r="C116" s="118"/>
    </row>
    <row r="117" spans="1:3" ht="15.75" customHeight="1" x14ac:dyDescent="0.35">
      <c r="A117" s="33"/>
      <c r="B117" s="107"/>
      <c r="C117" s="118"/>
    </row>
    <row r="118" spans="1:3" ht="15.75" customHeight="1" x14ac:dyDescent="0.35">
      <c r="A118" s="33"/>
      <c r="B118" s="107"/>
      <c r="C118" s="118"/>
    </row>
    <row r="119" spans="1:3" ht="15.75" customHeight="1" x14ac:dyDescent="0.35">
      <c r="A119" s="33"/>
      <c r="B119" s="107"/>
      <c r="C119" s="118"/>
    </row>
    <row r="120" spans="1:3" ht="15.75" customHeight="1" x14ac:dyDescent="0.35">
      <c r="A120" s="33"/>
      <c r="B120" s="107"/>
      <c r="C120" s="118"/>
    </row>
    <row r="121" spans="1:3" ht="15.75" customHeight="1" x14ac:dyDescent="0.35">
      <c r="A121" s="33"/>
      <c r="B121" s="107"/>
      <c r="C121" s="118"/>
    </row>
    <row r="122" spans="1:3" ht="15.75" customHeight="1" x14ac:dyDescent="0.35">
      <c r="A122" s="33"/>
      <c r="B122" s="107"/>
      <c r="C122" s="118"/>
    </row>
    <row r="123" spans="1:3" ht="15.75" customHeight="1" x14ac:dyDescent="0.35">
      <c r="A123" s="33"/>
      <c r="B123" s="107"/>
      <c r="C123" s="118"/>
    </row>
    <row r="124" spans="1:3" ht="15.75" customHeight="1" x14ac:dyDescent="0.35">
      <c r="A124" s="33"/>
      <c r="B124" s="107"/>
      <c r="C124" s="118"/>
    </row>
    <row r="125" spans="1:3" ht="15.75" customHeight="1" x14ac:dyDescent="0.35">
      <c r="A125" s="33"/>
      <c r="B125" s="107"/>
      <c r="C125" s="118"/>
    </row>
    <row r="126" spans="1:3" ht="15.75" customHeight="1" x14ac:dyDescent="0.35">
      <c r="A126" s="33"/>
      <c r="B126" s="107"/>
      <c r="C126" s="118"/>
    </row>
    <row r="127" spans="1:3" ht="15.75" customHeight="1" x14ac:dyDescent="0.35">
      <c r="A127" s="33"/>
      <c r="B127" s="107"/>
      <c r="C127" s="118"/>
    </row>
    <row r="128" spans="1:3" ht="15.75" customHeight="1" x14ac:dyDescent="0.35">
      <c r="A128" s="33"/>
      <c r="B128" s="107"/>
      <c r="C128" s="118"/>
    </row>
    <row r="129" spans="1:3" ht="15.75" customHeight="1" x14ac:dyDescent="0.35">
      <c r="A129" s="33"/>
      <c r="B129" s="107"/>
      <c r="C129" s="118"/>
    </row>
    <row r="130" spans="1:3" ht="15.75" customHeight="1" x14ac:dyDescent="0.35">
      <c r="A130" s="33"/>
      <c r="B130" s="107"/>
      <c r="C130" s="118"/>
    </row>
    <row r="131" spans="1:3" ht="15.75" customHeight="1" x14ac:dyDescent="0.35">
      <c r="A131" s="33"/>
      <c r="B131" s="107"/>
      <c r="C131" s="118"/>
    </row>
    <row r="132" spans="1:3" ht="15.75" customHeight="1" x14ac:dyDescent="0.35">
      <c r="A132" s="33"/>
      <c r="B132" s="107"/>
      <c r="C132" s="118"/>
    </row>
    <row r="133" spans="1:3" ht="15.75" customHeight="1" x14ac:dyDescent="0.35">
      <c r="A133" s="33"/>
      <c r="B133" s="107"/>
      <c r="C133" s="118"/>
    </row>
    <row r="134" spans="1:3" ht="15.75" customHeight="1" x14ac:dyDescent="0.35">
      <c r="A134" s="33"/>
      <c r="B134" s="107"/>
      <c r="C134" s="118"/>
    </row>
    <row r="135" spans="1:3" ht="15.75" customHeight="1" x14ac:dyDescent="0.35">
      <c r="A135" s="33"/>
      <c r="B135" s="107"/>
      <c r="C135" s="118"/>
    </row>
    <row r="136" spans="1:3" ht="15.75" customHeight="1" x14ac:dyDescent="0.35">
      <c r="A136" s="33"/>
      <c r="B136" s="107"/>
      <c r="C136" s="118"/>
    </row>
    <row r="137" spans="1:3" ht="15.75" customHeight="1" x14ac:dyDescent="0.35">
      <c r="A137" s="33"/>
      <c r="B137" s="107"/>
      <c r="C137" s="118"/>
    </row>
    <row r="138" spans="1:3" ht="15.75" customHeight="1" x14ac:dyDescent="0.35">
      <c r="A138" s="33"/>
      <c r="B138" s="107"/>
      <c r="C138" s="118"/>
    </row>
    <row r="139" spans="1:3" ht="15.75" customHeight="1" x14ac:dyDescent="0.35">
      <c r="A139" s="33"/>
      <c r="B139" s="107"/>
      <c r="C139" s="118"/>
    </row>
    <row r="140" spans="1:3" ht="15.75" customHeight="1" x14ac:dyDescent="0.35">
      <c r="A140" s="33"/>
      <c r="B140" s="107"/>
      <c r="C140" s="118"/>
    </row>
    <row r="141" spans="1:3" ht="15.75" customHeight="1" x14ac:dyDescent="0.35">
      <c r="A141" s="33"/>
      <c r="B141" s="107"/>
      <c r="C141" s="118"/>
    </row>
    <row r="142" spans="1:3" ht="15.75" customHeight="1" x14ac:dyDescent="0.35">
      <c r="A142" s="33"/>
      <c r="B142" s="107"/>
      <c r="C142" s="118"/>
    </row>
    <row r="143" spans="1:3" ht="15.75" customHeight="1" x14ac:dyDescent="0.35">
      <c r="A143" s="33"/>
      <c r="B143" s="107"/>
      <c r="C143" s="118"/>
    </row>
    <row r="144" spans="1:3" ht="15.75" customHeight="1" x14ac:dyDescent="0.35">
      <c r="A144" s="33"/>
      <c r="B144" s="107"/>
      <c r="C144" s="118"/>
    </row>
    <row r="145" spans="1:3" ht="15.75" customHeight="1" x14ac:dyDescent="0.35">
      <c r="A145" s="33"/>
      <c r="B145" s="107"/>
      <c r="C145" s="118"/>
    </row>
    <row r="146" spans="1:3" ht="15.75" customHeight="1" x14ac:dyDescent="0.35">
      <c r="A146" s="33"/>
      <c r="B146" s="107"/>
      <c r="C146" s="118"/>
    </row>
    <row r="147" spans="1:3" ht="15.75" customHeight="1" x14ac:dyDescent="0.35">
      <c r="A147" s="33"/>
      <c r="B147" s="107"/>
      <c r="C147" s="118"/>
    </row>
    <row r="148" spans="1:3" ht="15.75" customHeight="1" x14ac:dyDescent="0.35">
      <c r="A148" s="33"/>
      <c r="B148" s="107"/>
      <c r="C148" s="118"/>
    </row>
    <row r="149" spans="1:3" ht="15.75" customHeight="1" x14ac:dyDescent="0.35">
      <c r="A149" s="33"/>
      <c r="B149" s="107"/>
      <c r="C149" s="118"/>
    </row>
    <row r="150" spans="1:3" ht="15.75" customHeight="1" x14ac:dyDescent="0.35">
      <c r="A150" s="33"/>
      <c r="B150" s="107"/>
      <c r="C150" s="118"/>
    </row>
    <row r="151" spans="1:3" ht="15.75" customHeight="1" x14ac:dyDescent="0.35">
      <c r="A151" s="33"/>
      <c r="B151" s="107"/>
      <c r="C151" s="118"/>
    </row>
    <row r="152" spans="1:3" ht="15.75" customHeight="1" x14ac:dyDescent="0.35">
      <c r="A152" s="33"/>
      <c r="B152" s="107"/>
      <c r="C152" s="118"/>
    </row>
    <row r="153" spans="1:3" ht="15.75" customHeight="1" x14ac:dyDescent="0.35">
      <c r="A153" s="33"/>
      <c r="B153" s="107"/>
      <c r="C153" s="118"/>
    </row>
    <row r="154" spans="1:3" ht="15.75" customHeight="1" x14ac:dyDescent="0.35">
      <c r="A154" s="33"/>
      <c r="B154" s="107"/>
      <c r="C154" s="118"/>
    </row>
    <row r="155" spans="1:3" ht="15.75" customHeight="1" x14ac:dyDescent="0.35">
      <c r="A155" s="33"/>
      <c r="B155" s="107"/>
      <c r="C155" s="118"/>
    </row>
    <row r="156" spans="1:3" ht="15.75" customHeight="1" x14ac:dyDescent="0.35">
      <c r="A156" s="33"/>
      <c r="B156" s="107"/>
      <c r="C156" s="118"/>
    </row>
    <row r="157" spans="1:3" ht="15.75" customHeight="1" x14ac:dyDescent="0.35">
      <c r="A157" s="33"/>
      <c r="B157" s="107"/>
      <c r="C157" s="118"/>
    </row>
    <row r="158" spans="1:3" ht="15.75" customHeight="1" x14ac:dyDescent="0.35">
      <c r="A158" s="33"/>
      <c r="B158" s="107"/>
      <c r="C158" s="118"/>
    </row>
    <row r="159" spans="1:3" ht="15.75" customHeight="1" x14ac:dyDescent="0.35">
      <c r="A159" s="33"/>
      <c r="B159" s="107"/>
      <c r="C159" s="118"/>
    </row>
    <row r="160" spans="1:3" ht="15.75" customHeight="1" x14ac:dyDescent="0.35">
      <c r="A160" s="33"/>
      <c r="B160" s="107"/>
      <c r="C160" s="118"/>
    </row>
    <row r="161" spans="1:3" ht="15.75" customHeight="1" x14ac:dyDescent="0.35">
      <c r="A161" s="33"/>
      <c r="B161" s="107"/>
      <c r="C161" s="118"/>
    </row>
    <row r="162" spans="1:3" ht="15.75" customHeight="1" x14ac:dyDescent="0.35">
      <c r="A162" s="33"/>
      <c r="B162" s="107"/>
      <c r="C162" s="118"/>
    </row>
    <row r="163" spans="1:3" ht="15.75" customHeight="1" x14ac:dyDescent="0.35">
      <c r="A163" s="33"/>
      <c r="B163" s="107"/>
      <c r="C163" s="118"/>
    </row>
    <row r="164" spans="1:3" ht="15.75" customHeight="1" x14ac:dyDescent="0.35">
      <c r="A164" s="33"/>
      <c r="B164" s="107"/>
      <c r="C164" s="118"/>
    </row>
    <row r="165" spans="1:3" ht="15.75" customHeight="1" x14ac:dyDescent="0.35">
      <c r="A165" s="33"/>
      <c r="B165" s="107"/>
      <c r="C165" s="118"/>
    </row>
    <row r="166" spans="1:3" ht="15.75" customHeight="1" x14ac:dyDescent="0.35">
      <c r="A166" s="33"/>
      <c r="B166" s="107"/>
      <c r="C166" s="118"/>
    </row>
    <row r="167" spans="1:3" ht="15.75" customHeight="1" x14ac:dyDescent="0.35">
      <c r="A167" s="33"/>
      <c r="B167" s="107"/>
      <c r="C167" s="118"/>
    </row>
    <row r="168" spans="1:3" ht="15.75" customHeight="1" x14ac:dyDescent="0.35">
      <c r="A168" s="33"/>
      <c r="B168" s="107"/>
      <c r="C168" s="118"/>
    </row>
    <row r="169" spans="1:3" ht="15.75" customHeight="1" x14ac:dyDescent="0.35">
      <c r="A169" s="33"/>
      <c r="B169" s="107"/>
      <c r="C169" s="118"/>
    </row>
    <row r="170" spans="1:3" ht="15.75" customHeight="1" x14ac:dyDescent="0.35">
      <c r="A170" s="33"/>
      <c r="B170" s="107"/>
      <c r="C170" s="118"/>
    </row>
    <row r="171" spans="1:3" ht="15.75" customHeight="1" x14ac:dyDescent="0.35">
      <c r="A171" s="33"/>
      <c r="B171" s="107"/>
      <c r="C171" s="118"/>
    </row>
    <row r="172" spans="1:3" ht="15.75" customHeight="1" x14ac:dyDescent="0.35">
      <c r="A172" s="33"/>
      <c r="B172" s="107"/>
      <c r="C172" s="118"/>
    </row>
    <row r="173" spans="1:3" ht="15.75" customHeight="1" x14ac:dyDescent="0.35">
      <c r="A173" s="33"/>
      <c r="B173" s="107"/>
      <c r="C173" s="118"/>
    </row>
    <row r="174" spans="1:3" ht="15.75" customHeight="1" x14ac:dyDescent="0.35">
      <c r="A174" s="33"/>
      <c r="B174" s="107"/>
      <c r="C174" s="118"/>
    </row>
    <row r="175" spans="1:3" ht="15.75" customHeight="1" x14ac:dyDescent="0.35">
      <c r="A175" s="33"/>
      <c r="B175" s="107"/>
      <c r="C175" s="118"/>
    </row>
    <row r="176" spans="1:3" ht="15.75" customHeight="1" x14ac:dyDescent="0.35">
      <c r="A176" s="33"/>
      <c r="B176" s="107"/>
      <c r="C176" s="118"/>
    </row>
    <row r="177" spans="1:3" ht="15.75" customHeight="1" x14ac:dyDescent="0.35">
      <c r="A177" s="33"/>
      <c r="B177" s="107"/>
      <c r="C177" s="118"/>
    </row>
    <row r="178" spans="1:3" ht="15.75" customHeight="1" x14ac:dyDescent="0.35">
      <c r="A178" s="33"/>
      <c r="B178" s="107"/>
      <c r="C178" s="118"/>
    </row>
    <row r="179" spans="1:3" ht="15.75" customHeight="1" x14ac:dyDescent="0.35">
      <c r="A179" s="33"/>
      <c r="B179" s="107"/>
      <c r="C179" s="118"/>
    </row>
    <row r="180" spans="1:3" ht="15.75" customHeight="1" x14ac:dyDescent="0.35">
      <c r="A180" s="33"/>
      <c r="B180" s="107"/>
      <c r="C180" s="118"/>
    </row>
    <row r="181" spans="1:3" ht="15.75" customHeight="1" x14ac:dyDescent="0.35">
      <c r="A181" s="33"/>
      <c r="B181" s="107"/>
      <c r="C181" s="118"/>
    </row>
    <row r="182" spans="1:3" ht="15.75" customHeight="1" x14ac:dyDescent="0.35">
      <c r="A182" s="33"/>
      <c r="B182" s="107"/>
      <c r="C182" s="118"/>
    </row>
    <row r="183" spans="1:3" ht="15.75" customHeight="1" x14ac:dyDescent="0.35">
      <c r="A183" s="33"/>
      <c r="B183" s="107"/>
      <c r="C183" s="118"/>
    </row>
    <row r="184" spans="1:3" ht="15.75" customHeight="1" x14ac:dyDescent="0.35">
      <c r="A184" s="33"/>
      <c r="B184" s="107"/>
      <c r="C184" s="118"/>
    </row>
    <row r="185" spans="1:3" ht="15.75" customHeight="1" x14ac:dyDescent="0.35">
      <c r="A185" s="33"/>
      <c r="B185" s="107"/>
      <c r="C185" s="118"/>
    </row>
    <row r="186" spans="1:3" ht="15.75" customHeight="1" x14ac:dyDescent="0.35">
      <c r="A186" s="33"/>
      <c r="B186" s="107"/>
      <c r="C186" s="118"/>
    </row>
    <row r="187" spans="1:3" ht="15.75" customHeight="1" x14ac:dyDescent="0.35">
      <c r="A187" s="33"/>
      <c r="B187" s="107"/>
      <c r="C187" s="118"/>
    </row>
    <row r="188" spans="1:3" ht="15.75" customHeight="1" x14ac:dyDescent="0.35">
      <c r="A188" s="33"/>
      <c r="B188" s="107"/>
      <c r="C188" s="118"/>
    </row>
    <row r="189" spans="1:3" ht="15.75" customHeight="1" x14ac:dyDescent="0.35">
      <c r="A189" s="33"/>
      <c r="B189" s="107"/>
      <c r="C189" s="118"/>
    </row>
    <row r="190" spans="1:3" ht="15.75" customHeight="1" x14ac:dyDescent="0.35">
      <c r="A190" s="33"/>
      <c r="B190" s="107"/>
      <c r="C190" s="118"/>
    </row>
    <row r="191" spans="1:3" ht="15.75" customHeight="1" x14ac:dyDescent="0.35">
      <c r="A191" s="33"/>
      <c r="B191" s="107"/>
      <c r="C191" s="118"/>
    </row>
    <row r="192" spans="1:3" ht="15.75" customHeight="1" x14ac:dyDescent="0.35">
      <c r="A192" s="33"/>
      <c r="B192" s="107"/>
      <c r="C192" s="118"/>
    </row>
    <row r="193" spans="1:3" ht="15.75" customHeight="1" x14ac:dyDescent="0.35">
      <c r="A193" s="33"/>
      <c r="B193" s="107"/>
      <c r="C193" s="118"/>
    </row>
    <row r="194" spans="1:3" ht="15.75" customHeight="1" x14ac:dyDescent="0.35">
      <c r="A194" s="33"/>
      <c r="B194" s="107"/>
      <c r="C194" s="118"/>
    </row>
    <row r="195" spans="1:3" ht="15.75" customHeight="1" x14ac:dyDescent="0.35">
      <c r="A195" s="33"/>
      <c r="B195" s="107"/>
      <c r="C195" s="118"/>
    </row>
    <row r="196" spans="1:3" ht="15.75" customHeight="1" x14ac:dyDescent="0.35">
      <c r="A196" s="33"/>
      <c r="B196" s="107"/>
      <c r="C196" s="118"/>
    </row>
    <row r="197" spans="1:3" ht="15.75" customHeight="1" x14ac:dyDescent="0.35">
      <c r="A197" s="33"/>
      <c r="B197" s="107"/>
      <c r="C197" s="118"/>
    </row>
    <row r="198" spans="1:3" ht="15.75" customHeight="1" x14ac:dyDescent="0.35">
      <c r="A198" s="33"/>
      <c r="B198" s="107"/>
      <c r="C198" s="118"/>
    </row>
    <row r="199" spans="1:3" ht="15.75" customHeight="1" x14ac:dyDescent="0.35">
      <c r="A199" s="33"/>
      <c r="B199" s="107"/>
      <c r="C199" s="118"/>
    </row>
    <row r="200" spans="1:3" ht="15.75" customHeight="1" x14ac:dyDescent="0.35">
      <c r="A200" s="33"/>
      <c r="B200" s="107"/>
      <c r="C200" s="118"/>
    </row>
    <row r="201" spans="1:3" ht="15.75" customHeight="1" x14ac:dyDescent="0.35">
      <c r="A201" s="33"/>
      <c r="B201" s="107"/>
      <c r="C201" s="118"/>
    </row>
    <row r="202" spans="1:3" ht="15.75" customHeight="1" x14ac:dyDescent="0.35">
      <c r="A202" s="33"/>
      <c r="B202" s="107"/>
      <c r="C202" s="118"/>
    </row>
    <row r="203" spans="1:3" ht="15.75" customHeight="1" x14ac:dyDescent="0.35">
      <c r="A203" s="33"/>
      <c r="B203" s="107"/>
      <c r="C203" s="118"/>
    </row>
    <row r="204" spans="1:3" ht="15.75" customHeight="1" x14ac:dyDescent="0.35">
      <c r="A204" s="33"/>
      <c r="B204" s="107"/>
      <c r="C204" s="118"/>
    </row>
    <row r="205" spans="1:3" ht="15.75" customHeight="1" x14ac:dyDescent="0.35">
      <c r="A205" s="33"/>
      <c r="B205" s="107"/>
      <c r="C205" s="118"/>
    </row>
    <row r="206" spans="1:3" ht="15.75" customHeight="1" x14ac:dyDescent="0.35">
      <c r="A206" s="33"/>
      <c r="B206" s="107"/>
      <c r="C206" s="118"/>
    </row>
    <row r="207" spans="1:3" ht="15.75" customHeight="1" x14ac:dyDescent="0.35">
      <c r="A207" s="33"/>
      <c r="B207" s="107"/>
      <c r="C207" s="118"/>
    </row>
    <row r="208" spans="1:3" ht="15.75" customHeight="1" x14ac:dyDescent="0.35">
      <c r="A208" s="33"/>
      <c r="B208" s="107"/>
      <c r="C208" s="118"/>
    </row>
    <row r="209" spans="1:3" ht="15.75" customHeight="1" x14ac:dyDescent="0.35">
      <c r="A209" s="33"/>
      <c r="B209" s="107"/>
      <c r="C209" s="118"/>
    </row>
    <row r="210" spans="1:3" ht="15.75" customHeight="1" x14ac:dyDescent="0.35">
      <c r="A210" s="33"/>
      <c r="B210" s="107"/>
      <c r="C210" s="118"/>
    </row>
    <row r="211" spans="1:3" ht="15.75" customHeight="1" x14ac:dyDescent="0.35">
      <c r="A211" s="33"/>
      <c r="B211" s="107"/>
      <c r="C211" s="118"/>
    </row>
    <row r="212" spans="1:3" ht="15.75" customHeight="1" x14ac:dyDescent="0.35">
      <c r="A212" s="33"/>
      <c r="B212" s="107"/>
      <c r="C212" s="118"/>
    </row>
    <row r="213" spans="1:3" ht="15.75" customHeight="1" x14ac:dyDescent="0.35">
      <c r="A213" s="33"/>
      <c r="B213" s="107"/>
      <c r="C213" s="118"/>
    </row>
    <row r="214" spans="1:3" ht="15.75" customHeight="1" x14ac:dyDescent="0.35">
      <c r="A214" s="33"/>
      <c r="B214" s="107"/>
      <c r="C214" s="118"/>
    </row>
    <row r="215" spans="1:3" ht="15.75" customHeight="1" x14ac:dyDescent="0.35">
      <c r="A215" s="33"/>
      <c r="B215" s="107"/>
      <c r="C215" s="118"/>
    </row>
    <row r="216" spans="1:3" ht="15.75" customHeight="1" x14ac:dyDescent="0.35">
      <c r="A216" s="33"/>
      <c r="B216" s="107"/>
      <c r="C216" s="118"/>
    </row>
    <row r="217" spans="1:3" ht="15.75" customHeight="1" x14ac:dyDescent="0.35">
      <c r="A217" s="33"/>
      <c r="B217" s="107"/>
      <c r="C217" s="118"/>
    </row>
    <row r="218" spans="1:3" ht="15.75" customHeight="1" x14ac:dyDescent="0.35">
      <c r="A218" s="33"/>
      <c r="B218" s="107"/>
      <c r="C218" s="118"/>
    </row>
    <row r="219" spans="1:3" ht="15.75" customHeight="1" x14ac:dyDescent="0.35">
      <c r="A219" s="33"/>
      <c r="B219" s="107"/>
      <c r="C219" s="118"/>
    </row>
    <row r="220" spans="1:3" ht="15.75" customHeight="1" x14ac:dyDescent="0.35">
      <c r="A220" s="33"/>
      <c r="B220" s="107"/>
      <c r="C220" s="118"/>
    </row>
    <row r="221" spans="1:3" ht="15.75" customHeight="1" x14ac:dyDescent="0.35">
      <c r="A221" s="33"/>
      <c r="B221" s="107"/>
      <c r="C221" s="118"/>
    </row>
    <row r="222" spans="1:3" ht="15.75" customHeight="1" x14ac:dyDescent="0.35">
      <c r="A222" s="33"/>
      <c r="B222" s="107"/>
      <c r="C222" s="118"/>
    </row>
    <row r="223" spans="1:3" ht="15.75" customHeight="1" x14ac:dyDescent="0.35">
      <c r="A223" s="33"/>
      <c r="B223" s="107"/>
      <c r="C223" s="118"/>
    </row>
    <row r="224" spans="1:3" ht="15.75" customHeight="1" x14ac:dyDescent="0.35">
      <c r="A224" s="33"/>
      <c r="B224" s="107"/>
      <c r="C224" s="118"/>
    </row>
    <row r="225" spans="1:3" ht="15.75" customHeight="1" x14ac:dyDescent="0.35">
      <c r="A225" s="33"/>
      <c r="B225" s="107"/>
      <c r="C225" s="118"/>
    </row>
    <row r="226" spans="1:3" ht="15.75" customHeight="1" x14ac:dyDescent="0.35">
      <c r="A226" s="33"/>
      <c r="B226" s="107"/>
      <c r="C226" s="118"/>
    </row>
    <row r="227" spans="1:3" ht="15.75" customHeight="1" x14ac:dyDescent="0.35">
      <c r="A227" s="33"/>
      <c r="B227" s="107"/>
      <c r="C227" s="118"/>
    </row>
    <row r="228" spans="1:3" ht="15.75" customHeight="1" x14ac:dyDescent="0.35">
      <c r="A228" s="33"/>
      <c r="B228" s="107"/>
      <c r="C228" s="118"/>
    </row>
    <row r="229" spans="1:3" ht="15.75" customHeight="1" x14ac:dyDescent="0.35">
      <c r="A229" s="33"/>
      <c r="B229" s="107"/>
      <c r="C229" s="118"/>
    </row>
    <row r="230" spans="1:3" ht="15.75" customHeight="1" x14ac:dyDescent="0.35">
      <c r="A230" s="33"/>
      <c r="B230" s="107"/>
      <c r="C230" s="118"/>
    </row>
    <row r="231" spans="1:3" ht="15.75" customHeight="1" x14ac:dyDescent="0.35">
      <c r="A231" s="33"/>
      <c r="B231" s="107"/>
      <c r="C231" s="118"/>
    </row>
    <row r="232" spans="1:3" ht="15.75" customHeight="1" x14ac:dyDescent="0.35">
      <c r="A232" s="33"/>
      <c r="B232" s="107"/>
      <c r="C232" s="118"/>
    </row>
    <row r="233" spans="1:3" ht="15.75" customHeight="1" x14ac:dyDescent="0.35">
      <c r="A233" s="33"/>
      <c r="B233" s="107"/>
      <c r="C233" s="118"/>
    </row>
    <row r="234" spans="1:3" ht="15.75" customHeight="1" x14ac:dyDescent="0.35">
      <c r="A234" s="33"/>
      <c r="B234" s="107"/>
      <c r="C234" s="118"/>
    </row>
    <row r="235" spans="1:3" ht="15.75" customHeight="1" x14ac:dyDescent="0.35">
      <c r="A235" s="33"/>
      <c r="B235" s="107"/>
      <c r="C235" s="118"/>
    </row>
    <row r="236" spans="1:3" ht="15.75" customHeight="1" x14ac:dyDescent="0.35">
      <c r="A236" s="33"/>
      <c r="B236" s="107"/>
      <c r="C236" s="118"/>
    </row>
    <row r="237" spans="1:3" ht="15.75" customHeight="1" x14ac:dyDescent="0.35">
      <c r="A237" s="33"/>
      <c r="B237" s="107"/>
      <c r="C237" s="118"/>
    </row>
    <row r="238" spans="1:3" ht="15.75" customHeight="1" x14ac:dyDescent="0.35">
      <c r="A238" s="33"/>
      <c r="B238" s="107"/>
      <c r="C238" s="118"/>
    </row>
    <row r="239" spans="1:3" ht="15.75" customHeight="1" x14ac:dyDescent="0.35">
      <c r="A239" s="33"/>
      <c r="B239" s="107"/>
      <c r="C239" s="118"/>
    </row>
    <row r="240" spans="1:3" ht="15.75" customHeight="1" x14ac:dyDescent="0.35">
      <c r="A240" s="33"/>
      <c r="B240" s="107"/>
      <c r="C240" s="118"/>
    </row>
    <row r="241" spans="1:3" ht="15.75" customHeight="1" x14ac:dyDescent="0.35">
      <c r="A241" s="33"/>
      <c r="B241" s="107"/>
      <c r="C241" s="118"/>
    </row>
    <row r="242" spans="1:3" ht="15.75" customHeight="1" x14ac:dyDescent="0.35">
      <c r="A242" s="33"/>
      <c r="B242" s="107"/>
      <c r="C242" s="118"/>
    </row>
    <row r="243" spans="1:3" ht="15.75" customHeight="1" x14ac:dyDescent="0.35">
      <c r="A243" s="33"/>
      <c r="B243" s="107"/>
      <c r="C243" s="118"/>
    </row>
    <row r="244" spans="1:3" ht="15.75" customHeight="1" x14ac:dyDescent="0.35">
      <c r="A244" s="33"/>
      <c r="B244" s="107"/>
      <c r="C244" s="118"/>
    </row>
    <row r="245" spans="1:3" ht="15.75" customHeight="1" x14ac:dyDescent="0.35">
      <c r="A245" s="33"/>
      <c r="B245" s="107"/>
      <c r="C245" s="118"/>
    </row>
    <row r="246" spans="1:3" ht="15.75" customHeight="1" x14ac:dyDescent="0.35">
      <c r="A246" s="33"/>
      <c r="B246" s="107"/>
      <c r="C246" s="118"/>
    </row>
    <row r="247" spans="1:3" ht="15.75" customHeight="1" x14ac:dyDescent="0.35">
      <c r="A247" s="33"/>
      <c r="B247" s="107"/>
      <c r="C247" s="118"/>
    </row>
    <row r="248" spans="1:3" ht="15.75" customHeight="1" x14ac:dyDescent="0.35">
      <c r="A248" s="33"/>
      <c r="B248" s="107"/>
      <c r="C248" s="118"/>
    </row>
    <row r="249" spans="1:3" ht="15.75" customHeight="1" x14ac:dyDescent="0.35">
      <c r="A249" s="33"/>
      <c r="B249" s="107"/>
      <c r="C249" s="118"/>
    </row>
    <row r="250" spans="1:3" ht="15.75" customHeight="1" x14ac:dyDescent="0.35">
      <c r="A250" s="33"/>
      <c r="B250" s="107"/>
      <c r="C250" s="118"/>
    </row>
    <row r="251" spans="1:3" ht="15.75" customHeight="1" x14ac:dyDescent="0.35">
      <c r="A251" s="33"/>
      <c r="B251" s="107"/>
      <c r="C251" s="118"/>
    </row>
    <row r="252" spans="1:3" ht="15.75" customHeight="1" x14ac:dyDescent="0.35">
      <c r="A252" s="33"/>
      <c r="B252" s="107"/>
      <c r="C252" s="118"/>
    </row>
    <row r="253" spans="1:3" ht="15.75" customHeight="1" x14ac:dyDescent="0.35">
      <c r="A253" s="33"/>
      <c r="B253" s="107"/>
      <c r="C253" s="118"/>
    </row>
    <row r="254" spans="1:3" ht="15.75" customHeight="1" x14ac:dyDescent="0.35">
      <c r="A254" s="33"/>
      <c r="B254" s="107"/>
      <c r="C254" s="118"/>
    </row>
    <row r="255" spans="1:3" ht="15.75" customHeight="1" x14ac:dyDescent="0.35">
      <c r="A255" s="33"/>
      <c r="B255" s="107"/>
      <c r="C255" s="118"/>
    </row>
    <row r="256" spans="1:3" ht="15.75" customHeight="1" x14ac:dyDescent="0.35">
      <c r="A256" s="33"/>
      <c r="B256" s="107"/>
      <c r="C256" s="118"/>
    </row>
    <row r="257" spans="1:3" ht="15.75" customHeight="1" x14ac:dyDescent="0.35">
      <c r="A257" s="33"/>
      <c r="B257" s="107"/>
      <c r="C257" s="118"/>
    </row>
    <row r="258" spans="1:3" ht="15.75" customHeight="1" x14ac:dyDescent="0.35">
      <c r="A258" s="33"/>
      <c r="B258" s="107"/>
      <c r="C258" s="118"/>
    </row>
    <row r="259" spans="1:3" ht="15.75" customHeight="1" x14ac:dyDescent="0.35">
      <c r="A259" s="33"/>
      <c r="B259" s="107"/>
      <c r="C259" s="118"/>
    </row>
    <row r="260" spans="1:3" ht="15.75" customHeight="1" x14ac:dyDescent="0.35">
      <c r="A260" s="33"/>
      <c r="B260" s="107"/>
      <c r="C260" s="118"/>
    </row>
    <row r="261" spans="1:3" ht="15.75" customHeight="1" x14ac:dyDescent="0.35">
      <c r="A261" s="33"/>
      <c r="B261" s="107"/>
      <c r="C261" s="118"/>
    </row>
    <row r="262" spans="1:3" ht="15.75" customHeight="1" x14ac:dyDescent="0.35">
      <c r="A262" s="33"/>
      <c r="B262" s="107"/>
      <c r="C262" s="118"/>
    </row>
    <row r="263" spans="1:3" ht="15.75" customHeight="1" x14ac:dyDescent="0.35">
      <c r="A263" s="33"/>
      <c r="B263" s="107"/>
      <c r="C263" s="118"/>
    </row>
    <row r="264" spans="1:3" ht="15.75" customHeight="1" x14ac:dyDescent="0.35">
      <c r="A264" s="33"/>
      <c r="B264" s="107"/>
      <c r="C264" s="118"/>
    </row>
    <row r="265" spans="1:3" ht="15.75" customHeight="1" x14ac:dyDescent="0.35">
      <c r="A265" s="33"/>
      <c r="B265" s="107"/>
      <c r="C265" s="118"/>
    </row>
    <row r="266" spans="1:3" ht="15.75" customHeight="1" x14ac:dyDescent="0.35">
      <c r="A266" s="33"/>
      <c r="B266" s="107"/>
      <c r="C266" s="118"/>
    </row>
    <row r="267" spans="1:3" ht="15.75" customHeight="1" x14ac:dyDescent="0.35">
      <c r="A267" s="33"/>
      <c r="B267" s="107"/>
      <c r="C267" s="118"/>
    </row>
    <row r="268" spans="1:3" ht="15.75" customHeight="1" x14ac:dyDescent="0.35">
      <c r="A268" s="33"/>
      <c r="B268" s="107"/>
      <c r="C268" s="118"/>
    </row>
    <row r="269" spans="1:3" ht="15.75" customHeight="1" x14ac:dyDescent="0.35">
      <c r="A269" s="33"/>
      <c r="B269" s="107"/>
      <c r="C269" s="118"/>
    </row>
    <row r="270" spans="1:3" ht="15.75" customHeight="1" x14ac:dyDescent="0.35">
      <c r="A270" s="33"/>
      <c r="B270" s="107"/>
      <c r="C270" s="118"/>
    </row>
    <row r="271" spans="1:3" ht="15.75" customHeight="1" x14ac:dyDescent="0.35">
      <c r="A271" s="33"/>
      <c r="B271" s="107"/>
      <c r="C271" s="118"/>
    </row>
    <row r="272" spans="1:3" ht="15.75" customHeight="1" x14ac:dyDescent="0.35">
      <c r="A272" s="33"/>
      <c r="B272" s="107"/>
      <c r="C272" s="118"/>
    </row>
    <row r="273" spans="1:3" ht="15.75" customHeight="1" x14ac:dyDescent="0.35">
      <c r="A273" s="33"/>
      <c r="B273" s="107"/>
      <c r="C273" s="118"/>
    </row>
    <row r="274" spans="1:3" ht="15.75" customHeight="1" x14ac:dyDescent="0.35">
      <c r="A274" s="33"/>
      <c r="B274" s="107"/>
      <c r="C274" s="118"/>
    </row>
    <row r="275" spans="1:3" ht="15.75" customHeight="1" x14ac:dyDescent="0.35">
      <c r="A275" s="33"/>
      <c r="B275" s="107"/>
      <c r="C275" s="118"/>
    </row>
    <row r="276" spans="1:3" ht="15.75" customHeight="1" x14ac:dyDescent="0.35">
      <c r="A276" s="33"/>
      <c r="B276" s="107"/>
      <c r="C276" s="118"/>
    </row>
    <row r="277" spans="1:3" ht="15.75" customHeight="1" x14ac:dyDescent="0.35">
      <c r="A277" s="33"/>
      <c r="B277" s="107"/>
      <c r="C277" s="118"/>
    </row>
    <row r="278" spans="1:3" ht="15.75" customHeight="1" x14ac:dyDescent="0.35">
      <c r="A278" s="33"/>
      <c r="B278" s="107"/>
      <c r="C278" s="118"/>
    </row>
    <row r="279" spans="1:3" ht="15.75" customHeight="1" x14ac:dyDescent="0.35">
      <c r="A279" s="33"/>
      <c r="B279" s="107"/>
      <c r="C279" s="118"/>
    </row>
    <row r="280" spans="1:3" ht="15.75" customHeight="1" x14ac:dyDescent="0.35">
      <c r="A280" s="33"/>
      <c r="B280" s="107"/>
      <c r="C280" s="118"/>
    </row>
    <row r="281" spans="1:3" ht="15.75" customHeight="1" x14ac:dyDescent="0.35">
      <c r="A281" s="33"/>
      <c r="B281" s="107"/>
      <c r="C281" s="118"/>
    </row>
    <row r="282" spans="1:3" ht="15.75" customHeight="1" x14ac:dyDescent="0.35">
      <c r="A282" s="33"/>
      <c r="B282" s="107"/>
      <c r="C282" s="118"/>
    </row>
    <row r="283" spans="1:3" ht="15.75" customHeight="1" x14ac:dyDescent="0.35">
      <c r="A283" s="33"/>
      <c r="B283" s="107"/>
      <c r="C283" s="118"/>
    </row>
    <row r="284" spans="1:3" ht="15.75" customHeight="1" x14ac:dyDescent="0.35">
      <c r="A284" s="33"/>
      <c r="B284" s="107"/>
      <c r="C284" s="118"/>
    </row>
    <row r="285" spans="1:3" ht="15.75" customHeight="1" x14ac:dyDescent="0.35">
      <c r="A285" s="33"/>
      <c r="B285" s="107"/>
      <c r="C285" s="118"/>
    </row>
    <row r="286" spans="1:3" ht="15.75" customHeight="1" x14ac:dyDescent="0.35">
      <c r="A286" s="33"/>
      <c r="B286" s="107"/>
      <c r="C286" s="118"/>
    </row>
    <row r="287" spans="1:3" ht="15.75" customHeight="1" x14ac:dyDescent="0.35">
      <c r="A287" s="33"/>
      <c r="B287" s="107"/>
      <c r="C287" s="118"/>
    </row>
    <row r="288" spans="1:3" ht="15.75" customHeight="1" x14ac:dyDescent="0.35">
      <c r="A288" s="33"/>
      <c r="B288" s="107"/>
      <c r="C288" s="118"/>
    </row>
    <row r="289" spans="1:3" ht="15.75" customHeight="1" x14ac:dyDescent="0.35">
      <c r="A289" s="33"/>
      <c r="B289" s="107"/>
      <c r="C289" s="118"/>
    </row>
    <row r="290" spans="1:3" ht="15.75" customHeight="1" x14ac:dyDescent="0.35">
      <c r="A290" s="33"/>
      <c r="B290" s="107"/>
      <c r="C290" s="118"/>
    </row>
    <row r="291" spans="1:3" ht="15.75" customHeight="1" x14ac:dyDescent="0.35">
      <c r="A291" s="33"/>
      <c r="B291" s="107"/>
      <c r="C291" s="118"/>
    </row>
    <row r="292" spans="1:3" ht="15.75" customHeight="1" x14ac:dyDescent="0.35">
      <c r="A292" s="33"/>
      <c r="B292" s="107"/>
      <c r="C292" s="118"/>
    </row>
    <row r="293" spans="1:3" ht="15.75" customHeight="1" x14ac:dyDescent="0.35">
      <c r="A293" s="33"/>
      <c r="B293" s="107"/>
      <c r="C293" s="118"/>
    </row>
    <row r="294" spans="1:3" ht="15.75" customHeight="1" x14ac:dyDescent="0.35">
      <c r="A294" s="33"/>
      <c r="B294" s="107"/>
      <c r="C294" s="118"/>
    </row>
    <row r="295" spans="1:3" ht="15.75" customHeight="1" x14ac:dyDescent="0.35">
      <c r="A295" s="33"/>
      <c r="B295" s="107"/>
      <c r="C295" s="118"/>
    </row>
    <row r="296" spans="1:3" ht="15.75" customHeight="1" x14ac:dyDescent="0.35">
      <c r="A296" s="33"/>
      <c r="B296" s="107"/>
      <c r="C296" s="118"/>
    </row>
    <row r="297" spans="1:3" ht="15.75" customHeight="1" x14ac:dyDescent="0.35">
      <c r="A297" s="33"/>
      <c r="B297" s="107"/>
      <c r="C297" s="118"/>
    </row>
    <row r="298" spans="1:3" ht="15.75" customHeight="1" x14ac:dyDescent="0.35">
      <c r="A298" s="33"/>
      <c r="B298" s="107"/>
      <c r="C298" s="118"/>
    </row>
    <row r="299" spans="1:3" ht="15.75" customHeight="1" x14ac:dyDescent="0.35">
      <c r="A299" s="33"/>
      <c r="B299" s="107"/>
      <c r="C299" s="118"/>
    </row>
    <row r="300" spans="1:3" ht="15.75" customHeight="1" x14ac:dyDescent="0.35">
      <c r="A300" s="33"/>
      <c r="B300" s="107"/>
      <c r="C300" s="118"/>
    </row>
    <row r="301" spans="1:3" ht="15.75" customHeight="1" x14ac:dyDescent="0.35">
      <c r="A301" s="33"/>
      <c r="B301" s="107"/>
      <c r="C301" s="118"/>
    </row>
    <row r="302" spans="1:3" ht="15.75" customHeight="1" x14ac:dyDescent="0.35">
      <c r="A302" s="33"/>
      <c r="B302" s="107"/>
      <c r="C302" s="118"/>
    </row>
    <row r="303" spans="1:3" ht="15.75" customHeight="1" x14ac:dyDescent="0.35">
      <c r="A303" s="33"/>
      <c r="B303" s="107"/>
      <c r="C303" s="118"/>
    </row>
    <row r="304" spans="1:3" ht="15.75" customHeight="1" x14ac:dyDescent="0.35">
      <c r="A304" s="33"/>
      <c r="B304" s="107"/>
      <c r="C304" s="118"/>
    </row>
    <row r="305" spans="1:3" ht="15.75" customHeight="1" x14ac:dyDescent="0.35">
      <c r="A305" s="33"/>
      <c r="B305" s="107"/>
      <c r="C305" s="118"/>
    </row>
    <row r="306" spans="1:3" ht="15.75" customHeight="1" x14ac:dyDescent="0.35">
      <c r="A306" s="33"/>
      <c r="B306" s="107"/>
      <c r="C306" s="118"/>
    </row>
    <row r="307" spans="1:3" ht="15.75" customHeight="1" x14ac:dyDescent="0.35">
      <c r="A307" s="33"/>
      <c r="B307" s="107"/>
      <c r="C307" s="118"/>
    </row>
    <row r="308" spans="1:3" ht="15.75" customHeight="1" x14ac:dyDescent="0.35">
      <c r="A308" s="33"/>
      <c r="B308" s="107"/>
      <c r="C308" s="118"/>
    </row>
    <row r="309" spans="1:3" ht="15.75" customHeight="1" x14ac:dyDescent="0.35">
      <c r="A309" s="33"/>
      <c r="B309" s="107"/>
      <c r="C309" s="118"/>
    </row>
    <row r="310" spans="1:3" ht="15.75" customHeight="1" x14ac:dyDescent="0.35">
      <c r="A310" s="33"/>
      <c r="B310" s="107"/>
      <c r="C310" s="118"/>
    </row>
    <row r="311" spans="1:3" ht="15.75" customHeight="1" x14ac:dyDescent="0.35">
      <c r="A311" s="33"/>
      <c r="B311" s="107"/>
      <c r="C311" s="118"/>
    </row>
    <row r="312" spans="1:3" ht="15.75" customHeight="1" x14ac:dyDescent="0.35">
      <c r="A312" s="33"/>
      <c r="B312" s="107"/>
      <c r="C312" s="118"/>
    </row>
    <row r="313" spans="1:3" ht="15.75" customHeight="1" x14ac:dyDescent="0.35">
      <c r="A313" s="33"/>
      <c r="B313" s="107"/>
      <c r="C313" s="118"/>
    </row>
    <row r="314" spans="1:3" ht="15.75" customHeight="1" x14ac:dyDescent="0.35">
      <c r="A314" s="33"/>
      <c r="B314" s="107"/>
      <c r="C314" s="118"/>
    </row>
    <row r="315" spans="1:3" ht="15.75" customHeight="1" x14ac:dyDescent="0.35">
      <c r="A315" s="33"/>
      <c r="B315" s="107"/>
      <c r="C315" s="118"/>
    </row>
    <row r="316" spans="1:3" ht="15.75" customHeight="1" x14ac:dyDescent="0.35">
      <c r="A316" s="33"/>
      <c r="B316" s="107"/>
      <c r="C316" s="118"/>
    </row>
    <row r="317" spans="1:3" ht="15.75" customHeight="1" x14ac:dyDescent="0.35">
      <c r="A317" s="33"/>
      <c r="B317" s="107"/>
      <c r="C317" s="118"/>
    </row>
    <row r="318" spans="1:3" ht="15.75" customHeight="1" x14ac:dyDescent="0.35">
      <c r="A318" s="33"/>
      <c r="B318" s="107"/>
      <c r="C318" s="118"/>
    </row>
    <row r="319" spans="1:3" ht="15.75" customHeight="1" x14ac:dyDescent="0.35">
      <c r="A319" s="33"/>
      <c r="B319" s="107"/>
      <c r="C319" s="118"/>
    </row>
    <row r="320" spans="1:3" ht="15.75" customHeight="1" x14ac:dyDescent="0.35">
      <c r="A320" s="33"/>
      <c r="B320" s="107"/>
      <c r="C320" s="118"/>
    </row>
    <row r="321" spans="1:3" ht="15.75" customHeight="1" x14ac:dyDescent="0.35">
      <c r="A321" s="33"/>
      <c r="B321" s="107"/>
      <c r="C321" s="118"/>
    </row>
    <row r="322" spans="1:3" ht="15.75" customHeight="1" x14ac:dyDescent="0.35">
      <c r="A322" s="33"/>
      <c r="B322" s="107"/>
      <c r="C322" s="118"/>
    </row>
    <row r="323" spans="1:3" ht="15.75" customHeight="1" x14ac:dyDescent="0.35">
      <c r="A323" s="33"/>
      <c r="B323" s="107"/>
      <c r="C323" s="118"/>
    </row>
    <row r="324" spans="1:3" ht="15.75" customHeight="1" x14ac:dyDescent="0.35">
      <c r="A324" s="33"/>
      <c r="B324" s="107"/>
      <c r="C324" s="118"/>
    </row>
    <row r="325" spans="1:3" ht="15.75" customHeight="1" x14ac:dyDescent="0.35">
      <c r="A325" s="33"/>
      <c r="B325" s="107"/>
      <c r="C325" s="118"/>
    </row>
    <row r="326" spans="1:3" ht="15.75" customHeight="1" x14ac:dyDescent="0.35">
      <c r="A326" s="33"/>
      <c r="B326" s="107"/>
      <c r="C326" s="118"/>
    </row>
    <row r="327" spans="1:3" ht="15.75" customHeight="1" x14ac:dyDescent="0.35">
      <c r="A327" s="33"/>
      <c r="B327" s="107"/>
      <c r="C327" s="118"/>
    </row>
    <row r="328" spans="1:3" ht="15.75" customHeight="1" x14ac:dyDescent="0.35">
      <c r="A328" s="33"/>
      <c r="B328" s="107"/>
      <c r="C328" s="118"/>
    </row>
    <row r="329" spans="1:3" ht="15.75" customHeight="1" x14ac:dyDescent="0.35">
      <c r="A329" s="33"/>
      <c r="B329" s="107"/>
      <c r="C329" s="118"/>
    </row>
    <row r="330" spans="1:3" ht="15.75" customHeight="1" x14ac:dyDescent="0.35">
      <c r="A330" s="33"/>
      <c r="B330" s="107"/>
      <c r="C330" s="118"/>
    </row>
    <row r="331" spans="1:3" ht="15.75" customHeight="1" x14ac:dyDescent="0.35">
      <c r="A331" s="33"/>
      <c r="B331" s="107"/>
      <c r="C331" s="118"/>
    </row>
    <row r="332" spans="1:3" ht="15.75" customHeight="1" x14ac:dyDescent="0.35">
      <c r="A332" s="33"/>
      <c r="B332" s="107"/>
      <c r="C332" s="118"/>
    </row>
    <row r="333" spans="1:3" ht="15.75" customHeight="1" x14ac:dyDescent="0.35">
      <c r="A333" s="33"/>
      <c r="B333" s="107"/>
      <c r="C333" s="118"/>
    </row>
    <row r="334" spans="1:3" ht="15.75" customHeight="1" x14ac:dyDescent="0.35">
      <c r="A334" s="33"/>
      <c r="B334" s="107"/>
      <c r="C334" s="118"/>
    </row>
    <row r="335" spans="1:3" ht="15.75" customHeight="1" x14ac:dyDescent="0.35">
      <c r="A335" s="33"/>
      <c r="B335" s="107"/>
      <c r="C335" s="118"/>
    </row>
    <row r="336" spans="1:3" ht="15.75" customHeight="1" x14ac:dyDescent="0.35">
      <c r="A336" s="33"/>
      <c r="B336" s="107"/>
      <c r="C336" s="118"/>
    </row>
    <row r="337" spans="1:3" ht="15.75" customHeight="1" x14ac:dyDescent="0.35">
      <c r="A337" s="33"/>
      <c r="B337" s="107"/>
      <c r="C337" s="118"/>
    </row>
    <row r="338" spans="1:3" ht="15.75" customHeight="1" x14ac:dyDescent="0.35">
      <c r="A338" s="33"/>
      <c r="B338" s="107"/>
      <c r="C338" s="118"/>
    </row>
    <row r="339" spans="1:3" ht="15.75" customHeight="1" x14ac:dyDescent="0.35">
      <c r="A339" s="33"/>
      <c r="B339" s="107"/>
      <c r="C339" s="118"/>
    </row>
    <row r="340" spans="1:3" ht="15.75" customHeight="1" x14ac:dyDescent="0.35">
      <c r="A340" s="33"/>
      <c r="B340" s="107"/>
      <c r="C340" s="118"/>
    </row>
    <row r="341" spans="1:3" ht="15.75" customHeight="1" x14ac:dyDescent="0.35">
      <c r="A341" s="33"/>
      <c r="B341" s="107"/>
      <c r="C341" s="118"/>
    </row>
    <row r="342" spans="1:3" ht="15.75" customHeight="1" x14ac:dyDescent="0.35">
      <c r="A342" s="33"/>
      <c r="B342" s="107"/>
      <c r="C342" s="118"/>
    </row>
    <row r="343" spans="1:3" ht="15.75" customHeight="1" x14ac:dyDescent="0.35">
      <c r="A343" s="33"/>
      <c r="B343" s="107"/>
      <c r="C343" s="118"/>
    </row>
    <row r="344" spans="1:3" ht="15.75" customHeight="1" x14ac:dyDescent="0.35">
      <c r="A344" s="33"/>
      <c r="B344" s="107"/>
      <c r="C344" s="118"/>
    </row>
    <row r="345" spans="1:3" ht="15.75" customHeight="1" x14ac:dyDescent="0.35">
      <c r="A345" s="33"/>
      <c r="B345" s="107"/>
      <c r="C345" s="118"/>
    </row>
    <row r="346" spans="1:3" ht="15.75" customHeight="1" x14ac:dyDescent="0.35">
      <c r="A346" s="33"/>
      <c r="B346" s="107"/>
      <c r="C346" s="118"/>
    </row>
    <row r="347" spans="1:3" ht="15.75" customHeight="1" x14ac:dyDescent="0.35">
      <c r="A347" s="33"/>
      <c r="B347" s="107"/>
      <c r="C347" s="118"/>
    </row>
    <row r="348" spans="1:3" ht="15.75" customHeight="1" x14ac:dyDescent="0.35">
      <c r="A348" s="33"/>
      <c r="B348" s="107"/>
      <c r="C348" s="118"/>
    </row>
    <row r="349" spans="1:3" ht="15.75" customHeight="1" x14ac:dyDescent="0.35">
      <c r="A349" s="33"/>
      <c r="B349" s="107"/>
      <c r="C349" s="118"/>
    </row>
    <row r="350" spans="1:3" ht="15.75" customHeight="1" x14ac:dyDescent="0.35">
      <c r="A350" s="33"/>
      <c r="B350" s="107"/>
      <c r="C350" s="118"/>
    </row>
    <row r="351" spans="1:3" ht="15.75" customHeight="1" x14ac:dyDescent="0.35">
      <c r="A351" s="33"/>
      <c r="B351" s="107"/>
      <c r="C351" s="118"/>
    </row>
    <row r="352" spans="1:3" ht="15.75" customHeight="1" x14ac:dyDescent="0.35">
      <c r="A352" s="33"/>
      <c r="B352" s="107"/>
      <c r="C352" s="118"/>
    </row>
    <row r="353" spans="1:3" ht="15.75" customHeight="1" x14ac:dyDescent="0.35">
      <c r="A353" s="33"/>
      <c r="B353" s="107"/>
      <c r="C353" s="118"/>
    </row>
    <row r="354" spans="1:3" ht="15.75" customHeight="1" x14ac:dyDescent="0.35">
      <c r="A354" s="33"/>
      <c r="B354" s="107"/>
      <c r="C354" s="118"/>
    </row>
    <row r="355" spans="1:3" ht="15.75" customHeight="1" x14ac:dyDescent="0.35">
      <c r="A355" s="33"/>
      <c r="B355" s="107"/>
      <c r="C355" s="118"/>
    </row>
    <row r="356" spans="1:3" ht="15.75" customHeight="1" x14ac:dyDescent="0.35">
      <c r="A356" s="33"/>
      <c r="B356" s="107"/>
      <c r="C356" s="118"/>
    </row>
    <row r="357" spans="1:3" ht="15.75" customHeight="1" x14ac:dyDescent="0.35">
      <c r="A357" s="33"/>
      <c r="B357" s="107"/>
      <c r="C357" s="118"/>
    </row>
    <row r="358" spans="1:3" ht="15.75" customHeight="1" x14ac:dyDescent="0.35">
      <c r="A358" s="33"/>
      <c r="B358" s="107"/>
      <c r="C358" s="118"/>
    </row>
    <row r="359" spans="1:3" ht="15.75" customHeight="1" x14ac:dyDescent="0.35">
      <c r="A359" s="33"/>
      <c r="B359" s="107"/>
      <c r="C359" s="118"/>
    </row>
    <row r="360" spans="1:3" ht="15.75" customHeight="1" x14ac:dyDescent="0.35">
      <c r="A360" s="33"/>
      <c r="B360" s="107"/>
      <c r="C360" s="118"/>
    </row>
    <row r="361" spans="1:3" ht="15.75" customHeight="1" x14ac:dyDescent="0.35">
      <c r="A361" s="33"/>
      <c r="B361" s="107"/>
      <c r="C361" s="118"/>
    </row>
    <row r="362" spans="1:3" ht="15.75" customHeight="1" x14ac:dyDescent="0.35">
      <c r="A362" s="33"/>
      <c r="B362" s="107"/>
      <c r="C362" s="118"/>
    </row>
    <row r="363" spans="1:3" ht="15.75" customHeight="1" x14ac:dyDescent="0.35">
      <c r="A363" s="33"/>
      <c r="B363" s="107"/>
      <c r="C363" s="118"/>
    </row>
    <row r="364" spans="1:3" ht="15.75" customHeight="1" x14ac:dyDescent="0.35">
      <c r="A364" s="33"/>
      <c r="B364" s="107"/>
      <c r="C364" s="118"/>
    </row>
    <row r="365" spans="1:3" ht="15.75" customHeight="1" x14ac:dyDescent="0.35">
      <c r="A365" s="33"/>
      <c r="B365" s="107"/>
      <c r="C365" s="118"/>
    </row>
    <row r="366" spans="1:3" ht="15.75" customHeight="1" x14ac:dyDescent="0.35">
      <c r="A366" s="33"/>
      <c r="B366" s="107"/>
      <c r="C366" s="118"/>
    </row>
    <row r="367" spans="1:3" ht="15.75" customHeight="1" x14ac:dyDescent="0.35">
      <c r="A367" s="33"/>
      <c r="B367" s="107"/>
      <c r="C367" s="118"/>
    </row>
    <row r="368" spans="1:3" ht="15.75" customHeight="1" x14ac:dyDescent="0.35">
      <c r="A368" s="33"/>
      <c r="B368" s="107"/>
      <c r="C368" s="118"/>
    </row>
    <row r="369" spans="1:3" ht="15.75" customHeight="1" x14ac:dyDescent="0.35">
      <c r="A369" s="33"/>
      <c r="B369" s="107"/>
      <c r="C369" s="118"/>
    </row>
    <row r="370" spans="1:3" ht="15.75" customHeight="1" x14ac:dyDescent="0.35">
      <c r="A370" s="33"/>
      <c r="B370" s="107"/>
      <c r="C370" s="118"/>
    </row>
    <row r="371" spans="1:3" ht="15.75" customHeight="1" x14ac:dyDescent="0.35">
      <c r="A371" s="33"/>
      <c r="B371" s="107"/>
      <c r="C371" s="118"/>
    </row>
    <row r="372" spans="1:3" ht="15.75" customHeight="1" x14ac:dyDescent="0.35">
      <c r="A372" s="33"/>
      <c r="B372" s="107"/>
      <c r="C372" s="118"/>
    </row>
    <row r="373" spans="1:3" ht="15.75" customHeight="1" x14ac:dyDescent="0.35">
      <c r="A373" s="33"/>
      <c r="B373" s="107"/>
      <c r="C373" s="118"/>
    </row>
    <row r="374" spans="1:3" ht="15.75" customHeight="1" x14ac:dyDescent="0.35">
      <c r="A374" s="33"/>
      <c r="B374" s="107"/>
      <c r="C374" s="118"/>
    </row>
    <row r="375" spans="1:3" ht="15.75" customHeight="1" x14ac:dyDescent="0.35">
      <c r="A375" s="33"/>
      <c r="B375" s="107"/>
      <c r="C375" s="118"/>
    </row>
    <row r="376" spans="1:3" ht="15.75" customHeight="1" x14ac:dyDescent="0.35">
      <c r="A376" s="33"/>
      <c r="B376" s="107"/>
      <c r="C376" s="118"/>
    </row>
    <row r="377" spans="1:3" ht="15.75" customHeight="1" x14ac:dyDescent="0.35">
      <c r="A377" s="33"/>
      <c r="B377" s="107"/>
      <c r="C377" s="118"/>
    </row>
    <row r="378" spans="1:3" ht="15.75" customHeight="1" x14ac:dyDescent="0.35">
      <c r="A378" s="33"/>
      <c r="B378" s="107"/>
      <c r="C378" s="118"/>
    </row>
    <row r="379" spans="1:3" ht="15.75" customHeight="1" x14ac:dyDescent="0.35">
      <c r="A379" s="33"/>
      <c r="B379" s="107"/>
      <c r="C379" s="118"/>
    </row>
    <row r="380" spans="1:3" ht="15.75" customHeight="1" x14ac:dyDescent="0.35">
      <c r="A380" s="33"/>
      <c r="B380" s="107"/>
      <c r="C380" s="118"/>
    </row>
    <row r="381" spans="1:3" ht="15.75" customHeight="1" x14ac:dyDescent="0.35">
      <c r="A381" s="33"/>
      <c r="B381" s="107"/>
      <c r="C381" s="118"/>
    </row>
    <row r="382" spans="1:3" ht="15.75" customHeight="1" x14ac:dyDescent="0.35">
      <c r="A382" s="33"/>
      <c r="B382" s="107"/>
      <c r="C382" s="118"/>
    </row>
    <row r="383" spans="1:3" ht="15.75" customHeight="1" x14ac:dyDescent="0.35">
      <c r="A383" s="33"/>
      <c r="B383" s="107"/>
      <c r="C383" s="118"/>
    </row>
    <row r="384" spans="1:3" ht="15.75" customHeight="1" x14ac:dyDescent="0.35">
      <c r="A384" s="33"/>
      <c r="B384" s="107"/>
      <c r="C384" s="118"/>
    </row>
    <row r="385" spans="1:3" ht="15.75" customHeight="1" x14ac:dyDescent="0.35">
      <c r="A385" s="33"/>
      <c r="B385" s="107"/>
      <c r="C385" s="118"/>
    </row>
    <row r="386" spans="1:3" ht="15.75" customHeight="1" x14ac:dyDescent="0.35">
      <c r="A386" s="33"/>
      <c r="B386" s="107"/>
      <c r="C386" s="118"/>
    </row>
    <row r="387" spans="1:3" ht="15.75" customHeight="1" x14ac:dyDescent="0.35">
      <c r="A387" s="33"/>
      <c r="B387" s="107"/>
      <c r="C387" s="118"/>
    </row>
    <row r="388" spans="1:3" ht="15.75" customHeight="1" x14ac:dyDescent="0.35">
      <c r="A388" s="33"/>
      <c r="B388" s="107"/>
      <c r="C388" s="118"/>
    </row>
    <row r="389" spans="1:3" ht="15.75" customHeight="1" x14ac:dyDescent="0.35">
      <c r="A389" s="33"/>
      <c r="B389" s="107"/>
      <c r="C389" s="118"/>
    </row>
    <row r="390" spans="1:3" ht="15.75" customHeight="1" x14ac:dyDescent="0.35">
      <c r="A390" s="33"/>
      <c r="B390" s="107"/>
      <c r="C390" s="118"/>
    </row>
    <row r="391" spans="1:3" ht="15.75" customHeight="1" x14ac:dyDescent="0.35">
      <c r="A391" s="33"/>
      <c r="B391" s="107"/>
      <c r="C391" s="118"/>
    </row>
    <row r="392" spans="1:3" ht="15.75" customHeight="1" x14ac:dyDescent="0.35">
      <c r="A392" s="33"/>
      <c r="B392" s="107"/>
      <c r="C392" s="118"/>
    </row>
    <row r="393" spans="1:3" ht="15.75" customHeight="1" x14ac:dyDescent="0.35">
      <c r="A393" s="33"/>
      <c r="B393" s="107"/>
      <c r="C393" s="118"/>
    </row>
    <row r="394" spans="1:3" ht="15.75" customHeight="1" x14ac:dyDescent="0.35">
      <c r="A394" s="33"/>
      <c r="B394" s="107"/>
      <c r="C394" s="118"/>
    </row>
    <row r="395" spans="1:3" ht="15.75" customHeight="1" x14ac:dyDescent="0.35">
      <c r="A395" s="33"/>
      <c r="B395" s="107"/>
      <c r="C395" s="118"/>
    </row>
    <row r="396" spans="1:3" ht="15.75" customHeight="1" x14ac:dyDescent="0.35">
      <c r="A396" s="33"/>
      <c r="B396" s="107"/>
      <c r="C396" s="118"/>
    </row>
    <row r="397" spans="1:3" ht="15.75" customHeight="1" x14ac:dyDescent="0.35">
      <c r="A397" s="33"/>
      <c r="B397" s="107"/>
      <c r="C397" s="118"/>
    </row>
    <row r="398" spans="1:3" ht="15.75" customHeight="1" x14ac:dyDescent="0.35">
      <c r="A398" s="33"/>
      <c r="B398" s="107"/>
      <c r="C398" s="118"/>
    </row>
    <row r="399" spans="1:3" ht="15.75" customHeight="1" x14ac:dyDescent="0.35">
      <c r="A399" s="33"/>
      <c r="B399" s="107"/>
      <c r="C399" s="118"/>
    </row>
    <row r="400" spans="1:3" ht="15.75" customHeight="1" x14ac:dyDescent="0.35">
      <c r="A400" s="33"/>
      <c r="B400" s="107"/>
      <c r="C400" s="118"/>
    </row>
    <row r="401" spans="1:3" ht="15.75" customHeight="1" x14ac:dyDescent="0.35">
      <c r="A401" s="33"/>
      <c r="B401" s="107"/>
      <c r="C401" s="118"/>
    </row>
    <row r="402" spans="1:3" ht="15.75" customHeight="1" x14ac:dyDescent="0.35">
      <c r="A402" s="33"/>
      <c r="B402" s="107"/>
      <c r="C402" s="118"/>
    </row>
    <row r="403" spans="1:3" ht="15.75" customHeight="1" x14ac:dyDescent="0.35">
      <c r="A403" s="33"/>
      <c r="B403" s="107"/>
      <c r="C403" s="118"/>
    </row>
    <row r="404" spans="1:3" ht="15.75" customHeight="1" x14ac:dyDescent="0.35">
      <c r="A404" s="33"/>
      <c r="B404" s="107"/>
      <c r="C404" s="118"/>
    </row>
    <row r="405" spans="1:3" ht="15.75" customHeight="1" x14ac:dyDescent="0.35">
      <c r="A405" s="33"/>
      <c r="B405" s="107"/>
      <c r="C405" s="118"/>
    </row>
    <row r="406" spans="1:3" ht="15.75" customHeight="1" x14ac:dyDescent="0.35">
      <c r="A406" s="33"/>
      <c r="B406" s="107"/>
      <c r="C406" s="118"/>
    </row>
    <row r="407" spans="1:3" ht="15.75" customHeight="1" x14ac:dyDescent="0.35">
      <c r="A407" s="33"/>
      <c r="B407" s="107"/>
      <c r="C407" s="118"/>
    </row>
    <row r="408" spans="1:3" ht="15.75" customHeight="1" x14ac:dyDescent="0.35">
      <c r="A408" s="33"/>
      <c r="B408" s="107"/>
      <c r="C408" s="118"/>
    </row>
    <row r="409" spans="1:3" ht="15.75" customHeight="1" x14ac:dyDescent="0.35">
      <c r="A409" s="33"/>
      <c r="B409" s="107"/>
      <c r="C409" s="118"/>
    </row>
    <row r="410" spans="1:3" ht="15.75" customHeight="1" x14ac:dyDescent="0.35">
      <c r="A410" s="33"/>
      <c r="B410" s="107"/>
      <c r="C410" s="118"/>
    </row>
    <row r="411" spans="1:3" ht="15.75" customHeight="1" x14ac:dyDescent="0.35">
      <c r="A411" s="33"/>
      <c r="B411" s="107"/>
      <c r="C411" s="118"/>
    </row>
    <row r="412" spans="1:3" ht="15.75" customHeight="1" x14ac:dyDescent="0.35">
      <c r="A412" s="33"/>
      <c r="B412" s="107"/>
      <c r="C412" s="118"/>
    </row>
    <row r="413" spans="1:3" ht="15.75" customHeight="1" x14ac:dyDescent="0.35">
      <c r="A413" s="33"/>
      <c r="B413" s="107"/>
      <c r="C413" s="118"/>
    </row>
    <row r="414" spans="1:3" ht="15.75" customHeight="1" x14ac:dyDescent="0.35">
      <c r="A414" s="33"/>
      <c r="B414" s="107"/>
      <c r="C414" s="118"/>
    </row>
    <row r="415" spans="1:3" ht="15.75" customHeight="1" x14ac:dyDescent="0.35">
      <c r="A415" s="33"/>
      <c r="B415" s="107"/>
      <c r="C415" s="118"/>
    </row>
    <row r="416" spans="1:3" ht="15.75" customHeight="1" x14ac:dyDescent="0.35">
      <c r="A416" s="33"/>
      <c r="B416" s="107"/>
      <c r="C416" s="118"/>
    </row>
    <row r="417" spans="1:3" ht="15.75" customHeight="1" x14ac:dyDescent="0.35">
      <c r="A417" s="33"/>
      <c r="B417" s="107"/>
      <c r="C417" s="118"/>
    </row>
    <row r="418" spans="1:3" ht="15.75" customHeight="1" x14ac:dyDescent="0.35">
      <c r="A418" s="33"/>
      <c r="B418" s="107"/>
      <c r="C418" s="118"/>
    </row>
    <row r="419" spans="1:3" ht="15.75" customHeight="1" x14ac:dyDescent="0.35">
      <c r="A419" s="33"/>
      <c r="B419" s="107"/>
      <c r="C419" s="118"/>
    </row>
    <row r="420" spans="1:3" ht="15.75" customHeight="1" x14ac:dyDescent="0.35">
      <c r="A420" s="33"/>
      <c r="B420" s="107"/>
      <c r="C420" s="118"/>
    </row>
    <row r="421" spans="1:3" ht="15.75" customHeight="1" x14ac:dyDescent="0.35">
      <c r="A421" s="33"/>
      <c r="B421" s="107"/>
      <c r="C421" s="118"/>
    </row>
    <row r="422" spans="1:3" ht="15.75" customHeight="1" x14ac:dyDescent="0.35">
      <c r="A422" s="33"/>
      <c r="B422" s="107"/>
      <c r="C422" s="118"/>
    </row>
    <row r="423" spans="1:3" ht="15.75" customHeight="1" x14ac:dyDescent="0.35">
      <c r="A423" s="33"/>
      <c r="B423" s="107"/>
      <c r="C423" s="118"/>
    </row>
    <row r="424" spans="1:3" ht="15.75" customHeight="1" x14ac:dyDescent="0.35">
      <c r="A424" s="33"/>
      <c r="B424" s="107"/>
      <c r="C424" s="118"/>
    </row>
    <row r="425" spans="1:3" ht="15.75" customHeight="1" x14ac:dyDescent="0.35">
      <c r="A425" s="33"/>
      <c r="B425" s="107"/>
      <c r="C425" s="118"/>
    </row>
    <row r="426" spans="1:3" ht="15.75" customHeight="1" x14ac:dyDescent="0.35">
      <c r="A426" s="33"/>
      <c r="B426" s="107"/>
      <c r="C426" s="118"/>
    </row>
    <row r="427" spans="1:3" ht="15.75" customHeight="1" x14ac:dyDescent="0.35">
      <c r="A427" s="33"/>
      <c r="B427" s="107"/>
      <c r="C427" s="118"/>
    </row>
    <row r="428" spans="1:3" ht="15.75" customHeight="1" x14ac:dyDescent="0.35">
      <c r="A428" s="33"/>
      <c r="B428" s="107"/>
      <c r="C428" s="118"/>
    </row>
    <row r="429" spans="1:3" ht="15.75" customHeight="1" x14ac:dyDescent="0.35">
      <c r="A429" s="33"/>
      <c r="B429" s="107"/>
      <c r="C429" s="118"/>
    </row>
    <row r="430" spans="1:3" ht="15.75" customHeight="1" x14ac:dyDescent="0.35">
      <c r="A430" s="33"/>
      <c r="B430" s="107"/>
      <c r="C430" s="118"/>
    </row>
    <row r="431" spans="1:3" ht="15.75" customHeight="1" x14ac:dyDescent="0.35">
      <c r="A431" s="33"/>
      <c r="B431" s="107"/>
      <c r="C431" s="118"/>
    </row>
    <row r="432" spans="1:3" ht="15.75" customHeight="1" x14ac:dyDescent="0.35">
      <c r="A432" s="33"/>
      <c r="B432" s="107"/>
      <c r="C432" s="118"/>
    </row>
    <row r="433" spans="1:3" ht="15.75" customHeight="1" x14ac:dyDescent="0.35">
      <c r="A433" s="33"/>
      <c r="B433" s="107"/>
      <c r="C433" s="118"/>
    </row>
    <row r="434" spans="1:3" ht="15.75" customHeight="1" x14ac:dyDescent="0.35">
      <c r="A434" s="33"/>
      <c r="B434" s="107"/>
      <c r="C434" s="118"/>
    </row>
    <row r="435" spans="1:3" ht="15.75" customHeight="1" x14ac:dyDescent="0.35">
      <c r="A435" s="33"/>
      <c r="B435" s="107"/>
      <c r="C435" s="118"/>
    </row>
    <row r="436" spans="1:3" ht="15.75" customHeight="1" x14ac:dyDescent="0.35">
      <c r="A436" s="33"/>
      <c r="B436" s="107"/>
      <c r="C436" s="118"/>
    </row>
    <row r="437" spans="1:3" ht="15.75" customHeight="1" x14ac:dyDescent="0.35">
      <c r="A437" s="33"/>
      <c r="B437" s="107"/>
      <c r="C437" s="118"/>
    </row>
    <row r="438" spans="1:3" ht="15.75" customHeight="1" x14ac:dyDescent="0.35">
      <c r="A438" s="33"/>
      <c r="B438" s="107"/>
      <c r="C438" s="118"/>
    </row>
    <row r="439" spans="1:3" ht="15.75" customHeight="1" x14ac:dyDescent="0.35">
      <c r="A439" s="33"/>
      <c r="B439" s="107"/>
      <c r="C439" s="118"/>
    </row>
    <row r="440" spans="1:3" ht="15.75" customHeight="1" x14ac:dyDescent="0.35">
      <c r="A440" s="33"/>
      <c r="B440" s="107"/>
      <c r="C440" s="118"/>
    </row>
    <row r="441" spans="1:3" ht="15.75" customHeight="1" x14ac:dyDescent="0.35">
      <c r="A441" s="33"/>
      <c r="B441" s="107"/>
      <c r="C441" s="118"/>
    </row>
    <row r="442" spans="1:3" ht="15.75" customHeight="1" x14ac:dyDescent="0.35">
      <c r="A442" s="33"/>
      <c r="B442" s="107"/>
      <c r="C442" s="118"/>
    </row>
    <row r="443" spans="1:3" ht="15.75" customHeight="1" x14ac:dyDescent="0.35">
      <c r="A443" s="33"/>
      <c r="B443" s="107"/>
      <c r="C443" s="118"/>
    </row>
    <row r="444" spans="1:3" ht="15.75" customHeight="1" x14ac:dyDescent="0.35">
      <c r="A444" s="33"/>
      <c r="B444" s="107"/>
      <c r="C444" s="118"/>
    </row>
    <row r="445" spans="1:3" ht="15.75" customHeight="1" x14ac:dyDescent="0.35">
      <c r="A445" s="33"/>
      <c r="B445" s="107"/>
      <c r="C445" s="118"/>
    </row>
    <row r="446" spans="1:3" ht="15.75" customHeight="1" x14ac:dyDescent="0.35">
      <c r="A446" s="33"/>
      <c r="B446" s="107"/>
      <c r="C446" s="118"/>
    </row>
    <row r="447" spans="1:3" ht="15.75" customHeight="1" x14ac:dyDescent="0.35">
      <c r="A447" s="33"/>
      <c r="B447" s="107"/>
      <c r="C447" s="118"/>
    </row>
    <row r="448" spans="1:3" ht="15.75" customHeight="1" x14ac:dyDescent="0.35">
      <c r="A448" s="33"/>
      <c r="B448" s="107"/>
      <c r="C448" s="118"/>
    </row>
    <row r="449" spans="1:3" ht="15.75" customHeight="1" x14ac:dyDescent="0.35">
      <c r="A449" s="33"/>
      <c r="B449" s="107"/>
      <c r="C449" s="118"/>
    </row>
    <row r="450" spans="1:3" ht="15.75" customHeight="1" x14ac:dyDescent="0.35">
      <c r="A450" s="33"/>
      <c r="B450" s="107"/>
      <c r="C450" s="118"/>
    </row>
    <row r="451" spans="1:3" ht="15.75" customHeight="1" x14ac:dyDescent="0.35">
      <c r="A451" s="33"/>
      <c r="B451" s="107"/>
      <c r="C451" s="118"/>
    </row>
    <row r="452" spans="1:3" ht="15.75" customHeight="1" x14ac:dyDescent="0.35">
      <c r="A452" s="33"/>
      <c r="B452" s="107"/>
      <c r="C452" s="118"/>
    </row>
    <row r="453" spans="1:3" ht="15.75" customHeight="1" x14ac:dyDescent="0.35">
      <c r="A453" s="33"/>
      <c r="B453" s="107"/>
      <c r="C453" s="118"/>
    </row>
    <row r="454" spans="1:3" ht="15.75" customHeight="1" x14ac:dyDescent="0.35">
      <c r="A454" s="33"/>
      <c r="B454" s="107"/>
      <c r="C454" s="118"/>
    </row>
    <row r="455" spans="1:3" ht="15.75" customHeight="1" x14ac:dyDescent="0.35">
      <c r="A455" s="33"/>
      <c r="B455" s="107"/>
      <c r="C455" s="118"/>
    </row>
    <row r="456" spans="1:3" ht="15.75" customHeight="1" x14ac:dyDescent="0.35">
      <c r="A456" s="33"/>
      <c r="B456" s="107"/>
      <c r="C456" s="118"/>
    </row>
    <row r="457" spans="1:3" ht="15.75" customHeight="1" x14ac:dyDescent="0.35">
      <c r="A457" s="33"/>
      <c r="B457" s="107"/>
      <c r="C457" s="118"/>
    </row>
    <row r="458" spans="1:3" ht="15.75" customHeight="1" x14ac:dyDescent="0.35">
      <c r="A458" s="33"/>
      <c r="B458" s="107"/>
      <c r="C458" s="118"/>
    </row>
    <row r="459" spans="1:3" ht="15.75" customHeight="1" x14ac:dyDescent="0.35">
      <c r="A459" s="33"/>
      <c r="B459" s="107"/>
      <c r="C459" s="118"/>
    </row>
    <row r="460" spans="1:3" ht="15.75" customHeight="1" x14ac:dyDescent="0.35">
      <c r="A460" s="33"/>
      <c r="B460" s="107"/>
      <c r="C460" s="118"/>
    </row>
    <row r="461" spans="1:3" ht="15.75" customHeight="1" x14ac:dyDescent="0.35">
      <c r="A461" s="33"/>
      <c r="B461" s="107"/>
      <c r="C461" s="118"/>
    </row>
    <row r="462" spans="1:3" ht="15.75" customHeight="1" x14ac:dyDescent="0.35">
      <c r="A462" s="33"/>
      <c r="B462" s="107"/>
      <c r="C462" s="118"/>
    </row>
    <row r="463" spans="1:3" ht="15.75" customHeight="1" x14ac:dyDescent="0.35">
      <c r="A463" s="33"/>
      <c r="B463" s="107"/>
      <c r="C463" s="118"/>
    </row>
    <row r="464" spans="1:3" ht="15.75" customHeight="1" x14ac:dyDescent="0.35">
      <c r="A464" s="33"/>
      <c r="B464" s="107"/>
      <c r="C464" s="118"/>
    </row>
    <row r="465" spans="1:3" ht="15.75" customHeight="1" x14ac:dyDescent="0.35">
      <c r="A465" s="33"/>
      <c r="B465" s="107"/>
      <c r="C465" s="118"/>
    </row>
    <row r="466" spans="1:3" ht="15.75" customHeight="1" x14ac:dyDescent="0.35">
      <c r="A466" s="33"/>
      <c r="B466" s="107"/>
      <c r="C466" s="118"/>
    </row>
    <row r="467" spans="1:3" ht="15.75" customHeight="1" x14ac:dyDescent="0.35">
      <c r="A467" s="33"/>
      <c r="B467" s="107"/>
      <c r="C467" s="118"/>
    </row>
    <row r="468" spans="1:3" ht="15.75" customHeight="1" x14ac:dyDescent="0.35">
      <c r="A468" s="33"/>
      <c r="B468" s="107"/>
      <c r="C468" s="118"/>
    </row>
    <row r="469" spans="1:3" ht="15.75" customHeight="1" x14ac:dyDescent="0.35">
      <c r="A469" s="33"/>
      <c r="B469" s="107"/>
      <c r="C469" s="118"/>
    </row>
    <row r="470" spans="1:3" ht="15.75" customHeight="1" x14ac:dyDescent="0.35">
      <c r="A470" s="33"/>
      <c r="B470" s="107"/>
      <c r="C470" s="118"/>
    </row>
    <row r="471" spans="1:3" ht="15.75" customHeight="1" x14ac:dyDescent="0.35">
      <c r="A471" s="33"/>
      <c r="B471" s="107"/>
      <c r="C471" s="118"/>
    </row>
    <row r="472" spans="1:3" ht="15.75" customHeight="1" x14ac:dyDescent="0.35">
      <c r="A472" s="33"/>
      <c r="B472" s="107"/>
      <c r="C472" s="118"/>
    </row>
    <row r="473" spans="1:3" ht="15.75" customHeight="1" x14ac:dyDescent="0.35">
      <c r="A473" s="33"/>
      <c r="B473" s="107"/>
      <c r="C473" s="118"/>
    </row>
    <row r="474" spans="1:3" ht="15.75" customHeight="1" x14ac:dyDescent="0.35">
      <c r="A474" s="33"/>
      <c r="B474" s="107"/>
      <c r="C474" s="118"/>
    </row>
    <row r="475" spans="1:3" ht="15.75" customHeight="1" x14ac:dyDescent="0.35">
      <c r="A475" s="33"/>
      <c r="B475" s="107"/>
      <c r="C475" s="118"/>
    </row>
    <row r="476" spans="1:3" ht="15.75" customHeight="1" x14ac:dyDescent="0.35">
      <c r="A476" s="33"/>
      <c r="B476" s="107"/>
      <c r="C476" s="118"/>
    </row>
    <row r="477" spans="1:3" ht="15.75" customHeight="1" x14ac:dyDescent="0.35">
      <c r="A477" s="33"/>
      <c r="B477" s="107"/>
      <c r="C477" s="118"/>
    </row>
    <row r="478" spans="1:3" ht="15.75" customHeight="1" x14ac:dyDescent="0.35">
      <c r="A478" s="33"/>
      <c r="B478" s="107"/>
      <c r="C478" s="118"/>
    </row>
    <row r="479" spans="1:3" ht="15.75" customHeight="1" x14ac:dyDescent="0.35">
      <c r="A479" s="33"/>
      <c r="B479" s="107"/>
      <c r="C479" s="118"/>
    </row>
    <row r="480" spans="1:3" ht="15.75" customHeight="1" x14ac:dyDescent="0.35">
      <c r="A480" s="33"/>
      <c r="B480" s="107"/>
      <c r="C480" s="118"/>
    </row>
    <row r="481" spans="1:3" ht="15.75" customHeight="1" x14ac:dyDescent="0.35">
      <c r="A481" s="33"/>
      <c r="B481" s="107"/>
      <c r="C481" s="118"/>
    </row>
    <row r="482" spans="1:3" ht="15.75" customHeight="1" x14ac:dyDescent="0.35">
      <c r="A482" s="33"/>
      <c r="B482" s="107"/>
      <c r="C482" s="118"/>
    </row>
    <row r="483" spans="1:3" ht="15.75" customHeight="1" x14ac:dyDescent="0.35">
      <c r="A483" s="33"/>
      <c r="B483" s="107"/>
      <c r="C483" s="118"/>
    </row>
    <row r="484" spans="1:3" ht="15.75" customHeight="1" x14ac:dyDescent="0.35">
      <c r="A484" s="33"/>
      <c r="B484" s="107"/>
      <c r="C484" s="118"/>
    </row>
    <row r="485" spans="1:3" ht="15.75" customHeight="1" x14ac:dyDescent="0.35">
      <c r="A485" s="33"/>
      <c r="B485" s="107"/>
      <c r="C485" s="118"/>
    </row>
    <row r="486" spans="1:3" ht="15.75" customHeight="1" x14ac:dyDescent="0.35">
      <c r="A486" s="33"/>
      <c r="B486" s="107"/>
      <c r="C486" s="118"/>
    </row>
    <row r="487" spans="1:3" ht="15.75" customHeight="1" x14ac:dyDescent="0.35">
      <c r="A487" s="33"/>
      <c r="B487" s="107"/>
      <c r="C487" s="118"/>
    </row>
    <row r="488" spans="1:3" ht="15.75" customHeight="1" x14ac:dyDescent="0.35">
      <c r="A488" s="33"/>
      <c r="B488" s="107"/>
      <c r="C488" s="118"/>
    </row>
    <row r="489" spans="1:3" ht="15.75" customHeight="1" x14ac:dyDescent="0.35">
      <c r="A489" s="33"/>
      <c r="B489" s="107"/>
      <c r="C489" s="118"/>
    </row>
    <row r="490" spans="1:3" ht="15.75" customHeight="1" x14ac:dyDescent="0.35">
      <c r="A490" s="33"/>
      <c r="B490" s="107"/>
      <c r="C490" s="118"/>
    </row>
    <row r="491" spans="1:3" ht="15.75" customHeight="1" x14ac:dyDescent="0.35">
      <c r="A491" s="33"/>
      <c r="B491" s="107"/>
      <c r="C491" s="118"/>
    </row>
    <row r="492" spans="1:3" ht="15.75" customHeight="1" x14ac:dyDescent="0.35">
      <c r="A492" s="33"/>
      <c r="B492" s="107"/>
      <c r="C492" s="118"/>
    </row>
    <row r="493" spans="1:3" ht="15.75" customHeight="1" x14ac:dyDescent="0.35">
      <c r="A493" s="33"/>
      <c r="B493" s="107"/>
      <c r="C493" s="118"/>
    </row>
    <row r="494" spans="1:3" ht="15.75" customHeight="1" x14ac:dyDescent="0.35">
      <c r="A494" s="33"/>
      <c r="B494" s="107"/>
      <c r="C494" s="118"/>
    </row>
    <row r="495" spans="1:3" ht="15.75" customHeight="1" x14ac:dyDescent="0.35">
      <c r="A495" s="33"/>
      <c r="B495" s="107"/>
      <c r="C495" s="118"/>
    </row>
    <row r="496" spans="1:3" ht="15.75" customHeight="1" x14ac:dyDescent="0.35">
      <c r="A496" s="33"/>
      <c r="B496" s="107"/>
      <c r="C496" s="118"/>
    </row>
    <row r="497" spans="1:3" ht="15.75" customHeight="1" x14ac:dyDescent="0.35">
      <c r="A497" s="33"/>
      <c r="B497" s="107"/>
      <c r="C497" s="118"/>
    </row>
    <row r="498" spans="1:3" ht="15.75" customHeight="1" x14ac:dyDescent="0.35">
      <c r="A498" s="33"/>
      <c r="B498" s="107"/>
      <c r="C498" s="118"/>
    </row>
    <row r="499" spans="1:3" ht="15.75" customHeight="1" x14ac:dyDescent="0.35">
      <c r="A499" s="33"/>
      <c r="B499" s="107"/>
      <c r="C499" s="118"/>
    </row>
    <row r="500" spans="1:3" ht="15.75" customHeight="1" x14ac:dyDescent="0.35">
      <c r="A500" s="33"/>
      <c r="B500" s="107"/>
      <c r="C500" s="118"/>
    </row>
    <row r="501" spans="1:3" ht="15.75" customHeight="1" x14ac:dyDescent="0.35">
      <c r="A501" s="33"/>
      <c r="B501" s="107"/>
      <c r="C501" s="118"/>
    </row>
    <row r="502" spans="1:3" ht="15.75" customHeight="1" x14ac:dyDescent="0.35">
      <c r="A502" s="33"/>
      <c r="B502" s="107"/>
      <c r="C502" s="118"/>
    </row>
    <row r="503" spans="1:3" ht="15.75" customHeight="1" x14ac:dyDescent="0.35">
      <c r="A503" s="33"/>
      <c r="B503" s="107"/>
      <c r="C503" s="118"/>
    </row>
    <row r="504" spans="1:3" ht="15.75" customHeight="1" x14ac:dyDescent="0.35">
      <c r="A504" s="33"/>
      <c r="B504" s="107"/>
      <c r="C504" s="118"/>
    </row>
    <row r="505" spans="1:3" ht="15.75" customHeight="1" x14ac:dyDescent="0.35">
      <c r="A505" s="33"/>
      <c r="B505" s="107"/>
      <c r="C505" s="118"/>
    </row>
    <row r="506" spans="1:3" ht="15.75" customHeight="1" x14ac:dyDescent="0.35">
      <c r="A506" s="33"/>
      <c r="B506" s="107"/>
      <c r="C506" s="118"/>
    </row>
    <row r="507" spans="1:3" ht="15.75" customHeight="1" x14ac:dyDescent="0.35">
      <c r="A507" s="33"/>
      <c r="B507" s="107"/>
      <c r="C507" s="118"/>
    </row>
    <row r="508" spans="1:3" ht="15.75" customHeight="1" x14ac:dyDescent="0.35">
      <c r="A508" s="33"/>
      <c r="B508" s="107"/>
      <c r="C508" s="118"/>
    </row>
    <row r="509" spans="1:3" ht="15.75" customHeight="1" x14ac:dyDescent="0.35">
      <c r="A509" s="33"/>
      <c r="B509" s="107"/>
      <c r="C509" s="118"/>
    </row>
    <row r="510" spans="1:3" ht="15.75" customHeight="1" x14ac:dyDescent="0.35">
      <c r="A510" s="33"/>
      <c r="B510" s="107"/>
      <c r="C510" s="118"/>
    </row>
    <row r="511" spans="1:3" ht="15.75" customHeight="1" x14ac:dyDescent="0.35">
      <c r="A511" s="33"/>
      <c r="B511" s="107"/>
      <c r="C511" s="118"/>
    </row>
    <row r="512" spans="1:3" ht="15.75" customHeight="1" x14ac:dyDescent="0.35">
      <c r="A512" s="33"/>
      <c r="B512" s="107"/>
      <c r="C512" s="118"/>
    </row>
    <row r="513" spans="1:3" ht="15.75" customHeight="1" x14ac:dyDescent="0.35">
      <c r="A513" s="33"/>
      <c r="B513" s="107"/>
      <c r="C513" s="118"/>
    </row>
    <row r="514" spans="1:3" ht="15.75" customHeight="1" x14ac:dyDescent="0.35">
      <c r="A514" s="33"/>
      <c r="B514" s="107"/>
      <c r="C514" s="118"/>
    </row>
    <row r="515" spans="1:3" ht="15.75" customHeight="1" x14ac:dyDescent="0.35">
      <c r="A515" s="33"/>
      <c r="B515" s="107"/>
      <c r="C515" s="118"/>
    </row>
    <row r="516" spans="1:3" ht="15.75" customHeight="1" x14ac:dyDescent="0.35">
      <c r="A516" s="33"/>
      <c r="B516" s="107"/>
      <c r="C516" s="118"/>
    </row>
    <row r="517" spans="1:3" ht="15.75" customHeight="1" x14ac:dyDescent="0.35">
      <c r="A517" s="33"/>
      <c r="B517" s="107"/>
      <c r="C517" s="118"/>
    </row>
    <row r="518" spans="1:3" ht="15.75" customHeight="1" x14ac:dyDescent="0.35">
      <c r="A518" s="33"/>
      <c r="B518" s="107"/>
      <c r="C518" s="118"/>
    </row>
    <row r="519" spans="1:3" ht="15.75" customHeight="1" x14ac:dyDescent="0.35">
      <c r="A519" s="33"/>
      <c r="B519" s="107"/>
      <c r="C519" s="118"/>
    </row>
    <row r="520" spans="1:3" ht="15.75" customHeight="1" x14ac:dyDescent="0.35">
      <c r="A520" s="33"/>
      <c r="B520" s="107"/>
      <c r="C520" s="118"/>
    </row>
  </sheetData>
  <pageMargins left="0.7" right="0.7" top="0.75" bottom="0.75" header="0.511811023622047" footer="0.511811023622047"/>
  <pageSetup paperSize="9" scale="8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INCOME</vt:lpstr>
      <vt:lpstr>RECON</vt:lpstr>
      <vt:lpstr> EXPENSES</vt:lpstr>
      <vt:lpstr> EXPENSES HOUSE</vt:lpstr>
      <vt:lpstr>MONTHLY FOR THE YEAR</vt:lpstr>
      <vt:lpstr>INCOME!Print_Area</vt:lpstr>
      <vt:lpstr>RECON!Print_Area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dc:description/>
  <cp:lastModifiedBy>Andrisa Schnell</cp:lastModifiedBy>
  <cp:revision>2</cp:revision>
  <cp:lastPrinted>2026-01-20T06:48:50Z</cp:lastPrinted>
  <dcterms:created xsi:type="dcterms:W3CDTF">2020-05-26T08:43:05Z</dcterms:created>
  <dcterms:modified xsi:type="dcterms:W3CDTF">2026-03-15T08:33:22Z</dcterms:modified>
  <dc:language>en-US</dc:language>
</cp:coreProperties>
</file>