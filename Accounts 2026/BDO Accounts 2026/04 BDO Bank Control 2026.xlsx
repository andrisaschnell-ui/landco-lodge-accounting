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BDO Accounts 2026\"/>
    </mc:Choice>
  </mc:AlternateContent>
  <xr:revisionPtr revIDLastSave="0" documentId="13_ncr:1_{EE1934E8-CFCA-47CD-A572-A5C1648CEE73}" xr6:coauthVersionLast="47" xr6:coauthVersionMax="47" xr10:uidLastSave="{00000000-0000-0000-0000-000000000000}"/>
  <bookViews>
    <workbookView xWindow="-108" yWindow="-108" windowWidth="23256" windowHeight="12456" tabRatio="500" firstSheet="3" activeTab="3" xr2:uid="{00000000-000D-0000-FFFF-FFFF00000000}"/>
  </bookViews>
  <sheets>
    <sheet name="Summary" sheetId="1" r:id="rId1"/>
    <sheet name="Creditors" sheetId="2" r:id="rId2"/>
    <sheet name="Shareholders investment" sheetId="16" r:id="rId3"/>
    <sheet name="Invoices " sheetId="13" r:id="rId4"/>
    <sheet name="BIM Bank Control USD" sheetId="4" r:id="rId5"/>
    <sheet name="BIM Bank Control Mtn" sheetId="5" r:id="rId6"/>
    <sheet name="Petty cash " sheetId="18" r:id="rId7"/>
    <sheet name="Pre-paid" sheetId="9" r:id="rId8"/>
    <sheet name="Folha de salarios" sheetId="22" r:id="rId9"/>
    <sheet name="Original Inv Outstanding" sheetId="8" r:id="rId10"/>
  </sheets>
  <externalReferences>
    <externalReference r:id="rId11"/>
  </externalReferences>
  <definedNames>
    <definedName name="_xlnm._FilterDatabase" localSheetId="5" hidden="1">'BIM Bank Control Mtn'!$A$11:$Z$68</definedName>
    <definedName name="_xlnm._FilterDatabase" localSheetId="8" hidden="1">'Folha de salarios'!$A$9:$AQ$31</definedName>
    <definedName name="_xlnm._FilterDatabase" localSheetId="6" hidden="1">'Petty cash '!$A$10:$W$37</definedName>
    <definedName name="_xlnm._FilterDatabase" localSheetId="7" hidden="1">'Pre-paid'!$A$10:$W$29</definedName>
    <definedName name="_xlnm.Print_Area" localSheetId="5">'BIM Bank Control Mtn'!$A$1:$L$68</definedName>
    <definedName name="_xlnm.Print_Area" localSheetId="1">Creditors!$A$1:$I$21</definedName>
    <definedName name="_xlnm.Print_Area" localSheetId="8">'Folha de salarios'!$A$1:$AH$43</definedName>
    <definedName name="_xlnm.Print_Area" localSheetId="3">'Invoices '!$A$1:$G$27</definedName>
    <definedName name="_xlnm.Print_Area" localSheetId="2">'Shareholders investment'!$A$1:$G$27</definedName>
    <definedName name="_xlnm.Print_Area" localSheetId="0">Summary!$A$1:$J$38</definedName>
    <definedName name="_xlnm.Print_Titles" localSheetId="8">'Folha de salarios'!$4:$9</definedName>
    <definedName name="Z_689895ED_8DF8_466C_90EE_5C2362D49AE1__wvu_PrintArea" localSheetId="8">'Folha de salarios'!$A$4:$AB$42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6" l="1"/>
  <c r="G15" i="16"/>
  <c r="AB31" i="22" l="1"/>
  <c r="AA31" i="22"/>
  <c r="Z31" i="22"/>
  <c r="W31" i="22"/>
  <c r="V31" i="22"/>
  <c r="U31" i="22"/>
  <c r="S31" i="22"/>
  <c r="Q31" i="22"/>
  <c r="L31" i="22"/>
  <c r="J31" i="22"/>
  <c r="R30" i="22"/>
  <c r="N30" i="22"/>
  <c r="T30" i="22" s="1"/>
  <c r="T29" i="22"/>
  <c r="R29" i="22"/>
  <c r="N29" i="22"/>
  <c r="X29" i="22" s="1"/>
  <c r="X28" i="22"/>
  <c r="R28" i="22"/>
  <c r="N28" i="22"/>
  <c r="R27" i="22"/>
  <c r="N27" i="22"/>
  <c r="T27" i="22" s="1"/>
  <c r="T26" i="22"/>
  <c r="Y26" i="22" s="1"/>
  <c r="R26" i="22"/>
  <c r="N26" i="22"/>
  <c r="X26" i="22" s="1"/>
  <c r="X25" i="22"/>
  <c r="R25" i="22"/>
  <c r="N25" i="22"/>
  <c r="R24" i="22"/>
  <c r="N24" i="22"/>
  <c r="T24" i="22" s="1"/>
  <c r="T23" i="22"/>
  <c r="R23" i="22"/>
  <c r="N23" i="22"/>
  <c r="X23" i="22" s="1"/>
  <c r="X22" i="22"/>
  <c r="T22" i="22"/>
  <c r="R22" i="22"/>
  <c r="Y22" i="22" s="1"/>
  <c r="N22" i="22"/>
  <c r="R21" i="22"/>
  <c r="N21" i="22"/>
  <c r="T21" i="22" s="1"/>
  <c r="T20" i="22"/>
  <c r="R20" i="22"/>
  <c r="N20" i="22"/>
  <c r="X20" i="22" s="1"/>
  <c r="X19" i="22"/>
  <c r="T19" i="22"/>
  <c r="R19" i="22"/>
  <c r="Y19" i="22" s="1"/>
  <c r="N19" i="22"/>
  <c r="T18" i="22"/>
  <c r="R18" i="22"/>
  <c r="P18" i="22"/>
  <c r="N18" i="22"/>
  <c r="X17" i="22"/>
  <c r="T17" i="22"/>
  <c r="R17" i="22"/>
  <c r="P17" i="22"/>
  <c r="Y17" i="22" s="1"/>
  <c r="N17" i="22"/>
  <c r="X16" i="22"/>
  <c r="R16" i="22"/>
  <c r="P16" i="22"/>
  <c r="Y16" i="22" s="1"/>
  <c r="N16" i="22"/>
  <c r="T16" i="22" s="1"/>
  <c r="X15" i="22"/>
  <c r="R15" i="22"/>
  <c r="N15" i="22"/>
  <c r="T15" i="22" s="1"/>
  <c r="T14" i="22"/>
  <c r="R14" i="22"/>
  <c r="N14" i="22"/>
  <c r="X14" i="22" s="1"/>
  <c r="R13" i="22"/>
  <c r="N13" i="22"/>
  <c r="P13" i="22" s="1"/>
  <c r="R12" i="22"/>
  <c r="N12" i="22"/>
  <c r="T12" i="22" s="1"/>
  <c r="T11" i="22"/>
  <c r="R11" i="22"/>
  <c r="N11" i="22"/>
  <c r="A11" i="22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T10" i="22"/>
  <c r="R10" i="22"/>
  <c r="R31" i="22" s="1"/>
  <c r="N10" i="22"/>
  <c r="X10" i="22" s="1"/>
  <c r="AC16" i="22" l="1"/>
  <c r="AE16" i="22" s="1"/>
  <c r="AF16" i="22" s="1"/>
  <c r="AD16" i="22"/>
  <c r="Y20" i="22"/>
  <c r="AD26" i="22"/>
  <c r="AC26" i="22"/>
  <c r="AE26" i="22" s="1"/>
  <c r="AF26" i="22" s="1"/>
  <c r="Y23" i="22"/>
  <c r="Y29" i="22"/>
  <c r="AC17" i="22"/>
  <c r="AE17" i="22" s="1"/>
  <c r="AF17" i="22" s="1"/>
  <c r="AD17" i="22"/>
  <c r="AD19" i="22"/>
  <c r="AC19" i="22"/>
  <c r="AD22" i="22"/>
  <c r="AC22" i="22"/>
  <c r="AE22" i="22" s="1"/>
  <c r="AF22" i="22" s="1"/>
  <c r="Y25" i="22"/>
  <c r="Y28" i="22"/>
  <c r="Y10" i="22"/>
  <c r="P11" i="22"/>
  <c r="T13" i="22"/>
  <c r="Y13" i="22" s="1"/>
  <c r="X18" i="22"/>
  <c r="Y18" i="22" s="1"/>
  <c r="X21" i="22"/>
  <c r="Y21" i="22" s="1"/>
  <c r="X24" i="22"/>
  <c r="X27" i="22"/>
  <c r="X30" i="22"/>
  <c r="N31" i="22"/>
  <c r="X13" i="22"/>
  <c r="P14" i="22"/>
  <c r="Y14" i="22" s="1"/>
  <c r="Y24" i="22"/>
  <c r="T25" i="22"/>
  <c r="Y27" i="22"/>
  <c r="T28" i="22"/>
  <c r="Y30" i="22"/>
  <c r="X11" i="22"/>
  <c r="X31" i="22" s="1"/>
  <c r="P12" i="22"/>
  <c r="Y12" i="22" s="1"/>
  <c r="P15" i="22"/>
  <c r="Y15" i="22" s="1"/>
  <c r="X12" i="22"/>
  <c r="AH18" i="22" l="1"/>
  <c r="AI18" i="22" s="1"/>
  <c r="AC18" i="22"/>
  <c r="AD18" i="22"/>
  <c r="AD13" i="22"/>
  <c r="AC13" i="22"/>
  <c r="AE13" i="22" s="1"/>
  <c r="AF13" i="22" s="1"/>
  <c r="AH21" i="22"/>
  <c r="AI21" i="22" s="1"/>
  <c r="AD21" i="22"/>
  <c r="AC21" i="22"/>
  <c r="AE21" i="22" s="1"/>
  <c r="AF21" i="22" s="1"/>
  <c r="AD15" i="22"/>
  <c r="AC15" i="22"/>
  <c r="AE15" i="22" s="1"/>
  <c r="AF15" i="22" s="1"/>
  <c r="AD12" i="22"/>
  <c r="AC12" i="22"/>
  <c r="AC28" i="22"/>
  <c r="AH28" i="22"/>
  <c r="AI28" i="22" s="1"/>
  <c r="AD28" i="22"/>
  <c r="AD25" i="22"/>
  <c r="AC25" i="22"/>
  <c r="AE25" i="22" s="1"/>
  <c r="AF25" i="22" s="1"/>
  <c r="AH25" i="22"/>
  <c r="AI25" i="22" s="1"/>
  <c r="AC24" i="22"/>
  <c r="AD24" i="22"/>
  <c r="AD14" i="22"/>
  <c r="AC14" i="22"/>
  <c r="AE14" i="22" s="1"/>
  <c r="AF14" i="22" s="1"/>
  <c r="AF20" i="22"/>
  <c r="AD20" i="22"/>
  <c r="AC20" i="22"/>
  <c r="AE20" i="22" s="1"/>
  <c r="AD30" i="22"/>
  <c r="AC30" i="22"/>
  <c r="AE30" i="22" s="1"/>
  <c r="AF30" i="22" s="1"/>
  <c r="P31" i="22"/>
  <c r="AD29" i="22"/>
  <c r="AC29" i="22"/>
  <c r="T31" i="22"/>
  <c r="AD23" i="22"/>
  <c r="AC23" i="22"/>
  <c r="AE23" i="22" s="1"/>
  <c r="AF23" i="22" s="1"/>
  <c r="AD27" i="22"/>
  <c r="AC27" i="22"/>
  <c r="AE27" i="22" s="1"/>
  <c r="AF27" i="22" s="1"/>
  <c r="AD10" i="22"/>
  <c r="AC10" i="22"/>
  <c r="Y11" i="22"/>
  <c r="AE19" i="22"/>
  <c r="AF19" i="22" s="1"/>
  <c r="AE24" i="22" l="1"/>
  <c r="AF24" i="22" s="1"/>
  <c r="AE28" i="22"/>
  <c r="AF28" i="22" s="1"/>
  <c r="AE18" i="22"/>
  <c r="AF18" i="22" s="1"/>
  <c r="AE10" i="22"/>
  <c r="AD11" i="22"/>
  <c r="AD31" i="22" s="1"/>
  <c r="AC11" i="22"/>
  <c r="AE11" i="22" s="1"/>
  <c r="AF11" i="22" s="1"/>
  <c r="Y31" i="22"/>
  <c r="AC32" i="22" s="1"/>
  <c r="AH10" i="22"/>
  <c r="AE29" i="22"/>
  <c r="AF29" i="22" s="1"/>
  <c r="AE12" i="22"/>
  <c r="AF12" i="22" s="1"/>
  <c r="AE31" i="22" l="1"/>
  <c r="AF10" i="22"/>
  <c r="AF31" i="22" s="1"/>
  <c r="AF34" i="22" s="1"/>
  <c r="AC31" i="22"/>
  <c r="AH31" i="22"/>
  <c r="AI10" i="22"/>
  <c r="AI34" i="22" s="1"/>
  <c r="AH32" i="22" l="1"/>
  <c r="AH34" i="22" s="1"/>
  <c r="E15" i="13" l="1"/>
  <c r="F15" i="13" s="1"/>
  <c r="A58" i="5" l="1"/>
  <c r="A59" i="5" s="1"/>
  <c r="A60" i="5" s="1"/>
  <c r="A61" i="5" s="1"/>
  <c r="A62" i="5" s="1"/>
  <c r="A63" i="5" s="1"/>
  <c r="A64" i="5" s="1"/>
  <c r="L39" i="5" l="1"/>
  <c r="L40" i="5"/>
  <c r="L41" i="5"/>
  <c r="L38" i="5" l="1"/>
  <c r="L42" i="5"/>
  <c r="L43" i="5"/>
  <c r="L44" i="5"/>
  <c r="L45" i="5"/>
  <c r="L46" i="5"/>
  <c r="L47" i="5"/>
  <c r="A38" i="5"/>
  <c r="A39" i="5"/>
  <c r="A40" i="5" s="1"/>
  <c r="A41" i="5" s="1"/>
  <c r="A42" i="5" s="1"/>
  <c r="A43" i="5" s="1"/>
  <c r="A44" i="5" s="1"/>
  <c r="H4" i="4"/>
  <c r="I33" i="1" l="1"/>
  <c r="J67" i="5" l="1"/>
  <c r="G11" i="5" l="1"/>
  <c r="I16" i="18" l="1"/>
  <c r="I15" i="18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L13" i="5"/>
  <c r="L32" i="5" l="1"/>
  <c r="L35" i="5"/>
  <c r="L34" i="5"/>
  <c r="L31" i="5"/>
  <c r="L30" i="5"/>
  <c r="J12" i="9" l="1"/>
  <c r="J13" i="9"/>
  <c r="L66" i="5" l="1"/>
  <c r="L51" i="5"/>
  <c r="L53" i="5"/>
  <c r="L54" i="5"/>
  <c r="J13" i="18" l="1"/>
  <c r="F37" i="18"/>
  <c r="G37" i="18"/>
  <c r="J12" i="18"/>
  <c r="L52" i="5"/>
  <c r="L60" i="5" l="1"/>
  <c r="L61" i="5"/>
  <c r="L62" i="5"/>
  <c r="L63" i="5"/>
  <c r="L64" i="5"/>
  <c r="L65" i="5"/>
  <c r="H67" i="5"/>
  <c r="L59" i="5"/>
  <c r="L50" i="5"/>
  <c r="L48" i="5"/>
  <c r="L49" i="5"/>
  <c r="I14" i="18" l="1"/>
  <c r="I37" i="18" s="1"/>
  <c r="J17" i="18" l="1"/>
  <c r="J18" i="18"/>
  <c r="J19" i="18"/>
  <c r="G67" i="5" l="1"/>
  <c r="L55" i="5" l="1"/>
  <c r="G13" i="4" l="1"/>
  <c r="J15" i="18" l="1"/>
  <c r="J16" i="18"/>
  <c r="J14" i="18"/>
  <c r="J37" i="18" s="1"/>
  <c r="G5" i="18" l="1"/>
  <c r="G6" i="18" s="1"/>
  <c r="G7" i="18"/>
  <c r="I36" i="18"/>
  <c r="J36" i="18" s="1"/>
  <c r="I35" i="18"/>
  <c r="J35" i="18" s="1"/>
  <c r="I34" i="18"/>
  <c r="J34" i="18" s="1"/>
  <c r="I33" i="18"/>
  <c r="J33" i="18" s="1"/>
  <c r="I32" i="18"/>
  <c r="J32" i="18" s="1"/>
  <c r="I31" i="18"/>
  <c r="J31" i="18" s="1"/>
  <c r="I30" i="18"/>
  <c r="J30" i="18" s="1"/>
  <c r="I29" i="18"/>
  <c r="J29" i="18" s="1"/>
  <c r="I28" i="18"/>
  <c r="J28" i="18" s="1"/>
  <c r="I27" i="18"/>
  <c r="J27" i="18" s="1"/>
  <c r="I26" i="18"/>
  <c r="J26" i="18" s="1"/>
  <c r="I25" i="18"/>
  <c r="J25" i="18" s="1"/>
  <c r="I24" i="18"/>
  <c r="J24" i="18" s="1"/>
  <c r="J22" i="18"/>
  <c r="J20" i="18"/>
  <c r="H11" i="18"/>
  <c r="H12" i="18" s="1"/>
  <c r="H13" i="18" l="1"/>
  <c r="G8" i="18"/>
  <c r="I17" i="1"/>
  <c r="J21" i="18"/>
  <c r="E26" i="1" s="1"/>
  <c r="H14" i="18" l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H35" i="18" s="1"/>
  <c r="H36" i="18" s="1"/>
  <c r="H37" i="18" s="1"/>
  <c r="L19" i="5" l="1"/>
  <c r="L28" i="5"/>
  <c r="A16" i="16"/>
  <c r="A17" i="16" s="1"/>
  <c r="A18" i="16" s="1"/>
  <c r="A19" i="16" s="1"/>
  <c r="A20" i="16" s="1"/>
  <c r="A21" i="16" s="1"/>
  <c r="A22" i="16" s="1"/>
  <c r="A23" i="16" s="1"/>
  <c r="H11" i="9" l="1"/>
  <c r="H12" i="9" s="1"/>
  <c r="G25" i="13" l="1"/>
  <c r="G26" i="13" s="1"/>
  <c r="F26" i="13"/>
  <c r="H24" i="1" s="1"/>
  <c r="E26" i="13" l="1"/>
  <c r="F16" i="1" s="1"/>
  <c r="A37" i="5" l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65" i="5" s="1"/>
  <c r="A66" i="5" s="1"/>
  <c r="J5" i="5"/>
  <c r="L18" i="5" l="1"/>
  <c r="L17" i="5"/>
  <c r="L12" i="5" l="1"/>
  <c r="L11" i="5"/>
  <c r="F29" i="9" l="1"/>
  <c r="G5" i="9" s="1"/>
  <c r="G29" i="9"/>
  <c r="G7" i="9" s="1"/>
  <c r="H13" i="9" l="1"/>
  <c r="I29" i="9"/>
  <c r="I18" i="1" s="1"/>
  <c r="G6" i="9"/>
  <c r="G8" i="9" s="1"/>
  <c r="J29" i="9"/>
  <c r="L37" i="5"/>
  <c r="L58" i="5"/>
  <c r="H14" i="9" l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E25" i="1"/>
  <c r="G53" i="8"/>
  <c r="F52" i="8"/>
  <c r="E52" i="8" s="1"/>
  <c r="F51" i="8"/>
  <c r="E51" i="8" s="1"/>
  <c r="F50" i="8"/>
  <c r="E50" i="8"/>
  <c r="F49" i="8"/>
  <c r="E49" i="8"/>
  <c r="F48" i="8"/>
  <c r="E48" i="8"/>
  <c r="F47" i="8"/>
  <c r="E47" i="8"/>
  <c r="F46" i="8"/>
  <c r="E46" i="8"/>
  <c r="F45" i="8"/>
  <c r="E44" i="8"/>
  <c r="E43" i="8"/>
  <c r="F37" i="8"/>
  <c r="G25" i="8"/>
  <c r="E25" i="8"/>
  <c r="F19" i="8"/>
  <c r="F18" i="8"/>
  <c r="F17" i="8"/>
  <c r="F16" i="8"/>
  <c r="F25" i="8"/>
  <c r="L57" i="5"/>
  <c r="L56" i="5"/>
  <c r="L36" i="5"/>
  <c r="L33" i="5"/>
  <c r="L29" i="5"/>
  <c r="L27" i="5"/>
  <c r="L26" i="5"/>
  <c r="L25" i="5"/>
  <c r="L24" i="5"/>
  <c r="L23" i="5"/>
  <c r="L22" i="5"/>
  <c r="L21" i="5"/>
  <c r="L20" i="5"/>
  <c r="L16" i="5"/>
  <c r="L15" i="5"/>
  <c r="L14" i="5"/>
  <c r="I11" i="5"/>
  <c r="I12" i="5" s="1"/>
  <c r="H42" i="4"/>
  <c r="H6" i="4" s="1"/>
  <c r="G42" i="4"/>
  <c r="J41" i="4"/>
  <c r="K41" i="4" s="1"/>
  <c r="J40" i="4"/>
  <c r="K40" i="4" s="1"/>
  <c r="J39" i="4"/>
  <c r="K39" i="4" s="1"/>
  <c r="J38" i="4"/>
  <c r="K38" i="4" s="1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K21" i="4"/>
  <c r="J20" i="4"/>
  <c r="K20" i="4" s="1"/>
  <c r="K19" i="4"/>
  <c r="K18" i="4"/>
  <c r="K17" i="4"/>
  <c r="K16" i="4"/>
  <c r="K15" i="4"/>
  <c r="K14" i="4"/>
  <c r="J13" i="4"/>
  <c r="K13" i="4" s="1"/>
  <c r="I13" i="4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19" i="2"/>
  <c r="H18" i="2"/>
  <c r="H17" i="2"/>
  <c r="G17" i="2" s="1"/>
  <c r="H16" i="2"/>
  <c r="G16" i="2"/>
  <c r="I13" i="5" l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H5" i="4"/>
  <c r="H7" i="4" s="1"/>
  <c r="I42" i="4"/>
  <c r="G68" i="5"/>
  <c r="J3" i="5"/>
  <c r="J4" i="5" s="1"/>
  <c r="J6" i="5" s="1"/>
  <c r="I67" i="5"/>
  <c r="F28" i="1"/>
  <c r="G19" i="2"/>
  <c r="E22" i="1" s="1"/>
  <c r="K42" i="4"/>
  <c r="H19" i="2"/>
  <c r="I15" i="1" s="1"/>
  <c r="J42" i="4"/>
  <c r="I30" i="1"/>
  <c r="F53" i="8"/>
  <c r="E45" i="8"/>
  <c r="E53" i="8" s="1"/>
  <c r="I26" i="5" l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M25" i="5"/>
  <c r="L67" i="5"/>
  <c r="I39" i="5" l="1"/>
  <c r="I40" i="5" s="1"/>
  <c r="I41" i="5" s="1"/>
  <c r="I42" i="5" s="1"/>
  <c r="I43" i="5" s="1"/>
  <c r="I44" i="5" s="1"/>
  <c r="I45" i="5" s="1"/>
  <c r="N34" i="5"/>
  <c r="E24" i="1"/>
  <c r="E28" i="1" s="1"/>
  <c r="F30" i="1" s="1"/>
  <c r="H68" i="5"/>
  <c r="I16" i="1"/>
  <c r="I20" i="1" s="1"/>
  <c r="I46" i="5" l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31" i="1"/>
  <c r="I32" i="1" s="1"/>
  <c r="I34" i="1" s="1"/>
  <c r="I57" i="5" l="1"/>
  <c r="I58" i="5" s="1"/>
  <c r="I59" i="5" s="1"/>
  <c r="I60" i="5" s="1"/>
  <c r="I61" i="5" s="1"/>
  <c r="I62" i="5" s="1"/>
  <c r="I63" i="5" s="1"/>
  <c r="I64" i="5" s="1"/>
  <c r="I65" i="5" s="1"/>
  <c r="I6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Z17" authorId="0" shapeId="0" xr:uid="{F7CB8F37-64A6-4CEE-AF01-E7BE91E0C6C2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500 Tracy</t>
        </r>
      </text>
    </comment>
    <comment ref="Z21" authorId="0" shapeId="0" xr:uid="{59A72076-FA84-4009-AA25-A93B1C7AE80B}">
      <text>
        <r>
          <rPr>
            <b/>
            <sz val="18"/>
            <color indexed="81"/>
            <rFont val="Tahoma"/>
            <family val="2"/>
          </rPr>
          <t>Andrisa:</t>
        </r>
        <r>
          <rPr>
            <sz val="18"/>
            <color indexed="81"/>
            <rFont val="Tahoma"/>
            <family val="2"/>
          </rPr>
          <t xml:space="preserve">
Doug 1000
Advance 5000
</t>
        </r>
      </text>
    </comment>
    <comment ref="S26" authorId="0" shapeId="0" xr:uid="{C9881717-F1B5-4E94-A8AB-3253206B0090}">
      <text>
        <r>
          <rPr>
            <b/>
            <sz val="14"/>
            <color indexed="81"/>
            <rFont val="Tahoma"/>
            <family val="2"/>
          </rPr>
          <t>Andrisa:</t>
        </r>
        <r>
          <rPr>
            <sz val="14"/>
            <color indexed="81"/>
            <rFont val="Tahoma"/>
            <family val="2"/>
          </rPr>
          <t xml:space="preserve">
Vilankulo day</t>
        </r>
      </text>
    </comment>
    <comment ref="S27" authorId="0" shapeId="0" xr:uid="{A28DB580-D93C-44B2-9BD3-A396F6CF828D}">
      <text>
        <r>
          <rPr>
            <b/>
            <sz val="14"/>
            <color indexed="81"/>
            <rFont val="Tahoma"/>
            <family val="2"/>
          </rPr>
          <t>Andrisa:</t>
        </r>
        <r>
          <rPr>
            <sz val="14"/>
            <color indexed="81"/>
            <rFont val="Tahoma"/>
            <family val="2"/>
          </rPr>
          <t xml:space="preserve">
Vilankulo day</t>
        </r>
      </text>
    </comment>
  </commentList>
</comments>
</file>

<file path=xl/sharedStrings.xml><?xml version="1.0" encoding="utf-8"?>
<sst xmlns="http://schemas.openxmlformats.org/spreadsheetml/2006/main" count="384" uniqueCount="230">
  <si>
    <t>LANDCO LDA</t>
  </si>
  <si>
    <t>SUMMARY OF MONTHLY INCOME AND EXPENDITURE</t>
  </si>
  <si>
    <t>AMOUNTS IN METICAIS</t>
  </si>
  <si>
    <t>EXCHANGE RATES / CAMBIOS:</t>
  </si>
  <si>
    <t xml:space="preserve">  Mtn / $</t>
  </si>
  <si>
    <t xml:space="preserve">  Mtn / R</t>
  </si>
  <si>
    <t>AMOUNTS EXCLUDING IVA</t>
  </si>
  <si>
    <t>INCOME :</t>
  </si>
  <si>
    <t>INPUT IVA</t>
  </si>
  <si>
    <t>CREDITORS</t>
  </si>
  <si>
    <t xml:space="preserve">TOTAL SALES </t>
  </si>
  <si>
    <t>BANK CONTROL</t>
  </si>
  <si>
    <t>CASH BOOK</t>
  </si>
  <si>
    <t>EXPENSES :</t>
  </si>
  <si>
    <t>ORIGINAL INVOICES OUTSTANDING</t>
  </si>
  <si>
    <t>TOTAL</t>
  </si>
  <si>
    <t>LOAN ACCOUNT EXPENSES</t>
  </si>
  <si>
    <t>OUTPUT IVA</t>
  </si>
  <si>
    <t>BANK PAYMENTS - BIM MZN</t>
  </si>
  <si>
    <t>CASH PAYMENTS</t>
  </si>
  <si>
    <r>
      <rPr>
        <b/>
        <sz val="8"/>
        <rFont val="Arial"/>
        <family val="2"/>
      </rPr>
      <t>CALCULATED IVA PAYABLE /</t>
    </r>
    <r>
      <rPr>
        <b/>
        <sz val="8"/>
        <color rgb="FFFF0000"/>
        <rFont val="Arial"/>
        <family val="2"/>
      </rPr>
      <t xml:space="preserve"> REFUNDABLE</t>
    </r>
  </si>
  <si>
    <r>
      <rPr>
        <b/>
        <sz val="8"/>
        <rFont val="Arial"/>
        <family val="2"/>
      </rPr>
      <t xml:space="preserve">PROFIT / </t>
    </r>
    <r>
      <rPr>
        <b/>
        <sz val="8"/>
        <color rgb="FFFF0000"/>
        <rFont val="Arial"/>
        <family val="2"/>
      </rPr>
      <t>LOSS</t>
    </r>
  </si>
  <si>
    <t>IVA CREDIT B/F (REF BDO)</t>
  </si>
  <si>
    <t>IVA CREDIT ORIGINAL IVA INV PRESENTED PREVIOUS MONTHS</t>
  </si>
  <si>
    <r>
      <rPr>
        <b/>
        <sz val="8"/>
        <rFont val="Arial"/>
        <family val="2"/>
      </rPr>
      <t xml:space="preserve">ESTIMATED IVA  (Payable or </t>
    </r>
    <r>
      <rPr>
        <b/>
        <sz val="8"/>
        <color rgb="FFFF0000"/>
        <rFont val="Arial"/>
        <family val="2"/>
      </rPr>
      <t>Refundable</t>
    </r>
    <r>
      <rPr>
        <b/>
        <sz val="8"/>
        <rFont val="Arial"/>
        <family val="2"/>
      </rPr>
      <t>):</t>
    </r>
  </si>
  <si>
    <t>est</t>
  </si>
  <si>
    <t>No</t>
  </si>
  <si>
    <t>DATE</t>
  </si>
  <si>
    <t>INV</t>
  </si>
  <si>
    <t>SUPPLIER</t>
  </si>
  <si>
    <t>DESCRIPTION</t>
  </si>
  <si>
    <t>ALLOCATION</t>
  </si>
  <si>
    <t>EXCL AMOUNT</t>
  </si>
  <si>
    <t>INCL AMOUNT</t>
  </si>
  <si>
    <t>TOTAL PURCHASES / TOTAL DESPESAS</t>
  </si>
  <si>
    <t>SUMMARY OF MONTHLY SALES / SUMMARIO DAS VENDAS MENSAIS</t>
  </si>
  <si>
    <t>AMOUNT VALOR</t>
  </si>
  <si>
    <t>IVA AT</t>
  </si>
  <si>
    <t>FACTURA</t>
  </si>
  <si>
    <t>DATA</t>
  </si>
  <si>
    <t>FAC</t>
  </si>
  <si>
    <t>DESCRIPTION / DESCRICAO</t>
  </si>
  <si>
    <t>EXCL IVA</t>
  </si>
  <si>
    <t>INCL IVA</t>
  </si>
  <si>
    <t>TOTAL SALES / TOTAL VENDAS</t>
  </si>
  <si>
    <t xml:space="preserve">            BANK CONTROL USD</t>
  </si>
  <si>
    <t>Controlo de Bancos</t>
  </si>
  <si>
    <t>Conta nº  93880869</t>
  </si>
  <si>
    <t>Valores em USD</t>
  </si>
  <si>
    <t>NIB 000 100 000 009 388 086 957</t>
  </si>
  <si>
    <t>BIM - Vilanculos</t>
  </si>
  <si>
    <t>Nº</t>
  </si>
  <si>
    <t>Data</t>
  </si>
  <si>
    <t>Nº. Cheque</t>
  </si>
  <si>
    <t>Empresa</t>
  </si>
  <si>
    <t>Descrição</t>
  </si>
  <si>
    <t>Allocação</t>
  </si>
  <si>
    <t>Entradas</t>
  </si>
  <si>
    <t>Saídas</t>
  </si>
  <si>
    <t>Saldo</t>
  </si>
  <si>
    <t>IVA</t>
  </si>
  <si>
    <t>Nett expense</t>
  </si>
  <si>
    <t>Doc</t>
  </si>
  <si>
    <t>/  Documento</t>
  </si>
  <si>
    <t>BIM</t>
  </si>
  <si>
    <t>BALANCE FORWARD</t>
  </si>
  <si>
    <t xml:space="preserve">            BANK CONTROL MTN</t>
  </si>
  <si>
    <t>Conta nº  93881257</t>
  </si>
  <si>
    <t>Valores em Mtn</t>
  </si>
  <si>
    <t>NIB 000 100 000 009 388 125 757</t>
  </si>
  <si>
    <t>Nett Income</t>
  </si>
  <si>
    <t>MTn</t>
  </si>
  <si>
    <t xml:space="preserve">   R E S U M O</t>
  </si>
  <si>
    <t>Balance bf</t>
  </si>
  <si>
    <t>Entrada</t>
  </si>
  <si>
    <t>Soma</t>
  </si>
  <si>
    <t>Saída</t>
  </si>
  <si>
    <t xml:space="preserve"> </t>
  </si>
  <si>
    <t xml:space="preserve">Existência </t>
  </si>
  <si>
    <t>REF</t>
  </si>
  <si>
    <t>ENTRADAS</t>
  </si>
  <si>
    <r>
      <rPr>
        <b/>
        <sz val="10"/>
        <rFont val="Calibri"/>
        <family val="2"/>
      </rPr>
      <t xml:space="preserve">SAIDAS </t>
    </r>
    <r>
      <rPr>
        <sz val="10"/>
        <rFont val="Calibri"/>
        <family val="2"/>
      </rPr>
      <t>(incl IVA)</t>
    </r>
  </si>
  <si>
    <t>Nett Expenses</t>
  </si>
  <si>
    <t>BALANCE</t>
  </si>
  <si>
    <t>Original Iva Invoices Outstanding From This Month</t>
  </si>
  <si>
    <t>AMOUNT</t>
  </si>
  <si>
    <t>NR</t>
  </si>
  <si>
    <t>Original Iva Invoices Outstanding From Previous Month Submitted This Month</t>
  </si>
  <si>
    <t>AUG</t>
  </si>
  <si>
    <t>BALANCE CARRY FORWARD</t>
  </si>
  <si>
    <t>IVA @ 16%</t>
  </si>
  <si>
    <t>PRE-PAID CARD</t>
  </si>
  <si>
    <t>DEBTOR</t>
  </si>
  <si>
    <t>DEBIT</t>
  </si>
  <si>
    <t>CREDIT</t>
  </si>
  <si>
    <t>B/F</t>
  </si>
  <si>
    <t>SUSPENSE</t>
  </si>
  <si>
    <t>cc</t>
  </si>
  <si>
    <t>TRF</t>
  </si>
  <si>
    <t>JANEIRIO</t>
  </si>
  <si>
    <t>FOLHA DE SALARIOS</t>
  </si>
  <si>
    <t>PAGINA 1</t>
  </si>
  <si>
    <t>EMPRESA :</t>
  </si>
  <si>
    <t>LANDCO LIMITADA</t>
  </si>
  <si>
    <t>NUIT :</t>
  </si>
  <si>
    <t>ANO :</t>
  </si>
  <si>
    <t>ACTIVIDADE :</t>
  </si>
  <si>
    <t xml:space="preserve">TURISMO </t>
  </si>
  <si>
    <t>LOCALIDADE :</t>
  </si>
  <si>
    <t>VILANCULOS</t>
  </si>
  <si>
    <t>MES :</t>
  </si>
  <si>
    <t>NO</t>
  </si>
  <si>
    <t>NOME DO TRABALHADOR</t>
  </si>
  <si>
    <t>Engagement Date</t>
  </si>
  <si>
    <t>NUIT NO</t>
  </si>
  <si>
    <t>CATEGORIA</t>
  </si>
  <si>
    <t>RETRIBUICAO</t>
  </si>
  <si>
    <t>DESCONTOS</t>
  </si>
  <si>
    <t>Salario Base 2024</t>
  </si>
  <si>
    <t>ALIMENTACAO</t>
  </si>
  <si>
    <t>Pagamentos Retroativos (Back Payment)</t>
  </si>
  <si>
    <t>DIAS DE TRABALHO</t>
  </si>
  <si>
    <t>SALARIO MENSAL</t>
  </si>
  <si>
    <t>NIGHTSHIFT HOURS</t>
  </si>
  <si>
    <t>25% GUARDAS</t>
  </si>
  <si>
    <t>HORAS CALCULADO 1.5</t>
  </si>
  <si>
    <t>VALOR PARA TRABALHOS EXTRAORDINARIOS (CALCULADOOS 1.5)</t>
  </si>
  <si>
    <t>HORAS CALCULADO 2</t>
  </si>
  <si>
    <t>VALOR PARA TRABALHOS EXTRAORDINARIO (CALCULADO 2)</t>
  </si>
  <si>
    <t>PREMIOS</t>
  </si>
  <si>
    <t>GRATIFICACOES</t>
  </si>
  <si>
    <t>DIAS DE FERIAS</t>
  </si>
  <si>
    <t>FERIA MONTANTE</t>
  </si>
  <si>
    <t xml:space="preserve">Total de Remuneração Mensal </t>
  </si>
  <si>
    <t>Salário adiantado (Advance)</t>
  </si>
  <si>
    <t>IRPS (A)</t>
  </si>
  <si>
    <t>DIVIDA (A)</t>
  </si>
  <si>
    <t>INSS (A)</t>
  </si>
  <si>
    <t>SIND (A)</t>
  </si>
  <si>
    <t>TOTAL DEDUCTIONS</t>
  </si>
  <si>
    <t>SALARIO LIQUIDO</t>
  </si>
  <si>
    <t>ARREDONDAMENTO</t>
  </si>
  <si>
    <t>RUBRICA</t>
  </si>
  <si>
    <t>AM</t>
  </si>
  <si>
    <t>MARCO BEBE GIMO</t>
  </si>
  <si>
    <t>GERENTE</t>
  </si>
  <si>
    <t>ARMINDO QUETANE HOU</t>
  </si>
  <si>
    <t>GUARDA</t>
  </si>
  <si>
    <t>CONSTANTINO JOSE PENGA</t>
  </si>
  <si>
    <t>ANSELMO LUCAS HUO</t>
  </si>
  <si>
    <t>CISTORA JOAO TANGUNE</t>
  </si>
  <si>
    <t>EMPREGADA</t>
  </si>
  <si>
    <t>EMILIO GELSON ZIBANE</t>
  </si>
  <si>
    <t>JARDINERO</t>
  </si>
  <si>
    <t>ALMEIDA ANTONIO VILANCULO</t>
  </si>
  <si>
    <t>FELIX CARLOS MASSUANGANHE</t>
  </si>
  <si>
    <t>H1</t>
  </si>
  <si>
    <t>GILDA DALARIO FALACO MUABASA</t>
  </si>
  <si>
    <t>SERGIO FENIASSE BUANE</t>
  </si>
  <si>
    <t>H1/H4</t>
  </si>
  <si>
    <t>AMINOSSE ARNALDO TANGUNE</t>
  </si>
  <si>
    <t>CAPITÃO DE BARCO</t>
  </si>
  <si>
    <t>000800007745713610195</t>
  </si>
  <si>
    <t>H2</t>
  </si>
  <si>
    <t>SERGIO FRANCISCO TANGUNE ZITO</t>
  </si>
  <si>
    <t>GHILLIE</t>
  </si>
  <si>
    <t>VITORIA FRANCISCO ZIBANE</t>
  </si>
  <si>
    <t>INACIO FABIAO TIMBE</t>
  </si>
  <si>
    <t>CALDERONE AGOSTINHO CHIVALE</t>
  </si>
  <si>
    <t>'000800004412814610113</t>
  </si>
  <si>
    <t>H3</t>
  </si>
  <si>
    <t>PEDRO SEBASTIAO NHAMIRE</t>
  </si>
  <si>
    <t>JARDINERO/GHILLIE</t>
  </si>
  <si>
    <t>ROCINA CAHIWANE TIMBE</t>
  </si>
  <si>
    <t>ALEXANDRE LUCAS MASSUANGANHE</t>
  </si>
  <si>
    <t>H4</t>
  </si>
  <si>
    <t>JELSON QUALDADE ZIVANE</t>
  </si>
  <si>
    <t>JARDINERO/COZINHA</t>
  </si>
  <si>
    <t>MONIS TSANZIUANE CHIVALE</t>
  </si>
  <si>
    <t>EVELIN NELSON BERNARDO</t>
  </si>
  <si>
    <t>7% INSS</t>
  </si>
  <si>
    <t>4% INSS</t>
  </si>
  <si>
    <t>DECLARACAO</t>
  </si>
  <si>
    <t>( A )</t>
  </si>
  <si>
    <t>Riscar o que nao interessa.</t>
  </si>
  <si>
    <t>Declaro que nesta data, efectuei o pagamento dos salarios constantes desta</t>
  </si>
  <si>
    <t>( B )</t>
  </si>
  <si>
    <t>Assinalar com M os trabalhadores de menor idade</t>
  </si>
  <si>
    <t>folha, aos trabalhadores nela mencionados, na presenca de duas testemunhas</t>
  </si>
  <si>
    <t>( C )</t>
  </si>
  <si>
    <t>Nao preencher quando se trata de trabalhadores ao dia.</t>
  </si>
  <si>
    <t>que comigo, pagador, vao assinar.</t>
  </si>
  <si>
    <t>( D )</t>
  </si>
  <si>
    <t>Descontos permitidos por lei</t>
  </si>
  <si>
    <t>Data  :</t>
  </si>
  <si>
    <t>MARCO</t>
  </si>
  <si>
    <t>BANK CHARGES</t>
  </si>
  <si>
    <t>PORTADOR</t>
  </si>
  <si>
    <t>TRANSFER FEE</t>
  </si>
  <si>
    <t>WARREN COHEN</t>
  </si>
  <si>
    <t>SHAREHOLDERS CORTRIBUTION</t>
  </si>
  <si>
    <t>SHARHOLDERS CONTRIBUTION</t>
  </si>
  <si>
    <t>TRANSFER DOLLARS TO METICAIS</t>
  </si>
  <si>
    <t>Marco</t>
  </si>
  <si>
    <t>Data de nascimento</t>
  </si>
  <si>
    <t>ID</t>
  </si>
  <si>
    <t>081302847236J</t>
  </si>
  <si>
    <t>081304201809J</t>
  </si>
  <si>
    <t>080904203552J</t>
  </si>
  <si>
    <t>081300608787A</t>
  </si>
  <si>
    <t>100106722368D</t>
  </si>
  <si>
    <t>081306342811Q</t>
  </si>
  <si>
    <t>081306518566C</t>
  </si>
  <si>
    <t>089908873322B</t>
  </si>
  <si>
    <t>081304201799M</t>
  </si>
  <si>
    <t>081307623643I</t>
  </si>
  <si>
    <t>COZINHEIRO</t>
  </si>
  <si>
    <t>081306019850S</t>
  </si>
  <si>
    <t>081304202030F</t>
  </si>
  <si>
    <t>080101896345N</t>
  </si>
  <si>
    <t>081301192306B</t>
  </si>
  <si>
    <t>080901102777C</t>
  </si>
  <si>
    <t>081304002553M</t>
  </si>
  <si>
    <t>081304202071I</t>
  </si>
  <si>
    <t>080101890971M</t>
  </si>
  <si>
    <t>081304202020M</t>
  </si>
  <si>
    <t>081304122145F</t>
  </si>
  <si>
    <t>050201822463P</t>
  </si>
  <si>
    <t>SHAREHOLDERS CONTRIBUTION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</si>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</sst>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* #,##0.00_);_(* \(#,##0.00\);_(* \-??_);_(@_)"/>
    <numFmt numFmtId="165" formatCode="_ * #,##0.00_ ;_ * \-#,##0.00_ ;_ * \-??_ ;_ @_ "/>
    <numFmt numFmtId="166" formatCode="_-* #,##0.00\ _€_-;\-* #,##0.00\ _€_-;_-* \-??\ _€_-;_-@_-"/>
    <numFmt numFmtId="167" formatCode="_-* #,##0.00_-;\-* #,##0.00_-;_-* \-??_-;_-@_-"/>
    <numFmt numFmtId="168" formatCode="[$-409]d\-mmm;@"/>
    <numFmt numFmtId="169" formatCode="m/d/yy;@"/>
    <numFmt numFmtId="170" formatCode="[$-409]#,##0.00_);[Red]\(#,##0.00\)"/>
    <numFmt numFmtId="171" formatCode="[$-409]#,##0_);[Red]\(#,##0\)"/>
    <numFmt numFmtId="172" formatCode="m/d"/>
    <numFmt numFmtId="173" formatCode="[$-409]d\-mmm"/>
    <numFmt numFmtId="174" formatCode="dd/mm/yyyy;@"/>
    <numFmt numFmtId="175" formatCode="[$-409]d\-mmm\-yy"/>
    <numFmt numFmtId="176" formatCode="[$$-409]#,##0.00"/>
    <numFmt numFmtId="177" formatCode="[$-1C09]dd\ mmmm\ yyyy;@"/>
    <numFmt numFmtId="178" formatCode="&quot;$&quot;#,##0.00"/>
    <numFmt numFmtId="179" formatCode="0.0"/>
    <numFmt numFmtId="180" formatCode="[$MZN]\ #,##0.00"/>
  </numFmts>
  <fonts count="7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Tahoma"/>
      <family val="2"/>
    </font>
    <font>
      <b/>
      <sz val="22"/>
      <name val="Mistral"/>
      <family val="4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rgb="FF000000"/>
      <name val="Gill Sans MT"/>
      <family val="2"/>
    </font>
    <font>
      <b/>
      <sz val="8"/>
      <color rgb="FFFF0000"/>
      <name val="Arial"/>
      <family val="2"/>
    </font>
    <font>
      <sz val="10"/>
      <color rgb="FF003366"/>
      <name val="Arial"/>
      <family val="2"/>
    </font>
    <font>
      <u/>
      <sz val="8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0"/>
      <name val="Arial"/>
      <family val="2"/>
    </font>
    <font>
      <sz val="12"/>
      <name val="Calibri"/>
      <family val="2"/>
    </font>
    <font>
      <b/>
      <sz val="14"/>
      <name val="Arial"/>
      <family val="2"/>
    </font>
    <font>
      <sz val="10"/>
      <color rgb="FF000000"/>
      <name val="Calibri"/>
      <family val="2"/>
    </font>
    <font>
      <sz val="14"/>
      <name val="Arial"/>
      <family val="2"/>
    </font>
    <font>
      <b/>
      <sz val="20"/>
      <name val="Calibri"/>
      <family val="2"/>
    </font>
    <font>
      <b/>
      <sz val="18"/>
      <name val="Mistral"/>
      <family val="4"/>
    </font>
    <font>
      <b/>
      <sz val="10"/>
      <name val="Mistral"/>
      <family val="4"/>
    </font>
    <font>
      <sz val="10"/>
      <name val="Arial"/>
      <family val="2"/>
    </font>
    <font>
      <sz val="10"/>
      <name val="Aptos"/>
      <family val="2"/>
    </font>
    <font>
      <b/>
      <sz val="10"/>
      <name val="Aptos"/>
      <family val="2"/>
    </font>
    <font>
      <sz val="10"/>
      <name val="Aptos Light"/>
      <family val="2"/>
    </font>
    <font>
      <b/>
      <sz val="10"/>
      <name val="Aptos Light"/>
      <family val="2"/>
    </font>
    <font>
      <sz val="1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2"/>
      <name val="Calibri"/>
      <family val="2"/>
    </font>
    <font>
      <b/>
      <sz val="9"/>
      <name val="Aptos Display"/>
      <family val="2"/>
    </font>
    <font>
      <sz val="9"/>
      <color rgb="FF000000"/>
      <name val="Aptos Display"/>
      <family val="2"/>
    </font>
    <font>
      <sz val="9"/>
      <name val="Aptos Display"/>
      <family val="2"/>
    </font>
    <font>
      <sz val="11"/>
      <name val="Aptos"/>
      <family val="2"/>
    </font>
    <font>
      <sz val="9"/>
      <name val="Calibri"/>
      <family val="2"/>
    </font>
    <font>
      <sz val="10"/>
      <name val="Aptos Serif"/>
      <family val="1"/>
    </font>
    <font>
      <sz val="11"/>
      <color rgb="FF000000"/>
      <name val="Calibri"/>
      <family val="2"/>
      <charset val="1"/>
    </font>
    <font>
      <sz val="8"/>
      <name val="Arial"/>
      <family val="2"/>
    </font>
    <font>
      <b/>
      <sz val="11"/>
      <name val="Aptos"/>
      <family val="2"/>
    </font>
    <font>
      <sz val="10"/>
      <color theme="1"/>
      <name val="Calibri"/>
      <family val="2"/>
    </font>
    <font>
      <b/>
      <u/>
      <sz val="22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sz val="18"/>
      <color rgb="FF333399"/>
      <name val="Arial"/>
      <family val="2"/>
    </font>
    <font>
      <sz val="22"/>
      <name val="Arial"/>
      <family val="2"/>
    </font>
    <font>
      <sz val="22"/>
      <color rgb="FF333399"/>
      <name val="Arial"/>
      <family val="2"/>
    </font>
    <font>
      <b/>
      <u/>
      <sz val="26"/>
      <color rgb="FFFF0000"/>
      <name val="Arial"/>
      <family val="2"/>
    </font>
    <font>
      <b/>
      <sz val="22"/>
      <name val="Aptos Display"/>
      <family val="2"/>
    </font>
    <font>
      <sz val="20"/>
      <name val="Aptos Display"/>
      <family val="2"/>
    </font>
    <font>
      <sz val="21"/>
      <name val="Aptos Display"/>
      <family val="2"/>
    </font>
    <font>
      <sz val="24"/>
      <name val="Arial"/>
      <family val="2"/>
    </font>
    <font>
      <b/>
      <sz val="20"/>
      <name val="Aptos Display"/>
      <family val="2"/>
    </font>
    <font>
      <b/>
      <sz val="24"/>
      <color rgb="FF333399"/>
      <name val="Arial"/>
      <family val="2"/>
    </font>
    <font>
      <b/>
      <sz val="20"/>
      <color rgb="FF333399"/>
      <name val="Aptos Display"/>
      <family val="2"/>
    </font>
    <font>
      <sz val="24"/>
      <color rgb="FF333399"/>
      <name val="Arial"/>
      <family val="2"/>
    </font>
    <font>
      <b/>
      <sz val="24"/>
      <name val="Arial"/>
      <family val="2"/>
    </font>
    <font>
      <b/>
      <sz val="18"/>
      <color rgb="FF33339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indexed="81"/>
      <name val="Tahoma"/>
      <family val="2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10"/>
      <color theme="1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1"/>
      <name val="Arial"/>
      <family val="2"/>
    </font>
    <font>
      <sz val="9"/>
      <name val="Aptos Display"/>
      <family val="2"/>
      <scheme val="major"/>
    </font>
    <font>
      <sz val="9"/>
      <name val="Arial"/>
      <family val="2"/>
    </font>
    <font>
      <sz val="9"/>
      <color rgb="FF000000"/>
      <name val="Aptos Display"/>
      <family val="2"/>
      <scheme val="major"/>
    </font>
    <font>
      <sz val="9"/>
      <name val="Aptos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8">
    <xf numFmtId="0" fontId="0" fillId="0" borderId="0"/>
    <xf numFmtId="164" fontId="1" fillId="0" borderId="0" applyBorder="0" applyAlignment="0" applyProtection="0"/>
    <xf numFmtId="164" fontId="1" fillId="0" borderId="0" applyBorder="0" applyAlignment="0" applyProtection="0"/>
    <xf numFmtId="165" fontId="1" fillId="0" borderId="0" applyBorder="0" applyAlignment="0" applyProtection="0"/>
    <xf numFmtId="166" fontId="1" fillId="0" borderId="0" applyBorder="0" applyAlignment="0" applyProtection="0"/>
    <xf numFmtId="164" fontId="1" fillId="0" borderId="0" applyBorder="0" applyAlignment="0" applyProtection="0"/>
    <xf numFmtId="166" fontId="1" fillId="0" borderId="0" applyBorder="0" applyAlignment="0" applyProtection="0"/>
    <xf numFmtId="167" fontId="1" fillId="0" borderId="0" applyBorder="0" applyAlignment="0" applyProtection="0"/>
    <xf numFmtId="0" fontId="2" fillId="0" borderId="0"/>
    <xf numFmtId="0" fontId="3" fillId="0" borderId="0"/>
    <xf numFmtId="0" fontId="4" fillId="0" borderId="0" applyAlignment="0">
      <protection locked="0"/>
    </xf>
    <xf numFmtId="0" fontId="4" fillId="0" borderId="0" applyAlignment="0">
      <protection locked="0"/>
    </xf>
    <xf numFmtId="0" fontId="4" fillId="0" borderId="0" applyAlignment="0">
      <protection locked="0"/>
    </xf>
    <xf numFmtId="164" fontId="27" fillId="0" borderId="0" applyBorder="0" applyAlignment="0" applyProtection="0"/>
    <xf numFmtId="164" fontId="27" fillId="0" borderId="0" applyBorder="0" applyAlignment="0" applyProtection="0"/>
    <xf numFmtId="0" fontId="1" fillId="0" borderId="0"/>
    <xf numFmtId="0" fontId="1" fillId="0" borderId="0" applyBorder="0" applyAlignment="0" applyProtection="0"/>
    <xf numFmtId="0" fontId="3" fillId="0" borderId="0" applyBorder="0"/>
  </cellStyleXfs>
  <cellXfs count="749">
    <xf numFmtId="0" fontId="0" fillId="0" borderId="0" xfId="0"/>
    <xf numFmtId="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4" fontId="2" fillId="0" borderId="0" xfId="0" applyNumberFormat="1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9" fontId="9" fillId="0" borderId="0" xfId="0" applyNumberFormat="1" applyFont="1" applyAlignment="1">
      <alignment horizontal="center" vertical="center"/>
    </xf>
    <xf numFmtId="164" fontId="10" fillId="0" borderId="11" xfId="2" applyFont="1" applyBorder="1" applyAlignment="1" applyProtection="1">
      <alignment horizontal="center" vertical="center"/>
    </xf>
    <xf numFmtId="164" fontId="10" fillId="0" borderId="12" xfId="2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left" vertical="center"/>
    </xf>
    <xf numFmtId="4" fontId="9" fillId="0" borderId="13" xfId="0" applyNumberFormat="1" applyFont="1" applyBorder="1" applyAlignment="1">
      <alignment horizontal="center" vertical="center"/>
    </xf>
    <xf numFmtId="164" fontId="9" fillId="0" borderId="14" xfId="2" applyFont="1" applyBorder="1" applyAlignment="1" applyProtection="1">
      <alignment vertical="center"/>
    </xf>
    <xf numFmtId="49" fontId="10" fillId="0" borderId="0" xfId="0" applyNumberFormat="1" applyFont="1" applyAlignment="1">
      <alignment horizontal="left" vertical="center"/>
    </xf>
    <xf numFmtId="4" fontId="9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vertical="center"/>
    </xf>
    <xf numFmtId="169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4" fontId="11" fillId="0" borderId="1" xfId="0" applyNumberFormat="1" applyFont="1" applyBorder="1" applyAlignment="1">
      <alignment horizontal="center"/>
    </xf>
    <xf numFmtId="4" fontId="9" fillId="0" borderId="15" xfId="0" applyNumberFormat="1" applyFont="1" applyBorder="1" applyAlignment="1">
      <alignment vertical="center"/>
    </xf>
    <xf numFmtId="4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13" fillId="0" borderId="0" xfId="0" applyFont="1"/>
    <xf numFmtId="4" fontId="9" fillId="0" borderId="13" xfId="0" applyNumberFormat="1" applyFont="1" applyBorder="1" applyAlignment="1">
      <alignment horizontal="right" vertical="center"/>
    </xf>
    <xf numFmtId="170" fontId="9" fillId="0" borderId="14" xfId="0" applyNumberFormat="1" applyFont="1" applyBorder="1" applyAlignment="1">
      <alignment vertical="center"/>
    </xf>
    <xf numFmtId="170" fontId="10" fillId="0" borderId="16" xfId="0" applyNumberFormat="1" applyFont="1" applyBorder="1" applyAlignment="1">
      <alignment horizontal="left" vertical="center"/>
    </xf>
    <xf numFmtId="170" fontId="10" fillId="0" borderId="17" xfId="0" applyNumberFormat="1" applyFont="1" applyBorder="1" applyAlignment="1">
      <alignment vertical="center"/>
    </xf>
    <xf numFmtId="171" fontId="10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4" fontId="10" fillId="0" borderId="11" xfId="0" applyNumberFormat="1" applyFont="1" applyBorder="1" applyAlignment="1">
      <alignment horizontal="left" vertical="center"/>
    </xf>
    <xf numFmtId="170" fontId="10" fillId="0" borderId="12" xfId="0" applyNumberFormat="1" applyFont="1" applyBorder="1" applyAlignment="1">
      <alignment vertical="center"/>
    </xf>
    <xf numFmtId="171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72" fontId="9" fillId="0" borderId="0" xfId="0" applyNumberFormat="1" applyFont="1" applyAlignment="1">
      <alignment vertical="center"/>
    </xf>
    <xf numFmtId="170" fontId="10" fillId="0" borderId="18" xfId="0" applyNumberFormat="1" applyFont="1" applyBorder="1" applyAlignment="1">
      <alignment vertical="center"/>
    </xf>
    <xf numFmtId="172" fontId="10" fillId="0" borderId="0" xfId="0" applyNumberFormat="1" applyFont="1" applyAlignment="1">
      <alignment vertical="center"/>
    </xf>
    <xf numFmtId="4" fontId="9" fillId="0" borderId="13" xfId="0" applyNumberFormat="1" applyFont="1" applyBorder="1" applyAlignment="1">
      <alignment vertical="center"/>
    </xf>
    <xf numFmtId="164" fontId="1" fillId="0" borderId="0" xfId="1" applyBorder="1" applyAlignment="1" applyProtection="1">
      <alignment vertical="center"/>
    </xf>
    <xf numFmtId="173" fontId="10" fillId="0" borderId="0" xfId="0" applyNumberFormat="1" applyFont="1" applyAlignment="1">
      <alignment vertical="center"/>
    </xf>
    <xf numFmtId="174" fontId="0" fillId="0" borderId="0" xfId="0" applyNumberFormat="1"/>
    <xf numFmtId="174" fontId="5" fillId="0" borderId="0" xfId="0" applyNumberFormat="1" applyFont="1"/>
    <xf numFmtId="174" fontId="6" fillId="0" borderId="0" xfId="0" applyNumberFormat="1" applyFont="1"/>
    <xf numFmtId="0" fontId="7" fillId="0" borderId="0" xfId="0" applyFont="1"/>
    <xf numFmtId="49" fontId="6" fillId="0" borderId="1" xfId="0" applyNumberFormat="1" applyFont="1" applyBorder="1"/>
    <xf numFmtId="0" fontId="6" fillId="0" borderId="1" xfId="0" applyFont="1" applyBorder="1"/>
    <xf numFmtId="0" fontId="8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" fontId="2" fillId="0" borderId="0" xfId="0" applyNumberFormat="1" applyFont="1"/>
    <xf numFmtId="0" fontId="0" fillId="0" borderId="6" xfId="0" applyBorder="1"/>
    <xf numFmtId="0" fontId="0" fillId="0" borderId="7" xfId="0" applyBorder="1"/>
    <xf numFmtId="4" fontId="2" fillId="0" borderId="8" xfId="0" applyNumberFormat="1" applyFont="1" applyBorder="1"/>
    <xf numFmtId="0" fontId="0" fillId="0" borderId="9" xfId="0" applyBorder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9" fontId="9" fillId="0" borderId="0" xfId="0" applyNumberFormat="1" applyFont="1" applyAlignment="1">
      <alignment horizontal="center"/>
    </xf>
    <xf numFmtId="0" fontId="10" fillId="0" borderId="1" xfId="0" applyFont="1" applyBorder="1"/>
    <xf numFmtId="174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/>
    <xf numFmtId="4" fontId="2" fillId="0" borderId="1" xfId="0" applyNumberFormat="1" applyFont="1" applyBorder="1"/>
    <xf numFmtId="3" fontId="10" fillId="0" borderId="0" xfId="0" applyNumberFormat="1" applyFont="1"/>
    <xf numFmtId="4" fontId="0" fillId="0" borderId="0" xfId="0" applyNumberFormat="1"/>
    <xf numFmtId="174" fontId="2" fillId="3" borderId="1" xfId="0" applyNumberFormat="1" applyFont="1" applyFill="1" applyBorder="1"/>
    <xf numFmtId="4" fontId="2" fillId="3" borderId="1" xfId="0" applyNumberFormat="1" applyFont="1" applyFill="1" applyBorder="1"/>
    <xf numFmtId="3" fontId="10" fillId="3" borderId="0" xfId="0" applyNumberFormat="1" applyFont="1" applyFill="1"/>
    <xf numFmtId="0" fontId="0" fillId="3" borderId="0" xfId="0" applyFill="1"/>
    <xf numFmtId="4" fontId="10" fillId="3" borderId="0" xfId="0" applyNumberFormat="1" applyFont="1" applyFill="1"/>
    <xf numFmtId="0" fontId="10" fillId="3" borderId="0" xfId="0" applyFont="1" applyFill="1"/>
    <xf numFmtId="4" fontId="10" fillId="0" borderId="0" xfId="0" applyNumberFormat="1" applyFont="1"/>
    <xf numFmtId="174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/>
    <xf numFmtId="174" fontId="9" fillId="0" borderId="0" xfId="0" applyNumberFormat="1" applyFont="1"/>
    <xf numFmtId="1" fontId="9" fillId="0" borderId="0" xfId="0" applyNumberFormat="1" applyFont="1"/>
    <xf numFmtId="0" fontId="9" fillId="0" borderId="0" xfId="0" applyFont="1" applyAlignment="1">
      <alignment horizontal="right"/>
    </xf>
    <xf numFmtId="4" fontId="9" fillId="0" borderId="1" xfId="0" applyNumberFormat="1" applyFont="1" applyBorder="1"/>
    <xf numFmtId="3" fontId="9" fillId="0" borderId="0" xfId="0" applyNumberFormat="1" applyFont="1"/>
    <xf numFmtId="4" fontId="9" fillId="0" borderId="0" xfId="0" applyNumberFormat="1" applyFont="1"/>
    <xf numFmtId="174" fontId="10" fillId="0" borderId="0" xfId="0" applyNumberFormat="1" applyFont="1"/>
    <xf numFmtId="1" fontId="10" fillId="0" borderId="0" xfId="0" applyNumberFormat="1" applyFont="1"/>
    <xf numFmtId="0" fontId="16" fillId="0" borderId="0" xfId="0" applyFont="1"/>
    <xf numFmtId="0" fontId="16" fillId="0" borderId="1" xfId="0" applyFont="1" applyBorder="1"/>
    <xf numFmtId="175" fontId="2" fillId="0" borderId="0" xfId="0" applyNumberFormat="1" applyFont="1" applyAlignment="1">
      <alignment horizontal="center" vertical="center"/>
    </xf>
    <xf numFmtId="164" fontId="2" fillId="0" borderId="0" xfId="1" applyFont="1" applyBorder="1" applyAlignment="1" applyProtection="1">
      <alignment vertical="center"/>
    </xf>
    <xf numFmtId="164" fontId="20" fillId="0" borderId="0" xfId="1" applyFont="1" applyBorder="1" applyAlignment="1" applyProtection="1">
      <alignment vertical="center"/>
    </xf>
    <xf numFmtId="0" fontId="21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5" fontId="7" fillId="0" borderId="19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4" fontId="7" fillId="0" borderId="0" xfId="1" applyFont="1" applyBorder="1" applyAlignment="1" applyProtection="1">
      <alignment vertical="center"/>
    </xf>
    <xf numFmtId="0" fontId="7" fillId="0" borderId="7" xfId="0" applyFont="1" applyBorder="1" applyAlignment="1">
      <alignment vertical="center"/>
    </xf>
    <xf numFmtId="175" fontId="2" fillId="0" borderId="2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3" fontId="7" fillId="0" borderId="1" xfId="0" applyNumberFormat="1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vertical="center"/>
    </xf>
    <xf numFmtId="4" fontId="7" fillId="0" borderId="0" xfId="0" applyNumberFormat="1" applyFont="1" applyAlignment="1">
      <alignment vertical="center"/>
    </xf>
    <xf numFmtId="4" fontId="2" fillId="0" borderId="0" xfId="1" applyNumberFormat="1" applyFont="1" applyBorder="1" applyAlignment="1" applyProtection="1">
      <alignment vertical="center"/>
    </xf>
    <xf numFmtId="174" fontId="7" fillId="0" borderId="0" xfId="0" applyNumberFormat="1" applyFont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7" fillId="0" borderId="19" xfId="0" applyNumberFormat="1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4" fontId="7" fillId="0" borderId="19" xfId="1" applyNumberFormat="1" applyFont="1" applyBorder="1" applyAlignment="1" applyProtection="1">
      <alignment vertical="center"/>
    </xf>
    <xf numFmtId="4" fontId="2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vertical="center"/>
    </xf>
    <xf numFmtId="4" fontId="2" fillId="0" borderId="21" xfId="1" applyNumberFormat="1" applyFont="1" applyBorder="1" applyAlignment="1" applyProtection="1">
      <alignment horizontal="center" vertical="center"/>
    </xf>
    <xf numFmtId="0" fontId="7" fillId="0" borderId="1" xfId="0" applyFont="1" applyBorder="1" applyAlignment="1">
      <alignment vertical="center"/>
    </xf>
    <xf numFmtId="175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4" fontId="16" fillId="0" borderId="1" xfId="0" applyNumberFormat="1" applyFont="1" applyBorder="1" applyAlignment="1">
      <alignment horizontal="right"/>
    </xf>
    <xf numFmtId="4" fontId="15" fillId="0" borderId="1" xfId="0" applyNumberFormat="1" applyFont="1" applyBorder="1" applyAlignment="1">
      <alignment horizontal="right"/>
    </xf>
    <xf numFmtId="4" fontId="16" fillId="0" borderId="23" xfId="0" applyNumberFormat="1" applyFont="1" applyBorder="1" applyAlignment="1">
      <alignment horizontal="right"/>
    </xf>
    <xf numFmtId="4" fontId="22" fillId="0" borderId="1" xfId="0" applyNumberFormat="1" applyFont="1" applyBorder="1" applyAlignment="1">
      <alignment vertical="center"/>
    </xf>
    <xf numFmtId="4" fontId="22" fillId="0" borderId="1" xfId="0" applyNumberFormat="1" applyFont="1" applyBorder="1" applyAlignment="1">
      <alignment horizontal="right"/>
    </xf>
    <xf numFmtId="4" fontId="16" fillId="3" borderId="1" xfId="0" applyNumberFormat="1" applyFont="1" applyFill="1" applyBorder="1" applyAlignment="1">
      <alignment horizontal="right"/>
    </xf>
    <xf numFmtId="4" fontId="22" fillId="0" borderId="23" xfId="0" applyNumberFormat="1" applyFont="1" applyBorder="1" applyAlignment="1">
      <alignment horizontal="right"/>
    </xf>
    <xf numFmtId="4" fontId="22" fillId="0" borderId="1" xfId="1" applyNumberFormat="1" applyFont="1" applyBorder="1" applyAlignment="1" applyProtection="1">
      <alignment horizontal="right"/>
    </xf>
    <xf numFmtId="0" fontId="16" fillId="0" borderId="1" xfId="0" applyFont="1" applyBorder="1" applyAlignment="1">
      <alignment horizontal="center" vertical="center"/>
    </xf>
    <xf numFmtId="4" fontId="16" fillId="3" borderId="1" xfId="0" applyNumberFormat="1" applyFont="1" applyFill="1" applyBorder="1" applyAlignment="1">
      <alignment vertical="center"/>
    </xf>
    <xf numFmtId="175" fontId="16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4" fontId="16" fillId="0" borderId="24" xfId="0" applyNumberFormat="1" applyFont="1" applyBorder="1" applyAlignment="1">
      <alignment horizontal="right"/>
    </xf>
    <xf numFmtId="175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vertical="center"/>
    </xf>
    <xf numFmtId="4" fontId="16" fillId="0" borderId="21" xfId="0" applyNumberFormat="1" applyFont="1" applyBorder="1" applyAlignment="1">
      <alignment horizontal="right"/>
    </xf>
    <xf numFmtId="4" fontId="16" fillId="0" borderId="7" xfId="0" applyNumberFormat="1" applyFont="1" applyBorder="1" applyAlignment="1">
      <alignment horizontal="right"/>
    </xf>
    <xf numFmtId="0" fontId="16" fillId="0" borderId="0" xfId="0" applyFont="1" applyAlignment="1">
      <alignment vertical="center"/>
    </xf>
    <xf numFmtId="4" fontId="16" fillId="0" borderId="0" xfId="0" applyNumberFormat="1" applyFont="1" applyAlignment="1">
      <alignment horizontal="right"/>
    </xf>
    <xf numFmtId="4" fontId="16" fillId="0" borderId="0" xfId="1" applyNumberFormat="1" applyFont="1" applyBorder="1" applyAlignment="1" applyProtection="1">
      <alignment horizontal="right"/>
    </xf>
    <xf numFmtId="4" fontId="16" fillId="0" borderId="0" xfId="1" applyNumberFormat="1" applyFont="1" applyBorder="1" applyAlignment="1" applyProtection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horizontal="right" vertical="center"/>
    </xf>
    <xf numFmtId="0" fontId="19" fillId="0" borderId="0" xfId="0" applyFont="1" applyAlignment="1">
      <alignment horizontal="right" vertical="center"/>
    </xf>
    <xf numFmtId="3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center" vertical="center"/>
    </xf>
    <xf numFmtId="4" fontId="0" fillId="0" borderId="25" xfId="0" applyNumberFormat="1" applyBorder="1" applyAlignment="1">
      <alignment vertical="center"/>
    </xf>
    <xf numFmtId="4" fontId="0" fillId="0" borderId="0" xfId="0" applyNumberForma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4" fontId="7" fillId="0" borderId="25" xfId="0" applyNumberFormat="1" applyFont="1" applyBorder="1" applyAlignment="1">
      <alignment vertical="center"/>
    </xf>
    <xf numFmtId="4" fontId="7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5" fillId="0" borderId="23" xfId="0" applyNumberFormat="1" applyFont="1" applyBorder="1" applyAlignment="1">
      <alignment horizontal="right" vertical="center"/>
    </xf>
    <xf numFmtId="0" fontId="15" fillId="0" borderId="23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horizontal="left" vertical="center"/>
    </xf>
    <xf numFmtId="4" fontId="15" fillId="0" borderId="2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164" fontId="22" fillId="0" borderId="1" xfId="1" applyFont="1" applyBorder="1" applyAlignment="1" applyProtection="1">
      <alignment horizontal="center" vertical="center"/>
    </xf>
    <xf numFmtId="0" fontId="16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left" vertical="center"/>
    </xf>
    <xf numFmtId="4" fontId="16" fillId="0" borderId="0" xfId="0" applyNumberFormat="1" applyFont="1" applyAlignment="1">
      <alignment horizontal="right" vertical="center"/>
    </xf>
    <xf numFmtId="164" fontId="16" fillId="0" borderId="0" xfId="1" applyFont="1" applyBorder="1" applyAlignment="1" applyProtection="1">
      <alignment vertical="center"/>
    </xf>
    <xf numFmtId="4" fontId="24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left" vertical="center"/>
    </xf>
    <xf numFmtId="4" fontId="15" fillId="0" borderId="0" xfId="0" applyNumberFormat="1" applyFont="1" applyAlignment="1">
      <alignment horizontal="right" vertical="center"/>
    </xf>
    <xf numFmtId="3" fontId="16" fillId="0" borderId="0" xfId="0" applyNumberFormat="1" applyFont="1" applyAlignment="1">
      <alignment vertical="center"/>
    </xf>
    <xf numFmtId="3" fontId="16" fillId="0" borderId="0" xfId="0" applyNumberFormat="1" applyFont="1" applyAlignment="1">
      <alignment horizontal="right" vertical="center"/>
    </xf>
    <xf numFmtId="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8" applyAlignment="1">
      <alignment vertical="center"/>
    </xf>
    <xf numFmtId="174" fontId="2" fillId="0" borderId="0" xfId="8" applyNumberFormat="1" applyAlignment="1">
      <alignment vertical="center"/>
    </xf>
    <xf numFmtId="164" fontId="2" fillId="0" borderId="0" xfId="2" applyFont="1" applyBorder="1" applyAlignment="1" applyProtection="1">
      <alignment vertical="center"/>
    </xf>
    <xf numFmtId="174" fontId="25" fillId="0" borderId="0" xfId="8" applyNumberFormat="1" applyFont="1" applyAlignment="1">
      <alignment vertical="center"/>
    </xf>
    <xf numFmtId="0" fontId="25" fillId="0" borderId="0" xfId="8" applyFont="1" applyAlignment="1">
      <alignment vertical="center"/>
    </xf>
    <xf numFmtId="174" fontId="26" fillId="0" borderId="0" xfId="8" applyNumberFormat="1" applyFont="1" applyAlignment="1">
      <alignment vertical="center"/>
    </xf>
    <xf numFmtId="0" fontId="26" fillId="0" borderId="0" xfId="8" applyFont="1" applyAlignment="1">
      <alignment vertical="center"/>
    </xf>
    <xf numFmtId="174" fontId="7" fillId="0" borderId="0" xfId="8" applyNumberFormat="1" applyFont="1" applyAlignment="1">
      <alignment vertical="center"/>
    </xf>
    <xf numFmtId="0" fontId="7" fillId="0" borderId="0" xfId="8" applyFont="1" applyAlignment="1">
      <alignment vertical="center"/>
    </xf>
    <xf numFmtId="49" fontId="7" fillId="0" borderId="1" xfId="8" applyNumberFormat="1" applyFont="1" applyBorder="1" applyAlignment="1">
      <alignment vertical="center"/>
    </xf>
    <xf numFmtId="0" fontId="7" fillId="0" borderId="1" xfId="8" applyFont="1" applyBorder="1" applyAlignment="1">
      <alignment vertical="center"/>
    </xf>
    <xf numFmtId="0" fontId="8" fillId="0" borderId="2" xfId="8" applyFont="1" applyBorder="1" applyAlignment="1">
      <alignment vertical="center"/>
    </xf>
    <xf numFmtId="0" fontId="2" fillId="0" borderId="3" xfId="8" applyBorder="1" applyAlignment="1">
      <alignment vertical="center"/>
    </xf>
    <xf numFmtId="0" fontId="2" fillId="0" borderId="4" xfId="8" applyBorder="1" applyAlignment="1">
      <alignment vertical="center"/>
    </xf>
    <xf numFmtId="0" fontId="2" fillId="0" borderId="5" xfId="8" applyBorder="1" applyAlignment="1">
      <alignment vertical="center"/>
    </xf>
    <xf numFmtId="4" fontId="2" fillId="0" borderId="0" xfId="8" applyNumberFormat="1" applyAlignment="1">
      <alignment vertical="center"/>
    </xf>
    <xf numFmtId="0" fontId="2" fillId="0" borderId="6" xfId="8" applyBorder="1" applyAlignment="1">
      <alignment vertical="center"/>
    </xf>
    <xf numFmtId="0" fontId="2" fillId="0" borderId="7" xfId="8" applyBorder="1" applyAlignment="1">
      <alignment vertical="center"/>
    </xf>
    <xf numFmtId="4" fontId="2" fillId="0" borderId="8" xfId="8" applyNumberFormat="1" applyBorder="1" applyAlignment="1">
      <alignment vertical="center"/>
    </xf>
    <xf numFmtId="0" fontId="2" fillId="0" borderId="9" xfId="8" applyBorder="1" applyAlignment="1">
      <alignment vertical="center"/>
    </xf>
    <xf numFmtId="0" fontId="7" fillId="0" borderId="19" xfId="8" applyFont="1" applyBorder="1" applyAlignment="1">
      <alignment horizontal="center" vertical="center"/>
    </xf>
    <xf numFmtId="174" fontId="7" fillId="0" borderId="19" xfId="8" applyNumberFormat="1" applyFont="1" applyBorder="1" applyAlignment="1">
      <alignment horizontal="center" vertical="center"/>
    </xf>
    <xf numFmtId="0" fontId="7" fillId="0" borderId="2" xfId="8" applyFont="1" applyBorder="1" applyAlignment="1">
      <alignment horizontal="center" vertical="center"/>
    </xf>
    <xf numFmtId="164" fontId="7" fillId="0" borderId="0" xfId="2" applyFont="1" applyBorder="1" applyAlignment="1" applyProtection="1">
      <alignment vertical="center"/>
    </xf>
    <xf numFmtId="0" fontId="7" fillId="0" borderId="20" xfId="8" applyFont="1" applyBorder="1" applyAlignment="1">
      <alignment horizontal="center" vertical="center"/>
    </xf>
    <xf numFmtId="174" fontId="7" fillId="0" borderId="20" xfId="8" applyNumberFormat="1" applyFont="1" applyBorder="1" applyAlignment="1">
      <alignment horizontal="center" vertical="center"/>
    </xf>
    <xf numFmtId="0" fontId="7" fillId="0" borderId="5" xfId="8" applyFont="1" applyBorder="1" applyAlignment="1">
      <alignment horizontal="center" vertical="center"/>
    </xf>
    <xf numFmtId="9" fontId="7" fillId="0" borderId="20" xfId="8" applyNumberFormat="1" applyFont="1" applyBorder="1" applyAlignment="1">
      <alignment horizontal="center" vertical="center"/>
    </xf>
    <xf numFmtId="0" fontId="7" fillId="0" borderId="21" xfId="8" applyFont="1" applyBorder="1" applyAlignment="1">
      <alignment horizontal="center" vertical="center"/>
    </xf>
    <xf numFmtId="174" fontId="7" fillId="0" borderId="21" xfId="8" applyNumberFormat="1" applyFont="1" applyBorder="1" applyAlignment="1">
      <alignment horizontal="center" vertical="center"/>
    </xf>
    <xf numFmtId="0" fontId="7" fillId="0" borderId="7" xfId="8" applyFont="1" applyBorder="1" applyAlignment="1">
      <alignment horizontal="center" vertical="center"/>
    </xf>
    <xf numFmtId="0" fontId="2" fillId="0" borderId="1" xfId="8" applyBorder="1" applyAlignment="1">
      <alignment vertical="center"/>
    </xf>
    <xf numFmtId="175" fontId="2" fillId="0" borderId="1" xfId="8" applyNumberFormat="1" applyBorder="1" applyAlignment="1">
      <alignment horizontal="right" vertical="center"/>
    </xf>
    <xf numFmtId="49" fontId="2" fillId="0" borderId="1" xfId="8" applyNumberFormat="1" applyBorder="1" applyAlignment="1">
      <alignment horizontal="center" vertical="center"/>
    </xf>
    <xf numFmtId="4" fontId="2" fillId="0" borderId="1" xfId="8" applyNumberFormat="1" applyBorder="1" applyAlignment="1">
      <alignment vertical="center"/>
    </xf>
    <xf numFmtId="175" fontId="2" fillId="0" borderId="1" xfId="8" applyNumberFormat="1" applyBorder="1" applyAlignment="1">
      <alignment vertical="center"/>
    </xf>
    <xf numFmtId="4" fontId="2" fillId="0" borderId="21" xfId="8" applyNumberFormat="1" applyBorder="1" applyAlignment="1">
      <alignment vertical="center"/>
    </xf>
    <xf numFmtId="174" fontId="2" fillId="0" borderId="1" xfId="8" applyNumberFormat="1" applyBorder="1" applyAlignment="1">
      <alignment horizontal="right" vertical="center"/>
    </xf>
    <xf numFmtId="174" fontId="2" fillId="0" borderId="1" xfId="8" applyNumberFormat="1" applyBorder="1" applyAlignment="1">
      <alignment vertical="center"/>
    </xf>
    <xf numFmtId="168" fontId="2" fillId="0" borderId="1" xfId="8" applyNumberFormat="1" applyBorder="1" applyAlignment="1">
      <alignment vertical="center"/>
    </xf>
    <xf numFmtId="172" fontId="7" fillId="0" borderId="0" xfId="8" applyNumberFormat="1" applyFont="1" applyAlignment="1">
      <alignment vertical="center"/>
    </xf>
    <xf numFmtId="4" fontId="7" fillId="0" borderId="1" xfId="8" applyNumberFormat="1" applyFont="1" applyBorder="1" applyAlignment="1">
      <alignment vertical="center"/>
    </xf>
    <xf numFmtId="1" fontId="7" fillId="0" borderId="0" xfId="8" applyNumberFormat="1" applyFont="1" applyAlignment="1">
      <alignment vertical="center"/>
    </xf>
    <xf numFmtId="4" fontId="7" fillId="0" borderId="0" xfId="8" applyNumberFormat="1" applyFont="1" applyAlignment="1">
      <alignment vertical="center"/>
    </xf>
    <xf numFmtId="172" fontId="2" fillId="0" borderId="0" xfId="8" applyNumberFormat="1" applyAlignment="1">
      <alignment vertical="center"/>
    </xf>
    <xf numFmtId="1" fontId="2" fillId="0" borderId="0" xfId="8" applyNumberFormat="1" applyAlignment="1">
      <alignment vertical="center"/>
    </xf>
    <xf numFmtId="3" fontId="2" fillId="0" borderId="0" xfId="8" applyNumberFormat="1" applyAlignment="1">
      <alignment vertical="center"/>
    </xf>
    <xf numFmtId="173" fontId="2" fillId="0" borderId="1" xfId="8" applyNumberFormat="1" applyBorder="1" applyAlignment="1">
      <alignment horizontal="center" vertical="center"/>
    </xf>
    <xf numFmtId="173" fontId="2" fillId="0" borderId="1" xfId="8" applyNumberFormat="1" applyBorder="1" applyAlignment="1">
      <alignment horizontal="right" vertical="center"/>
    </xf>
    <xf numFmtId="173" fontId="2" fillId="0" borderId="1" xfId="8" applyNumberFormat="1" applyBorder="1" applyAlignment="1">
      <alignment vertical="center"/>
    </xf>
    <xf numFmtId="173" fontId="2" fillId="0" borderId="21" xfId="8" applyNumberFormat="1" applyBorder="1" applyAlignment="1">
      <alignment horizontal="right" vertical="center"/>
    </xf>
    <xf numFmtId="0" fontId="2" fillId="0" borderId="21" xfId="8" applyBorder="1" applyAlignment="1">
      <alignment vertical="center"/>
    </xf>
    <xf numFmtId="4" fontId="7" fillId="0" borderId="26" xfId="8" applyNumberFormat="1" applyFont="1" applyBorder="1" applyAlignment="1">
      <alignment vertical="center"/>
    </xf>
    <xf numFmtId="173" fontId="2" fillId="0" borderId="0" xfId="8" applyNumberFormat="1" applyAlignment="1">
      <alignment vertical="center"/>
    </xf>
    <xf numFmtId="15" fontId="15" fillId="0" borderId="19" xfId="0" applyNumberFormat="1" applyFont="1" applyBorder="1" applyAlignment="1">
      <alignment horizontal="right" vertical="center"/>
    </xf>
    <xf numFmtId="4" fontId="16" fillId="4" borderId="1" xfId="0" applyNumberFormat="1" applyFont="1" applyFill="1" applyBorder="1" applyAlignment="1">
      <alignment horizontal="right"/>
    </xf>
    <xf numFmtId="4" fontId="7" fillId="0" borderId="0" xfId="0" applyNumberFormat="1" applyFont="1" applyAlignment="1">
      <alignment horizontal="center" vertical="center"/>
    </xf>
    <xf numFmtId="4" fontId="15" fillId="0" borderId="19" xfId="0" applyNumberFormat="1" applyFont="1" applyBorder="1" applyAlignment="1">
      <alignment horizontal="center" vertical="center"/>
    </xf>
    <xf numFmtId="4" fontId="22" fillId="4" borderId="23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/>
    <xf numFmtId="15" fontId="0" fillId="0" borderId="0" xfId="0" applyNumberFormat="1" applyAlignment="1">
      <alignment horizontal="right" vertical="center"/>
    </xf>
    <xf numFmtId="15" fontId="7" fillId="0" borderId="0" xfId="0" applyNumberFormat="1" applyFont="1" applyAlignment="1">
      <alignment horizontal="right" vertical="center"/>
    </xf>
    <xf numFmtId="15" fontId="6" fillId="0" borderId="0" xfId="0" applyNumberFormat="1" applyFont="1" applyAlignment="1">
      <alignment horizontal="right" vertical="center"/>
    </xf>
    <xf numFmtId="15" fontId="6" fillId="0" borderId="1" xfId="0" applyNumberFormat="1" applyFont="1" applyBorder="1" applyAlignment="1">
      <alignment horizontal="right" vertical="center"/>
    </xf>
    <xf numFmtId="15" fontId="15" fillId="0" borderId="1" xfId="0" applyNumberFormat="1" applyFont="1" applyBorder="1" applyAlignment="1">
      <alignment horizontal="right" vertical="center"/>
    </xf>
    <xf numFmtId="15" fontId="16" fillId="0" borderId="0" xfId="0" applyNumberFormat="1" applyFont="1" applyAlignment="1">
      <alignment horizontal="right" vertical="center"/>
    </xf>
    <xf numFmtId="15" fontId="15" fillId="0" borderId="0" xfId="0" applyNumberFormat="1" applyFont="1" applyAlignment="1">
      <alignment horizontal="right" vertical="center"/>
    </xf>
    <xf numFmtId="4" fontId="16" fillId="5" borderId="1" xfId="0" applyNumberFormat="1" applyFont="1" applyFill="1" applyBorder="1" applyAlignment="1">
      <alignment horizontal="right"/>
    </xf>
    <xf numFmtId="4" fontId="22" fillId="4" borderId="1" xfId="0" applyNumberFormat="1" applyFont="1" applyFill="1" applyBorder="1" applyAlignment="1">
      <alignment horizontal="right"/>
    </xf>
    <xf numFmtId="0" fontId="1" fillId="0" borderId="0" xfId="15"/>
    <xf numFmtId="175" fontId="5" fillId="0" borderId="0" xfId="15" applyNumberFormat="1" applyFont="1"/>
    <xf numFmtId="176" fontId="1" fillId="0" borderId="0" xfId="15" applyNumberFormat="1"/>
    <xf numFmtId="175" fontId="1" fillId="0" borderId="0" xfId="15" applyNumberFormat="1"/>
    <xf numFmtId="0" fontId="7" fillId="0" borderId="0" xfId="15" applyFont="1"/>
    <xf numFmtId="49" fontId="6" fillId="0" borderId="1" xfId="15" applyNumberFormat="1" applyFont="1" applyBorder="1"/>
    <xf numFmtId="0" fontId="6" fillId="0" borderId="1" xfId="15" applyFont="1" applyBorder="1"/>
    <xf numFmtId="0" fontId="8" fillId="0" borderId="2" xfId="15" applyFont="1" applyBorder="1"/>
    <xf numFmtId="0" fontId="1" fillId="0" borderId="3" xfId="15" applyBorder="1"/>
    <xf numFmtId="0" fontId="1" fillId="0" borderId="4" xfId="15" applyBorder="1"/>
    <xf numFmtId="0" fontId="1" fillId="0" borderId="5" xfId="15" applyBorder="1"/>
    <xf numFmtId="4" fontId="1" fillId="0" borderId="0" xfId="15" applyNumberFormat="1"/>
    <xf numFmtId="0" fontId="1" fillId="0" borderId="6" xfId="15" applyBorder="1"/>
    <xf numFmtId="0" fontId="1" fillId="0" borderId="7" xfId="15" applyBorder="1"/>
    <xf numFmtId="4" fontId="1" fillId="0" borderId="8" xfId="15" applyNumberFormat="1" applyBorder="1"/>
    <xf numFmtId="0" fontId="1" fillId="0" borderId="9" xfId="15" applyBorder="1"/>
    <xf numFmtId="0" fontId="9" fillId="0" borderId="19" xfId="15" applyFont="1" applyBorder="1" applyAlignment="1">
      <alignment horizontal="center"/>
    </xf>
    <xf numFmtId="175" fontId="9" fillId="0" borderId="19" xfId="15" applyNumberFormat="1" applyFont="1" applyBorder="1" applyAlignment="1">
      <alignment horizontal="center"/>
    </xf>
    <xf numFmtId="0" fontId="9" fillId="0" borderId="2" xfId="15" applyFont="1" applyBorder="1" applyAlignment="1">
      <alignment horizontal="center"/>
    </xf>
    <xf numFmtId="176" fontId="9" fillId="0" borderId="0" xfId="15" applyNumberFormat="1" applyFont="1"/>
    <xf numFmtId="0" fontId="10" fillId="0" borderId="0" xfId="15" applyFont="1"/>
    <xf numFmtId="0" fontId="9" fillId="0" borderId="20" xfId="15" applyFont="1" applyBorder="1" applyAlignment="1">
      <alignment horizontal="center"/>
    </xf>
    <xf numFmtId="175" fontId="9" fillId="0" borderId="20" xfId="15" applyNumberFormat="1" applyFont="1" applyBorder="1" applyAlignment="1">
      <alignment horizontal="center"/>
    </xf>
    <xf numFmtId="0" fontId="9" fillId="0" borderId="5" xfId="15" applyFont="1" applyBorder="1" applyAlignment="1">
      <alignment horizontal="center"/>
    </xf>
    <xf numFmtId="9" fontId="9" fillId="0" borderId="20" xfId="15" applyNumberFormat="1" applyFont="1" applyBorder="1" applyAlignment="1">
      <alignment horizontal="center"/>
    </xf>
    <xf numFmtId="176" fontId="15" fillId="0" borderId="0" xfId="15" applyNumberFormat="1" applyFont="1"/>
    <xf numFmtId="0" fontId="16" fillId="0" borderId="0" xfId="15" applyFont="1"/>
    <xf numFmtId="0" fontId="9" fillId="0" borderId="21" xfId="15" applyFont="1" applyBorder="1" applyAlignment="1">
      <alignment horizontal="center"/>
    </xf>
    <xf numFmtId="175" fontId="9" fillId="0" borderId="21" xfId="15" applyNumberFormat="1" applyFont="1" applyBorder="1" applyAlignment="1">
      <alignment horizontal="center"/>
    </xf>
    <xf numFmtId="0" fontId="9" fillId="0" borderId="7" xfId="15" applyFont="1" applyBorder="1" applyAlignment="1">
      <alignment horizontal="center"/>
    </xf>
    <xf numFmtId="0" fontId="16" fillId="0" borderId="1" xfId="15" applyFont="1" applyBorder="1"/>
    <xf numFmtId="176" fontId="16" fillId="0" borderId="0" xfId="15" applyNumberFormat="1" applyFont="1"/>
    <xf numFmtId="4" fontId="10" fillId="0" borderId="0" xfId="15" applyNumberFormat="1" applyFont="1"/>
    <xf numFmtId="0" fontId="17" fillId="0" borderId="0" xfId="15" applyFont="1"/>
    <xf numFmtId="0" fontId="18" fillId="0" borderId="0" xfId="15" applyFont="1"/>
    <xf numFmtId="175" fontId="17" fillId="0" borderId="0" xfId="15" applyNumberFormat="1" applyFont="1"/>
    <xf numFmtId="1" fontId="17" fillId="0" borderId="0" xfId="15" applyNumberFormat="1" applyFont="1"/>
    <xf numFmtId="176" fontId="10" fillId="0" borderId="0" xfId="15" applyNumberFormat="1" applyFont="1"/>
    <xf numFmtId="3" fontId="17" fillId="0" borderId="0" xfId="15" applyNumberFormat="1" applyFont="1"/>
    <xf numFmtId="175" fontId="10" fillId="0" borderId="0" xfId="15" applyNumberFormat="1" applyFont="1"/>
    <xf numFmtId="3" fontId="10" fillId="0" borderId="0" xfId="15" applyNumberFormat="1" applyFont="1"/>
    <xf numFmtId="177" fontId="5" fillId="0" borderId="0" xfId="0" applyNumberFormat="1" applyFont="1"/>
    <xf numFmtId="177" fontId="6" fillId="0" borderId="0" xfId="0" applyNumberFormat="1" applyFont="1"/>
    <xf numFmtId="177" fontId="0" fillId="0" borderId="0" xfId="0" applyNumberFormat="1"/>
    <xf numFmtId="177" fontId="9" fillId="0" borderId="0" xfId="0" applyNumberFormat="1" applyFont="1"/>
    <xf numFmtId="177" fontId="10" fillId="0" borderId="0" xfId="0" applyNumberFormat="1" applyFont="1"/>
    <xf numFmtId="4" fontId="16" fillId="4" borderId="23" xfId="0" applyNumberFormat="1" applyFont="1" applyFill="1" applyBorder="1" applyAlignment="1">
      <alignment horizontal="right"/>
    </xf>
    <xf numFmtId="4" fontId="16" fillId="4" borderId="1" xfId="1" applyNumberFormat="1" applyFont="1" applyFill="1" applyBorder="1" applyAlignment="1" applyProtection="1">
      <alignment horizontal="right"/>
    </xf>
    <xf numFmtId="1" fontId="15" fillId="0" borderId="1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/>
    </xf>
    <xf numFmtId="3" fontId="28" fillId="0" borderId="0" xfId="0" applyNumberFormat="1" applyFont="1" applyAlignment="1">
      <alignment vertical="center"/>
    </xf>
    <xf numFmtId="4" fontId="28" fillId="0" borderId="25" xfId="0" applyNumberFormat="1" applyFont="1" applyBorder="1" applyAlignment="1">
      <alignment vertical="center"/>
    </xf>
    <xf numFmtId="3" fontId="28" fillId="0" borderId="0" xfId="0" applyNumberFormat="1" applyFont="1" applyAlignment="1">
      <alignment horizontal="left" vertical="center"/>
    </xf>
    <xf numFmtId="4" fontId="28" fillId="0" borderId="0" xfId="0" applyNumberFormat="1" applyFont="1" applyAlignment="1">
      <alignment vertical="center"/>
    </xf>
    <xf numFmtId="4" fontId="29" fillId="0" borderId="15" xfId="0" applyNumberFormat="1" applyFont="1" applyBorder="1" applyAlignment="1">
      <alignment vertical="center"/>
    </xf>
    <xf numFmtId="16" fontId="30" fillId="3" borderId="1" xfId="0" applyNumberFormat="1" applyFont="1" applyFill="1" applyBorder="1" applyAlignment="1">
      <alignment horizontal="center"/>
    </xf>
    <xf numFmtId="1" fontId="30" fillId="3" borderId="1" xfId="0" applyNumberFormat="1" applyFont="1" applyFill="1" applyBorder="1"/>
    <xf numFmtId="16" fontId="30" fillId="3" borderId="1" xfId="0" applyNumberFormat="1" applyFont="1" applyFill="1" applyBorder="1"/>
    <xf numFmtId="16" fontId="30" fillId="0" borderId="1" xfId="0" applyNumberFormat="1" applyFont="1" applyBorder="1"/>
    <xf numFmtId="1" fontId="30" fillId="0" borderId="1" xfId="0" applyNumberFormat="1" applyFont="1" applyBorder="1"/>
    <xf numFmtId="16" fontId="31" fillId="0" borderId="0" xfId="0" applyNumberFormat="1" applyFont="1"/>
    <xf numFmtId="0" fontId="31" fillId="0" borderId="0" xfId="0" applyFont="1"/>
    <xf numFmtId="0" fontId="15" fillId="0" borderId="0" xfId="15" applyFont="1"/>
    <xf numFmtId="175" fontId="16" fillId="0" borderId="0" xfId="15" applyNumberFormat="1" applyFont="1"/>
    <xf numFmtId="1" fontId="16" fillId="0" borderId="0" xfId="15" applyNumberFormat="1" applyFont="1"/>
    <xf numFmtId="4" fontId="16" fillId="0" borderId="0" xfId="15" applyNumberFormat="1" applyFont="1"/>
    <xf numFmtId="175" fontId="32" fillId="0" borderId="1" xfId="15" applyNumberFormat="1" applyFont="1" applyBorder="1" applyAlignment="1">
      <alignment horizontal="center"/>
    </xf>
    <xf numFmtId="0" fontId="32" fillId="0" borderId="1" xfId="0" applyFont="1" applyBorder="1"/>
    <xf numFmtId="4" fontId="32" fillId="0" borderId="1" xfId="15" applyNumberFormat="1" applyFont="1" applyBorder="1"/>
    <xf numFmtId="1" fontId="32" fillId="0" borderId="1" xfId="15" applyNumberFormat="1" applyFont="1" applyBorder="1"/>
    <xf numFmtId="49" fontId="32" fillId="0" borderId="1" xfId="15" applyNumberFormat="1" applyFont="1" applyBorder="1" applyAlignment="1">
      <alignment horizontal="center"/>
    </xf>
    <xf numFmtId="175" fontId="33" fillId="0" borderId="0" xfId="15" applyNumberFormat="1" applyFont="1"/>
    <xf numFmtId="1" fontId="33" fillId="0" borderId="0" xfId="15" applyNumberFormat="1" applyFont="1"/>
    <xf numFmtId="0" fontId="33" fillId="0" borderId="0" xfId="15" applyFont="1"/>
    <xf numFmtId="4" fontId="33" fillId="0" borderId="1" xfId="15" applyNumberFormat="1" applyFont="1" applyBorder="1"/>
    <xf numFmtId="4" fontId="33" fillId="0" borderId="0" xfId="15" applyNumberFormat="1" applyFont="1"/>
    <xf numFmtId="175" fontId="34" fillId="0" borderId="0" xfId="15" applyNumberFormat="1" applyFont="1"/>
    <xf numFmtId="3" fontId="35" fillId="0" borderId="1" xfId="0" applyNumberFormat="1" applyFont="1" applyBorder="1" applyAlignment="1">
      <alignment horizontal="center" vertical="center"/>
    </xf>
    <xf numFmtId="175" fontId="36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4" fontId="36" fillId="0" borderId="1" xfId="0" applyNumberFormat="1" applyFont="1" applyBorder="1" applyAlignment="1">
      <alignment vertical="center"/>
    </xf>
    <xf numFmtId="164" fontId="37" fillId="0" borderId="0" xfId="1" applyFont="1" applyBorder="1" applyAlignment="1" applyProtection="1">
      <alignment vertical="center"/>
    </xf>
    <xf numFmtId="0" fontId="37" fillId="3" borderId="1" xfId="0" applyFont="1" applyFill="1" applyBorder="1" applyAlignment="1">
      <alignment horizontal="center" vertical="center"/>
    </xf>
    <xf numFmtId="4" fontId="37" fillId="3" borderId="1" xfId="0" applyNumberFormat="1" applyFont="1" applyFill="1" applyBorder="1" applyAlignment="1">
      <alignment vertical="center"/>
    </xf>
    <xf numFmtId="175" fontId="37" fillId="3" borderId="1" xfId="0" applyNumberFormat="1" applyFont="1" applyFill="1" applyBorder="1" applyAlignment="1">
      <alignment horizontal="center" vertical="center"/>
    </xf>
    <xf numFmtId="4" fontId="35" fillId="0" borderId="0" xfId="0" applyNumberFormat="1" applyFont="1" applyAlignment="1">
      <alignment vertical="center"/>
    </xf>
    <xf numFmtId="175" fontId="37" fillId="0" borderId="0" xfId="0" applyNumberFormat="1" applyFont="1" applyAlignment="1">
      <alignment horizontal="center" vertical="center"/>
    </xf>
    <xf numFmtId="4" fontId="37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178" fontId="2" fillId="0" borderId="0" xfId="0" applyNumberFormat="1" applyFont="1" applyAlignment="1">
      <alignment vertical="center"/>
    </xf>
    <xf numFmtId="178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7" fillId="0" borderId="19" xfId="0" applyNumberFormat="1" applyFont="1" applyBorder="1" applyAlignment="1">
      <alignment horizontal="center" vertical="center"/>
    </xf>
    <xf numFmtId="178" fontId="2" fillId="0" borderId="21" xfId="0" applyNumberFormat="1" applyFont="1" applyBorder="1" applyAlignment="1">
      <alignment vertical="center"/>
    </xf>
    <xf numFmtId="178" fontId="7" fillId="0" borderId="21" xfId="0" applyNumberFormat="1" applyFont="1" applyBorder="1" applyAlignment="1">
      <alignment horizontal="center" vertical="center"/>
    </xf>
    <xf numFmtId="178" fontId="36" fillId="0" borderId="1" xfId="0" applyNumberFormat="1" applyFont="1" applyBorder="1" applyAlignment="1">
      <alignment vertical="center"/>
    </xf>
    <xf numFmtId="178" fontId="37" fillId="3" borderId="1" xfId="0" applyNumberFormat="1" applyFont="1" applyFill="1" applyBorder="1" applyAlignment="1">
      <alignment vertical="center"/>
    </xf>
    <xf numFmtId="178" fontId="37" fillId="0" borderId="1" xfId="0" applyNumberFormat="1" applyFont="1" applyBorder="1" applyAlignment="1">
      <alignment vertical="center"/>
    </xf>
    <xf numFmtId="178" fontId="37" fillId="0" borderId="0" xfId="0" applyNumberFormat="1" applyFont="1" applyAlignment="1">
      <alignment vertical="center"/>
    </xf>
    <xf numFmtId="178" fontId="2" fillId="0" borderId="0" xfId="1" applyNumberFormat="1" applyFont="1" applyBorder="1" applyAlignment="1" applyProtection="1">
      <alignment vertical="center"/>
    </xf>
    <xf numFmtId="178" fontId="7" fillId="0" borderId="4" xfId="0" applyNumberFormat="1" applyFont="1" applyBorder="1" applyAlignment="1">
      <alignment horizontal="center" vertical="center"/>
    </xf>
    <xf numFmtId="178" fontId="7" fillId="0" borderId="19" xfId="1" applyNumberFormat="1" applyFont="1" applyBorder="1" applyAlignment="1" applyProtection="1">
      <alignment vertical="center"/>
    </xf>
    <xf numFmtId="178" fontId="2" fillId="0" borderId="21" xfId="1" applyNumberFormat="1" applyFont="1" applyBorder="1" applyAlignment="1" applyProtection="1">
      <alignment horizontal="center" vertical="center"/>
    </xf>
    <xf numFmtId="178" fontId="36" fillId="0" borderId="23" xfId="0" applyNumberFormat="1" applyFont="1" applyBorder="1" applyAlignment="1">
      <alignment vertical="center"/>
    </xf>
    <xf numFmtId="178" fontId="36" fillId="0" borderId="1" xfId="1" applyNumberFormat="1" applyFont="1" applyBorder="1" applyAlignment="1" applyProtection="1">
      <alignment horizontal="center" vertical="center"/>
    </xf>
    <xf numFmtId="178" fontId="37" fillId="0" borderId="23" xfId="0" applyNumberFormat="1" applyFont="1" applyBorder="1" applyAlignment="1">
      <alignment vertical="center"/>
    </xf>
    <xf numFmtId="178" fontId="37" fillId="0" borderId="0" xfId="1" applyNumberFormat="1" applyFont="1" applyBorder="1" applyAlignment="1" applyProtection="1">
      <alignment vertical="center"/>
    </xf>
    <xf numFmtId="178" fontId="0" fillId="0" borderId="0" xfId="0" applyNumberFormat="1"/>
    <xf numFmtId="178" fontId="7" fillId="0" borderId="0" xfId="0" applyNumberFormat="1" applyFont="1"/>
    <xf numFmtId="178" fontId="6" fillId="0" borderId="1" xfId="0" applyNumberFormat="1" applyFont="1" applyBorder="1"/>
    <xf numFmtId="178" fontId="8" fillId="0" borderId="2" xfId="0" applyNumberFormat="1" applyFont="1" applyBorder="1"/>
    <xf numFmtId="178" fontId="0" fillId="0" borderId="3" xfId="0" applyNumberFormat="1" applyBorder="1"/>
    <xf numFmtId="178" fontId="0" fillId="0" borderId="4" xfId="0" applyNumberFormat="1" applyBorder="1"/>
    <xf numFmtId="178" fontId="0" fillId="0" borderId="5" xfId="0" applyNumberFormat="1" applyBorder="1"/>
    <xf numFmtId="178" fontId="2" fillId="0" borderId="0" xfId="0" applyNumberFormat="1" applyFont="1"/>
    <xf numFmtId="178" fontId="0" fillId="0" borderId="6" xfId="0" applyNumberFormat="1" applyBorder="1"/>
    <xf numFmtId="178" fontId="0" fillId="0" borderId="7" xfId="0" applyNumberFormat="1" applyBorder="1"/>
    <xf numFmtId="178" fontId="2" fillId="0" borderId="8" xfId="0" applyNumberFormat="1" applyFont="1" applyBorder="1"/>
    <xf numFmtId="178" fontId="0" fillId="0" borderId="9" xfId="0" applyNumberFormat="1" applyBorder="1"/>
    <xf numFmtId="178" fontId="30" fillId="0" borderId="1" xfId="0" applyNumberFormat="1" applyFont="1" applyBorder="1"/>
    <xf numFmtId="178" fontId="31" fillId="0" borderId="1" xfId="0" applyNumberFormat="1" applyFont="1" applyBorder="1"/>
    <xf numFmtId="178" fontId="9" fillId="0" borderId="0" xfId="0" applyNumberFormat="1" applyFont="1"/>
    <xf numFmtId="178" fontId="10" fillId="0" borderId="0" xfId="0" applyNumberFormat="1" applyFont="1"/>
    <xf numFmtId="167" fontId="38" fillId="0" borderId="1" xfId="7" applyFont="1" applyBorder="1" applyAlignment="1" applyProtection="1"/>
    <xf numFmtId="4" fontId="29" fillId="0" borderId="1" xfId="0" applyNumberFormat="1" applyFont="1" applyBorder="1" applyAlignment="1">
      <alignment horizontal="center" vertical="center"/>
    </xf>
    <xf numFmtId="167" fontId="38" fillId="3" borderId="1" xfId="7" applyFont="1" applyFill="1" applyBorder="1" applyAlignment="1" applyProtection="1"/>
    <xf numFmtId="4" fontId="1" fillId="0" borderId="0" xfId="0" applyNumberFormat="1" applyFont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4" fontId="22" fillId="4" borderId="1" xfId="0" applyNumberFormat="1" applyFont="1" applyFill="1" applyBorder="1" applyAlignment="1">
      <alignment vertical="center"/>
    </xf>
    <xf numFmtId="0" fontId="16" fillId="4" borderId="1" xfId="0" applyFont="1" applyFill="1" applyBorder="1" applyAlignment="1">
      <alignment horizontal="left"/>
    </xf>
    <xf numFmtId="175" fontId="22" fillId="4" borderId="1" xfId="0" applyNumberFormat="1" applyFont="1" applyFill="1" applyBorder="1" applyAlignment="1">
      <alignment horizontal="center" vertical="center"/>
    </xf>
    <xf numFmtId="4" fontId="1" fillId="0" borderId="25" xfId="0" applyNumberFormat="1" applyFont="1" applyBorder="1" applyAlignment="1">
      <alignment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175" fontId="0" fillId="0" borderId="0" xfId="0" applyNumberFormat="1" applyAlignment="1">
      <alignment horizontal="right" vertical="center"/>
    </xf>
    <xf numFmtId="175" fontId="7" fillId="0" borderId="0" xfId="0" applyNumberFormat="1" applyFont="1" applyAlignment="1">
      <alignment horizontal="right" vertical="center"/>
    </xf>
    <xf numFmtId="175" fontId="6" fillId="0" borderId="0" xfId="0" applyNumberFormat="1" applyFont="1" applyAlignment="1">
      <alignment horizontal="right" vertical="center"/>
    </xf>
    <xf numFmtId="175" fontId="6" fillId="0" borderId="1" xfId="0" applyNumberFormat="1" applyFont="1" applyBorder="1" applyAlignment="1">
      <alignment horizontal="right" vertical="center"/>
    </xf>
    <xf numFmtId="175" fontId="15" fillId="0" borderId="1" xfId="0" applyNumberFormat="1" applyFont="1" applyBorder="1" applyAlignment="1">
      <alignment horizontal="right" vertical="center"/>
    </xf>
    <xf numFmtId="175" fontId="16" fillId="0" borderId="0" xfId="0" applyNumberFormat="1" applyFont="1" applyAlignment="1">
      <alignment horizontal="right" vertical="center"/>
    </xf>
    <xf numFmtId="175" fontId="15" fillId="0" borderId="0" xfId="0" applyNumberFormat="1" applyFont="1" applyAlignment="1">
      <alignment horizontal="right" vertical="center"/>
    </xf>
    <xf numFmtId="175" fontId="29" fillId="0" borderId="19" xfId="0" applyNumberFormat="1" applyFont="1" applyBorder="1" applyAlignment="1">
      <alignment horizontal="right" vertical="center"/>
    </xf>
    <xf numFmtId="0" fontId="29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left" vertical="center"/>
    </xf>
    <xf numFmtId="0" fontId="28" fillId="0" borderId="0" xfId="0" applyFont="1"/>
    <xf numFmtId="3" fontId="29" fillId="4" borderId="19" xfId="0" applyNumberFormat="1" applyFont="1" applyFill="1" applyBorder="1" applyAlignment="1">
      <alignment horizontal="center" vertical="center"/>
    </xf>
    <xf numFmtId="4" fontId="29" fillId="0" borderId="2" xfId="0" applyNumberFormat="1" applyFont="1" applyBorder="1" applyAlignment="1">
      <alignment horizontal="right" vertical="center"/>
    </xf>
    <xf numFmtId="0" fontId="29" fillId="0" borderId="23" xfId="0" applyFont="1" applyBorder="1" applyAlignment="1">
      <alignment horizontal="center" vertical="center"/>
    </xf>
    <xf numFmtId="178" fontId="28" fillId="0" borderId="25" xfId="0" applyNumberFormat="1" applyFont="1" applyBorder="1" applyAlignment="1">
      <alignment vertical="center"/>
    </xf>
    <xf numFmtId="178" fontId="28" fillId="0" borderId="0" xfId="0" applyNumberFormat="1" applyFont="1" applyAlignment="1">
      <alignment vertical="center"/>
    </xf>
    <xf numFmtId="178" fontId="29" fillId="0" borderId="15" xfId="0" applyNumberFormat="1" applyFont="1" applyBorder="1" applyAlignment="1">
      <alignment vertical="center"/>
    </xf>
    <xf numFmtId="1" fontId="6" fillId="0" borderId="1" xfId="0" applyNumberFormat="1" applyFont="1" applyBorder="1"/>
    <xf numFmtId="4" fontId="39" fillId="0" borderId="0" xfId="0" applyNumberFormat="1" applyFont="1" applyAlignment="1">
      <alignment vertical="center"/>
    </xf>
    <xf numFmtId="4" fontId="2" fillId="4" borderId="21" xfId="0" applyNumberFormat="1" applyFont="1" applyFill="1" applyBorder="1" applyAlignment="1">
      <alignment vertical="center"/>
    </xf>
    <xf numFmtId="15" fontId="17" fillId="0" borderId="1" xfId="0" applyNumberFormat="1" applyFont="1" applyBorder="1" applyAlignment="1">
      <alignment horizontal="right"/>
    </xf>
    <xf numFmtId="0" fontId="17" fillId="0" borderId="1" xfId="0" quotePrefix="1" applyFont="1" applyBorder="1" applyAlignment="1">
      <alignment horizontal="center"/>
    </xf>
    <xf numFmtId="0" fontId="17" fillId="0" borderId="1" xfId="0" applyFont="1" applyBorder="1"/>
    <xf numFmtId="4" fontId="3" fillId="0" borderId="1" xfId="0" applyNumberFormat="1" applyFont="1" applyBorder="1" applyAlignment="1">
      <alignment vertical="center"/>
    </xf>
    <xf numFmtId="4" fontId="17" fillId="0" borderId="1" xfId="0" applyNumberFormat="1" applyFont="1" applyBorder="1" applyAlignment="1">
      <alignment horizontal="center" vertical="center"/>
    </xf>
    <xf numFmtId="4" fontId="17" fillId="0" borderId="1" xfId="0" applyNumberFormat="1" applyFont="1" applyBorder="1" applyAlignment="1">
      <alignment horizontal="right" vertical="center"/>
    </xf>
    <xf numFmtId="4" fontId="17" fillId="4" borderId="1" xfId="0" applyNumberFormat="1" applyFont="1" applyFill="1" applyBorder="1" applyAlignment="1">
      <alignment vertical="center"/>
    </xf>
    <xf numFmtId="164" fontId="17" fillId="4" borderId="1" xfId="1" applyFont="1" applyFill="1" applyBorder="1" applyAlignment="1" applyProtection="1">
      <alignment vertical="center"/>
    </xf>
    <xf numFmtId="0" fontId="17" fillId="0" borderId="1" xfId="0" applyFont="1" applyBorder="1" applyAlignment="1">
      <alignment horizontal="center"/>
    </xf>
    <xf numFmtId="4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4" fontId="3" fillId="4" borderId="1" xfId="0" applyNumberFormat="1" applyFont="1" applyFill="1" applyBorder="1" applyAlignment="1">
      <alignment vertical="center"/>
    </xf>
    <xf numFmtId="1" fontId="17" fillId="0" borderId="26" xfId="0" applyNumberFormat="1" applyFont="1" applyBorder="1" applyAlignment="1">
      <alignment horizontal="center" vertical="center"/>
    </xf>
    <xf numFmtId="4" fontId="17" fillId="3" borderId="1" xfId="0" applyNumberFormat="1" applyFont="1" applyFill="1" applyBorder="1" applyAlignment="1">
      <alignment vertical="center"/>
    </xf>
    <xf numFmtId="15" fontId="17" fillId="0" borderId="27" xfId="0" applyNumberFormat="1" applyFont="1" applyBorder="1" applyAlignment="1">
      <alignment horizontal="right" vertical="center"/>
    </xf>
    <xf numFmtId="4" fontId="17" fillId="0" borderId="26" xfId="0" applyNumberFormat="1" applyFont="1" applyBorder="1" applyAlignment="1">
      <alignment vertical="center"/>
    </xf>
    <xf numFmtId="0" fontId="17" fillId="0" borderId="26" xfId="0" applyFont="1" applyBorder="1" applyAlignment="1">
      <alignment horizontal="center" vertical="center"/>
    </xf>
    <xf numFmtId="0" fontId="17" fillId="0" borderId="26" xfId="0" quotePrefix="1" applyFont="1" applyBorder="1" applyAlignment="1">
      <alignment horizontal="center" vertical="center"/>
    </xf>
    <xf numFmtId="4" fontId="17" fillId="0" borderId="19" xfId="0" applyNumberFormat="1" applyFont="1" applyBorder="1" applyAlignment="1">
      <alignment horizontal="right" vertical="center"/>
    </xf>
    <xf numFmtId="15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4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horizontal="left" vertical="center"/>
    </xf>
    <xf numFmtId="4" fontId="18" fillId="0" borderId="21" xfId="0" applyNumberFormat="1" applyFont="1" applyBorder="1" applyAlignment="1">
      <alignment vertical="center"/>
    </xf>
    <xf numFmtId="4" fontId="18" fillId="0" borderId="21" xfId="0" applyNumberFormat="1" applyFont="1" applyBorder="1" applyAlignment="1">
      <alignment horizontal="right" vertical="center"/>
    </xf>
    <xf numFmtId="4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4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4" fontId="17" fillId="0" borderId="0" xfId="0" applyNumberFormat="1" applyFont="1" applyAlignment="1">
      <alignment horizontal="right" vertical="center"/>
    </xf>
    <xf numFmtId="49" fontId="17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4" fontId="18" fillId="0" borderId="0" xfId="0" applyNumberFormat="1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4" fontId="29" fillId="0" borderId="19" xfId="0" applyNumberFormat="1" applyFont="1" applyBorder="1" applyAlignment="1">
      <alignment horizontal="center" vertical="center"/>
    </xf>
    <xf numFmtId="167" fontId="38" fillId="4" borderId="1" xfId="7" applyFont="1" applyFill="1" applyBorder="1" applyAlignment="1" applyProtection="1">
      <alignment horizontal="center"/>
    </xf>
    <xf numFmtId="167" fontId="38" fillId="0" borderId="1" xfId="7" applyFont="1" applyBorder="1" applyAlignment="1" applyProtection="1">
      <alignment horizontal="center"/>
    </xf>
    <xf numFmtId="167" fontId="17" fillId="4" borderId="1" xfId="7" applyFont="1" applyFill="1" applyBorder="1" applyAlignment="1" applyProtection="1">
      <alignment horizontal="right"/>
    </xf>
    <xf numFmtId="4" fontId="17" fillId="0" borderId="1" xfId="0" applyNumberFormat="1" applyFont="1" applyBorder="1" applyAlignment="1">
      <alignment horizontal="right"/>
    </xf>
    <xf numFmtId="4" fontId="17" fillId="0" borderId="19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4" fontId="17" fillId="0" borderId="25" xfId="0" applyNumberFormat="1" applyFont="1" applyBorder="1" applyAlignment="1">
      <alignment horizontal="right"/>
    </xf>
    <xf numFmtId="4" fontId="18" fillId="0" borderId="25" xfId="0" applyNumberFormat="1" applyFont="1" applyBorder="1" applyAlignment="1">
      <alignment horizontal="right"/>
    </xf>
    <xf numFmtId="3" fontId="17" fillId="0" borderId="0" xfId="0" applyNumberFormat="1" applyFont="1" applyAlignment="1">
      <alignment horizontal="right"/>
    </xf>
    <xf numFmtId="3" fontId="15" fillId="0" borderId="1" xfId="0" applyNumberFormat="1" applyFont="1" applyBorder="1" applyAlignment="1">
      <alignment horizontal="right"/>
    </xf>
    <xf numFmtId="3" fontId="15" fillId="0" borderId="19" xfId="0" applyNumberFormat="1" applyFont="1" applyBorder="1" applyAlignment="1">
      <alignment horizontal="right"/>
    </xf>
    <xf numFmtId="4" fontId="18" fillId="0" borderId="21" xfId="0" applyNumberFormat="1" applyFont="1" applyBorder="1" applyAlignment="1">
      <alignment horizontal="right"/>
    </xf>
    <xf numFmtId="4" fontId="15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4" fontId="41" fillId="0" borderId="1" xfId="15" applyNumberFormat="1" applyFont="1" applyBorder="1" applyAlignment="1">
      <alignment horizontal="left"/>
    </xf>
    <xf numFmtId="164" fontId="22" fillId="0" borderId="5" xfId="1" applyFont="1" applyBorder="1" applyAlignment="1" applyProtection="1">
      <alignment horizontal="center" vertical="center"/>
    </xf>
    <xf numFmtId="175" fontId="38" fillId="0" borderId="1" xfId="0" applyNumberFormat="1" applyFont="1" applyBorder="1" applyAlignment="1">
      <alignment horizontal="right"/>
    </xf>
    <xf numFmtId="0" fontId="38" fillId="0" borderId="1" xfId="0" applyFont="1" applyBorder="1"/>
    <xf numFmtId="0" fontId="38" fillId="0" borderId="1" xfId="0" applyFont="1" applyBorder="1" applyAlignment="1">
      <alignment horizontal="left" vertical="center"/>
    </xf>
    <xf numFmtId="4" fontId="38" fillId="0" borderId="1" xfId="0" applyNumberFormat="1" applyFont="1" applyBorder="1" applyAlignment="1">
      <alignment horizontal="center" vertical="center"/>
    </xf>
    <xf numFmtId="4" fontId="38" fillId="0" borderId="1" xfId="0" applyNumberFormat="1" applyFont="1" applyBorder="1" applyAlignment="1">
      <alignment horizontal="right" vertical="center"/>
    </xf>
    <xf numFmtId="4" fontId="38" fillId="0" borderId="1" xfId="0" applyNumberFormat="1" applyFont="1" applyBorder="1" applyAlignment="1">
      <alignment vertical="center"/>
    </xf>
    <xf numFmtId="164" fontId="38" fillId="0" borderId="1" xfId="1" applyFont="1" applyBorder="1" applyAlignment="1" applyProtection="1">
      <alignment vertical="center"/>
    </xf>
    <xf numFmtId="0" fontId="38" fillId="0" borderId="1" xfId="0" applyFont="1" applyBorder="1" applyAlignment="1">
      <alignment horizontal="right"/>
    </xf>
    <xf numFmtId="4" fontId="43" fillId="0" borderId="1" xfId="0" applyNumberFormat="1" applyFont="1" applyBorder="1" applyAlignment="1">
      <alignment horizontal="center" vertical="center"/>
    </xf>
    <xf numFmtId="175" fontId="38" fillId="3" borderId="1" xfId="0" applyNumberFormat="1" applyFont="1" applyFill="1" applyBorder="1" applyAlignment="1">
      <alignment horizontal="right"/>
    </xf>
    <xf numFmtId="0" fontId="38" fillId="3" borderId="1" xfId="0" applyFont="1" applyFill="1" applyBorder="1"/>
    <xf numFmtId="4" fontId="38" fillId="3" borderId="1" xfId="0" applyNumberFormat="1" applyFont="1" applyFill="1" applyBorder="1" applyAlignment="1">
      <alignment vertical="center"/>
    </xf>
    <xf numFmtId="175" fontId="38" fillId="0" borderId="1" xfId="0" applyNumberFormat="1" applyFont="1" applyBorder="1" applyAlignment="1">
      <alignment horizontal="right" vertical="center"/>
    </xf>
    <xf numFmtId="1" fontId="38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vertical="center"/>
    </xf>
    <xf numFmtId="4" fontId="38" fillId="0" borderId="19" xfId="0" applyNumberFormat="1" applyFont="1" applyBorder="1" applyAlignment="1">
      <alignment horizontal="right" vertical="center"/>
    </xf>
    <xf numFmtId="175" fontId="38" fillId="0" borderId="27" xfId="0" applyNumberFormat="1" applyFont="1" applyBorder="1" applyAlignment="1">
      <alignment horizontal="right" vertical="center"/>
    </xf>
    <xf numFmtId="1" fontId="38" fillId="0" borderId="26" xfId="0" applyNumberFormat="1" applyFont="1" applyBorder="1" applyAlignment="1">
      <alignment horizontal="center" vertical="center"/>
    </xf>
    <xf numFmtId="4" fontId="38" fillId="0" borderId="26" xfId="0" applyNumberFormat="1" applyFont="1" applyBorder="1" applyAlignment="1">
      <alignment vertical="center"/>
    </xf>
    <xf numFmtId="4" fontId="38" fillId="0" borderId="19" xfId="0" applyNumberFormat="1" applyFont="1" applyBorder="1" applyAlignment="1">
      <alignment vertical="center"/>
    </xf>
    <xf numFmtId="4" fontId="43" fillId="0" borderId="1" xfId="0" applyNumberFormat="1" applyFont="1" applyBorder="1" applyAlignment="1">
      <alignment vertical="center"/>
    </xf>
    <xf numFmtId="0" fontId="38" fillId="0" borderId="26" xfId="0" applyFont="1" applyBorder="1" applyAlignment="1">
      <alignment horizontal="center" vertical="center"/>
    </xf>
    <xf numFmtId="175" fontId="38" fillId="0" borderId="0" xfId="0" applyNumberFormat="1" applyFont="1" applyAlignment="1">
      <alignment horizontal="right" vertical="center"/>
    </xf>
    <xf numFmtId="0" fontId="38" fillId="0" borderId="0" xfId="0" applyFont="1" applyAlignment="1">
      <alignment horizontal="center" vertical="center"/>
    </xf>
    <xf numFmtId="4" fontId="38" fillId="0" borderId="0" xfId="0" applyNumberFormat="1" applyFont="1" applyAlignment="1">
      <alignment vertical="center"/>
    </xf>
    <xf numFmtId="4" fontId="38" fillId="0" borderId="0" xfId="0" applyNumberFormat="1" applyFont="1" applyAlignment="1">
      <alignment horizontal="left" vertical="center"/>
    </xf>
    <xf numFmtId="4" fontId="43" fillId="0" borderId="21" xfId="0" applyNumberFormat="1" applyFont="1" applyBorder="1" applyAlignment="1">
      <alignment vertical="center"/>
    </xf>
    <xf numFmtId="4" fontId="43" fillId="0" borderId="21" xfId="0" applyNumberFormat="1" applyFont="1" applyBorder="1" applyAlignment="1">
      <alignment horizontal="right" vertical="center"/>
    </xf>
    <xf numFmtId="4" fontId="1" fillId="3" borderId="1" xfId="0" applyNumberFormat="1" applyFont="1" applyFill="1" applyBorder="1" applyAlignment="1">
      <alignment vertical="center"/>
    </xf>
    <xf numFmtId="49" fontId="1" fillId="0" borderId="1" xfId="8" applyNumberFormat="1" applyFont="1" applyBorder="1" applyAlignment="1">
      <alignment horizontal="center" vertical="center"/>
    </xf>
    <xf numFmtId="4" fontId="16" fillId="3" borderId="19" xfId="0" applyNumberFormat="1" applyFont="1" applyFill="1" applyBorder="1" applyAlignment="1">
      <alignment horizontal="right"/>
    </xf>
    <xf numFmtId="4" fontId="22" fillId="0" borderId="2" xfId="0" applyNumberFormat="1" applyFont="1" applyBorder="1" applyAlignment="1">
      <alignment horizontal="right"/>
    </xf>
    <xf numFmtId="4" fontId="22" fillId="0" borderId="2" xfId="1" applyNumberFormat="1" applyFont="1" applyBorder="1" applyAlignment="1" applyProtection="1">
      <alignment horizontal="right"/>
    </xf>
    <xf numFmtId="4" fontId="16" fillId="0" borderId="1" xfId="0" applyNumberFormat="1" applyFont="1" applyBorder="1" applyAlignment="1">
      <alignment vertical="center"/>
    </xf>
    <xf numFmtId="175" fontId="28" fillId="0" borderId="19" xfId="0" applyNumberFormat="1" applyFont="1" applyBorder="1" applyAlignment="1">
      <alignment horizontal="right" vertical="center"/>
    </xf>
    <xf numFmtId="0" fontId="28" fillId="0" borderId="19" xfId="0" applyFont="1" applyBorder="1" applyAlignment="1">
      <alignment horizontal="right" vertical="center"/>
    </xf>
    <xf numFmtId="4" fontId="28" fillId="4" borderId="19" xfId="0" applyNumberFormat="1" applyFont="1" applyFill="1" applyBorder="1" applyAlignment="1">
      <alignment horizontal="right" vertical="center"/>
    </xf>
    <xf numFmtId="0" fontId="28" fillId="0" borderId="1" xfId="0" applyFont="1" applyBorder="1"/>
    <xf numFmtId="0" fontId="28" fillId="0" borderId="19" xfId="0" applyFont="1" applyBorder="1" applyAlignment="1">
      <alignment horizontal="left" vertical="center"/>
    </xf>
    <xf numFmtId="0" fontId="28" fillId="0" borderId="23" xfId="0" applyFont="1" applyBorder="1" applyAlignment="1">
      <alignment horizontal="right" vertical="center"/>
    </xf>
    <xf numFmtId="170" fontId="10" fillId="0" borderId="28" xfId="0" applyNumberFormat="1" applyFont="1" applyBorder="1" applyAlignment="1">
      <alignment vertical="center"/>
    </xf>
    <xf numFmtId="0" fontId="44" fillId="0" borderId="29" xfId="0" applyFont="1" applyBorder="1" applyAlignment="1">
      <alignment horizontal="left" vertical="center"/>
    </xf>
    <xf numFmtId="164" fontId="46" fillId="0" borderId="0" xfId="1" applyFont="1" applyBorder="1" applyAlignment="1" applyProtection="1">
      <alignment horizontal="center" vertical="center"/>
    </xf>
    <xf numFmtId="4" fontId="52" fillId="0" borderId="1" xfId="16" applyNumberFormat="1" applyFont="1" applyBorder="1" applyAlignment="1" applyProtection="1">
      <alignment horizontal="center" vertical="center" textRotation="90" wrapText="1"/>
    </xf>
    <xf numFmtId="0" fontId="53" fillId="0" borderId="1" xfId="15" applyFont="1" applyBorder="1" applyAlignment="1">
      <alignment vertical="center"/>
    </xf>
    <xf numFmtId="15" fontId="53" fillId="0" borderId="1" xfId="15" applyNumberFormat="1" applyFont="1" applyBorder="1" applyAlignment="1">
      <alignment vertical="center"/>
    </xf>
    <xf numFmtId="1" fontId="53" fillId="0" borderId="1" xfId="1" applyNumberFormat="1" applyFont="1" applyBorder="1" applyAlignment="1" applyProtection="1">
      <alignment vertical="center"/>
      <protection locked="0"/>
    </xf>
    <xf numFmtId="4" fontId="53" fillId="0" borderId="1" xfId="1" applyNumberFormat="1" applyFont="1" applyBorder="1" applyAlignment="1" applyProtection="1">
      <alignment vertical="center"/>
    </xf>
    <xf numFmtId="1" fontId="53" fillId="0" borderId="1" xfId="1" applyNumberFormat="1" applyFont="1" applyBorder="1" applyAlignment="1" applyProtection="1">
      <alignment vertical="center"/>
    </xf>
    <xf numFmtId="4" fontId="53" fillId="0" borderId="1" xfId="1" applyNumberFormat="1" applyFont="1" applyBorder="1" applyAlignment="1" applyProtection="1">
      <alignment vertical="center"/>
      <protection locked="0"/>
    </xf>
    <xf numFmtId="3" fontId="53" fillId="0" borderId="1" xfId="1" applyNumberFormat="1" applyFont="1" applyBorder="1" applyAlignment="1" applyProtection="1">
      <alignment vertical="center"/>
      <protection locked="0"/>
    </xf>
    <xf numFmtId="1" fontId="53" fillId="0" borderId="1" xfId="1" applyNumberFormat="1" applyFont="1" applyBorder="1" applyAlignment="1" applyProtection="1">
      <alignment horizontal="right" vertical="center"/>
    </xf>
    <xf numFmtId="1" fontId="55" fillId="0" borderId="0" xfId="1" applyNumberFormat="1" applyFont="1" applyBorder="1" applyAlignment="1" applyProtection="1">
      <alignment vertical="center"/>
    </xf>
    <xf numFmtId="179" fontId="53" fillId="0" borderId="1" xfId="1" applyNumberFormat="1" applyFont="1" applyBorder="1" applyAlignment="1" applyProtection="1">
      <alignment vertical="center"/>
      <protection locked="0"/>
    </xf>
    <xf numFmtId="179" fontId="53" fillId="0" borderId="1" xfId="1" applyNumberFormat="1" applyFont="1" applyBorder="1" applyAlignment="1" applyProtection="1">
      <alignment vertical="center"/>
    </xf>
    <xf numFmtId="179" fontId="55" fillId="0" borderId="0" xfId="1" applyNumberFormat="1" applyFont="1" applyBorder="1" applyAlignment="1" applyProtection="1">
      <alignment vertical="center"/>
    </xf>
    <xf numFmtId="4" fontId="53" fillId="4" borderId="1" xfId="1" applyNumberFormat="1" applyFont="1" applyFill="1" applyBorder="1" applyAlignment="1" applyProtection="1">
      <alignment vertical="center"/>
    </xf>
    <xf numFmtId="1" fontId="53" fillId="0" borderId="1" xfId="2" applyNumberFormat="1" applyFont="1" applyBorder="1" applyAlignment="1" applyProtection="1">
      <alignment vertical="center"/>
    </xf>
    <xf numFmtId="0" fontId="53" fillId="0" borderId="19" xfId="15" applyFont="1" applyBorder="1" applyAlignment="1">
      <alignment vertical="center"/>
    </xf>
    <xf numFmtId="15" fontId="53" fillId="0" borderId="19" xfId="15" applyNumberFormat="1" applyFont="1" applyBorder="1" applyAlignment="1">
      <alignment vertical="center"/>
    </xf>
    <xf numFmtId="4" fontId="53" fillId="0" borderId="19" xfId="1" applyNumberFormat="1" applyFont="1" applyBorder="1" applyAlignment="1" applyProtection="1">
      <alignment vertical="center"/>
    </xf>
    <xf numFmtId="1" fontId="53" fillId="0" borderId="19" xfId="1" applyNumberFormat="1" applyFont="1" applyBorder="1" applyAlignment="1" applyProtection="1">
      <alignment vertical="center"/>
    </xf>
    <xf numFmtId="1" fontId="53" fillId="0" borderId="19" xfId="1" applyNumberFormat="1" applyFont="1" applyBorder="1" applyAlignment="1" applyProtection="1">
      <alignment vertical="center"/>
      <protection locked="0"/>
    </xf>
    <xf numFmtId="4" fontId="53" fillId="0" borderId="19" xfId="1" applyNumberFormat="1" applyFont="1" applyBorder="1" applyAlignment="1" applyProtection="1">
      <alignment vertical="center"/>
      <protection locked="0"/>
    </xf>
    <xf numFmtId="4" fontId="53" fillId="4" borderId="19" xfId="1" applyNumberFormat="1" applyFont="1" applyFill="1" applyBorder="1" applyAlignment="1" applyProtection="1">
      <alignment vertical="center"/>
    </xf>
    <xf numFmtId="1" fontId="55" fillId="0" borderId="1" xfId="1" applyNumberFormat="1" applyFont="1" applyBorder="1" applyAlignment="1" applyProtection="1">
      <alignment vertical="center"/>
    </xf>
    <xf numFmtId="4" fontId="53" fillId="0" borderId="0" xfId="1" applyNumberFormat="1" applyFont="1" applyBorder="1" applyAlignment="1" applyProtection="1">
      <alignment vertical="center"/>
    </xf>
    <xf numFmtId="1" fontId="53" fillId="0" borderId="1" xfId="1" quotePrefix="1" applyNumberFormat="1" applyFont="1" applyBorder="1" applyAlignment="1" applyProtection="1">
      <alignment horizontal="right" vertical="center"/>
    </xf>
    <xf numFmtId="4" fontId="53" fillId="0" borderId="21" xfId="1" applyNumberFormat="1" applyFont="1" applyBorder="1" applyAlignment="1" applyProtection="1">
      <alignment vertical="center"/>
    </xf>
    <xf numFmtId="1" fontId="53" fillId="0" borderId="21" xfId="1" applyNumberFormat="1" applyFont="1" applyBorder="1" applyAlignment="1" applyProtection="1">
      <alignment vertical="center"/>
    </xf>
    <xf numFmtId="3" fontId="53" fillId="0" borderId="21" xfId="1" applyNumberFormat="1" applyFont="1" applyBorder="1" applyAlignment="1" applyProtection="1">
      <alignment vertical="center"/>
      <protection locked="0"/>
    </xf>
    <xf numFmtId="4" fontId="53" fillId="0" borderId="21" xfId="1" applyNumberFormat="1" applyFont="1" applyBorder="1" applyAlignment="1" applyProtection="1">
      <alignment vertical="center"/>
      <protection locked="0"/>
    </xf>
    <xf numFmtId="3" fontId="56" fillId="0" borderId="21" xfId="1" applyNumberFormat="1" applyFont="1" applyBorder="1" applyAlignment="1" applyProtection="1">
      <alignment horizontal="center" vertical="center"/>
    </xf>
    <xf numFmtId="3" fontId="56" fillId="0" borderId="21" xfId="1" applyNumberFormat="1" applyFont="1" applyBorder="1" applyAlignment="1" applyProtection="1">
      <alignment vertical="center"/>
    </xf>
    <xf numFmtId="15" fontId="56" fillId="0" borderId="21" xfId="1" applyNumberFormat="1" applyFont="1" applyBorder="1" applyAlignment="1" applyProtection="1">
      <alignment vertical="center"/>
    </xf>
    <xf numFmtId="4" fontId="56" fillId="0" borderId="21" xfId="1" applyNumberFormat="1" applyFont="1" applyBorder="1" applyAlignment="1" applyProtection="1">
      <alignment vertical="center"/>
    </xf>
    <xf numFmtId="3" fontId="56" fillId="0" borderId="21" xfId="1" applyNumberFormat="1" applyFont="1" applyBorder="1" applyAlignment="1" applyProtection="1">
      <alignment vertical="center"/>
      <protection locked="0"/>
    </xf>
    <xf numFmtId="4" fontId="56" fillId="0" borderId="21" xfId="1" applyNumberFormat="1" applyFont="1" applyBorder="1" applyAlignment="1" applyProtection="1">
      <alignment vertical="center"/>
      <protection locked="0"/>
    </xf>
    <xf numFmtId="4" fontId="56" fillId="0" borderId="0" xfId="1" applyNumberFormat="1" applyFont="1" applyBorder="1" applyAlignment="1" applyProtection="1">
      <alignment vertical="center"/>
    </xf>
    <xf numFmtId="49" fontId="57" fillId="0" borderId="0" xfId="1" applyNumberFormat="1" applyFont="1" applyBorder="1" applyAlignment="1" applyProtection="1">
      <alignment vertical="center"/>
    </xf>
    <xf numFmtId="3" fontId="57" fillId="0" borderId="0" xfId="1" applyNumberFormat="1" applyFont="1" applyBorder="1" applyAlignment="1" applyProtection="1">
      <alignment vertical="center"/>
    </xf>
    <xf numFmtId="3" fontId="56" fillId="0" borderId="0" xfId="1" applyNumberFormat="1" applyFont="1" applyBorder="1" applyAlignment="1" applyProtection="1">
      <alignment horizontal="center" vertical="center"/>
    </xf>
    <xf numFmtId="3" fontId="56" fillId="0" borderId="0" xfId="1" applyNumberFormat="1" applyFont="1" applyBorder="1" applyAlignment="1" applyProtection="1">
      <alignment vertical="center"/>
    </xf>
    <xf numFmtId="15" fontId="56" fillId="0" borderId="0" xfId="1" applyNumberFormat="1" applyFont="1" applyBorder="1" applyAlignment="1" applyProtection="1">
      <alignment vertical="center"/>
    </xf>
    <xf numFmtId="4" fontId="56" fillId="0" borderId="0" xfId="1" applyNumberFormat="1" applyFont="1" applyBorder="1" applyAlignment="1" applyProtection="1">
      <alignment vertical="center"/>
      <protection locked="0"/>
    </xf>
    <xf numFmtId="3" fontId="56" fillId="0" borderId="0" xfId="1" applyNumberFormat="1" applyFont="1" applyBorder="1" applyAlignment="1" applyProtection="1">
      <alignment vertical="center"/>
      <protection locked="0"/>
    </xf>
    <xf numFmtId="1" fontId="56" fillId="0" borderId="0" xfId="1" applyNumberFormat="1" applyFont="1" applyBorder="1" applyAlignment="1" applyProtection="1">
      <alignment vertical="center"/>
      <protection locked="0"/>
    </xf>
    <xf numFmtId="1" fontId="53" fillId="0" borderId="0" xfId="2" applyNumberFormat="1" applyFont="1" applyBorder="1" applyAlignment="1" applyProtection="1">
      <alignment horizontal="right" vertical="center"/>
    </xf>
    <xf numFmtId="3" fontId="58" fillId="0" borderId="0" xfId="1" applyNumberFormat="1" applyFont="1" applyBorder="1" applyAlignment="1" applyProtection="1">
      <alignment vertical="center"/>
    </xf>
    <xf numFmtId="4" fontId="22" fillId="0" borderId="23" xfId="0" applyNumberFormat="1" applyFont="1" applyBorder="1" applyAlignment="1">
      <alignment vertical="center"/>
    </xf>
    <xf numFmtId="0" fontId="67" fillId="0" borderId="1" xfId="17" applyFont="1" applyBorder="1" applyAlignment="1">
      <alignment horizontal="left" vertical="center"/>
    </xf>
    <xf numFmtId="0" fontId="67" fillId="0" borderId="29" xfId="17" applyFont="1" applyBorder="1" applyAlignment="1">
      <alignment horizontal="left" vertical="center"/>
    </xf>
    <xf numFmtId="180" fontId="2" fillId="0" borderId="0" xfId="0" applyNumberFormat="1" applyFont="1" applyAlignment="1">
      <alignment vertical="center"/>
    </xf>
    <xf numFmtId="0" fontId="45" fillId="0" borderId="0" xfId="0" applyFont="1" applyAlignment="1">
      <alignment horizontal="center" vertical="center"/>
    </xf>
    <xf numFmtId="4" fontId="46" fillId="0" borderId="1" xfId="0" applyNumberFormat="1" applyFont="1" applyBorder="1" applyAlignment="1">
      <alignment vertical="center"/>
    </xf>
    <xf numFmtId="4" fontId="46" fillId="0" borderId="0" xfId="0" applyNumberFormat="1" applyFont="1" applyAlignment="1">
      <alignment vertical="center"/>
    </xf>
    <xf numFmtId="4" fontId="47" fillId="0" borderId="0" xfId="0" applyNumberFormat="1" applyFont="1" applyAlignment="1">
      <alignment vertical="center"/>
    </xf>
    <xf numFmtId="49" fontId="47" fillId="0" borderId="0" xfId="0" applyNumberFormat="1" applyFont="1" applyAlignment="1">
      <alignment vertical="center"/>
    </xf>
    <xf numFmtId="49" fontId="48" fillId="0" borderId="0" xfId="0" applyNumberFormat="1" applyFont="1" applyAlignment="1">
      <alignment vertical="center"/>
    </xf>
    <xf numFmtId="0" fontId="48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5" fontId="46" fillId="0" borderId="0" xfId="0" applyNumberFormat="1" applyFont="1" applyAlignment="1">
      <alignment vertical="center"/>
    </xf>
    <xf numFmtId="0" fontId="46" fillId="0" borderId="0" xfId="0" applyFont="1" applyAlignment="1">
      <alignment horizontal="left" vertical="center"/>
    </xf>
    <xf numFmtId="4" fontId="49" fillId="0" borderId="0" xfId="0" applyNumberFormat="1" applyFont="1" applyAlignment="1">
      <alignment vertical="center"/>
    </xf>
    <xf numFmtId="0" fontId="50" fillId="0" borderId="0" xfId="0" applyFont="1" applyAlignment="1">
      <alignment horizontal="center" vertical="center"/>
    </xf>
    <xf numFmtId="4" fontId="46" fillId="0" borderId="0" xfId="0" applyNumberFormat="1" applyFont="1" applyAlignment="1">
      <alignment horizontal="left" vertical="center"/>
    </xf>
    <xf numFmtId="3" fontId="46" fillId="0" borderId="0" xfId="0" applyNumberFormat="1" applyFont="1" applyAlignment="1">
      <alignment horizontal="left" vertical="center"/>
    </xf>
    <xf numFmtId="4" fontId="50" fillId="0" borderId="0" xfId="0" applyNumberFormat="1" applyFont="1" applyAlignment="1">
      <alignment vertical="center"/>
    </xf>
    <xf numFmtId="1" fontId="50" fillId="0" borderId="0" xfId="0" applyNumberFormat="1" applyFont="1" applyAlignment="1">
      <alignment vertical="center"/>
    </xf>
    <xf numFmtId="1" fontId="49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1" fontId="46" fillId="0" borderId="0" xfId="0" applyNumberFormat="1" applyFont="1" applyAlignment="1">
      <alignment horizontal="left" vertical="center"/>
    </xf>
    <xf numFmtId="0" fontId="46" fillId="0" borderId="2" xfId="0" applyFont="1" applyBorder="1" applyAlignment="1">
      <alignment vertical="center"/>
    </xf>
    <xf numFmtId="1" fontId="46" fillId="0" borderId="4" xfId="0" applyNumberFormat="1" applyFont="1" applyBorder="1" applyAlignment="1" applyProtection="1">
      <alignment horizontal="left" vertical="center"/>
      <protection locked="0"/>
    </xf>
    <xf numFmtId="4" fontId="46" fillId="0" borderId="0" xfId="0" applyNumberFormat="1" applyFont="1" applyAlignment="1" applyProtection="1">
      <alignment horizontal="left" vertical="center"/>
      <protection locked="0"/>
    </xf>
    <xf numFmtId="0" fontId="49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15" fontId="51" fillId="0" borderId="0" xfId="0" applyNumberFormat="1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6" fillId="0" borderId="7" xfId="0" applyFont="1" applyBorder="1" applyAlignment="1">
      <alignment vertical="center"/>
    </xf>
    <xf numFmtId="4" fontId="46" fillId="0" borderId="9" xfId="0" applyNumberFormat="1" applyFont="1" applyBorder="1" applyAlignment="1" applyProtection="1">
      <alignment horizontal="left" vertical="center"/>
      <protection locked="0"/>
    </xf>
    <xf numFmtId="15" fontId="49" fillId="0" borderId="0" xfId="0" applyNumberFormat="1" applyFont="1" applyAlignment="1">
      <alignment vertical="center"/>
    </xf>
    <xf numFmtId="4" fontId="50" fillId="0" borderId="0" xfId="0" applyNumberFormat="1" applyFont="1" applyAlignment="1">
      <alignment horizontal="center" vertical="center"/>
    </xf>
    <xf numFmtId="3" fontId="50" fillId="0" borderId="0" xfId="0" applyNumberFormat="1" applyFont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4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4" fontId="52" fillId="0" borderId="0" xfId="0" applyNumberFormat="1" applyFont="1" applyAlignment="1">
      <alignment horizontal="center" vertical="center"/>
    </xf>
    <xf numFmtId="4" fontId="52" fillId="0" borderId="1" xfId="0" applyNumberFormat="1" applyFont="1" applyBorder="1" applyAlignment="1">
      <alignment horizontal="center" vertical="center" wrapText="1"/>
    </xf>
    <xf numFmtId="3" fontId="52" fillId="0" borderId="1" xfId="0" applyNumberFormat="1" applyFont="1" applyBorder="1" applyAlignment="1">
      <alignment horizontal="center" vertical="center" wrapText="1"/>
    </xf>
    <xf numFmtId="1" fontId="52" fillId="0" borderId="1" xfId="0" applyNumberFormat="1" applyFont="1" applyBorder="1" applyAlignment="1">
      <alignment horizontal="center" vertical="center" wrapText="1"/>
    </xf>
    <xf numFmtId="0" fontId="52" fillId="0" borderId="19" xfId="0" applyFont="1" applyBorder="1" applyAlignment="1">
      <alignment horizontal="center" vertical="center" wrapText="1"/>
    </xf>
    <xf numFmtId="4" fontId="52" fillId="0" borderId="19" xfId="0" applyNumberFormat="1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textRotation="90"/>
    </xf>
    <xf numFmtId="4" fontId="52" fillId="0" borderId="1" xfId="0" applyNumberFormat="1" applyFont="1" applyBorder="1" applyAlignment="1">
      <alignment horizontal="center" vertical="center" textRotation="90"/>
    </xf>
    <xf numFmtId="4" fontId="47" fillId="0" borderId="0" xfId="0" applyNumberFormat="1" applyFont="1" applyAlignment="1">
      <alignment horizontal="center" vertical="center"/>
    </xf>
    <xf numFmtId="49" fontId="47" fillId="0" borderId="0" xfId="0" applyNumberFormat="1" applyFont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vertical="center"/>
    </xf>
    <xf numFmtId="15" fontId="53" fillId="0" borderId="1" xfId="0" applyNumberFormat="1" applyFont="1" applyBorder="1" applyAlignment="1">
      <alignment vertical="center"/>
    </xf>
    <xf numFmtId="4" fontId="53" fillId="0" borderId="1" xfId="0" applyNumberFormat="1" applyFont="1" applyBorder="1" applyAlignment="1">
      <alignment vertical="center"/>
    </xf>
    <xf numFmtId="4" fontId="53" fillId="0" borderId="0" xfId="0" applyNumberFormat="1" applyFont="1" applyAlignment="1">
      <alignment vertical="center"/>
    </xf>
    <xf numFmtId="4" fontId="54" fillId="0" borderId="0" xfId="0" applyNumberFormat="1" applyFont="1" applyAlignment="1">
      <alignment vertical="center"/>
    </xf>
    <xf numFmtId="49" fontId="55" fillId="0" borderId="0" xfId="0" applyNumberFormat="1" applyFont="1" applyAlignment="1">
      <alignment vertical="center"/>
    </xf>
    <xf numFmtId="0" fontId="55" fillId="0" borderId="0" xfId="0" applyFont="1" applyAlignment="1">
      <alignment horizontal="left" vertical="center"/>
    </xf>
    <xf numFmtId="179" fontId="53" fillId="0" borderId="1" xfId="0" applyNumberFormat="1" applyFont="1" applyBorder="1" applyAlignment="1">
      <alignment horizontal="center" vertical="center"/>
    </xf>
    <xf numFmtId="179" fontId="53" fillId="0" borderId="1" xfId="0" applyNumberFormat="1" applyFont="1" applyBorder="1" applyAlignment="1">
      <alignment vertical="center"/>
    </xf>
    <xf numFmtId="179" fontId="55" fillId="0" borderId="0" xfId="0" applyNumberFormat="1" applyFont="1" applyAlignment="1">
      <alignment vertical="center"/>
    </xf>
    <xf numFmtId="179" fontId="55" fillId="0" borderId="0" xfId="0" applyNumberFormat="1" applyFont="1" applyAlignment="1">
      <alignment horizontal="left" vertical="center"/>
    </xf>
    <xf numFmtId="0" fontId="53" fillId="3" borderId="1" xfId="0" applyFont="1" applyFill="1" applyBorder="1" applyAlignment="1">
      <alignment vertical="center"/>
    </xf>
    <xf numFmtId="15" fontId="53" fillId="3" borderId="1" xfId="0" applyNumberFormat="1" applyFont="1" applyFill="1" applyBorder="1" applyAlignment="1">
      <alignment vertical="center"/>
    </xf>
    <xf numFmtId="0" fontId="53" fillId="0" borderId="19" xfId="0" applyFont="1" applyBorder="1" applyAlignment="1">
      <alignment vertical="center"/>
    </xf>
    <xf numFmtId="4" fontId="53" fillId="0" borderId="19" xfId="0" applyNumberFormat="1" applyFont="1" applyBorder="1" applyAlignment="1">
      <alignment vertical="center"/>
    </xf>
    <xf numFmtId="4" fontId="53" fillId="0" borderId="2" xfId="0" applyNumberFormat="1" applyFont="1" applyBorder="1" applyAlignment="1">
      <alignment vertical="center"/>
    </xf>
    <xf numFmtId="15" fontId="53" fillId="0" borderId="19" xfId="0" applyNumberFormat="1" applyFont="1" applyBorder="1" applyAlignment="1">
      <alignment vertical="center"/>
    </xf>
    <xf numFmtId="4" fontId="53" fillId="0" borderId="23" xfId="0" applyNumberFormat="1" applyFont="1" applyBorder="1" applyAlignment="1">
      <alignment vertical="center"/>
    </xf>
    <xf numFmtId="0" fontId="53" fillId="0" borderId="1" xfId="0" applyFont="1" applyBorder="1" applyAlignment="1">
      <alignment horizontal="center" vertical="center" wrapText="1"/>
    </xf>
    <xf numFmtId="1" fontId="53" fillId="0" borderId="1" xfId="0" applyNumberFormat="1" applyFont="1" applyBorder="1" applyAlignment="1">
      <alignment vertical="center"/>
    </xf>
    <xf numFmtId="0" fontId="53" fillId="0" borderId="21" xfId="0" applyFont="1" applyBorder="1" applyAlignment="1">
      <alignment horizontal="center" vertical="center"/>
    </xf>
    <xf numFmtId="0" fontId="53" fillId="0" borderId="21" xfId="0" applyFont="1" applyBorder="1" applyAlignment="1">
      <alignment vertical="center"/>
    </xf>
    <xf numFmtId="15" fontId="53" fillId="0" borderId="21" xfId="0" applyNumberFormat="1" applyFont="1" applyBorder="1" applyAlignment="1">
      <alignment vertical="center"/>
    </xf>
    <xf numFmtId="4" fontId="53" fillId="0" borderId="21" xfId="0" applyNumberFormat="1" applyFont="1" applyBorder="1" applyAlignment="1">
      <alignment vertical="center"/>
    </xf>
    <xf numFmtId="0" fontId="53" fillId="0" borderId="0" xfId="0" applyFont="1" applyAlignment="1">
      <alignment vertical="center"/>
    </xf>
    <xf numFmtId="15" fontId="53" fillId="0" borderId="0" xfId="0" applyNumberFormat="1" applyFont="1" applyAlignment="1">
      <alignment vertical="center"/>
    </xf>
    <xf numFmtId="4" fontId="55" fillId="0" borderId="0" xfId="0" applyNumberFormat="1" applyFont="1" applyAlignment="1">
      <alignment vertical="center"/>
    </xf>
    <xf numFmtId="0" fontId="53" fillId="0" borderId="11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6" fillId="0" borderId="0" xfId="0" applyFont="1" applyAlignment="1">
      <alignment vertical="center"/>
    </xf>
    <xf numFmtId="15" fontId="56" fillId="0" borderId="0" xfId="0" applyNumberFormat="1" applyFont="1" applyAlignment="1">
      <alignment vertical="center"/>
    </xf>
    <xf numFmtId="3" fontId="53" fillId="0" borderId="0" xfId="0" applyNumberFormat="1" applyFont="1" applyAlignment="1">
      <alignment vertical="center"/>
    </xf>
    <xf numFmtId="1" fontId="56" fillId="0" borderId="0" xfId="0" applyNumberFormat="1" applyFont="1" applyAlignment="1">
      <alignment vertical="center"/>
    </xf>
    <xf numFmtId="1" fontId="53" fillId="0" borderId="0" xfId="0" applyNumberFormat="1" applyFont="1" applyAlignment="1">
      <alignment vertical="center"/>
    </xf>
    <xf numFmtId="4" fontId="56" fillId="0" borderId="0" xfId="0" applyNumberFormat="1" applyFont="1" applyAlignment="1">
      <alignment vertical="center"/>
    </xf>
    <xf numFmtId="3" fontId="56" fillId="0" borderId="0" xfId="0" applyNumberFormat="1" applyFont="1" applyAlignment="1">
      <alignment vertical="center"/>
    </xf>
    <xf numFmtId="4" fontId="53" fillId="0" borderId="12" xfId="0" applyNumberFormat="1" applyFont="1" applyBorder="1" applyAlignment="1">
      <alignment vertical="center"/>
    </xf>
    <xf numFmtId="49" fontId="59" fillId="0" borderId="0" xfId="0" applyNumberFormat="1" applyFont="1" applyAlignment="1">
      <alignment vertical="center"/>
    </xf>
    <xf numFmtId="0" fontId="55" fillId="0" borderId="0" xfId="0" applyFont="1"/>
    <xf numFmtId="0" fontId="59" fillId="0" borderId="0" xfId="0" applyFont="1" applyAlignment="1">
      <alignment vertical="center"/>
    </xf>
    <xf numFmtId="0" fontId="55" fillId="0" borderId="11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15" fontId="55" fillId="0" borderId="0" xfId="0" applyNumberFormat="1" applyFont="1" applyAlignment="1">
      <alignment vertical="center"/>
    </xf>
    <xf numFmtId="4" fontId="55" fillId="0" borderId="2" xfId="0" applyNumberFormat="1" applyFont="1" applyBorder="1" applyAlignment="1">
      <alignment horizontal="center" vertical="center"/>
    </xf>
    <xf numFmtId="3" fontId="55" fillId="0" borderId="3" xfId="0" applyNumberFormat="1" applyFont="1" applyBorder="1" applyAlignment="1">
      <alignment horizontal="center" vertical="center"/>
    </xf>
    <xf numFmtId="4" fontId="55" fillId="0" borderId="3" xfId="0" applyNumberFormat="1" applyFont="1" applyBorder="1" applyAlignment="1">
      <alignment vertical="center"/>
    </xf>
    <xf numFmtId="1" fontId="60" fillId="0" borderId="3" xfId="0" applyNumberFormat="1" applyFont="1" applyBorder="1" applyAlignment="1">
      <alignment vertical="center"/>
    </xf>
    <xf numFmtId="4" fontId="60" fillId="0" borderId="3" xfId="0" applyNumberFormat="1" applyFont="1" applyBorder="1" applyAlignment="1">
      <alignment vertical="center"/>
    </xf>
    <xf numFmtId="0" fontId="55" fillId="0" borderId="3" xfId="0" applyFont="1" applyBorder="1" applyAlignment="1">
      <alignment vertical="center"/>
    </xf>
    <xf numFmtId="4" fontId="59" fillId="0" borderId="3" xfId="0" applyNumberFormat="1" applyFont="1" applyBorder="1" applyAlignment="1">
      <alignment vertical="center"/>
    </xf>
    <xf numFmtId="4" fontId="55" fillId="0" borderId="4" xfId="0" applyNumberFormat="1" applyFont="1" applyBorder="1" applyAlignment="1">
      <alignment vertical="center"/>
    </xf>
    <xf numFmtId="4" fontId="59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4" fontId="55" fillId="0" borderId="12" xfId="0" applyNumberFormat="1" applyFont="1" applyBorder="1" applyAlignment="1">
      <alignment vertical="center"/>
    </xf>
    <xf numFmtId="4" fontId="55" fillId="0" borderId="5" xfId="0" applyNumberFormat="1" applyFont="1" applyBorder="1" applyAlignment="1">
      <alignment horizontal="left" vertical="center"/>
    </xf>
    <xf numFmtId="3" fontId="55" fillId="0" borderId="0" xfId="0" applyNumberFormat="1" applyFont="1" applyAlignment="1">
      <alignment horizontal="left" vertical="center"/>
    </xf>
    <xf numFmtId="1" fontId="60" fillId="0" borderId="0" xfId="0" applyNumberFormat="1" applyFont="1" applyAlignment="1">
      <alignment vertical="center"/>
    </xf>
    <xf numFmtId="1" fontId="55" fillId="0" borderId="0" xfId="0" applyNumberFormat="1" applyFont="1" applyAlignment="1">
      <alignment vertical="center"/>
    </xf>
    <xf numFmtId="4" fontId="55" fillId="0" borderId="6" xfId="0" applyNumberFormat="1" applyFont="1" applyBorder="1" applyAlignment="1">
      <alignment vertical="center"/>
    </xf>
    <xf numFmtId="4" fontId="55" fillId="0" borderId="30" xfId="0" applyNumberFormat="1" applyFont="1" applyBorder="1" applyAlignment="1">
      <alignment vertical="center"/>
    </xf>
    <xf numFmtId="4" fontId="55" fillId="0" borderId="5" xfId="0" applyNumberFormat="1" applyFont="1" applyBorder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4" fontId="55" fillId="0" borderId="7" xfId="0" applyNumberFormat="1" applyFont="1" applyBorder="1" applyAlignment="1">
      <alignment horizontal="center" vertical="center"/>
    </xf>
    <xf numFmtId="3" fontId="55" fillId="0" borderId="8" xfId="0" applyNumberFormat="1" applyFont="1" applyBorder="1" applyAlignment="1">
      <alignment horizontal="center" vertical="center"/>
    </xf>
    <xf numFmtId="4" fontId="55" fillId="0" borderId="8" xfId="0" applyNumberFormat="1" applyFont="1" applyBorder="1" applyAlignment="1">
      <alignment vertical="center"/>
    </xf>
    <xf numFmtId="1" fontId="60" fillId="0" borderId="8" xfId="0" applyNumberFormat="1" applyFont="1" applyBorder="1" applyAlignment="1">
      <alignment vertical="center"/>
    </xf>
    <xf numFmtId="1" fontId="55" fillId="0" borderId="8" xfId="0" applyNumberFormat="1" applyFont="1" applyBorder="1" applyAlignment="1">
      <alignment vertical="center"/>
    </xf>
    <xf numFmtId="0" fontId="55" fillId="0" borderId="8" xfId="0" applyFont="1" applyBorder="1" applyAlignment="1">
      <alignment vertical="center"/>
    </xf>
    <xf numFmtId="4" fontId="59" fillId="0" borderId="8" xfId="0" applyNumberFormat="1" applyFont="1" applyBorder="1" applyAlignment="1">
      <alignment vertical="center"/>
    </xf>
    <xf numFmtId="4" fontId="55" fillId="0" borderId="9" xfId="0" applyNumberFormat="1" applyFont="1" applyBorder="1" applyAlignment="1">
      <alignment vertical="center"/>
    </xf>
    <xf numFmtId="0" fontId="55" fillId="0" borderId="31" xfId="0" applyFont="1" applyBorder="1" applyAlignment="1">
      <alignment horizontal="center" vertical="center"/>
    </xf>
    <xf numFmtId="0" fontId="55" fillId="0" borderId="32" xfId="0" applyFont="1" applyBorder="1" applyAlignment="1">
      <alignment horizontal="center" vertical="center"/>
    </xf>
    <xf numFmtId="0" fontId="55" fillId="0" borderId="32" xfId="0" applyFont="1" applyBorder="1" applyAlignment="1">
      <alignment vertical="center"/>
    </xf>
    <xf numFmtId="15" fontId="55" fillId="0" borderId="32" xfId="0" applyNumberFormat="1" applyFont="1" applyBorder="1" applyAlignment="1">
      <alignment vertical="center"/>
    </xf>
    <xf numFmtId="0" fontId="55" fillId="0" borderId="32" xfId="0" applyFont="1" applyBorder="1" applyAlignment="1">
      <alignment horizontal="left" vertical="center"/>
    </xf>
    <xf numFmtId="4" fontId="55" fillId="0" borderId="32" xfId="0" applyNumberFormat="1" applyFont="1" applyBorder="1" applyAlignment="1">
      <alignment vertical="center"/>
    </xf>
    <xf numFmtId="4" fontId="55" fillId="0" borderId="32" xfId="0" applyNumberFormat="1" applyFont="1" applyBorder="1" applyAlignment="1">
      <alignment horizontal="center" vertical="center"/>
    </xf>
    <xf numFmtId="3" fontId="55" fillId="0" borderId="32" xfId="0" applyNumberFormat="1" applyFont="1" applyBorder="1" applyAlignment="1">
      <alignment horizontal="center" vertical="center"/>
    </xf>
    <xf numFmtId="1" fontId="60" fillId="0" borderId="32" xfId="0" applyNumberFormat="1" applyFont="1" applyBorder="1" applyAlignment="1">
      <alignment vertical="center"/>
    </xf>
    <xf numFmtId="1" fontId="55" fillId="0" borderId="32" xfId="0" applyNumberFormat="1" applyFont="1" applyBorder="1" applyAlignment="1">
      <alignment vertical="center"/>
    </xf>
    <xf numFmtId="4" fontId="55" fillId="0" borderId="18" xfId="0" applyNumberFormat="1" applyFont="1" applyBorder="1" applyAlignment="1">
      <alignment vertical="center"/>
    </xf>
    <xf numFmtId="0" fontId="48" fillId="0" borderId="0" xfId="0" applyFont="1" applyAlignment="1">
      <alignment horizontal="center" vertical="center"/>
    </xf>
    <xf numFmtId="15" fontId="48" fillId="0" borderId="0" xfId="0" applyNumberFormat="1" applyFont="1" applyAlignment="1">
      <alignment vertical="center"/>
    </xf>
    <xf numFmtId="0" fontId="48" fillId="0" borderId="0" xfId="0" applyFont="1" applyAlignment="1">
      <alignment horizontal="left" vertical="center"/>
    </xf>
    <xf numFmtId="4" fontId="48" fillId="0" borderId="0" xfId="0" applyNumberFormat="1" applyFont="1" applyAlignment="1">
      <alignment vertical="center"/>
    </xf>
    <xf numFmtId="4" fontId="48" fillId="0" borderId="0" xfId="0" applyNumberFormat="1" applyFont="1" applyAlignment="1">
      <alignment horizontal="center" vertical="center"/>
    </xf>
    <xf numFmtId="3" fontId="48" fillId="0" borderId="0" xfId="0" applyNumberFormat="1" applyFont="1" applyAlignment="1">
      <alignment horizontal="center" vertical="center"/>
    </xf>
    <xf numFmtId="1" fontId="61" fillId="0" borderId="0" xfId="0" applyNumberFormat="1" applyFont="1" applyAlignment="1">
      <alignment vertical="center"/>
    </xf>
    <xf numFmtId="1" fontId="48" fillId="0" borderId="0" xfId="0" applyNumberFormat="1" applyFont="1" applyAlignment="1">
      <alignment vertical="center"/>
    </xf>
    <xf numFmtId="43" fontId="10" fillId="0" borderId="0" xfId="0" applyNumberFormat="1" applyFont="1" applyAlignment="1">
      <alignment vertical="center"/>
    </xf>
    <xf numFmtId="4" fontId="22" fillId="4" borderId="22" xfId="0" applyNumberFormat="1" applyFont="1" applyFill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175" fontId="71" fillId="0" borderId="1" xfId="15" applyNumberFormat="1" applyFont="1" applyBorder="1" applyAlignment="1">
      <alignment horizontal="center"/>
    </xf>
    <xf numFmtId="0" fontId="71" fillId="3" borderId="22" xfId="15" applyFont="1" applyFill="1" applyBorder="1" applyAlignment="1">
      <alignment horizontal="center"/>
    </xf>
    <xf numFmtId="0" fontId="72" fillId="0" borderId="1" xfId="0" applyFont="1" applyBorder="1"/>
    <xf numFmtId="4" fontId="71" fillId="3" borderId="1" xfId="15" applyNumberFormat="1" applyFont="1" applyFill="1" applyBorder="1"/>
    <xf numFmtId="4" fontId="73" fillId="3" borderId="0" xfId="15" applyNumberFormat="1" applyFont="1" applyFill="1"/>
    <xf numFmtId="49" fontId="74" fillId="3" borderId="1" xfId="0" applyNumberFormat="1" applyFont="1" applyFill="1" applyBorder="1" applyAlignment="1">
      <alignment horizontal="center"/>
    </xf>
    <xf numFmtId="0" fontId="71" fillId="0" borderId="1" xfId="0" applyFont="1" applyBorder="1"/>
    <xf numFmtId="4" fontId="71" fillId="0" borderId="1" xfId="15" applyNumberFormat="1" applyFont="1" applyBorder="1"/>
    <xf numFmtId="0" fontId="71" fillId="0" borderId="1" xfId="15" applyFont="1" applyBorder="1"/>
    <xf numFmtId="1" fontId="71" fillId="0" borderId="1" xfId="15" applyNumberFormat="1" applyFont="1" applyBorder="1"/>
    <xf numFmtId="49" fontId="71" fillId="0" borderId="1" xfId="15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0" fillId="0" borderId="10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" fontId="9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4" fontId="9" fillId="0" borderId="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178" fontId="9" fillId="0" borderId="20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15" fontId="52" fillId="0" borderId="1" xfId="0" applyNumberFormat="1" applyFont="1" applyBorder="1" applyAlignment="1">
      <alignment horizontal="center" vertical="center" wrapText="1"/>
    </xf>
  </cellXfs>
  <cellStyles count="18">
    <cellStyle name="Comma" xfId="1" builtinId="3"/>
    <cellStyle name="Comma 2" xfId="2" xr:uid="{00000000-0005-0000-0000-000006000000}"/>
    <cellStyle name="Comma 2 2" xfId="3" xr:uid="{00000000-0005-0000-0000-000007000000}"/>
    <cellStyle name="Comma 2 3" xfId="4" xr:uid="{00000000-0005-0000-0000-000008000000}"/>
    <cellStyle name="Comma 2 4" xfId="14" xr:uid="{879DE5F3-2D98-41C1-B130-F983EA45C67C}"/>
    <cellStyle name="Comma 3" xfId="5" xr:uid="{00000000-0005-0000-0000-000009000000}"/>
    <cellStyle name="Comma 4" xfId="6" xr:uid="{00000000-0005-0000-0000-00000A000000}"/>
    <cellStyle name="Comma 5" xfId="7" xr:uid="{00000000-0005-0000-0000-00000B000000}"/>
    <cellStyle name="Comma 6" xfId="13" xr:uid="{CEA1E355-4ACD-4ADF-998E-E2557083BA92}"/>
    <cellStyle name="Currency_FOLHA DE SALARIO" xfId="16" xr:uid="{0CDB5E69-3798-49A9-A169-F3D1867F2D63}"/>
    <cellStyle name="Normal" xfId="0" builtinId="0"/>
    <cellStyle name="Normal 2" xfId="8" xr:uid="{00000000-0005-0000-0000-00000D000000}"/>
    <cellStyle name="Normal 2 2" xfId="15" xr:uid="{05A69C73-21AD-414A-94B6-C068FE42059F}"/>
    <cellStyle name="Normal 3" xfId="9" xr:uid="{00000000-0005-0000-0000-00000E000000}"/>
    <cellStyle name="Normal 4" xfId="10" xr:uid="{00000000-0005-0000-0000-00000F000000}"/>
    <cellStyle name="Normal 5" xfId="11" xr:uid="{00000000-0005-0000-0000-000010000000}"/>
    <cellStyle name="Normal 6" xfId="12" xr:uid="{00000000-0005-0000-0000-000011000000}"/>
    <cellStyle name="Normal 7" xfId="17" xr:uid="{34F92E0A-7CF7-4EE6-9B0E-043488F9B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BDO%20Accounts%202026\02%20BDO%20Bank%20Control%202026.xlsx" TargetMode="External"/><Relationship Id="rId1" Type="http://schemas.openxmlformats.org/officeDocument/2006/relationships/externalLinkPath" Target="02%20BDO%20Bank%20Control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</sheetNames>
    <sheetDataSet>
      <sheetData sheetId="0">
        <row r="34">
          <cell r="I34">
            <v>-895798.415862069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848"/>
  <sheetViews>
    <sheetView view="pageBreakPreview" zoomScale="94" zoomScaleNormal="85" zoomScaleSheetLayoutView="94" zoomScalePageLayoutView="85" workbookViewId="0">
      <selection activeCell="E22" sqref="E22"/>
    </sheetView>
  </sheetViews>
  <sheetFormatPr defaultColWidth="9.109375" defaultRowHeight="13.2" x14ac:dyDescent="0.25"/>
  <cols>
    <col min="1" max="1" width="9.109375" style="4"/>
    <col min="2" max="2" width="5.33203125" style="4" customWidth="1"/>
    <col min="3" max="3" width="9.6640625" style="4" customWidth="1"/>
    <col min="4" max="4" width="18.6640625" style="4" customWidth="1"/>
    <col min="5" max="5" width="21.6640625" style="4" customWidth="1"/>
    <col min="6" max="6" width="14.6640625" style="4" customWidth="1"/>
    <col min="7" max="7" width="3.6640625" style="4" customWidth="1"/>
    <col min="8" max="8" width="50.5546875" style="4" customWidth="1"/>
    <col min="9" max="9" width="16" style="4" customWidth="1"/>
    <col min="10" max="10" width="3.6640625" style="4" customWidth="1"/>
    <col min="11" max="11" width="3.33203125" style="4" customWidth="1"/>
    <col min="12" max="12" width="11.6640625" style="4" customWidth="1"/>
    <col min="13" max="257" width="9.109375" style="4"/>
  </cols>
  <sheetData>
    <row r="1" spans="2:19" ht="29.25" customHeight="1" x14ac:dyDescent="0.25">
      <c r="B1" s="5" t="s">
        <v>0</v>
      </c>
    </row>
    <row r="2" spans="2:19" ht="13.5" customHeight="1" x14ac:dyDescent="0.25">
      <c r="B2" s="5"/>
    </row>
    <row r="3" spans="2:19" ht="15" customHeight="1" x14ac:dyDescent="0.25">
      <c r="B3" s="733" t="s">
        <v>1</v>
      </c>
      <c r="C3" s="733"/>
      <c r="D3" s="733"/>
      <c r="E3" s="733"/>
      <c r="F3" s="733"/>
    </row>
    <row r="4" spans="2:19" ht="10.5" customHeight="1" x14ac:dyDescent="0.25">
      <c r="F4" s="6"/>
      <c r="G4" s="6"/>
    </row>
    <row r="5" spans="2:19" ht="17.25" customHeight="1" x14ac:dyDescent="0.25">
      <c r="B5" s="4" t="s">
        <v>2</v>
      </c>
      <c r="F5" s="734" t="s">
        <v>195</v>
      </c>
      <c r="G5" s="734"/>
      <c r="H5" s="7">
        <v>2026</v>
      </c>
    </row>
    <row r="6" spans="2:19" ht="12.75" customHeight="1" x14ac:dyDescent="0.25"/>
    <row r="7" spans="2:19" x14ac:dyDescent="0.25">
      <c r="E7" s="8" t="s">
        <v>3</v>
      </c>
      <c r="F7" s="9"/>
      <c r="G7" s="9"/>
      <c r="H7" s="10"/>
    </row>
    <row r="8" spans="2:19" x14ac:dyDescent="0.25">
      <c r="E8" s="11" t="s">
        <v>4</v>
      </c>
      <c r="F8" s="12">
        <v>63.25</v>
      </c>
      <c r="G8" s="12"/>
      <c r="H8" s="13"/>
    </row>
    <row r="9" spans="2:19" x14ac:dyDescent="0.25">
      <c r="E9" s="14" t="s">
        <v>5</v>
      </c>
      <c r="F9" s="15">
        <v>3.5</v>
      </c>
      <c r="G9" s="15"/>
      <c r="H9" s="16"/>
    </row>
    <row r="12" spans="2:19" x14ac:dyDescent="0.25">
      <c r="E12" s="735" t="s">
        <v>6</v>
      </c>
      <c r="F12" s="735"/>
      <c r="G12" s="17"/>
    </row>
    <row r="14" spans="2:19" x14ac:dyDescent="0.25">
      <c r="B14" s="18"/>
      <c r="C14" s="18" t="s">
        <v>7</v>
      </c>
      <c r="D14" s="18"/>
      <c r="E14" s="18"/>
      <c r="F14" s="18"/>
      <c r="G14" s="18"/>
      <c r="H14" s="736" t="s">
        <v>8</v>
      </c>
      <c r="I14" s="736"/>
      <c r="J14" s="18"/>
      <c r="L14" s="19"/>
      <c r="M14" s="19"/>
      <c r="N14" s="19"/>
      <c r="O14" s="19"/>
      <c r="P14" s="19"/>
      <c r="Q14" s="19"/>
      <c r="R14" s="19"/>
      <c r="S14" s="19"/>
    </row>
    <row r="15" spans="2:19" x14ac:dyDescent="0.25">
      <c r="B15" s="18"/>
      <c r="C15" s="18"/>
      <c r="D15" s="18"/>
      <c r="E15" s="18"/>
      <c r="F15" s="20"/>
      <c r="G15" s="20"/>
      <c r="H15" s="21" t="s">
        <v>9</v>
      </c>
      <c r="I15" s="22">
        <f>+Creditors!H19</f>
        <v>0</v>
      </c>
      <c r="J15" s="18"/>
      <c r="L15" s="19"/>
      <c r="M15" s="19"/>
      <c r="N15" s="19"/>
      <c r="O15" s="19"/>
      <c r="P15" s="19"/>
      <c r="Q15" s="19"/>
      <c r="R15" s="19"/>
      <c r="S15" s="19"/>
    </row>
    <row r="16" spans="2:19" x14ac:dyDescent="0.25">
      <c r="B16" s="18"/>
      <c r="C16" s="23" t="s">
        <v>10</v>
      </c>
      <c r="D16" s="18"/>
      <c r="E16" s="18"/>
      <c r="F16" s="24">
        <f>+'Invoices '!E26</f>
        <v>0</v>
      </c>
      <c r="G16" s="25"/>
      <c r="H16" s="21" t="s">
        <v>11</v>
      </c>
      <c r="I16" s="22">
        <f>+'BIM Bank Control Mtn'!J67</f>
        <v>0</v>
      </c>
      <c r="J16" s="20"/>
      <c r="L16" s="19"/>
      <c r="M16" s="19"/>
      <c r="N16" s="19"/>
      <c r="O16" s="19"/>
      <c r="P16" s="19"/>
      <c r="Q16" s="19"/>
      <c r="R16" s="19"/>
      <c r="S16" s="19"/>
    </row>
    <row r="17" spans="1:19" ht="15" customHeight="1" x14ac:dyDescent="0.25">
      <c r="B17" s="26"/>
      <c r="C17" s="27"/>
      <c r="D17" s="28"/>
      <c r="E17" s="29"/>
      <c r="F17" s="29"/>
      <c r="G17" s="29"/>
      <c r="H17" s="21" t="s">
        <v>12</v>
      </c>
      <c r="I17" s="22">
        <f>+'Petty cash '!I37</f>
        <v>0</v>
      </c>
      <c r="J17" s="30"/>
      <c r="L17" s="29"/>
      <c r="M17" s="19"/>
      <c r="N17" s="19"/>
      <c r="O17" s="19"/>
      <c r="P17" s="19"/>
      <c r="Q17" s="19"/>
      <c r="R17" s="19"/>
      <c r="S17" s="19"/>
    </row>
    <row r="18" spans="1:19" ht="15" customHeight="1" x14ac:dyDescent="0.25">
      <c r="B18" s="26"/>
      <c r="C18" s="27"/>
      <c r="D18" s="28"/>
      <c r="E18" s="29"/>
      <c r="F18" s="29"/>
      <c r="G18" s="29"/>
      <c r="H18" s="21" t="s">
        <v>91</v>
      </c>
      <c r="I18" s="22">
        <f>+'Pre-paid'!I29</f>
        <v>0</v>
      </c>
      <c r="J18" s="30"/>
      <c r="L18" s="29"/>
      <c r="M18" s="19"/>
      <c r="N18" s="19"/>
      <c r="O18" s="19"/>
      <c r="P18" s="19"/>
      <c r="Q18" s="19"/>
      <c r="R18" s="19"/>
      <c r="S18" s="19"/>
    </row>
    <row r="19" spans="1:19" ht="15" customHeight="1" x14ac:dyDescent="0.25">
      <c r="B19" s="26"/>
      <c r="C19" s="31" t="s">
        <v>13</v>
      </c>
      <c r="D19" s="28"/>
      <c r="E19" s="29"/>
      <c r="F19" s="29"/>
      <c r="G19" s="29"/>
      <c r="H19" s="21" t="s">
        <v>14</v>
      </c>
      <c r="I19" s="22"/>
      <c r="J19" s="30"/>
      <c r="L19" s="29"/>
      <c r="M19" s="19"/>
      <c r="N19" s="19"/>
      <c r="O19" s="19"/>
      <c r="P19" s="19"/>
      <c r="Q19" s="19"/>
      <c r="R19" s="19"/>
      <c r="S19" s="19"/>
    </row>
    <row r="20" spans="1:19" ht="15" customHeight="1" x14ac:dyDescent="0.25">
      <c r="B20" s="26"/>
      <c r="C20" s="27"/>
      <c r="D20" s="28"/>
      <c r="E20" s="29"/>
      <c r="F20" s="29"/>
      <c r="G20" s="29"/>
      <c r="H20" s="32" t="s">
        <v>15</v>
      </c>
      <c r="I20" s="33">
        <f>SUM(I15:I19)</f>
        <v>0</v>
      </c>
      <c r="J20" s="30"/>
      <c r="L20" s="29"/>
      <c r="M20" s="713"/>
      <c r="N20" s="19"/>
      <c r="O20" s="19"/>
      <c r="P20" s="19"/>
      <c r="Q20" s="19"/>
      <c r="R20" s="19"/>
      <c r="S20" s="19"/>
    </row>
    <row r="21" spans="1:19" ht="15" customHeight="1" x14ac:dyDescent="0.25">
      <c r="B21" s="26"/>
      <c r="C21" s="34" t="s">
        <v>16</v>
      </c>
      <c r="D21" s="28"/>
      <c r="E21" s="29"/>
      <c r="F21" s="29"/>
      <c r="G21" s="29"/>
      <c r="H21" s="35"/>
      <c r="I21" s="30"/>
      <c r="J21" s="30"/>
      <c r="L21" s="29"/>
      <c r="M21" s="19"/>
      <c r="N21" s="19"/>
      <c r="O21" s="19"/>
      <c r="P21" s="19"/>
      <c r="Q21" s="19"/>
      <c r="R21" s="19"/>
      <c r="S21" s="19"/>
    </row>
    <row r="22" spans="1:19" ht="15" customHeight="1" x14ac:dyDescent="0.25">
      <c r="B22" s="26"/>
      <c r="C22" s="34" t="s">
        <v>9</v>
      </c>
      <c r="D22" s="28"/>
      <c r="E22" s="29">
        <f>+Creditors!G19</f>
        <v>0</v>
      </c>
      <c r="F22" s="36"/>
      <c r="H22" s="25"/>
      <c r="I22" s="30"/>
      <c r="J22" s="30"/>
      <c r="L22" s="29"/>
      <c r="M22" s="19"/>
      <c r="N22" s="19"/>
      <c r="O22" s="19"/>
      <c r="P22" s="19"/>
      <c r="Q22" s="19"/>
      <c r="R22" s="19"/>
      <c r="S22" s="19"/>
    </row>
    <row r="23" spans="1:19" ht="15" customHeight="1" x14ac:dyDescent="0.25">
      <c r="B23" s="26"/>
      <c r="C23" s="34"/>
      <c r="D23" s="28"/>
      <c r="E23" s="29"/>
      <c r="F23" s="29"/>
      <c r="G23" s="29"/>
      <c r="H23" s="736" t="s">
        <v>17</v>
      </c>
      <c r="I23" s="736"/>
      <c r="J23" s="30"/>
      <c r="L23" s="29"/>
      <c r="M23" s="19"/>
      <c r="N23" s="19"/>
      <c r="O23" s="19"/>
      <c r="P23" s="19"/>
      <c r="Q23" s="19"/>
      <c r="R23" s="19"/>
      <c r="S23" s="19"/>
    </row>
    <row r="24" spans="1:19" ht="15" customHeight="1" x14ac:dyDescent="0.25">
      <c r="B24" s="26"/>
      <c r="C24" s="34" t="s">
        <v>18</v>
      </c>
      <c r="D24" s="28"/>
      <c r="E24" s="29">
        <f>'BIM Bank Control Mtn'!L67</f>
        <v>0</v>
      </c>
      <c r="F24" s="29"/>
      <c r="G24" s="29"/>
      <c r="H24" s="732">
        <f>+'Invoices '!F26</f>
        <v>0</v>
      </c>
      <c r="I24" s="732"/>
      <c r="J24" s="30"/>
      <c r="L24" s="29"/>
      <c r="M24" s="19"/>
      <c r="N24" s="19"/>
      <c r="O24" s="19"/>
      <c r="P24" s="19"/>
      <c r="Q24" s="19"/>
      <c r="R24" s="19"/>
      <c r="S24" s="19"/>
    </row>
    <row r="25" spans="1:19" ht="15" customHeight="1" x14ac:dyDescent="0.25">
      <c r="B25" s="26"/>
      <c r="C25" s="34" t="s">
        <v>91</v>
      </c>
      <c r="D25" s="28"/>
      <c r="E25" s="29">
        <f>+'Pre-paid'!J29</f>
        <v>0</v>
      </c>
      <c r="F25" s="29"/>
      <c r="G25" s="29"/>
      <c r="H25" s="25"/>
      <c r="I25" s="25"/>
      <c r="J25" s="30"/>
      <c r="L25" s="29"/>
      <c r="M25" s="19"/>
      <c r="N25" s="19"/>
      <c r="O25" s="19"/>
      <c r="P25" s="19"/>
      <c r="Q25" s="19"/>
      <c r="R25" s="19"/>
      <c r="S25" s="19"/>
    </row>
    <row r="26" spans="1:19" ht="15" customHeight="1" x14ac:dyDescent="0.25">
      <c r="B26" s="26"/>
      <c r="C26" s="34" t="s">
        <v>19</v>
      </c>
      <c r="D26" s="28"/>
      <c r="E26" s="29">
        <f>+'Petty cash '!J37</f>
        <v>750</v>
      </c>
      <c r="F26" s="29"/>
      <c r="G26" s="29"/>
      <c r="H26" s="25"/>
      <c r="I26" s="25"/>
      <c r="J26" s="30"/>
      <c r="L26" s="29"/>
      <c r="M26" s="19"/>
      <c r="N26" s="19"/>
      <c r="O26" s="19"/>
      <c r="P26" s="19"/>
      <c r="Q26" s="19"/>
      <c r="R26" s="19"/>
      <c r="S26" s="19"/>
    </row>
    <row r="27" spans="1:19" ht="15" customHeight="1" x14ac:dyDescent="0.25">
      <c r="B27" s="26"/>
      <c r="C27" s="27"/>
      <c r="D27" s="28"/>
      <c r="E27" s="29"/>
      <c r="F27" s="29"/>
      <c r="G27" s="29"/>
      <c r="H27" s="29"/>
      <c r="I27" s="30"/>
      <c r="J27" s="30"/>
      <c r="L27" s="29"/>
      <c r="M27" s="19"/>
      <c r="N27" s="19"/>
      <c r="O27" s="19"/>
      <c r="P27" s="19"/>
      <c r="Q27" s="19"/>
      <c r="R27" s="19"/>
      <c r="S27" s="19"/>
    </row>
    <row r="28" spans="1:19" ht="15" customHeight="1" x14ac:dyDescent="0.45">
      <c r="A28" s="37"/>
      <c r="B28" s="38"/>
      <c r="C28" s="39"/>
      <c r="D28" s="28"/>
      <c r="E28" s="40">
        <f>SUM(E22:E26)</f>
        <v>750</v>
      </c>
      <c r="F28" s="40">
        <f>SUM(F15:F23)</f>
        <v>0</v>
      </c>
      <c r="G28" s="41"/>
      <c r="H28" s="42" t="s">
        <v>20</v>
      </c>
      <c r="I28" s="30"/>
      <c r="J28" s="30"/>
      <c r="L28" s="29"/>
      <c r="M28" s="19"/>
      <c r="N28" s="19"/>
      <c r="O28" s="19"/>
      <c r="P28" s="19"/>
      <c r="Q28" s="19"/>
      <c r="R28" s="19"/>
      <c r="S28" s="19"/>
    </row>
    <row r="29" spans="1:19" ht="15" customHeight="1" x14ac:dyDescent="0.45">
      <c r="A29" s="37"/>
      <c r="B29" s="43"/>
      <c r="C29" s="39"/>
      <c r="D29" s="28"/>
      <c r="E29" s="29"/>
      <c r="F29" s="29"/>
      <c r="G29" s="29"/>
      <c r="H29" s="44"/>
      <c r="I29" s="30"/>
      <c r="J29" s="30"/>
      <c r="L29" s="29"/>
      <c r="M29" s="19"/>
      <c r="N29" s="19"/>
      <c r="O29" s="19"/>
      <c r="P29" s="19"/>
      <c r="Q29" s="19"/>
      <c r="R29" s="19"/>
      <c r="S29" s="19"/>
    </row>
    <row r="30" spans="1:19" ht="15" customHeight="1" x14ac:dyDescent="0.45">
      <c r="A30" s="37"/>
      <c r="B30" s="45"/>
      <c r="C30" s="39"/>
      <c r="D30" s="28"/>
      <c r="E30" s="46" t="s">
        <v>21</v>
      </c>
      <c r="F30" s="47">
        <f>F28-E28</f>
        <v>-750</v>
      </c>
      <c r="G30" s="41"/>
      <c r="H30" s="48" t="s">
        <v>17</v>
      </c>
      <c r="I30" s="49">
        <f>H24</f>
        <v>0</v>
      </c>
      <c r="J30" s="50"/>
      <c r="L30" s="51"/>
      <c r="M30" s="19"/>
      <c r="N30" s="19"/>
      <c r="O30" s="19"/>
      <c r="P30" s="19"/>
      <c r="Q30" s="19"/>
      <c r="R30" s="19"/>
      <c r="S30" s="19"/>
    </row>
    <row r="31" spans="1:19" ht="15" customHeight="1" x14ac:dyDescent="0.45">
      <c r="A31" s="37"/>
      <c r="B31" s="38"/>
      <c r="C31" s="39"/>
      <c r="D31" s="52"/>
      <c r="E31" s="41"/>
      <c r="F31" s="41"/>
      <c r="G31" s="41"/>
      <c r="H31" s="53" t="s">
        <v>8</v>
      </c>
      <c r="I31" s="54">
        <f>-I20</f>
        <v>0</v>
      </c>
      <c r="J31" s="55"/>
      <c r="K31" s="19"/>
      <c r="L31" s="12"/>
      <c r="M31" s="19"/>
      <c r="N31" s="19"/>
      <c r="O31" s="19"/>
      <c r="P31" s="19"/>
      <c r="Q31" s="19"/>
      <c r="R31" s="19"/>
      <c r="S31" s="19"/>
    </row>
    <row r="32" spans="1:19" ht="16.8" x14ac:dyDescent="0.45">
      <c r="A32" s="37"/>
      <c r="B32" s="43"/>
      <c r="C32" s="39"/>
      <c r="D32" s="56"/>
      <c r="E32" s="41"/>
      <c r="F32" s="41"/>
      <c r="G32" s="41"/>
      <c r="H32" s="53" t="s">
        <v>22</v>
      </c>
      <c r="I32" s="524">
        <f>SUM(I30:I31)</f>
        <v>0</v>
      </c>
      <c r="J32" s="55"/>
      <c r="K32" s="19"/>
      <c r="L32" s="57"/>
      <c r="M32" s="19"/>
      <c r="N32" s="19"/>
      <c r="O32" s="19"/>
      <c r="P32" s="19"/>
      <c r="Q32" s="19"/>
      <c r="R32" s="19"/>
      <c r="S32" s="19"/>
    </row>
    <row r="33" spans="2:19" x14ac:dyDescent="0.25">
      <c r="B33" s="58"/>
      <c r="C33" s="56"/>
      <c r="D33" s="56"/>
      <c r="E33" s="41"/>
      <c r="F33" s="41"/>
      <c r="G33" s="41"/>
      <c r="H33" s="53" t="s">
        <v>23</v>
      </c>
      <c r="I33" s="59">
        <f>+[1]Summary!$I$34</f>
        <v>-895798.415862069</v>
      </c>
      <c r="J33" s="55"/>
      <c r="K33" s="19"/>
      <c r="L33" s="57"/>
      <c r="M33" s="19"/>
      <c r="N33" s="19"/>
      <c r="O33" s="19"/>
      <c r="P33" s="19"/>
      <c r="Q33" s="19"/>
      <c r="R33" s="19"/>
      <c r="S33" s="19"/>
    </row>
    <row r="34" spans="2:19" x14ac:dyDescent="0.25">
      <c r="B34" s="60"/>
      <c r="C34" s="28"/>
      <c r="D34" s="28"/>
      <c r="E34" s="30"/>
      <c r="F34" s="30"/>
      <c r="G34" s="30"/>
      <c r="H34" s="61" t="s">
        <v>24</v>
      </c>
      <c r="I34" s="47">
        <f>SUM(I32:I33)</f>
        <v>-895798.415862069</v>
      </c>
      <c r="J34" s="55" t="s">
        <v>25</v>
      </c>
      <c r="K34" s="19"/>
      <c r="L34" s="62"/>
      <c r="M34" s="19"/>
      <c r="N34" s="19"/>
      <c r="O34" s="19"/>
      <c r="P34" s="19"/>
      <c r="Q34" s="19"/>
      <c r="R34" s="19"/>
      <c r="S34" s="19"/>
    </row>
    <row r="35" spans="2:19" x14ac:dyDescent="0.25">
      <c r="B35" s="60"/>
      <c r="C35" s="28"/>
      <c r="D35" s="28"/>
      <c r="E35" s="30"/>
      <c r="F35" s="30"/>
      <c r="G35" s="30"/>
      <c r="H35" s="30"/>
      <c r="I35" s="50"/>
      <c r="J35" s="50"/>
      <c r="K35" s="19"/>
      <c r="M35" s="19"/>
      <c r="N35" s="19"/>
      <c r="O35" s="19"/>
      <c r="P35" s="19"/>
      <c r="Q35" s="19"/>
      <c r="R35" s="19"/>
      <c r="S35" s="19"/>
    </row>
    <row r="36" spans="2:19" x14ac:dyDescent="0.25">
      <c r="B36" s="60"/>
      <c r="C36" s="28"/>
      <c r="D36" s="28"/>
      <c r="E36" s="30"/>
      <c r="F36" s="30"/>
      <c r="G36" s="30"/>
      <c r="H36" s="30"/>
      <c r="I36" s="30"/>
      <c r="J36" s="30"/>
      <c r="K36" s="19"/>
      <c r="M36" s="19"/>
      <c r="N36" s="19"/>
      <c r="O36" s="19"/>
      <c r="P36" s="19"/>
      <c r="Q36" s="19"/>
      <c r="R36" s="19"/>
      <c r="S36" s="19"/>
    </row>
    <row r="37" spans="2:19" x14ac:dyDescent="0.25">
      <c r="B37" s="60"/>
      <c r="C37" s="28"/>
      <c r="D37" s="28"/>
      <c r="E37" s="30"/>
      <c r="F37" s="30"/>
      <c r="G37" s="30"/>
      <c r="H37" s="30"/>
      <c r="I37" s="30"/>
      <c r="J37" s="30"/>
      <c r="K37" s="19"/>
      <c r="L37" s="29"/>
      <c r="M37" s="19"/>
      <c r="N37" s="19"/>
      <c r="O37" s="19"/>
      <c r="P37" s="19"/>
      <c r="Q37" s="19"/>
      <c r="R37" s="19"/>
      <c r="S37" s="19"/>
    </row>
    <row r="38" spans="2:19" x14ac:dyDescent="0.25">
      <c r="B38" s="60"/>
      <c r="C38" s="28"/>
      <c r="D38" s="28"/>
      <c r="E38" s="30"/>
      <c r="F38" s="30"/>
      <c r="G38" s="30"/>
      <c r="H38" s="30"/>
      <c r="I38" s="30"/>
      <c r="J38" s="30"/>
      <c r="K38" s="19"/>
      <c r="L38" s="29"/>
      <c r="M38" s="19"/>
      <c r="N38" s="19"/>
      <c r="O38" s="19"/>
      <c r="P38" s="19"/>
      <c r="Q38" s="19"/>
      <c r="R38" s="19"/>
      <c r="S38" s="19"/>
    </row>
    <row r="39" spans="2:19" x14ac:dyDescent="0.25">
      <c r="B39" s="60"/>
      <c r="C39" s="28"/>
      <c r="D39" s="28"/>
      <c r="E39" s="30"/>
      <c r="F39" s="30"/>
      <c r="G39" s="30"/>
      <c r="H39" s="30"/>
      <c r="I39" s="30"/>
      <c r="J39" s="30"/>
      <c r="K39" s="19"/>
      <c r="L39" s="29"/>
      <c r="M39" s="19"/>
      <c r="N39" s="19"/>
      <c r="O39" s="19"/>
      <c r="P39" s="19"/>
      <c r="Q39" s="19"/>
      <c r="R39" s="19"/>
      <c r="S39" s="19"/>
    </row>
    <row r="40" spans="2:19" x14ac:dyDescent="0.25">
      <c r="B40" s="60"/>
      <c r="C40" s="28"/>
      <c r="D40" s="28"/>
      <c r="E40" s="30"/>
      <c r="F40" s="30"/>
      <c r="G40" s="30"/>
      <c r="H40" s="30"/>
      <c r="I40" s="30"/>
      <c r="J40" s="30"/>
      <c r="K40" s="19"/>
      <c r="L40" s="29"/>
      <c r="M40" s="19"/>
      <c r="N40" s="19"/>
      <c r="O40" s="19"/>
      <c r="P40" s="19"/>
      <c r="Q40" s="19"/>
      <c r="R40" s="19"/>
      <c r="S40" s="19"/>
    </row>
    <row r="41" spans="2:19" x14ac:dyDescent="0.25">
      <c r="B41" s="60"/>
      <c r="C41" s="28"/>
      <c r="D41" s="28"/>
      <c r="E41" s="30"/>
      <c r="F41" s="30"/>
      <c r="G41" s="30"/>
      <c r="H41" s="30"/>
      <c r="I41" s="30"/>
      <c r="J41" s="30"/>
      <c r="K41" s="19"/>
      <c r="L41" s="29"/>
      <c r="M41" s="19"/>
      <c r="N41" s="19"/>
      <c r="O41" s="19"/>
      <c r="P41" s="19"/>
      <c r="Q41" s="19"/>
      <c r="R41" s="19"/>
      <c r="S41" s="19"/>
    </row>
    <row r="42" spans="2:19" x14ac:dyDescent="0.25">
      <c r="B42" s="60"/>
      <c r="C42" s="28"/>
      <c r="D42" s="28"/>
      <c r="E42" s="30"/>
      <c r="F42" s="30"/>
      <c r="G42" s="30"/>
      <c r="H42" s="30"/>
      <c r="I42" s="30"/>
      <c r="J42" s="30"/>
      <c r="K42" s="19"/>
      <c r="L42" s="29"/>
      <c r="M42" s="19"/>
      <c r="N42" s="19"/>
      <c r="O42" s="19"/>
      <c r="P42" s="19"/>
      <c r="Q42" s="19"/>
      <c r="R42" s="19"/>
      <c r="S42" s="19"/>
    </row>
    <row r="43" spans="2:19" x14ac:dyDescent="0.25">
      <c r="B43" s="60"/>
      <c r="C43" s="28"/>
      <c r="D43" s="28"/>
      <c r="E43" s="30"/>
      <c r="F43" s="30"/>
      <c r="G43" s="30"/>
      <c r="H43" s="30"/>
      <c r="I43" s="30"/>
      <c r="J43" s="30"/>
      <c r="K43" s="19"/>
      <c r="L43" s="29"/>
      <c r="M43" s="19"/>
      <c r="N43" s="19"/>
      <c r="O43" s="19"/>
      <c r="P43" s="19"/>
      <c r="Q43" s="19"/>
      <c r="R43" s="19"/>
      <c r="S43" s="19"/>
    </row>
    <row r="44" spans="2:19" x14ac:dyDescent="0.25">
      <c r="B44" s="60"/>
      <c r="C44" s="28"/>
      <c r="D44" s="28"/>
      <c r="E44" s="30"/>
      <c r="F44" s="30"/>
      <c r="G44" s="30"/>
      <c r="H44" s="30"/>
      <c r="I44" s="30"/>
      <c r="J44" s="30"/>
      <c r="K44" s="19"/>
      <c r="L44" s="29"/>
      <c r="M44" s="19"/>
      <c r="N44" s="19"/>
      <c r="O44" s="19"/>
      <c r="P44" s="19"/>
      <c r="Q44" s="19"/>
      <c r="R44" s="19"/>
      <c r="S44" s="19"/>
    </row>
    <row r="45" spans="2:19" x14ac:dyDescent="0.25">
      <c r="L45" s="29"/>
      <c r="M45" s="19"/>
      <c r="N45" s="19"/>
      <c r="O45" s="19"/>
      <c r="P45" s="19"/>
      <c r="Q45" s="19"/>
      <c r="R45" s="19"/>
      <c r="S45" s="19"/>
    </row>
    <row r="46" spans="2:19" x14ac:dyDescent="0.25">
      <c r="L46" s="29"/>
      <c r="M46" s="19"/>
      <c r="N46" s="19"/>
      <c r="O46" s="19"/>
      <c r="P46" s="19"/>
      <c r="Q46" s="19"/>
      <c r="R46" s="19"/>
      <c r="S46" s="19"/>
    </row>
    <row r="47" spans="2:19" x14ac:dyDescent="0.25">
      <c r="L47" s="29"/>
      <c r="M47" s="19"/>
      <c r="N47" s="19"/>
      <c r="O47" s="19"/>
      <c r="P47" s="19"/>
      <c r="Q47" s="19"/>
      <c r="R47" s="19"/>
      <c r="S47" s="19"/>
    </row>
    <row r="48" spans="2:19" ht="3.75" customHeight="1" x14ac:dyDescent="0.25">
      <c r="L48" s="29"/>
      <c r="M48" s="19"/>
      <c r="N48" s="19"/>
      <c r="O48" s="19"/>
      <c r="P48" s="19"/>
      <c r="Q48" s="19"/>
      <c r="R48" s="19"/>
      <c r="S48" s="19"/>
    </row>
    <row r="49" spans="2:19" x14ac:dyDescent="0.25">
      <c r="L49" s="29"/>
      <c r="M49" s="19"/>
      <c r="N49" s="19"/>
      <c r="O49" s="19"/>
      <c r="P49" s="19"/>
      <c r="Q49" s="19"/>
      <c r="R49" s="19"/>
      <c r="S49" s="19"/>
    </row>
    <row r="50" spans="2:19" ht="11.25" customHeight="1" x14ac:dyDescent="0.25">
      <c r="L50" s="29"/>
      <c r="M50" s="19"/>
      <c r="N50" s="19"/>
      <c r="O50" s="19"/>
      <c r="P50" s="19"/>
      <c r="Q50" s="19"/>
      <c r="R50" s="19"/>
      <c r="S50" s="19"/>
    </row>
    <row r="51" spans="2:19" x14ac:dyDescent="0.25">
      <c r="B51" s="60"/>
      <c r="C51" s="28"/>
      <c r="D51" s="28"/>
      <c r="E51" s="30"/>
      <c r="F51" s="30"/>
      <c r="G51" s="30"/>
      <c r="H51" s="30"/>
      <c r="I51" s="30"/>
      <c r="J51" s="30"/>
      <c r="K51" s="19"/>
      <c r="L51" s="29"/>
      <c r="M51" s="19"/>
      <c r="N51" s="19"/>
      <c r="O51" s="19"/>
      <c r="P51" s="19"/>
      <c r="Q51" s="19"/>
      <c r="R51" s="19"/>
      <c r="S51" s="19"/>
    </row>
    <row r="52" spans="2:19" x14ac:dyDescent="0.25">
      <c r="B52" s="60"/>
      <c r="C52" s="28"/>
      <c r="D52" s="28"/>
      <c r="E52" s="30"/>
      <c r="F52" s="30"/>
      <c r="G52" s="30"/>
      <c r="H52" s="30"/>
      <c r="I52" s="30"/>
      <c r="J52" s="30"/>
      <c r="K52" s="19"/>
      <c r="L52" s="29"/>
      <c r="M52" s="19"/>
      <c r="N52" s="19"/>
      <c r="O52" s="19"/>
      <c r="P52" s="19"/>
      <c r="Q52" s="19"/>
      <c r="R52" s="19"/>
      <c r="S52" s="19"/>
    </row>
    <row r="53" spans="2:19" x14ac:dyDescent="0.25">
      <c r="B53" s="60"/>
      <c r="C53" s="28"/>
      <c r="D53" s="28"/>
      <c r="E53" s="30"/>
      <c r="F53" s="30"/>
      <c r="G53" s="30"/>
      <c r="H53" s="30"/>
      <c r="I53" s="30"/>
      <c r="J53" s="30"/>
      <c r="K53" s="19"/>
      <c r="L53" s="29"/>
      <c r="M53" s="19"/>
      <c r="N53" s="19"/>
      <c r="O53" s="19"/>
      <c r="P53" s="19"/>
      <c r="Q53" s="19"/>
      <c r="R53" s="19"/>
      <c r="S53" s="19"/>
    </row>
    <row r="54" spans="2:19" x14ac:dyDescent="0.25">
      <c r="B54" s="60"/>
      <c r="C54" s="28"/>
      <c r="D54" s="28"/>
      <c r="E54" s="30"/>
      <c r="F54" s="30"/>
      <c r="G54" s="30"/>
      <c r="H54" s="30"/>
      <c r="I54" s="30"/>
      <c r="J54" s="30"/>
      <c r="K54" s="19"/>
      <c r="L54" s="29"/>
      <c r="M54" s="19"/>
      <c r="N54" s="19"/>
      <c r="O54" s="19"/>
      <c r="P54" s="19"/>
      <c r="Q54" s="19"/>
      <c r="R54" s="19"/>
      <c r="S54" s="19"/>
    </row>
    <row r="55" spans="2:19" x14ac:dyDescent="0.25">
      <c r="B55" s="60"/>
      <c r="C55" s="28"/>
      <c r="D55" s="28"/>
      <c r="E55" s="30"/>
      <c r="F55" s="30"/>
      <c r="G55" s="30"/>
      <c r="H55" s="30"/>
      <c r="I55" s="30"/>
      <c r="J55" s="30"/>
      <c r="K55" s="19"/>
      <c r="L55" s="29"/>
      <c r="M55" s="19"/>
      <c r="N55" s="19"/>
      <c r="O55" s="19"/>
      <c r="P55" s="19"/>
      <c r="Q55" s="19"/>
      <c r="R55" s="19"/>
      <c r="S55" s="19"/>
    </row>
    <row r="56" spans="2:19" x14ac:dyDescent="0.25">
      <c r="B56" s="60"/>
      <c r="C56" s="28"/>
      <c r="D56" s="28"/>
      <c r="E56" s="30"/>
      <c r="F56" s="30"/>
      <c r="G56" s="30"/>
      <c r="H56" s="30"/>
      <c r="I56" s="30"/>
      <c r="J56" s="30"/>
      <c r="K56" s="19"/>
      <c r="L56" s="29"/>
      <c r="M56" s="19"/>
      <c r="N56" s="19"/>
      <c r="O56" s="19"/>
      <c r="P56" s="19"/>
      <c r="Q56" s="19"/>
      <c r="R56" s="19"/>
      <c r="S56" s="19"/>
    </row>
    <row r="57" spans="2:19" x14ac:dyDescent="0.25">
      <c r="B57" s="60"/>
      <c r="C57" s="28"/>
      <c r="D57" s="28"/>
      <c r="E57" s="30"/>
      <c r="F57" s="30"/>
      <c r="G57" s="30"/>
      <c r="H57" s="30"/>
      <c r="I57" s="30"/>
      <c r="J57" s="30"/>
      <c r="K57" s="19"/>
      <c r="L57" s="29"/>
      <c r="M57" s="19"/>
      <c r="N57" s="19"/>
      <c r="O57" s="19"/>
      <c r="P57" s="19"/>
      <c r="Q57" s="19"/>
      <c r="R57" s="19"/>
      <c r="S57" s="19"/>
    </row>
    <row r="58" spans="2:19" x14ac:dyDescent="0.25">
      <c r="B58" s="60"/>
      <c r="C58" s="28"/>
      <c r="D58" s="28"/>
      <c r="E58" s="30"/>
      <c r="F58" s="30"/>
      <c r="G58" s="30"/>
      <c r="H58" s="30"/>
      <c r="I58" s="30"/>
      <c r="J58" s="30"/>
      <c r="L58" s="29"/>
      <c r="M58" s="19"/>
      <c r="N58" s="19"/>
      <c r="O58" s="19"/>
      <c r="P58" s="19"/>
      <c r="Q58" s="19"/>
      <c r="R58" s="19"/>
      <c r="S58" s="19"/>
    </row>
    <row r="59" spans="2:19" x14ac:dyDescent="0.25">
      <c r="B59" s="60"/>
      <c r="C59" s="28"/>
      <c r="D59" s="28"/>
      <c r="E59" s="30"/>
      <c r="F59" s="30"/>
      <c r="G59" s="30"/>
      <c r="H59" s="30"/>
      <c r="I59" s="30"/>
      <c r="J59" s="30"/>
      <c r="L59" s="29"/>
      <c r="M59" s="19"/>
      <c r="N59" s="19"/>
      <c r="O59" s="19"/>
      <c r="P59" s="19"/>
      <c r="Q59" s="19"/>
      <c r="R59" s="19"/>
      <c r="S59" s="19"/>
    </row>
    <row r="60" spans="2:19" x14ac:dyDescent="0.25">
      <c r="B60" s="60"/>
      <c r="C60" s="28"/>
      <c r="D60" s="28"/>
      <c r="E60" s="30"/>
      <c r="F60" s="30"/>
      <c r="G60" s="30"/>
      <c r="H60" s="30"/>
      <c r="I60" s="30"/>
      <c r="J60" s="30"/>
      <c r="L60" s="29"/>
      <c r="M60" s="19"/>
      <c r="N60" s="19"/>
      <c r="O60" s="19"/>
      <c r="P60" s="19"/>
      <c r="Q60" s="19"/>
      <c r="R60" s="19"/>
      <c r="S60" s="19"/>
    </row>
    <row r="61" spans="2:19" x14ac:dyDescent="0.25">
      <c r="B61" s="60"/>
      <c r="C61" s="28"/>
      <c r="D61" s="28"/>
      <c r="E61" s="30"/>
      <c r="F61" s="30"/>
      <c r="G61" s="30"/>
      <c r="H61" s="30"/>
      <c r="I61" s="30"/>
      <c r="J61" s="30"/>
      <c r="L61" s="29"/>
      <c r="M61" s="19"/>
      <c r="N61" s="19"/>
      <c r="O61" s="19"/>
      <c r="P61" s="19"/>
      <c r="Q61" s="19"/>
      <c r="R61" s="19"/>
      <c r="S61" s="19"/>
    </row>
    <row r="62" spans="2:19" x14ac:dyDescent="0.25">
      <c r="B62" s="60"/>
      <c r="C62" s="28"/>
      <c r="D62" s="28"/>
      <c r="E62" s="30"/>
      <c r="F62" s="30"/>
      <c r="G62" s="30"/>
      <c r="H62" s="30"/>
      <c r="I62" s="30"/>
      <c r="J62" s="30"/>
      <c r="L62" s="29"/>
      <c r="M62" s="19"/>
      <c r="N62" s="19"/>
      <c r="O62" s="19"/>
      <c r="P62" s="19"/>
      <c r="Q62" s="19"/>
      <c r="R62" s="19"/>
      <c r="S62" s="19"/>
    </row>
    <row r="63" spans="2:19" x14ac:dyDescent="0.25">
      <c r="B63" s="60"/>
      <c r="C63" s="28"/>
      <c r="D63" s="28"/>
      <c r="E63" s="30"/>
      <c r="F63" s="30"/>
      <c r="G63" s="30"/>
      <c r="H63" s="30"/>
      <c r="I63" s="30"/>
      <c r="J63" s="30"/>
      <c r="L63" s="29"/>
      <c r="M63" s="19"/>
      <c r="N63" s="19"/>
      <c r="O63" s="19"/>
      <c r="P63" s="19"/>
      <c r="Q63" s="19"/>
      <c r="R63" s="19"/>
      <c r="S63" s="19"/>
    </row>
    <row r="64" spans="2:19" x14ac:dyDescent="0.25">
      <c r="B64" s="60"/>
      <c r="C64" s="28"/>
      <c r="D64" s="28"/>
      <c r="E64" s="30"/>
      <c r="F64" s="30"/>
      <c r="G64" s="30"/>
      <c r="H64" s="30"/>
      <c r="I64" s="30"/>
      <c r="J64" s="30"/>
      <c r="L64" s="29"/>
      <c r="M64" s="19"/>
      <c r="N64" s="19"/>
      <c r="O64" s="19"/>
      <c r="P64" s="19"/>
      <c r="Q64" s="19"/>
      <c r="R64" s="19"/>
      <c r="S64" s="19"/>
    </row>
    <row r="65" spans="2:19" x14ac:dyDescent="0.25">
      <c r="B65" s="60"/>
      <c r="C65" s="28"/>
      <c r="D65" s="28"/>
      <c r="E65" s="30"/>
      <c r="F65" s="30"/>
      <c r="G65" s="30"/>
      <c r="H65" s="30"/>
      <c r="I65" s="30"/>
      <c r="J65" s="30"/>
      <c r="L65" s="29"/>
      <c r="M65" s="19"/>
      <c r="N65" s="19"/>
      <c r="O65" s="19"/>
      <c r="P65" s="19"/>
      <c r="Q65" s="19"/>
      <c r="R65" s="19"/>
      <c r="S65" s="19"/>
    </row>
    <row r="66" spans="2:19" x14ac:dyDescent="0.25">
      <c r="B66" s="60"/>
      <c r="C66" s="28"/>
      <c r="D66" s="28"/>
      <c r="E66" s="30"/>
      <c r="F66" s="30"/>
      <c r="G66" s="30"/>
      <c r="H66" s="30"/>
      <c r="I66" s="30"/>
      <c r="J66" s="30"/>
      <c r="L66" s="29"/>
      <c r="M66" s="19"/>
      <c r="N66" s="19"/>
      <c r="O66" s="19"/>
      <c r="P66" s="19"/>
      <c r="Q66" s="19"/>
      <c r="R66" s="19"/>
      <c r="S66" s="19"/>
    </row>
    <row r="67" spans="2:19" x14ac:dyDescent="0.25">
      <c r="B67" s="60"/>
      <c r="C67" s="28"/>
      <c r="D67" s="28"/>
      <c r="E67" s="30"/>
      <c r="F67" s="30"/>
      <c r="G67" s="30"/>
      <c r="H67" s="30"/>
      <c r="I67" s="30"/>
      <c r="J67" s="30"/>
      <c r="L67" s="29"/>
      <c r="M67" s="19"/>
      <c r="N67" s="19"/>
      <c r="O67" s="19"/>
      <c r="P67" s="19"/>
      <c r="Q67" s="19"/>
      <c r="R67" s="19"/>
      <c r="S67" s="19"/>
    </row>
    <row r="68" spans="2:19" x14ac:dyDescent="0.25">
      <c r="B68" s="60"/>
      <c r="C68" s="19"/>
      <c r="D68" s="19"/>
      <c r="E68" s="30"/>
      <c r="F68" s="30"/>
      <c r="G68" s="30"/>
      <c r="H68" s="30"/>
      <c r="I68" s="30"/>
      <c r="J68" s="30"/>
      <c r="L68" s="29"/>
      <c r="M68" s="19"/>
      <c r="N68" s="19"/>
      <c r="O68" s="19"/>
      <c r="P68" s="19"/>
      <c r="Q68" s="19"/>
      <c r="R68" s="19"/>
      <c r="S68" s="19"/>
    </row>
    <row r="69" spans="2:19" x14ac:dyDescent="0.25">
      <c r="B69" s="60"/>
      <c r="C69" s="19"/>
      <c r="D69" s="19"/>
      <c r="E69" s="30"/>
      <c r="F69" s="30"/>
      <c r="G69" s="30"/>
      <c r="H69" s="30"/>
      <c r="I69" s="30"/>
      <c r="J69" s="30"/>
      <c r="L69" s="29"/>
      <c r="M69" s="19"/>
      <c r="N69" s="19"/>
      <c r="O69" s="19"/>
      <c r="P69" s="19"/>
      <c r="Q69" s="19"/>
      <c r="R69" s="19"/>
      <c r="S69" s="19"/>
    </row>
    <row r="70" spans="2:19" x14ac:dyDescent="0.25">
      <c r="B70" s="60"/>
      <c r="C70" s="19"/>
      <c r="D70" s="19"/>
      <c r="E70" s="30"/>
      <c r="F70" s="30"/>
      <c r="G70" s="30"/>
      <c r="H70" s="30"/>
      <c r="I70" s="30"/>
      <c r="J70" s="30"/>
      <c r="L70" s="29"/>
      <c r="M70" s="19"/>
      <c r="N70" s="19"/>
      <c r="O70" s="19"/>
      <c r="P70" s="19"/>
      <c r="Q70" s="19"/>
      <c r="R70" s="19"/>
      <c r="S70" s="19"/>
    </row>
    <row r="71" spans="2:19" x14ac:dyDescent="0.25">
      <c r="B71" s="60"/>
      <c r="C71" s="19"/>
      <c r="D71" s="19"/>
      <c r="E71" s="30"/>
      <c r="F71" s="30"/>
      <c r="G71" s="30"/>
      <c r="H71" s="30"/>
      <c r="I71" s="30"/>
      <c r="J71" s="30"/>
      <c r="L71" s="29"/>
      <c r="M71" s="19"/>
      <c r="N71" s="19"/>
      <c r="O71" s="19"/>
      <c r="P71" s="19"/>
      <c r="Q71" s="19"/>
      <c r="R71" s="19"/>
      <c r="S71" s="19"/>
    </row>
    <row r="72" spans="2:19" x14ac:dyDescent="0.25">
      <c r="B72" s="60"/>
      <c r="C72" s="19"/>
      <c r="D72" s="19"/>
      <c r="E72" s="30"/>
      <c r="F72" s="30"/>
      <c r="G72" s="30"/>
      <c r="H72" s="30"/>
      <c r="I72" s="30"/>
      <c r="J72" s="30"/>
      <c r="L72" s="29"/>
      <c r="M72" s="19"/>
      <c r="N72" s="19"/>
      <c r="O72" s="19"/>
      <c r="P72" s="19"/>
      <c r="Q72" s="19"/>
      <c r="R72" s="19"/>
      <c r="S72" s="19"/>
    </row>
    <row r="73" spans="2:19" x14ac:dyDescent="0.25">
      <c r="B73" s="60"/>
      <c r="C73" s="19"/>
      <c r="D73" s="19"/>
      <c r="E73" s="30"/>
      <c r="F73" s="30"/>
      <c r="G73" s="30"/>
      <c r="H73" s="30"/>
      <c r="I73" s="30"/>
      <c r="J73" s="30"/>
      <c r="L73" s="29"/>
      <c r="M73" s="19"/>
      <c r="N73" s="19"/>
      <c r="O73" s="19"/>
      <c r="P73" s="19"/>
      <c r="Q73" s="19"/>
      <c r="R73" s="19"/>
      <c r="S73" s="19"/>
    </row>
    <row r="74" spans="2:19" x14ac:dyDescent="0.25">
      <c r="B74" s="60"/>
      <c r="C74" s="19"/>
      <c r="D74" s="19"/>
      <c r="E74" s="30"/>
      <c r="F74" s="30"/>
      <c r="G74" s="30"/>
      <c r="H74" s="30"/>
      <c r="I74" s="30"/>
      <c r="J74" s="30"/>
      <c r="L74" s="29"/>
      <c r="M74" s="19"/>
      <c r="N74" s="19"/>
      <c r="O74" s="19"/>
      <c r="P74" s="19"/>
      <c r="Q74" s="19"/>
      <c r="R74" s="19"/>
      <c r="S74" s="19"/>
    </row>
    <row r="75" spans="2:19" x14ac:dyDescent="0.25">
      <c r="B75" s="60"/>
      <c r="C75" s="19"/>
      <c r="D75" s="19"/>
      <c r="E75" s="30"/>
      <c r="F75" s="30"/>
      <c r="G75" s="30"/>
      <c r="H75" s="30"/>
      <c r="I75" s="30"/>
      <c r="J75" s="30"/>
      <c r="L75" s="29"/>
      <c r="M75" s="19"/>
      <c r="N75" s="19"/>
      <c r="O75" s="19"/>
      <c r="P75" s="19"/>
      <c r="Q75" s="19"/>
      <c r="R75" s="19"/>
      <c r="S75" s="19"/>
    </row>
    <row r="76" spans="2:19" x14ac:dyDescent="0.25">
      <c r="B76" s="60"/>
      <c r="C76" s="19"/>
      <c r="D76" s="19"/>
      <c r="E76" s="30"/>
      <c r="F76" s="30"/>
      <c r="G76" s="30"/>
      <c r="H76" s="30"/>
      <c r="I76" s="30"/>
      <c r="J76" s="30"/>
      <c r="L76" s="29"/>
      <c r="M76" s="19"/>
      <c r="N76" s="19"/>
      <c r="O76" s="19"/>
      <c r="P76" s="19"/>
      <c r="Q76" s="19"/>
      <c r="R76" s="19"/>
      <c r="S76" s="19"/>
    </row>
    <row r="77" spans="2:19" x14ac:dyDescent="0.25">
      <c r="B77" s="60"/>
      <c r="C77" s="19"/>
      <c r="D77" s="19"/>
      <c r="E77" s="30"/>
      <c r="F77" s="30"/>
      <c r="G77" s="30"/>
      <c r="H77" s="30"/>
      <c r="I77" s="30"/>
      <c r="J77" s="30"/>
      <c r="L77" s="29"/>
      <c r="M77" s="19"/>
      <c r="N77" s="19"/>
      <c r="O77" s="19"/>
      <c r="P77" s="19"/>
      <c r="Q77" s="19"/>
      <c r="R77" s="19"/>
      <c r="S77" s="19"/>
    </row>
    <row r="78" spans="2:19" x14ac:dyDescent="0.25">
      <c r="B78" s="60"/>
      <c r="C78" s="19"/>
      <c r="D78" s="19"/>
      <c r="E78" s="30"/>
      <c r="F78" s="30"/>
      <c r="G78" s="30"/>
      <c r="H78" s="30"/>
      <c r="I78" s="30"/>
      <c r="J78" s="30"/>
      <c r="L78" s="29"/>
      <c r="M78" s="19"/>
      <c r="N78" s="19"/>
      <c r="O78" s="19"/>
      <c r="P78" s="19"/>
      <c r="Q78" s="19"/>
      <c r="R78" s="19"/>
      <c r="S78" s="19"/>
    </row>
    <row r="79" spans="2:19" x14ac:dyDescent="0.25">
      <c r="B79" s="60"/>
      <c r="C79" s="19"/>
      <c r="D79" s="19"/>
      <c r="E79" s="30"/>
      <c r="F79" s="30"/>
      <c r="G79" s="30"/>
      <c r="H79" s="30"/>
      <c r="I79" s="30"/>
      <c r="J79" s="30"/>
      <c r="L79" s="29"/>
      <c r="M79" s="19"/>
      <c r="N79" s="19"/>
      <c r="O79" s="19"/>
      <c r="P79" s="19"/>
      <c r="Q79" s="19"/>
      <c r="R79" s="19"/>
      <c r="S79" s="19"/>
    </row>
    <row r="80" spans="2:19" x14ac:dyDescent="0.25">
      <c r="B80" s="60"/>
      <c r="C80" s="19"/>
      <c r="D80" s="19"/>
      <c r="E80" s="30"/>
      <c r="F80" s="30"/>
      <c r="G80" s="30"/>
      <c r="H80" s="30"/>
      <c r="I80" s="30"/>
      <c r="J80" s="30"/>
      <c r="L80" s="29"/>
      <c r="M80" s="19"/>
      <c r="N80" s="19"/>
      <c r="O80" s="19"/>
      <c r="P80" s="19"/>
      <c r="Q80" s="19"/>
      <c r="R80" s="19"/>
      <c r="S80" s="19"/>
    </row>
    <row r="81" spans="2:19" x14ac:dyDescent="0.25">
      <c r="B81" s="60"/>
      <c r="C81" s="19"/>
      <c r="D81" s="19"/>
      <c r="E81" s="30"/>
      <c r="F81" s="30"/>
      <c r="G81" s="30"/>
      <c r="H81" s="30"/>
      <c r="I81" s="30"/>
      <c r="J81" s="30"/>
      <c r="L81" s="29"/>
      <c r="M81" s="19"/>
      <c r="N81" s="19"/>
      <c r="O81" s="19"/>
      <c r="P81" s="19"/>
      <c r="Q81" s="19"/>
      <c r="R81" s="19"/>
      <c r="S81" s="19"/>
    </row>
    <row r="82" spans="2:19" x14ac:dyDescent="0.25">
      <c r="B82" s="60"/>
      <c r="C82" s="19"/>
      <c r="D82" s="19"/>
      <c r="E82" s="30"/>
      <c r="F82" s="30"/>
      <c r="G82" s="30"/>
      <c r="H82" s="30"/>
      <c r="I82" s="30"/>
      <c r="J82" s="30"/>
      <c r="L82" s="29"/>
      <c r="M82" s="19"/>
      <c r="N82" s="19"/>
      <c r="O82" s="19"/>
      <c r="P82" s="19"/>
      <c r="Q82" s="19"/>
      <c r="R82" s="19"/>
      <c r="S82" s="19"/>
    </row>
    <row r="83" spans="2:19" x14ac:dyDescent="0.25">
      <c r="B83" s="60"/>
      <c r="C83" s="19"/>
      <c r="D83" s="19"/>
      <c r="E83" s="30"/>
      <c r="F83" s="30"/>
      <c r="G83" s="30"/>
      <c r="H83" s="30"/>
      <c r="I83" s="30"/>
      <c r="J83" s="30"/>
      <c r="L83" s="29"/>
      <c r="M83" s="19"/>
      <c r="N83" s="19"/>
      <c r="O83" s="19"/>
      <c r="P83" s="19"/>
      <c r="Q83" s="19"/>
      <c r="R83" s="19"/>
      <c r="S83" s="19"/>
    </row>
    <row r="84" spans="2:19" x14ac:dyDescent="0.25">
      <c r="B84" s="60"/>
      <c r="C84" s="19"/>
      <c r="D84" s="19"/>
      <c r="E84" s="30"/>
      <c r="F84" s="30"/>
      <c r="G84" s="30"/>
      <c r="H84" s="30"/>
      <c r="I84" s="30"/>
      <c r="J84" s="30"/>
      <c r="L84" s="29"/>
      <c r="M84" s="19"/>
      <c r="N84" s="19"/>
      <c r="O84" s="19"/>
      <c r="P84" s="19"/>
      <c r="Q84" s="19"/>
      <c r="R84" s="19"/>
      <c r="S84" s="19"/>
    </row>
    <row r="85" spans="2:19" x14ac:dyDescent="0.25">
      <c r="B85" s="60"/>
      <c r="C85" s="19"/>
      <c r="D85" s="19"/>
      <c r="E85" s="30"/>
      <c r="F85" s="30"/>
      <c r="G85" s="30"/>
      <c r="H85" s="30"/>
      <c r="I85" s="30"/>
      <c r="J85" s="30"/>
      <c r="L85" s="29"/>
      <c r="M85" s="19"/>
      <c r="N85" s="19"/>
      <c r="O85" s="19"/>
      <c r="P85" s="19"/>
      <c r="Q85" s="19"/>
      <c r="R85" s="19"/>
      <c r="S85" s="19"/>
    </row>
    <row r="86" spans="2:19" x14ac:dyDescent="0.25">
      <c r="B86" s="60"/>
      <c r="C86" s="19"/>
      <c r="D86" s="19"/>
      <c r="E86" s="30"/>
      <c r="F86" s="30"/>
      <c r="G86" s="30"/>
      <c r="H86" s="30"/>
      <c r="I86" s="30"/>
      <c r="J86" s="30"/>
      <c r="L86" s="29"/>
      <c r="M86" s="19"/>
      <c r="N86" s="19"/>
      <c r="O86" s="19"/>
      <c r="P86" s="19"/>
      <c r="Q86" s="19"/>
      <c r="R86" s="19"/>
      <c r="S86" s="19"/>
    </row>
    <row r="87" spans="2:19" x14ac:dyDescent="0.25">
      <c r="B87" s="63"/>
      <c r="C87" s="19"/>
      <c r="D87" s="19"/>
      <c r="E87" s="30"/>
      <c r="F87" s="30"/>
      <c r="G87" s="30"/>
      <c r="H87" s="30"/>
      <c r="I87" s="30"/>
      <c r="J87" s="30"/>
      <c r="L87" s="29"/>
      <c r="M87" s="19"/>
      <c r="N87" s="19"/>
      <c r="O87" s="19"/>
      <c r="P87" s="19"/>
      <c r="Q87" s="19"/>
      <c r="R87" s="19"/>
      <c r="S87" s="19"/>
    </row>
    <row r="88" spans="2:19" x14ac:dyDescent="0.25">
      <c r="B88" s="63"/>
      <c r="C88" s="19"/>
      <c r="D88" s="19"/>
      <c r="E88" s="30"/>
      <c r="F88" s="30"/>
      <c r="G88" s="30"/>
      <c r="H88" s="30"/>
      <c r="I88" s="30"/>
      <c r="J88" s="30"/>
      <c r="L88" s="29"/>
      <c r="M88" s="19"/>
      <c r="N88" s="19"/>
      <c r="O88" s="19"/>
      <c r="P88" s="19"/>
      <c r="Q88" s="19"/>
      <c r="R88" s="19"/>
      <c r="S88" s="19"/>
    </row>
    <row r="89" spans="2:19" x14ac:dyDescent="0.25">
      <c r="B89" s="63"/>
      <c r="C89" s="19"/>
      <c r="D89" s="19"/>
      <c r="E89" s="30"/>
      <c r="F89" s="30"/>
      <c r="G89" s="30"/>
      <c r="H89" s="30"/>
      <c r="I89" s="30"/>
      <c r="J89" s="30"/>
      <c r="L89" s="29"/>
      <c r="M89" s="19"/>
      <c r="N89" s="19"/>
      <c r="O89" s="19"/>
      <c r="P89" s="19"/>
      <c r="Q89" s="19"/>
      <c r="R89" s="19"/>
      <c r="S89" s="19"/>
    </row>
    <row r="90" spans="2:19" x14ac:dyDescent="0.25">
      <c r="B90" s="63"/>
      <c r="C90" s="19"/>
      <c r="D90" s="19"/>
      <c r="E90" s="30"/>
      <c r="F90" s="30"/>
      <c r="G90" s="30"/>
      <c r="H90" s="30"/>
      <c r="I90" s="30"/>
      <c r="J90" s="30"/>
      <c r="L90" s="29"/>
      <c r="M90" s="19"/>
      <c r="N90" s="19"/>
      <c r="O90" s="19"/>
      <c r="P90" s="19"/>
      <c r="Q90" s="19"/>
      <c r="R90" s="19"/>
      <c r="S90" s="19"/>
    </row>
    <row r="91" spans="2:19" x14ac:dyDescent="0.25">
      <c r="B91" s="63"/>
      <c r="C91" s="19"/>
      <c r="D91" s="19"/>
      <c r="E91" s="30"/>
      <c r="F91" s="30"/>
      <c r="G91" s="30"/>
      <c r="H91" s="30"/>
      <c r="I91" s="30"/>
      <c r="J91" s="30"/>
      <c r="L91" s="29"/>
      <c r="M91" s="19"/>
      <c r="N91" s="19"/>
      <c r="O91" s="19"/>
      <c r="P91" s="19"/>
      <c r="Q91" s="19"/>
      <c r="R91" s="19"/>
      <c r="S91" s="19"/>
    </row>
    <row r="92" spans="2:19" x14ac:dyDescent="0.25">
      <c r="B92" s="63"/>
      <c r="C92" s="19"/>
      <c r="D92" s="19"/>
      <c r="E92" s="30"/>
      <c r="F92" s="30"/>
      <c r="G92" s="30"/>
      <c r="H92" s="30"/>
      <c r="I92" s="30"/>
      <c r="J92" s="30"/>
      <c r="L92" s="29"/>
      <c r="M92" s="19"/>
      <c r="N92" s="19"/>
      <c r="O92" s="19"/>
      <c r="P92" s="19"/>
      <c r="Q92" s="19"/>
      <c r="R92" s="19"/>
      <c r="S92" s="19"/>
    </row>
    <row r="93" spans="2:19" x14ac:dyDescent="0.25">
      <c r="B93" s="63"/>
      <c r="C93" s="19"/>
      <c r="D93" s="19"/>
      <c r="E93" s="30"/>
      <c r="F93" s="30"/>
      <c r="G93" s="30"/>
      <c r="H93" s="30"/>
      <c r="I93" s="30"/>
      <c r="J93" s="30"/>
      <c r="L93" s="29"/>
      <c r="M93" s="19"/>
      <c r="N93" s="19"/>
      <c r="O93" s="19"/>
      <c r="P93" s="19"/>
      <c r="Q93" s="19"/>
      <c r="R93" s="19"/>
      <c r="S93" s="19"/>
    </row>
    <row r="94" spans="2:19" x14ac:dyDescent="0.25">
      <c r="B94" s="63"/>
      <c r="C94" s="19"/>
      <c r="D94" s="19"/>
      <c r="E94" s="30"/>
      <c r="F94" s="30"/>
      <c r="G94" s="30"/>
      <c r="H94" s="30"/>
      <c r="I94" s="30"/>
      <c r="J94" s="30"/>
      <c r="L94" s="29"/>
      <c r="M94" s="19"/>
      <c r="N94" s="19"/>
      <c r="O94" s="19"/>
      <c r="P94" s="19"/>
      <c r="Q94" s="19"/>
      <c r="R94" s="19"/>
      <c r="S94" s="19"/>
    </row>
    <row r="95" spans="2:19" x14ac:dyDescent="0.25">
      <c r="B95" s="63"/>
      <c r="C95" s="19"/>
      <c r="D95" s="19"/>
      <c r="E95" s="30"/>
      <c r="F95" s="30"/>
      <c r="G95" s="30"/>
      <c r="H95" s="30"/>
      <c r="I95" s="30"/>
      <c r="J95" s="30"/>
      <c r="L95" s="29"/>
      <c r="M95" s="19"/>
      <c r="N95" s="19"/>
      <c r="O95" s="19"/>
      <c r="P95" s="19"/>
      <c r="Q95" s="19"/>
      <c r="R95" s="19"/>
      <c r="S95" s="19"/>
    </row>
    <row r="96" spans="2:19" x14ac:dyDescent="0.25">
      <c r="B96" s="63"/>
      <c r="C96" s="19"/>
      <c r="D96" s="19"/>
      <c r="E96" s="30"/>
      <c r="F96" s="30"/>
      <c r="G96" s="30"/>
      <c r="H96" s="30"/>
      <c r="I96" s="30"/>
      <c r="J96" s="30"/>
      <c r="L96" s="29"/>
      <c r="M96" s="19"/>
      <c r="N96" s="19"/>
      <c r="O96" s="19"/>
      <c r="P96" s="19"/>
      <c r="Q96" s="19"/>
      <c r="R96" s="19"/>
      <c r="S96" s="19"/>
    </row>
    <row r="97" spans="2:19" x14ac:dyDescent="0.25">
      <c r="B97" s="63"/>
      <c r="C97" s="19"/>
      <c r="D97" s="19"/>
      <c r="E97" s="30"/>
      <c r="F97" s="30"/>
      <c r="G97" s="30"/>
      <c r="H97" s="30"/>
      <c r="I97" s="30"/>
      <c r="J97" s="30"/>
      <c r="L97" s="29"/>
      <c r="M97" s="19"/>
      <c r="N97" s="19"/>
      <c r="O97" s="19"/>
      <c r="P97" s="19"/>
      <c r="Q97" s="19"/>
      <c r="R97" s="19"/>
      <c r="S97" s="19"/>
    </row>
    <row r="98" spans="2:19" x14ac:dyDescent="0.25">
      <c r="B98" s="63"/>
      <c r="C98" s="19"/>
      <c r="D98" s="19"/>
      <c r="E98" s="30"/>
      <c r="F98" s="30"/>
      <c r="G98" s="30"/>
      <c r="H98" s="30"/>
      <c r="I98" s="30"/>
      <c r="J98" s="30"/>
      <c r="L98" s="29"/>
      <c r="M98" s="19"/>
      <c r="N98" s="19"/>
      <c r="O98" s="19"/>
      <c r="P98" s="19"/>
      <c r="Q98" s="19"/>
      <c r="R98" s="19"/>
      <c r="S98" s="19"/>
    </row>
    <row r="99" spans="2:19" x14ac:dyDescent="0.25">
      <c r="B99" s="63"/>
      <c r="C99" s="19"/>
      <c r="D99" s="19"/>
      <c r="E99" s="30"/>
      <c r="F99" s="30"/>
      <c r="G99" s="30"/>
      <c r="H99" s="30"/>
      <c r="I99" s="30"/>
      <c r="J99" s="30"/>
      <c r="L99" s="29"/>
      <c r="M99" s="19"/>
      <c r="N99" s="19"/>
      <c r="O99" s="19"/>
      <c r="P99" s="19"/>
      <c r="Q99" s="19"/>
      <c r="R99" s="19"/>
      <c r="S99" s="19"/>
    </row>
    <row r="100" spans="2:19" x14ac:dyDescent="0.25">
      <c r="B100" s="63"/>
      <c r="C100" s="19"/>
      <c r="D100" s="19"/>
      <c r="E100" s="30"/>
      <c r="F100" s="30"/>
      <c r="G100" s="30"/>
      <c r="H100" s="30"/>
      <c r="I100" s="30"/>
      <c r="J100" s="30"/>
      <c r="L100" s="29"/>
      <c r="M100" s="19"/>
      <c r="N100" s="19"/>
      <c r="O100" s="19"/>
      <c r="P100" s="19"/>
      <c r="Q100" s="19"/>
      <c r="R100" s="19"/>
      <c r="S100" s="19"/>
    </row>
    <row r="101" spans="2:19" x14ac:dyDescent="0.25">
      <c r="B101" s="63"/>
      <c r="C101" s="19"/>
      <c r="D101" s="19"/>
      <c r="E101" s="30"/>
      <c r="F101" s="30"/>
      <c r="G101" s="30"/>
      <c r="H101" s="30"/>
      <c r="I101" s="30"/>
      <c r="J101" s="30"/>
      <c r="L101" s="29"/>
      <c r="M101" s="19"/>
      <c r="N101" s="19"/>
      <c r="O101" s="19"/>
      <c r="P101" s="19"/>
      <c r="Q101" s="19"/>
      <c r="R101" s="19"/>
      <c r="S101" s="19"/>
    </row>
    <row r="102" spans="2:19" x14ac:dyDescent="0.25">
      <c r="B102" s="63"/>
      <c r="C102" s="19"/>
      <c r="D102" s="19"/>
      <c r="E102" s="30"/>
      <c r="F102" s="30"/>
      <c r="G102" s="30"/>
      <c r="H102" s="30"/>
      <c r="I102" s="30"/>
      <c r="J102" s="30"/>
      <c r="L102" s="29"/>
      <c r="M102" s="19"/>
      <c r="N102" s="19"/>
      <c r="O102" s="19"/>
      <c r="P102" s="19"/>
      <c r="Q102" s="19"/>
      <c r="R102" s="19"/>
      <c r="S102" s="19"/>
    </row>
    <row r="103" spans="2:19" x14ac:dyDescent="0.25">
      <c r="B103" s="63"/>
      <c r="C103" s="19"/>
      <c r="D103" s="19"/>
      <c r="E103" s="30"/>
      <c r="F103" s="30"/>
      <c r="G103" s="30"/>
      <c r="H103" s="30"/>
      <c r="I103" s="30"/>
      <c r="J103" s="30"/>
      <c r="L103" s="29"/>
      <c r="M103" s="19"/>
      <c r="N103" s="19"/>
      <c r="O103" s="19"/>
      <c r="P103" s="19"/>
      <c r="Q103" s="19"/>
      <c r="R103" s="19"/>
      <c r="S103" s="19"/>
    </row>
    <row r="104" spans="2:19" x14ac:dyDescent="0.25">
      <c r="B104" s="63"/>
      <c r="C104" s="19"/>
      <c r="D104" s="19"/>
      <c r="E104" s="30"/>
      <c r="F104" s="30"/>
      <c r="G104" s="30"/>
      <c r="H104" s="30"/>
      <c r="I104" s="30"/>
      <c r="J104" s="30"/>
      <c r="L104" s="29"/>
      <c r="M104" s="19"/>
      <c r="N104" s="19"/>
      <c r="O104" s="19"/>
      <c r="P104" s="19"/>
      <c r="Q104" s="19"/>
      <c r="R104" s="19"/>
      <c r="S104" s="19"/>
    </row>
    <row r="105" spans="2:19" x14ac:dyDescent="0.25">
      <c r="B105" s="63"/>
      <c r="C105" s="19"/>
      <c r="D105" s="19"/>
      <c r="E105" s="30"/>
      <c r="F105" s="30"/>
      <c r="G105" s="30"/>
      <c r="H105" s="30"/>
      <c r="I105" s="30"/>
      <c r="J105" s="30"/>
      <c r="L105" s="29"/>
      <c r="M105" s="19"/>
      <c r="N105" s="19"/>
      <c r="O105" s="19"/>
      <c r="P105" s="19"/>
      <c r="Q105" s="19"/>
      <c r="R105" s="19"/>
      <c r="S105" s="19"/>
    </row>
    <row r="106" spans="2:19" x14ac:dyDescent="0.25">
      <c r="B106" s="63"/>
      <c r="C106" s="19"/>
      <c r="D106" s="19"/>
      <c r="E106" s="30"/>
      <c r="F106" s="30"/>
      <c r="G106" s="30"/>
      <c r="H106" s="30"/>
      <c r="I106" s="30"/>
      <c r="J106" s="30"/>
      <c r="L106" s="29"/>
      <c r="M106" s="19"/>
      <c r="N106" s="19"/>
      <c r="O106" s="19"/>
      <c r="P106" s="19"/>
      <c r="Q106" s="19"/>
      <c r="R106" s="19"/>
      <c r="S106" s="19"/>
    </row>
    <row r="107" spans="2:19" x14ac:dyDescent="0.25">
      <c r="B107" s="63"/>
      <c r="C107" s="19"/>
      <c r="D107" s="19"/>
      <c r="E107" s="30"/>
      <c r="F107" s="30"/>
      <c r="G107" s="30"/>
      <c r="H107" s="30"/>
      <c r="I107" s="30"/>
      <c r="J107" s="30"/>
      <c r="K107" s="30"/>
      <c r="L107" s="29"/>
      <c r="M107" s="19"/>
      <c r="N107" s="19"/>
      <c r="O107" s="19"/>
      <c r="P107" s="19"/>
      <c r="Q107" s="19"/>
      <c r="R107" s="19"/>
      <c r="S107" s="19"/>
    </row>
    <row r="108" spans="2:19" x14ac:dyDescent="0.25">
      <c r="B108" s="63"/>
      <c r="C108" s="19"/>
      <c r="D108" s="19"/>
      <c r="E108" s="30"/>
      <c r="F108" s="30"/>
      <c r="G108" s="30"/>
      <c r="H108" s="30"/>
      <c r="I108" s="30"/>
      <c r="J108" s="30"/>
      <c r="K108" s="30"/>
      <c r="L108" s="29"/>
      <c r="M108" s="19"/>
      <c r="N108" s="19"/>
      <c r="O108" s="19"/>
      <c r="P108" s="19"/>
      <c r="Q108" s="19"/>
      <c r="R108" s="19"/>
      <c r="S108" s="19"/>
    </row>
    <row r="109" spans="2:19" x14ac:dyDescent="0.25">
      <c r="B109" s="63"/>
      <c r="C109" s="19"/>
      <c r="D109" s="19"/>
      <c r="E109" s="30"/>
      <c r="F109" s="30"/>
      <c r="G109" s="30"/>
      <c r="H109" s="30"/>
      <c r="I109" s="30"/>
      <c r="J109" s="30"/>
      <c r="K109" s="30"/>
      <c r="L109" s="29"/>
      <c r="M109" s="19"/>
      <c r="N109" s="19"/>
      <c r="O109" s="19"/>
      <c r="P109" s="19"/>
      <c r="Q109" s="19"/>
      <c r="R109" s="19"/>
      <c r="S109" s="19"/>
    </row>
    <row r="110" spans="2:19" x14ac:dyDescent="0.25">
      <c r="B110" s="63"/>
      <c r="C110" s="19"/>
      <c r="D110" s="19"/>
      <c r="E110" s="30"/>
      <c r="F110" s="30"/>
      <c r="G110" s="30"/>
      <c r="H110" s="30"/>
      <c r="I110" s="30"/>
      <c r="J110" s="30"/>
      <c r="K110" s="30"/>
      <c r="L110" s="29"/>
      <c r="M110" s="19"/>
      <c r="N110" s="19"/>
      <c r="O110" s="19"/>
      <c r="P110" s="19"/>
      <c r="Q110" s="19"/>
      <c r="R110" s="19"/>
      <c r="S110" s="19"/>
    </row>
    <row r="111" spans="2:19" x14ac:dyDescent="0.25">
      <c r="B111" s="63"/>
      <c r="C111" s="19"/>
      <c r="D111" s="19"/>
      <c r="E111" s="30"/>
      <c r="F111" s="30"/>
      <c r="G111" s="30"/>
      <c r="H111" s="30"/>
      <c r="I111" s="30"/>
      <c r="J111" s="30"/>
      <c r="K111" s="30"/>
      <c r="L111" s="29"/>
      <c r="M111" s="19"/>
      <c r="N111" s="19"/>
      <c r="O111" s="19"/>
      <c r="P111" s="19"/>
      <c r="Q111" s="19"/>
      <c r="R111" s="19"/>
      <c r="S111" s="19"/>
    </row>
    <row r="112" spans="2:19" x14ac:dyDescent="0.25">
      <c r="B112" s="63"/>
      <c r="C112" s="19"/>
      <c r="D112" s="19"/>
      <c r="E112" s="30"/>
      <c r="F112" s="30"/>
      <c r="G112" s="30"/>
      <c r="H112" s="30"/>
      <c r="I112" s="30"/>
      <c r="J112" s="30"/>
      <c r="K112" s="30"/>
      <c r="L112" s="29"/>
      <c r="M112" s="19"/>
      <c r="N112" s="19"/>
      <c r="O112" s="19"/>
      <c r="P112" s="19"/>
      <c r="Q112" s="19"/>
      <c r="R112" s="19"/>
      <c r="S112" s="19"/>
    </row>
    <row r="113" spans="2:19" x14ac:dyDescent="0.25">
      <c r="B113" s="63"/>
      <c r="C113" s="19"/>
      <c r="D113" s="19"/>
      <c r="E113" s="30"/>
      <c r="F113" s="30"/>
      <c r="G113" s="30"/>
      <c r="H113" s="30"/>
      <c r="I113" s="30"/>
      <c r="J113" s="30"/>
      <c r="K113" s="30"/>
      <c r="L113" s="29"/>
      <c r="M113" s="19"/>
      <c r="N113" s="19"/>
      <c r="O113" s="19"/>
      <c r="P113" s="19"/>
      <c r="Q113" s="19"/>
      <c r="R113" s="19"/>
      <c r="S113" s="19"/>
    </row>
    <row r="114" spans="2:19" x14ac:dyDescent="0.25">
      <c r="B114" s="63"/>
      <c r="C114" s="19"/>
      <c r="D114" s="19"/>
      <c r="E114" s="30"/>
      <c r="F114" s="30"/>
      <c r="G114" s="30"/>
      <c r="H114" s="30"/>
      <c r="I114" s="30"/>
      <c r="J114" s="30"/>
      <c r="K114" s="30"/>
      <c r="L114" s="29"/>
      <c r="M114" s="19"/>
      <c r="N114" s="19"/>
      <c r="O114" s="19"/>
      <c r="P114" s="19"/>
      <c r="Q114" s="19"/>
      <c r="R114" s="19"/>
      <c r="S114" s="19"/>
    </row>
    <row r="115" spans="2:19" x14ac:dyDescent="0.25">
      <c r="B115" s="63"/>
      <c r="C115" s="19"/>
      <c r="D115" s="19"/>
      <c r="E115" s="30"/>
      <c r="F115" s="30"/>
      <c r="G115" s="30"/>
      <c r="H115" s="30"/>
      <c r="I115" s="30"/>
      <c r="J115" s="30"/>
      <c r="K115" s="30"/>
      <c r="L115" s="29"/>
      <c r="M115" s="19"/>
      <c r="N115" s="19"/>
      <c r="O115" s="19"/>
      <c r="P115" s="19"/>
      <c r="Q115" s="19"/>
      <c r="R115" s="19"/>
      <c r="S115" s="19"/>
    </row>
    <row r="116" spans="2:19" x14ac:dyDescent="0.25">
      <c r="B116" s="63"/>
      <c r="C116" s="19"/>
      <c r="D116" s="19"/>
      <c r="E116" s="30"/>
      <c r="F116" s="30"/>
      <c r="G116" s="30"/>
      <c r="H116" s="30"/>
      <c r="I116" s="30"/>
      <c r="J116" s="30"/>
      <c r="K116" s="30"/>
      <c r="L116" s="29"/>
      <c r="M116" s="19"/>
      <c r="N116" s="19"/>
      <c r="O116" s="19"/>
      <c r="P116" s="19"/>
      <c r="Q116" s="19"/>
      <c r="R116" s="19"/>
      <c r="S116" s="19"/>
    </row>
    <row r="117" spans="2:19" x14ac:dyDescent="0.25">
      <c r="B117" s="63"/>
      <c r="C117" s="19"/>
      <c r="D117" s="19"/>
      <c r="E117" s="30"/>
      <c r="F117" s="30"/>
      <c r="G117" s="30"/>
      <c r="H117" s="30"/>
      <c r="I117" s="30"/>
      <c r="J117" s="30"/>
      <c r="K117" s="30"/>
      <c r="L117" s="29"/>
      <c r="M117" s="19"/>
      <c r="N117" s="19"/>
      <c r="O117" s="19"/>
      <c r="P117" s="19"/>
      <c r="Q117" s="19"/>
      <c r="R117" s="19"/>
      <c r="S117" s="19"/>
    </row>
    <row r="118" spans="2:19" x14ac:dyDescent="0.25">
      <c r="B118" s="63"/>
      <c r="C118" s="19"/>
      <c r="D118" s="19"/>
      <c r="E118" s="30"/>
      <c r="F118" s="30"/>
      <c r="G118" s="30"/>
      <c r="H118" s="30"/>
      <c r="I118" s="30"/>
      <c r="J118" s="30"/>
      <c r="K118" s="30"/>
      <c r="L118" s="29"/>
      <c r="M118" s="19"/>
      <c r="N118" s="19"/>
      <c r="O118" s="19"/>
      <c r="P118" s="19"/>
      <c r="Q118" s="19"/>
      <c r="R118" s="19"/>
      <c r="S118" s="19"/>
    </row>
    <row r="119" spans="2:19" x14ac:dyDescent="0.25">
      <c r="B119" s="63"/>
      <c r="C119" s="19"/>
      <c r="D119" s="19"/>
      <c r="E119" s="30"/>
      <c r="F119" s="30"/>
      <c r="G119" s="30"/>
      <c r="H119" s="30"/>
      <c r="I119" s="30"/>
      <c r="J119" s="30"/>
      <c r="K119" s="30"/>
      <c r="L119" s="29"/>
      <c r="M119" s="19"/>
      <c r="N119" s="19"/>
      <c r="O119" s="19"/>
      <c r="P119" s="19"/>
      <c r="Q119" s="19"/>
      <c r="R119" s="19"/>
      <c r="S119" s="19"/>
    </row>
    <row r="120" spans="2:19" x14ac:dyDescent="0.25">
      <c r="B120" s="63"/>
      <c r="C120" s="19"/>
      <c r="D120" s="19"/>
      <c r="E120" s="30"/>
      <c r="F120" s="30"/>
      <c r="G120" s="30"/>
      <c r="H120" s="30"/>
      <c r="I120" s="30"/>
      <c r="J120" s="30"/>
      <c r="K120" s="30"/>
      <c r="L120" s="29"/>
      <c r="M120" s="19"/>
      <c r="N120" s="19"/>
      <c r="O120" s="19"/>
      <c r="P120" s="19"/>
      <c r="Q120" s="19"/>
      <c r="R120" s="19"/>
      <c r="S120" s="19"/>
    </row>
    <row r="121" spans="2:19" x14ac:dyDescent="0.25">
      <c r="B121" s="63"/>
      <c r="C121" s="19"/>
      <c r="D121" s="19"/>
      <c r="E121" s="30"/>
      <c r="F121" s="30"/>
      <c r="G121" s="30"/>
      <c r="H121" s="30"/>
      <c r="I121" s="30"/>
      <c r="J121" s="30"/>
      <c r="K121" s="30"/>
      <c r="L121" s="29"/>
      <c r="M121" s="19"/>
      <c r="N121" s="19"/>
      <c r="O121" s="19"/>
      <c r="P121" s="19"/>
      <c r="Q121" s="19"/>
      <c r="R121" s="19"/>
      <c r="S121" s="19"/>
    </row>
    <row r="122" spans="2:19" x14ac:dyDescent="0.25">
      <c r="B122" s="63"/>
      <c r="C122" s="19"/>
      <c r="D122" s="19"/>
      <c r="E122" s="30"/>
      <c r="F122" s="30"/>
      <c r="G122" s="30"/>
      <c r="H122" s="30"/>
      <c r="I122" s="30"/>
      <c r="J122" s="30"/>
      <c r="K122" s="30"/>
      <c r="L122" s="29"/>
      <c r="M122" s="19"/>
      <c r="N122" s="19"/>
      <c r="O122" s="19"/>
      <c r="P122" s="19"/>
      <c r="Q122" s="19"/>
      <c r="R122" s="19"/>
      <c r="S122" s="19"/>
    </row>
    <row r="123" spans="2:19" x14ac:dyDescent="0.25">
      <c r="B123" s="63"/>
      <c r="C123" s="19"/>
      <c r="D123" s="19"/>
      <c r="E123" s="30"/>
      <c r="F123" s="30"/>
      <c r="G123" s="30"/>
      <c r="H123" s="30"/>
      <c r="I123" s="30"/>
      <c r="J123" s="30"/>
      <c r="K123" s="30"/>
      <c r="L123" s="29"/>
      <c r="M123" s="19"/>
      <c r="N123" s="19"/>
      <c r="O123" s="19"/>
      <c r="P123" s="19"/>
      <c r="Q123" s="19"/>
      <c r="R123" s="19"/>
      <c r="S123" s="19"/>
    </row>
    <row r="124" spans="2:19" x14ac:dyDescent="0.25">
      <c r="B124" s="63"/>
      <c r="C124" s="19"/>
      <c r="D124" s="19"/>
      <c r="E124" s="30"/>
      <c r="F124" s="30"/>
      <c r="G124" s="30"/>
      <c r="H124" s="30"/>
      <c r="I124" s="30"/>
      <c r="J124" s="30"/>
      <c r="K124" s="30"/>
      <c r="L124" s="29"/>
      <c r="M124" s="19"/>
      <c r="N124" s="19"/>
      <c r="O124" s="19"/>
      <c r="P124" s="19"/>
      <c r="Q124" s="19"/>
      <c r="R124" s="19"/>
      <c r="S124" s="19"/>
    </row>
    <row r="125" spans="2:19" x14ac:dyDescent="0.25">
      <c r="B125" s="63"/>
      <c r="C125" s="19"/>
      <c r="D125" s="19"/>
      <c r="E125" s="30"/>
      <c r="F125" s="30"/>
      <c r="G125" s="30"/>
      <c r="H125" s="30"/>
      <c r="I125" s="30"/>
      <c r="J125" s="30"/>
      <c r="K125" s="30"/>
      <c r="L125" s="29"/>
      <c r="M125" s="19"/>
      <c r="N125" s="19"/>
      <c r="O125" s="19"/>
      <c r="P125" s="19"/>
      <c r="Q125" s="19"/>
      <c r="R125" s="19"/>
      <c r="S125" s="19"/>
    </row>
    <row r="126" spans="2:19" x14ac:dyDescent="0.25">
      <c r="B126" s="63"/>
      <c r="C126" s="19"/>
      <c r="D126" s="19"/>
      <c r="E126" s="30"/>
      <c r="F126" s="30"/>
      <c r="G126" s="30"/>
      <c r="H126" s="30"/>
      <c r="I126" s="30"/>
      <c r="J126" s="30"/>
      <c r="K126" s="30"/>
      <c r="L126" s="29"/>
      <c r="M126" s="19"/>
      <c r="N126" s="19"/>
      <c r="O126" s="19"/>
      <c r="P126" s="19"/>
      <c r="Q126" s="19"/>
      <c r="R126" s="19"/>
      <c r="S126" s="19"/>
    </row>
    <row r="127" spans="2:19" x14ac:dyDescent="0.25">
      <c r="B127" s="63"/>
      <c r="C127" s="19"/>
      <c r="D127" s="19"/>
      <c r="E127" s="30"/>
      <c r="F127" s="30"/>
      <c r="G127" s="30"/>
      <c r="H127" s="30"/>
      <c r="I127" s="30"/>
      <c r="J127" s="30"/>
      <c r="K127" s="30"/>
      <c r="L127" s="29"/>
      <c r="M127" s="19"/>
      <c r="N127" s="19"/>
      <c r="O127" s="19"/>
      <c r="P127" s="19"/>
      <c r="Q127" s="19"/>
      <c r="R127" s="19"/>
      <c r="S127" s="19"/>
    </row>
    <row r="128" spans="2:19" x14ac:dyDescent="0.25">
      <c r="B128" s="63"/>
      <c r="C128" s="19"/>
      <c r="D128" s="19"/>
      <c r="E128" s="30"/>
      <c r="F128" s="30"/>
      <c r="G128" s="30"/>
      <c r="H128" s="30"/>
      <c r="I128" s="30"/>
      <c r="J128" s="30"/>
      <c r="K128" s="30"/>
      <c r="L128" s="29"/>
      <c r="M128" s="19"/>
      <c r="N128" s="19"/>
      <c r="O128" s="19"/>
      <c r="P128" s="19"/>
      <c r="Q128" s="19"/>
      <c r="R128" s="19"/>
      <c r="S128" s="19"/>
    </row>
    <row r="129" spans="2:19" x14ac:dyDescent="0.25">
      <c r="B129" s="63"/>
      <c r="C129" s="19"/>
      <c r="D129" s="19"/>
      <c r="E129" s="30"/>
      <c r="F129" s="30"/>
      <c r="G129" s="30"/>
      <c r="H129" s="30"/>
      <c r="I129" s="30"/>
      <c r="J129" s="30"/>
      <c r="K129" s="30"/>
      <c r="L129" s="29"/>
      <c r="M129" s="19"/>
      <c r="N129" s="19"/>
      <c r="O129" s="19"/>
      <c r="P129" s="19"/>
      <c r="Q129" s="19"/>
      <c r="R129" s="19"/>
      <c r="S129" s="19"/>
    </row>
    <row r="130" spans="2:19" x14ac:dyDescent="0.25">
      <c r="B130" s="63"/>
      <c r="C130" s="19"/>
      <c r="D130" s="19"/>
      <c r="E130" s="30"/>
      <c r="F130" s="30"/>
      <c r="G130" s="30"/>
      <c r="H130" s="30"/>
      <c r="I130" s="30"/>
      <c r="J130" s="30"/>
      <c r="K130" s="30"/>
      <c r="L130" s="29"/>
      <c r="M130" s="19"/>
      <c r="N130" s="19"/>
      <c r="O130" s="19"/>
      <c r="P130" s="19"/>
      <c r="Q130" s="19"/>
      <c r="R130" s="19"/>
      <c r="S130" s="19"/>
    </row>
    <row r="131" spans="2:19" x14ac:dyDescent="0.25">
      <c r="B131" s="63"/>
      <c r="C131" s="19"/>
      <c r="D131" s="19"/>
      <c r="E131" s="30"/>
      <c r="F131" s="30"/>
      <c r="G131" s="30"/>
      <c r="H131" s="30"/>
      <c r="I131" s="30"/>
      <c r="J131" s="30"/>
      <c r="K131" s="30"/>
      <c r="L131" s="29"/>
      <c r="M131" s="19"/>
      <c r="N131" s="19"/>
      <c r="O131" s="19"/>
      <c r="P131" s="19"/>
      <c r="Q131" s="19"/>
      <c r="R131" s="19"/>
      <c r="S131" s="19"/>
    </row>
    <row r="132" spans="2:19" x14ac:dyDescent="0.25">
      <c r="B132" s="63"/>
      <c r="C132" s="19"/>
      <c r="D132" s="19"/>
      <c r="E132" s="30"/>
      <c r="F132" s="30"/>
      <c r="G132" s="30"/>
      <c r="H132" s="30"/>
      <c r="I132" s="30"/>
      <c r="J132" s="30"/>
      <c r="K132" s="30"/>
      <c r="L132" s="29"/>
      <c r="M132" s="19"/>
      <c r="N132" s="19"/>
      <c r="O132" s="19"/>
      <c r="P132" s="19"/>
      <c r="Q132" s="19"/>
      <c r="R132" s="19"/>
      <c r="S132" s="19"/>
    </row>
    <row r="133" spans="2:19" x14ac:dyDescent="0.25">
      <c r="B133" s="63"/>
      <c r="C133" s="19"/>
      <c r="D133" s="19"/>
      <c r="E133" s="30"/>
      <c r="F133" s="30"/>
      <c r="G133" s="30"/>
      <c r="H133" s="30"/>
      <c r="I133" s="30"/>
      <c r="J133" s="30"/>
      <c r="K133" s="30"/>
      <c r="L133" s="29"/>
      <c r="M133" s="19"/>
      <c r="N133" s="19"/>
      <c r="O133" s="19"/>
      <c r="P133" s="19"/>
      <c r="Q133" s="19"/>
      <c r="R133" s="19"/>
      <c r="S133" s="19"/>
    </row>
    <row r="134" spans="2:19" x14ac:dyDescent="0.25">
      <c r="B134" s="63"/>
      <c r="C134" s="19"/>
      <c r="D134" s="19"/>
      <c r="E134" s="30"/>
      <c r="F134" s="30"/>
      <c r="G134" s="30"/>
      <c r="H134" s="30"/>
      <c r="I134" s="30"/>
      <c r="J134" s="30"/>
      <c r="K134" s="30"/>
      <c r="L134" s="29"/>
      <c r="M134" s="19"/>
      <c r="N134" s="19"/>
      <c r="O134" s="19"/>
      <c r="P134" s="19"/>
      <c r="Q134" s="19"/>
      <c r="R134" s="19"/>
      <c r="S134" s="19"/>
    </row>
    <row r="135" spans="2:19" x14ac:dyDescent="0.25">
      <c r="B135" s="63"/>
      <c r="C135" s="19"/>
      <c r="D135" s="19"/>
      <c r="E135" s="30"/>
      <c r="F135" s="30"/>
      <c r="G135" s="30"/>
      <c r="H135" s="30"/>
      <c r="I135" s="30"/>
      <c r="J135" s="30"/>
      <c r="K135" s="30"/>
      <c r="L135" s="29"/>
      <c r="M135" s="19"/>
      <c r="N135" s="19"/>
      <c r="O135" s="19"/>
      <c r="P135" s="19"/>
      <c r="Q135" s="19"/>
      <c r="R135" s="19"/>
      <c r="S135" s="19"/>
    </row>
    <row r="136" spans="2:19" x14ac:dyDescent="0.25">
      <c r="B136" s="63"/>
      <c r="C136" s="19"/>
      <c r="D136" s="19"/>
      <c r="E136" s="30"/>
      <c r="F136" s="30"/>
      <c r="G136" s="30"/>
      <c r="H136" s="30"/>
      <c r="I136" s="30"/>
      <c r="J136" s="30"/>
      <c r="K136" s="30"/>
      <c r="L136" s="29"/>
      <c r="M136" s="19"/>
      <c r="N136" s="19"/>
      <c r="O136" s="19"/>
      <c r="P136" s="19"/>
      <c r="Q136" s="19"/>
      <c r="R136" s="19"/>
      <c r="S136" s="19"/>
    </row>
    <row r="137" spans="2:19" x14ac:dyDescent="0.25">
      <c r="B137" s="63"/>
      <c r="C137" s="19"/>
      <c r="D137" s="19"/>
      <c r="E137" s="30"/>
      <c r="F137" s="30"/>
      <c r="G137" s="30"/>
      <c r="H137" s="30"/>
      <c r="I137" s="30"/>
      <c r="J137" s="30"/>
      <c r="K137" s="30"/>
      <c r="L137" s="29"/>
      <c r="M137" s="19"/>
      <c r="N137" s="19"/>
      <c r="O137" s="19"/>
      <c r="P137" s="19"/>
      <c r="Q137" s="19"/>
      <c r="R137" s="19"/>
      <c r="S137" s="19"/>
    </row>
    <row r="138" spans="2:19" x14ac:dyDescent="0.25">
      <c r="B138" s="63"/>
      <c r="C138" s="19"/>
      <c r="D138" s="19"/>
      <c r="E138" s="30"/>
      <c r="F138" s="30"/>
      <c r="G138" s="30"/>
      <c r="H138" s="30"/>
      <c r="I138" s="30"/>
      <c r="J138" s="30"/>
      <c r="K138" s="30"/>
      <c r="L138" s="29"/>
      <c r="M138" s="19"/>
      <c r="N138" s="19"/>
      <c r="O138" s="19"/>
      <c r="P138" s="19"/>
      <c r="Q138" s="19"/>
      <c r="R138" s="19"/>
      <c r="S138" s="19"/>
    </row>
    <row r="139" spans="2:19" x14ac:dyDescent="0.25">
      <c r="B139" s="63"/>
      <c r="C139" s="19"/>
      <c r="D139" s="19"/>
      <c r="E139" s="30"/>
      <c r="F139" s="30"/>
      <c r="G139" s="30"/>
      <c r="H139" s="30"/>
      <c r="I139" s="30"/>
      <c r="J139" s="30"/>
      <c r="K139" s="30"/>
      <c r="L139" s="29"/>
      <c r="M139" s="19"/>
      <c r="N139" s="19"/>
      <c r="O139" s="19"/>
      <c r="P139" s="19"/>
      <c r="Q139" s="19"/>
      <c r="R139" s="19"/>
      <c r="S139" s="19"/>
    </row>
    <row r="140" spans="2:19" x14ac:dyDescent="0.25">
      <c r="B140" s="63"/>
      <c r="C140" s="19"/>
      <c r="D140" s="19"/>
      <c r="E140" s="30"/>
      <c r="F140" s="30"/>
      <c r="G140" s="30"/>
      <c r="H140" s="30"/>
      <c r="I140" s="30"/>
      <c r="J140" s="30"/>
      <c r="K140" s="30"/>
      <c r="L140" s="29"/>
      <c r="M140" s="19"/>
      <c r="N140" s="19"/>
      <c r="O140" s="19"/>
      <c r="P140" s="19"/>
      <c r="Q140" s="19"/>
      <c r="R140" s="19"/>
      <c r="S140" s="19"/>
    </row>
    <row r="141" spans="2:19" x14ac:dyDescent="0.25">
      <c r="B141" s="63"/>
      <c r="C141" s="19"/>
      <c r="D141" s="19"/>
      <c r="E141" s="30"/>
      <c r="F141" s="30"/>
      <c r="G141" s="30"/>
      <c r="H141" s="30"/>
      <c r="I141" s="30"/>
      <c r="J141" s="30"/>
      <c r="K141" s="30"/>
      <c r="L141" s="29"/>
      <c r="M141" s="19"/>
      <c r="N141" s="19"/>
      <c r="O141" s="19"/>
      <c r="P141" s="19"/>
      <c r="Q141" s="19"/>
      <c r="R141" s="19"/>
      <c r="S141" s="19"/>
    </row>
    <row r="142" spans="2:19" x14ac:dyDescent="0.25">
      <c r="B142" s="63"/>
      <c r="C142" s="19"/>
      <c r="D142" s="19"/>
      <c r="E142" s="30"/>
      <c r="F142" s="30"/>
      <c r="G142" s="30"/>
      <c r="H142" s="30"/>
      <c r="I142" s="30"/>
      <c r="J142" s="30"/>
      <c r="K142" s="30"/>
      <c r="L142" s="29"/>
      <c r="M142" s="19"/>
      <c r="N142" s="19"/>
      <c r="O142" s="19"/>
      <c r="P142" s="19"/>
      <c r="Q142" s="19"/>
      <c r="R142" s="19"/>
      <c r="S142" s="19"/>
    </row>
    <row r="143" spans="2:19" x14ac:dyDescent="0.25">
      <c r="B143" s="63"/>
      <c r="C143" s="19"/>
      <c r="D143" s="19"/>
      <c r="E143" s="30"/>
      <c r="F143" s="30"/>
      <c r="G143" s="30"/>
      <c r="H143" s="30"/>
      <c r="I143" s="30"/>
      <c r="J143" s="30"/>
      <c r="K143" s="30"/>
      <c r="L143" s="29"/>
      <c r="M143" s="19"/>
      <c r="N143" s="19"/>
      <c r="O143" s="19"/>
      <c r="P143" s="19"/>
      <c r="Q143" s="19"/>
      <c r="R143" s="19"/>
      <c r="S143" s="19"/>
    </row>
    <row r="144" spans="2:19" x14ac:dyDescent="0.25">
      <c r="B144" s="63"/>
      <c r="C144" s="19"/>
      <c r="D144" s="19"/>
      <c r="E144" s="30"/>
      <c r="F144" s="30"/>
      <c r="G144" s="30"/>
      <c r="H144" s="30"/>
      <c r="I144" s="30"/>
      <c r="J144" s="30"/>
      <c r="K144" s="30"/>
      <c r="L144" s="29"/>
      <c r="M144" s="19"/>
      <c r="N144" s="19"/>
      <c r="O144" s="19"/>
      <c r="P144" s="19"/>
      <c r="Q144" s="19"/>
      <c r="R144" s="19"/>
      <c r="S144" s="19"/>
    </row>
    <row r="145" spans="2:19" x14ac:dyDescent="0.25">
      <c r="B145" s="63"/>
      <c r="C145" s="19"/>
      <c r="D145" s="19"/>
      <c r="E145" s="30"/>
      <c r="F145" s="30"/>
      <c r="G145" s="30"/>
      <c r="H145" s="30"/>
      <c r="I145" s="30"/>
      <c r="J145" s="30"/>
      <c r="K145" s="30"/>
      <c r="L145" s="29"/>
      <c r="M145" s="19"/>
      <c r="N145" s="19"/>
      <c r="O145" s="19"/>
      <c r="P145" s="19"/>
      <c r="Q145" s="19"/>
      <c r="R145" s="19"/>
      <c r="S145" s="19"/>
    </row>
    <row r="146" spans="2:19" x14ac:dyDescent="0.25">
      <c r="B146" s="63"/>
      <c r="C146" s="19"/>
      <c r="D146" s="19"/>
      <c r="E146" s="30"/>
      <c r="F146" s="30"/>
      <c r="G146" s="30"/>
      <c r="H146" s="30"/>
      <c r="I146" s="30"/>
      <c r="J146" s="30"/>
      <c r="K146" s="30"/>
      <c r="L146" s="29"/>
      <c r="M146" s="19"/>
      <c r="N146" s="19"/>
      <c r="O146" s="19"/>
      <c r="P146" s="19"/>
      <c r="Q146" s="19"/>
      <c r="R146" s="19"/>
      <c r="S146" s="19"/>
    </row>
    <row r="147" spans="2:19" x14ac:dyDescent="0.25">
      <c r="B147" s="63"/>
      <c r="C147" s="19"/>
      <c r="D147" s="19"/>
      <c r="E147" s="30"/>
      <c r="F147" s="30"/>
      <c r="G147" s="30"/>
      <c r="H147" s="30"/>
      <c r="I147" s="30"/>
      <c r="J147" s="30"/>
      <c r="K147" s="30"/>
      <c r="L147" s="29"/>
      <c r="M147" s="19"/>
      <c r="N147" s="19"/>
      <c r="O147" s="19"/>
      <c r="P147" s="19"/>
      <c r="Q147" s="19"/>
      <c r="R147" s="19"/>
      <c r="S147" s="19"/>
    </row>
    <row r="148" spans="2:19" x14ac:dyDescent="0.25">
      <c r="B148" s="63"/>
      <c r="C148" s="19"/>
      <c r="D148" s="19"/>
      <c r="E148" s="30"/>
      <c r="F148" s="30"/>
      <c r="G148" s="30"/>
      <c r="H148" s="30"/>
      <c r="I148" s="30"/>
      <c r="J148" s="30"/>
      <c r="K148" s="30"/>
      <c r="L148" s="29"/>
      <c r="M148" s="19"/>
      <c r="N148" s="19"/>
      <c r="O148" s="19"/>
      <c r="P148" s="19"/>
      <c r="Q148" s="19"/>
      <c r="R148" s="19"/>
      <c r="S148" s="19"/>
    </row>
    <row r="149" spans="2:19" x14ac:dyDescent="0.25">
      <c r="B149" s="63"/>
      <c r="C149" s="19"/>
      <c r="D149" s="19"/>
      <c r="E149" s="30"/>
      <c r="F149" s="30"/>
      <c r="G149" s="30"/>
      <c r="H149" s="30"/>
      <c r="I149" s="30"/>
      <c r="J149" s="30"/>
      <c r="K149" s="30"/>
      <c r="L149" s="29"/>
      <c r="M149" s="19"/>
      <c r="N149" s="19"/>
      <c r="O149" s="19"/>
      <c r="P149" s="19"/>
      <c r="Q149" s="19"/>
      <c r="R149" s="19"/>
      <c r="S149" s="19"/>
    </row>
    <row r="150" spans="2:19" x14ac:dyDescent="0.25">
      <c r="B150" s="63"/>
      <c r="C150" s="19"/>
      <c r="D150" s="19"/>
      <c r="E150" s="30"/>
      <c r="F150" s="30"/>
      <c r="G150" s="30"/>
      <c r="H150" s="30"/>
      <c r="I150" s="30"/>
      <c r="J150" s="30"/>
      <c r="K150" s="30"/>
      <c r="L150" s="29"/>
      <c r="M150" s="19"/>
      <c r="N150" s="19"/>
      <c r="O150" s="19"/>
      <c r="P150" s="19"/>
      <c r="Q150" s="19"/>
      <c r="R150" s="19"/>
      <c r="S150" s="19"/>
    </row>
    <row r="151" spans="2:19" x14ac:dyDescent="0.25">
      <c r="B151" s="63"/>
      <c r="C151" s="19"/>
      <c r="D151" s="19"/>
      <c r="E151" s="30"/>
      <c r="F151" s="30"/>
      <c r="G151" s="30"/>
      <c r="H151" s="30"/>
      <c r="I151" s="30"/>
      <c r="J151" s="30"/>
      <c r="K151" s="30"/>
      <c r="L151" s="29"/>
      <c r="M151" s="19"/>
      <c r="N151" s="19"/>
      <c r="O151" s="19"/>
      <c r="P151" s="19"/>
      <c r="Q151" s="19"/>
      <c r="R151" s="19"/>
      <c r="S151" s="19"/>
    </row>
    <row r="152" spans="2:19" x14ac:dyDescent="0.25">
      <c r="B152" s="63"/>
      <c r="C152" s="19"/>
      <c r="D152" s="19"/>
      <c r="E152" s="30"/>
      <c r="F152" s="30"/>
      <c r="G152" s="30"/>
      <c r="H152" s="30"/>
      <c r="I152" s="30"/>
      <c r="J152" s="30"/>
      <c r="K152" s="30"/>
      <c r="L152" s="29"/>
      <c r="M152" s="19"/>
      <c r="N152" s="19"/>
      <c r="O152" s="19"/>
      <c r="P152" s="19"/>
      <c r="Q152" s="19"/>
      <c r="R152" s="19"/>
      <c r="S152" s="19"/>
    </row>
    <row r="153" spans="2:19" x14ac:dyDescent="0.25">
      <c r="B153" s="63"/>
      <c r="C153" s="19"/>
      <c r="D153" s="19"/>
      <c r="E153" s="30"/>
      <c r="F153" s="30"/>
      <c r="G153" s="30"/>
      <c r="H153" s="30"/>
      <c r="I153" s="30"/>
      <c r="J153" s="30"/>
      <c r="K153" s="30"/>
      <c r="L153" s="29"/>
      <c r="M153" s="19"/>
      <c r="N153" s="19"/>
      <c r="O153" s="19"/>
      <c r="P153" s="19"/>
      <c r="Q153" s="19"/>
      <c r="R153" s="19"/>
      <c r="S153" s="19"/>
    </row>
    <row r="154" spans="2:19" x14ac:dyDescent="0.25">
      <c r="B154" s="63"/>
      <c r="C154" s="19"/>
      <c r="D154" s="19"/>
      <c r="E154" s="30"/>
      <c r="F154" s="30"/>
      <c r="G154" s="30"/>
      <c r="H154" s="30"/>
      <c r="I154" s="30"/>
      <c r="J154" s="30"/>
      <c r="K154" s="30"/>
      <c r="L154" s="29"/>
      <c r="M154" s="19"/>
      <c r="N154" s="19"/>
      <c r="O154" s="19"/>
      <c r="P154" s="19"/>
      <c r="Q154" s="19"/>
      <c r="R154" s="19"/>
      <c r="S154" s="19"/>
    </row>
    <row r="155" spans="2:19" x14ac:dyDescent="0.25">
      <c r="B155" s="63"/>
      <c r="C155" s="19"/>
      <c r="D155" s="19"/>
      <c r="E155" s="30"/>
      <c r="F155" s="30"/>
      <c r="G155" s="30"/>
      <c r="H155" s="30"/>
      <c r="I155" s="30"/>
      <c r="J155" s="30"/>
      <c r="K155" s="30"/>
      <c r="L155" s="29"/>
      <c r="M155" s="19"/>
      <c r="N155" s="19"/>
      <c r="O155" s="19"/>
      <c r="P155" s="19"/>
      <c r="Q155" s="19"/>
      <c r="R155" s="19"/>
      <c r="S155" s="19"/>
    </row>
    <row r="156" spans="2:19" x14ac:dyDescent="0.25">
      <c r="B156" s="63"/>
      <c r="C156" s="19"/>
      <c r="D156" s="19"/>
      <c r="E156" s="30"/>
      <c r="F156" s="30"/>
      <c r="G156" s="30"/>
      <c r="H156" s="30"/>
      <c r="I156" s="30"/>
      <c r="J156" s="30"/>
      <c r="K156" s="30"/>
      <c r="L156" s="29"/>
      <c r="M156" s="19"/>
      <c r="N156" s="19"/>
      <c r="O156" s="19"/>
      <c r="P156" s="19"/>
      <c r="Q156" s="19"/>
      <c r="R156" s="19"/>
      <c r="S156" s="19"/>
    </row>
    <row r="157" spans="2:19" x14ac:dyDescent="0.25">
      <c r="B157" s="63"/>
      <c r="C157" s="19"/>
      <c r="D157" s="19"/>
      <c r="E157" s="30"/>
      <c r="F157" s="30"/>
      <c r="G157" s="30"/>
      <c r="H157" s="30"/>
      <c r="I157" s="30"/>
      <c r="J157" s="30"/>
      <c r="K157" s="30"/>
      <c r="L157" s="29"/>
      <c r="M157" s="19"/>
      <c r="N157" s="19"/>
      <c r="O157" s="19"/>
      <c r="P157" s="19"/>
      <c r="Q157" s="19"/>
      <c r="R157" s="19"/>
      <c r="S157" s="19"/>
    </row>
    <row r="158" spans="2:19" x14ac:dyDescent="0.25">
      <c r="B158" s="63"/>
      <c r="C158" s="19"/>
      <c r="D158" s="19"/>
      <c r="E158" s="30"/>
      <c r="F158" s="30"/>
      <c r="G158" s="30"/>
      <c r="H158" s="30"/>
      <c r="I158" s="30"/>
      <c r="J158" s="30"/>
      <c r="K158" s="30"/>
      <c r="L158" s="29"/>
      <c r="M158" s="19"/>
      <c r="N158" s="19"/>
      <c r="O158" s="19"/>
      <c r="P158" s="19"/>
      <c r="Q158" s="19"/>
      <c r="R158" s="19"/>
      <c r="S158" s="19"/>
    </row>
    <row r="159" spans="2:19" x14ac:dyDescent="0.25">
      <c r="B159" s="63"/>
      <c r="C159" s="19"/>
      <c r="D159" s="19"/>
      <c r="E159" s="30"/>
      <c r="F159" s="30"/>
      <c r="G159" s="30"/>
      <c r="H159" s="30"/>
      <c r="I159" s="30"/>
      <c r="J159" s="30"/>
      <c r="K159" s="30"/>
      <c r="L159" s="29"/>
      <c r="M159" s="19"/>
      <c r="N159" s="19"/>
      <c r="O159" s="19"/>
      <c r="P159" s="19"/>
      <c r="Q159" s="19"/>
      <c r="R159" s="19"/>
      <c r="S159" s="19"/>
    </row>
    <row r="160" spans="2:19" x14ac:dyDescent="0.25">
      <c r="B160" s="63"/>
      <c r="C160" s="19"/>
      <c r="D160" s="19"/>
      <c r="E160" s="30"/>
      <c r="F160" s="30"/>
      <c r="G160" s="30"/>
      <c r="H160" s="30"/>
      <c r="I160" s="30"/>
      <c r="J160" s="30"/>
      <c r="K160" s="30"/>
      <c r="L160" s="29"/>
      <c r="M160" s="19"/>
      <c r="N160" s="19"/>
      <c r="O160" s="19"/>
      <c r="P160" s="19"/>
      <c r="Q160" s="19"/>
      <c r="R160" s="19"/>
      <c r="S160" s="19"/>
    </row>
    <row r="161" spans="2:19" x14ac:dyDescent="0.25">
      <c r="B161" s="63"/>
      <c r="C161" s="19"/>
      <c r="D161" s="19"/>
      <c r="E161" s="30"/>
      <c r="F161" s="30"/>
      <c r="G161" s="30"/>
      <c r="H161" s="30"/>
      <c r="I161" s="30"/>
      <c r="J161" s="30"/>
      <c r="K161" s="30"/>
      <c r="L161" s="29"/>
      <c r="M161" s="19"/>
      <c r="N161" s="19"/>
      <c r="O161" s="19"/>
      <c r="P161" s="19"/>
      <c r="Q161" s="19"/>
      <c r="R161" s="19"/>
      <c r="S161" s="19"/>
    </row>
    <row r="162" spans="2:19" x14ac:dyDescent="0.25">
      <c r="B162" s="63"/>
      <c r="C162" s="19"/>
      <c r="D162" s="19"/>
      <c r="E162" s="30"/>
      <c r="F162" s="30"/>
      <c r="G162" s="30"/>
      <c r="H162" s="30"/>
      <c r="I162" s="30"/>
      <c r="J162" s="30"/>
      <c r="K162" s="30"/>
      <c r="L162" s="29"/>
      <c r="M162" s="19"/>
      <c r="N162" s="19"/>
      <c r="O162" s="19"/>
      <c r="P162" s="19"/>
      <c r="Q162" s="19"/>
      <c r="R162" s="19"/>
      <c r="S162" s="19"/>
    </row>
    <row r="163" spans="2:19" x14ac:dyDescent="0.25">
      <c r="B163" s="63"/>
      <c r="C163" s="19"/>
      <c r="D163" s="19"/>
      <c r="E163" s="30"/>
      <c r="F163" s="30"/>
      <c r="G163" s="30"/>
      <c r="H163" s="30"/>
      <c r="I163" s="30"/>
      <c r="J163" s="30"/>
      <c r="K163" s="30"/>
      <c r="L163" s="29"/>
      <c r="M163" s="19"/>
      <c r="N163" s="19"/>
      <c r="O163" s="19"/>
      <c r="P163" s="19"/>
      <c r="Q163" s="19"/>
      <c r="R163" s="19"/>
      <c r="S163" s="19"/>
    </row>
    <row r="164" spans="2:19" x14ac:dyDescent="0.25">
      <c r="B164" s="63"/>
      <c r="C164" s="19"/>
      <c r="D164" s="19"/>
      <c r="E164" s="30"/>
      <c r="F164" s="30"/>
      <c r="G164" s="30"/>
      <c r="H164" s="30"/>
      <c r="I164" s="30"/>
      <c r="J164" s="30"/>
      <c r="K164" s="30"/>
      <c r="L164" s="29"/>
      <c r="M164" s="19"/>
      <c r="N164" s="19"/>
      <c r="O164" s="19"/>
      <c r="P164" s="19"/>
      <c r="Q164" s="19"/>
      <c r="R164" s="19"/>
      <c r="S164" s="19"/>
    </row>
    <row r="165" spans="2:19" x14ac:dyDescent="0.25">
      <c r="B165" s="63"/>
      <c r="C165" s="19"/>
      <c r="D165" s="19"/>
      <c r="E165" s="30"/>
      <c r="F165" s="30"/>
      <c r="G165" s="30"/>
      <c r="H165" s="30"/>
      <c r="I165" s="30"/>
      <c r="J165" s="30"/>
      <c r="K165" s="30"/>
      <c r="L165" s="29"/>
      <c r="M165" s="19"/>
      <c r="N165" s="19"/>
      <c r="O165" s="19"/>
      <c r="P165" s="19"/>
      <c r="Q165" s="19"/>
      <c r="R165" s="19"/>
      <c r="S165" s="19"/>
    </row>
    <row r="166" spans="2:19" x14ac:dyDescent="0.25">
      <c r="B166" s="63"/>
      <c r="C166" s="19"/>
      <c r="D166" s="19"/>
      <c r="E166" s="30"/>
      <c r="F166" s="30"/>
      <c r="G166" s="30"/>
      <c r="H166" s="30"/>
      <c r="I166" s="30"/>
      <c r="J166" s="30"/>
      <c r="K166" s="30"/>
      <c r="L166" s="29"/>
      <c r="M166" s="19"/>
      <c r="N166" s="19"/>
      <c r="O166" s="19"/>
      <c r="P166" s="19"/>
      <c r="Q166" s="19"/>
      <c r="R166" s="19"/>
      <c r="S166" s="19"/>
    </row>
    <row r="167" spans="2:19" x14ac:dyDescent="0.25">
      <c r="B167" s="63"/>
      <c r="C167" s="19"/>
      <c r="D167" s="19"/>
      <c r="E167" s="30"/>
      <c r="F167" s="30"/>
      <c r="G167" s="30"/>
      <c r="H167" s="30"/>
      <c r="I167" s="30"/>
      <c r="J167" s="30"/>
      <c r="K167" s="30"/>
      <c r="L167" s="29"/>
      <c r="M167" s="19"/>
      <c r="N167" s="19"/>
      <c r="O167" s="19"/>
      <c r="P167" s="19"/>
      <c r="Q167" s="19"/>
      <c r="R167" s="19"/>
      <c r="S167" s="19"/>
    </row>
    <row r="168" spans="2:19" x14ac:dyDescent="0.25">
      <c r="B168" s="63"/>
      <c r="C168" s="19"/>
      <c r="D168" s="19"/>
      <c r="E168" s="30"/>
      <c r="F168" s="30"/>
      <c r="G168" s="30"/>
      <c r="H168" s="30"/>
      <c r="I168" s="30"/>
      <c r="J168" s="30"/>
      <c r="K168" s="30"/>
      <c r="L168" s="29"/>
      <c r="M168" s="19"/>
      <c r="N168" s="19"/>
      <c r="O168" s="19"/>
      <c r="P168" s="19"/>
      <c r="Q168" s="19"/>
      <c r="R168" s="19"/>
      <c r="S168" s="19"/>
    </row>
    <row r="169" spans="2:19" x14ac:dyDescent="0.25">
      <c r="B169" s="63"/>
      <c r="C169" s="19"/>
      <c r="D169" s="19"/>
      <c r="E169" s="30"/>
      <c r="F169" s="30"/>
      <c r="G169" s="30"/>
      <c r="H169" s="30"/>
      <c r="I169" s="30"/>
      <c r="J169" s="30"/>
      <c r="K169" s="30"/>
      <c r="L169" s="29"/>
      <c r="M169" s="19"/>
      <c r="N169" s="19"/>
      <c r="O169" s="19"/>
      <c r="P169" s="19"/>
      <c r="Q169" s="19"/>
      <c r="R169" s="19"/>
      <c r="S169" s="19"/>
    </row>
    <row r="170" spans="2:19" x14ac:dyDescent="0.25">
      <c r="B170" s="63"/>
      <c r="C170" s="19"/>
      <c r="D170" s="19"/>
      <c r="E170" s="30"/>
      <c r="F170" s="30"/>
      <c r="G170" s="30"/>
      <c r="H170" s="30"/>
      <c r="I170" s="30"/>
      <c r="J170" s="30"/>
      <c r="K170" s="30"/>
      <c r="L170" s="29"/>
      <c r="M170" s="19"/>
      <c r="N170" s="19"/>
      <c r="O170" s="19"/>
      <c r="P170" s="19"/>
      <c r="Q170" s="19"/>
      <c r="R170" s="19"/>
      <c r="S170" s="19"/>
    </row>
    <row r="171" spans="2:19" x14ac:dyDescent="0.25">
      <c r="B171" s="63"/>
      <c r="C171" s="19"/>
      <c r="D171" s="19"/>
      <c r="E171" s="30"/>
      <c r="F171" s="30"/>
      <c r="G171" s="30"/>
      <c r="H171" s="30"/>
      <c r="I171" s="30"/>
      <c r="J171" s="30"/>
      <c r="K171" s="30"/>
      <c r="L171" s="29"/>
      <c r="M171" s="19"/>
      <c r="N171" s="19"/>
      <c r="O171" s="19"/>
      <c r="P171" s="19"/>
      <c r="Q171" s="19"/>
      <c r="R171" s="19"/>
      <c r="S171" s="19"/>
    </row>
    <row r="172" spans="2:19" x14ac:dyDescent="0.25">
      <c r="B172" s="63"/>
      <c r="C172" s="19"/>
      <c r="D172" s="19"/>
      <c r="E172" s="30"/>
      <c r="F172" s="30"/>
      <c r="G172" s="30"/>
      <c r="H172" s="30"/>
      <c r="I172" s="30"/>
      <c r="J172" s="30"/>
      <c r="K172" s="30"/>
      <c r="L172" s="29"/>
      <c r="M172" s="19"/>
      <c r="N172" s="19"/>
      <c r="O172" s="19"/>
      <c r="P172" s="19"/>
      <c r="Q172" s="19"/>
      <c r="R172" s="19"/>
      <c r="S172" s="19"/>
    </row>
    <row r="173" spans="2:19" x14ac:dyDescent="0.25">
      <c r="B173" s="63"/>
      <c r="C173" s="19"/>
      <c r="D173" s="19"/>
      <c r="E173" s="30"/>
      <c r="F173" s="30"/>
      <c r="G173" s="30"/>
      <c r="H173" s="30"/>
      <c r="I173" s="30"/>
      <c r="J173" s="30"/>
      <c r="K173" s="30"/>
      <c r="L173" s="29"/>
      <c r="M173" s="19"/>
      <c r="N173" s="19"/>
      <c r="O173" s="19"/>
      <c r="P173" s="19"/>
      <c r="Q173" s="19"/>
      <c r="R173" s="19"/>
      <c r="S173" s="19"/>
    </row>
    <row r="174" spans="2:19" x14ac:dyDescent="0.25">
      <c r="B174" s="19"/>
      <c r="C174" s="19"/>
      <c r="D174" s="19"/>
      <c r="E174" s="30"/>
      <c r="F174" s="30"/>
      <c r="G174" s="30"/>
      <c r="H174" s="30"/>
      <c r="I174" s="30"/>
      <c r="J174" s="30"/>
      <c r="K174" s="30"/>
      <c r="L174" s="29"/>
      <c r="M174" s="19"/>
      <c r="N174" s="19"/>
      <c r="O174" s="19"/>
      <c r="P174" s="19"/>
      <c r="Q174" s="19"/>
      <c r="R174" s="19"/>
      <c r="S174" s="19"/>
    </row>
    <row r="175" spans="2:19" x14ac:dyDescent="0.25">
      <c r="B175" s="19"/>
      <c r="C175" s="19"/>
      <c r="D175" s="19"/>
      <c r="E175" s="30"/>
      <c r="F175" s="30"/>
      <c r="G175" s="30"/>
      <c r="H175" s="30"/>
      <c r="I175" s="30"/>
      <c r="J175" s="30"/>
      <c r="K175" s="30"/>
      <c r="L175" s="29"/>
      <c r="M175" s="19"/>
      <c r="N175" s="19"/>
      <c r="O175" s="19"/>
      <c r="P175" s="19"/>
      <c r="Q175" s="19"/>
      <c r="R175" s="19"/>
      <c r="S175" s="19"/>
    </row>
    <row r="176" spans="2:19" x14ac:dyDescent="0.25">
      <c r="B176" s="19"/>
      <c r="C176" s="19"/>
      <c r="D176" s="19"/>
      <c r="E176" s="30"/>
      <c r="F176" s="30"/>
      <c r="G176" s="30"/>
      <c r="H176" s="30"/>
      <c r="I176" s="30"/>
      <c r="J176" s="30"/>
      <c r="K176" s="30"/>
      <c r="L176" s="29"/>
      <c r="M176" s="19"/>
      <c r="N176" s="19"/>
      <c r="O176" s="19"/>
      <c r="P176" s="19"/>
      <c r="Q176" s="19"/>
      <c r="R176" s="19"/>
      <c r="S176" s="19"/>
    </row>
    <row r="177" spans="2:19" x14ac:dyDescent="0.25">
      <c r="B177" s="19"/>
      <c r="C177" s="19"/>
      <c r="D177" s="19"/>
      <c r="E177" s="30"/>
      <c r="F177" s="30"/>
      <c r="G177" s="30"/>
      <c r="H177" s="30"/>
      <c r="I177" s="30"/>
      <c r="J177" s="30"/>
      <c r="K177" s="30"/>
      <c r="L177" s="29"/>
      <c r="M177" s="19"/>
      <c r="N177" s="19"/>
      <c r="O177" s="19"/>
      <c r="P177" s="19"/>
      <c r="Q177" s="19"/>
      <c r="R177" s="19"/>
      <c r="S177" s="19"/>
    </row>
    <row r="178" spans="2:19" x14ac:dyDescent="0.25">
      <c r="B178" s="19"/>
      <c r="C178" s="19"/>
      <c r="D178" s="19"/>
      <c r="E178" s="30"/>
      <c r="F178" s="30"/>
      <c r="G178" s="30"/>
      <c r="H178" s="30"/>
      <c r="I178" s="30"/>
      <c r="J178" s="30"/>
      <c r="K178" s="30"/>
      <c r="L178" s="29"/>
      <c r="M178" s="19"/>
      <c r="N178" s="19"/>
      <c r="O178" s="19"/>
      <c r="P178" s="19"/>
      <c r="Q178" s="19"/>
      <c r="R178" s="19"/>
      <c r="S178" s="19"/>
    </row>
    <row r="179" spans="2:19" x14ac:dyDescent="0.25">
      <c r="B179" s="19"/>
      <c r="C179" s="19"/>
      <c r="D179" s="19"/>
      <c r="E179" s="30"/>
      <c r="F179" s="30"/>
      <c r="G179" s="30"/>
      <c r="H179" s="30"/>
      <c r="I179" s="30"/>
      <c r="J179" s="30"/>
      <c r="K179" s="30"/>
      <c r="L179" s="29"/>
      <c r="M179" s="19"/>
      <c r="N179" s="19"/>
      <c r="O179" s="19"/>
      <c r="P179" s="19"/>
      <c r="Q179" s="19"/>
      <c r="R179" s="19"/>
      <c r="S179" s="19"/>
    </row>
    <row r="180" spans="2:19" x14ac:dyDescent="0.25">
      <c r="B180" s="19"/>
      <c r="C180" s="19"/>
      <c r="D180" s="19"/>
      <c r="E180" s="30"/>
      <c r="F180" s="30"/>
      <c r="G180" s="30"/>
      <c r="H180" s="30"/>
      <c r="I180" s="30"/>
      <c r="J180" s="30"/>
      <c r="K180" s="30"/>
      <c r="L180" s="29"/>
      <c r="M180" s="19"/>
      <c r="N180" s="19"/>
      <c r="O180" s="19"/>
      <c r="P180" s="19"/>
      <c r="Q180" s="19"/>
      <c r="R180" s="19"/>
      <c r="S180" s="19"/>
    </row>
    <row r="181" spans="2:19" x14ac:dyDescent="0.25">
      <c r="B181" s="19"/>
      <c r="C181" s="19"/>
      <c r="D181" s="19"/>
      <c r="E181" s="30"/>
      <c r="F181" s="30"/>
      <c r="G181" s="30"/>
      <c r="H181" s="30"/>
      <c r="I181" s="30"/>
      <c r="J181" s="30"/>
      <c r="K181" s="30"/>
      <c r="L181" s="29"/>
      <c r="M181" s="19"/>
      <c r="N181" s="19"/>
      <c r="O181" s="19"/>
      <c r="P181" s="19"/>
      <c r="Q181" s="19"/>
      <c r="R181" s="19"/>
      <c r="S181" s="19"/>
    </row>
    <row r="182" spans="2:19" x14ac:dyDescent="0.25">
      <c r="B182" s="19"/>
      <c r="C182" s="19"/>
      <c r="D182" s="19"/>
      <c r="E182" s="30"/>
      <c r="F182" s="30"/>
      <c r="G182" s="30"/>
      <c r="H182" s="30"/>
      <c r="I182" s="30"/>
      <c r="J182" s="30"/>
      <c r="K182" s="30"/>
      <c r="L182" s="29"/>
      <c r="M182" s="19"/>
      <c r="N182" s="19"/>
      <c r="O182" s="19"/>
      <c r="P182" s="19"/>
      <c r="Q182" s="19"/>
      <c r="R182" s="19"/>
      <c r="S182" s="19"/>
    </row>
    <row r="183" spans="2:19" x14ac:dyDescent="0.25">
      <c r="B183" s="19"/>
      <c r="C183" s="19"/>
      <c r="D183" s="19"/>
      <c r="E183" s="30"/>
      <c r="F183" s="30"/>
      <c r="G183" s="30"/>
      <c r="H183" s="30"/>
      <c r="I183" s="30"/>
      <c r="J183" s="30"/>
      <c r="K183" s="30"/>
      <c r="L183" s="29"/>
      <c r="M183" s="19"/>
      <c r="N183" s="19"/>
      <c r="O183" s="19"/>
      <c r="P183" s="19"/>
      <c r="Q183" s="19"/>
      <c r="R183" s="19"/>
      <c r="S183" s="19"/>
    </row>
    <row r="184" spans="2:19" x14ac:dyDescent="0.25">
      <c r="B184" s="19"/>
      <c r="C184" s="19"/>
      <c r="D184" s="19"/>
      <c r="E184" s="30"/>
      <c r="F184" s="30"/>
      <c r="G184" s="30"/>
      <c r="H184" s="30"/>
      <c r="I184" s="30"/>
      <c r="J184" s="30"/>
      <c r="K184" s="30"/>
      <c r="L184" s="29"/>
      <c r="M184" s="19"/>
      <c r="N184" s="19"/>
      <c r="O184" s="19"/>
      <c r="P184" s="19"/>
      <c r="Q184" s="19"/>
      <c r="R184" s="19"/>
      <c r="S184" s="19"/>
    </row>
    <row r="185" spans="2:19" x14ac:dyDescent="0.25">
      <c r="B185" s="19"/>
      <c r="C185" s="19"/>
      <c r="D185" s="19"/>
      <c r="E185" s="30"/>
      <c r="F185" s="30"/>
      <c r="G185" s="30"/>
      <c r="H185" s="30"/>
      <c r="I185" s="30"/>
      <c r="J185" s="30"/>
      <c r="K185" s="30"/>
      <c r="L185" s="29"/>
      <c r="M185" s="19"/>
      <c r="N185" s="19"/>
      <c r="O185" s="19"/>
      <c r="P185" s="19"/>
      <c r="Q185" s="19"/>
      <c r="R185" s="19"/>
      <c r="S185" s="19"/>
    </row>
    <row r="186" spans="2:19" x14ac:dyDescent="0.25">
      <c r="B186" s="19"/>
      <c r="C186" s="19"/>
      <c r="D186" s="19"/>
      <c r="E186" s="30"/>
      <c r="F186" s="30"/>
      <c r="G186" s="30"/>
      <c r="H186" s="30"/>
      <c r="I186" s="30"/>
      <c r="J186" s="30"/>
      <c r="K186" s="30"/>
      <c r="L186" s="29"/>
      <c r="M186" s="19"/>
      <c r="N186" s="19"/>
      <c r="O186" s="19"/>
      <c r="P186" s="19"/>
      <c r="Q186" s="19"/>
      <c r="R186" s="19"/>
      <c r="S186" s="19"/>
    </row>
    <row r="187" spans="2:19" x14ac:dyDescent="0.25">
      <c r="B187" s="19"/>
      <c r="C187" s="19"/>
      <c r="D187" s="19"/>
      <c r="E187" s="30"/>
      <c r="F187" s="30"/>
      <c r="G187" s="30"/>
      <c r="H187" s="30"/>
      <c r="I187" s="30"/>
      <c r="J187" s="30"/>
      <c r="K187" s="30"/>
      <c r="L187" s="29"/>
      <c r="M187" s="19"/>
      <c r="N187" s="19"/>
      <c r="O187" s="19"/>
      <c r="P187" s="19"/>
      <c r="Q187" s="19"/>
      <c r="R187" s="19"/>
      <c r="S187" s="19"/>
    </row>
    <row r="188" spans="2:19" x14ac:dyDescent="0.25">
      <c r="B188" s="19"/>
      <c r="C188" s="19"/>
      <c r="D188" s="19"/>
      <c r="E188" s="30"/>
      <c r="F188" s="30"/>
      <c r="G188" s="30"/>
      <c r="H188" s="30"/>
      <c r="I188" s="30"/>
      <c r="J188" s="30"/>
      <c r="K188" s="30"/>
      <c r="L188" s="29"/>
      <c r="M188" s="19"/>
      <c r="N188" s="19"/>
      <c r="O188" s="19"/>
      <c r="P188" s="19"/>
      <c r="Q188" s="19"/>
      <c r="R188" s="19"/>
      <c r="S188" s="19"/>
    </row>
    <row r="189" spans="2:19" x14ac:dyDescent="0.25">
      <c r="B189" s="19"/>
      <c r="C189" s="19"/>
      <c r="D189" s="19"/>
      <c r="E189" s="30"/>
      <c r="F189" s="30"/>
      <c r="G189" s="30"/>
      <c r="H189" s="30"/>
      <c r="I189" s="30"/>
      <c r="J189" s="30"/>
      <c r="K189" s="30"/>
      <c r="L189" s="29"/>
      <c r="M189" s="19"/>
      <c r="N189" s="19"/>
      <c r="O189" s="19"/>
      <c r="P189" s="19"/>
      <c r="Q189" s="19"/>
      <c r="R189" s="19"/>
      <c r="S189" s="19"/>
    </row>
    <row r="190" spans="2:19" x14ac:dyDescent="0.25">
      <c r="B190" s="19"/>
      <c r="C190" s="19"/>
      <c r="D190" s="19"/>
      <c r="E190" s="30"/>
      <c r="F190" s="30"/>
      <c r="G190" s="30"/>
      <c r="H190" s="30"/>
      <c r="I190" s="30"/>
      <c r="J190" s="30"/>
      <c r="K190" s="30"/>
      <c r="L190" s="29"/>
      <c r="M190" s="19"/>
      <c r="N190" s="19"/>
      <c r="O190" s="19"/>
      <c r="P190" s="19"/>
      <c r="Q190" s="19"/>
      <c r="R190" s="19"/>
      <c r="S190" s="19"/>
    </row>
    <row r="191" spans="2:19" x14ac:dyDescent="0.25">
      <c r="B191" s="19"/>
      <c r="C191" s="19"/>
      <c r="D191" s="19"/>
      <c r="E191" s="30"/>
      <c r="F191" s="30"/>
      <c r="G191" s="30"/>
      <c r="H191" s="30"/>
      <c r="I191" s="30"/>
      <c r="J191" s="30"/>
      <c r="K191" s="30"/>
      <c r="L191" s="29"/>
      <c r="M191" s="19"/>
      <c r="N191" s="19"/>
      <c r="O191" s="19"/>
      <c r="P191" s="19"/>
      <c r="Q191" s="19"/>
      <c r="R191" s="19"/>
      <c r="S191" s="19"/>
    </row>
    <row r="192" spans="2:19" x14ac:dyDescent="0.25">
      <c r="B192" s="19"/>
      <c r="C192" s="19"/>
      <c r="D192" s="19"/>
      <c r="E192" s="30"/>
      <c r="F192" s="30"/>
      <c r="G192" s="30"/>
      <c r="H192" s="30"/>
      <c r="I192" s="30"/>
      <c r="J192" s="30"/>
      <c r="K192" s="30"/>
      <c r="L192" s="29"/>
      <c r="M192" s="19"/>
      <c r="N192" s="19"/>
      <c r="O192" s="19"/>
      <c r="P192" s="19"/>
      <c r="Q192" s="19"/>
      <c r="R192" s="19"/>
      <c r="S192" s="19"/>
    </row>
    <row r="193" spans="2:19" x14ac:dyDescent="0.25">
      <c r="B193" s="19"/>
      <c r="C193" s="19"/>
      <c r="D193" s="19"/>
      <c r="E193" s="30"/>
      <c r="F193" s="30"/>
      <c r="G193" s="30"/>
      <c r="H193" s="30"/>
      <c r="I193" s="30"/>
      <c r="J193" s="30"/>
      <c r="K193" s="30"/>
      <c r="L193" s="29"/>
      <c r="M193" s="19"/>
      <c r="N193" s="19"/>
      <c r="O193" s="19"/>
      <c r="P193" s="19"/>
      <c r="Q193" s="19"/>
      <c r="R193" s="19"/>
      <c r="S193" s="19"/>
    </row>
    <row r="194" spans="2:19" x14ac:dyDescent="0.25">
      <c r="B194" s="19"/>
      <c r="C194" s="19"/>
      <c r="D194" s="19"/>
      <c r="E194" s="30"/>
      <c r="F194" s="30"/>
      <c r="G194" s="30"/>
      <c r="H194" s="30"/>
      <c r="I194" s="30"/>
      <c r="J194" s="30"/>
      <c r="K194" s="30"/>
      <c r="L194" s="29"/>
      <c r="M194" s="19"/>
      <c r="N194" s="19"/>
      <c r="O194" s="19"/>
      <c r="P194" s="19"/>
      <c r="Q194" s="19"/>
      <c r="R194" s="19"/>
      <c r="S194" s="19"/>
    </row>
    <row r="195" spans="2:19" x14ac:dyDescent="0.25">
      <c r="B195" s="19"/>
      <c r="C195" s="19"/>
      <c r="D195" s="19"/>
      <c r="E195" s="30"/>
      <c r="F195" s="30"/>
      <c r="G195" s="30"/>
      <c r="H195" s="30"/>
      <c r="I195" s="30"/>
      <c r="J195" s="30"/>
      <c r="K195" s="30"/>
      <c r="L195" s="29"/>
      <c r="M195" s="19"/>
      <c r="N195" s="19"/>
      <c r="O195" s="19"/>
      <c r="P195" s="19"/>
      <c r="Q195" s="19"/>
      <c r="R195" s="19"/>
      <c r="S195" s="19"/>
    </row>
    <row r="196" spans="2:19" x14ac:dyDescent="0.25">
      <c r="B196" s="19"/>
      <c r="C196" s="19"/>
      <c r="D196" s="19"/>
      <c r="E196" s="30"/>
      <c r="F196" s="30"/>
      <c r="G196" s="30"/>
      <c r="H196" s="30"/>
      <c r="I196" s="30"/>
      <c r="J196" s="30"/>
      <c r="K196" s="30"/>
      <c r="L196" s="29"/>
      <c r="M196" s="19"/>
      <c r="N196" s="19"/>
      <c r="O196" s="19"/>
      <c r="P196" s="19"/>
      <c r="Q196" s="19"/>
      <c r="R196" s="19"/>
      <c r="S196" s="19"/>
    </row>
    <row r="197" spans="2:19" x14ac:dyDescent="0.25">
      <c r="B197" s="19"/>
      <c r="C197" s="19"/>
      <c r="D197" s="19"/>
      <c r="E197" s="30"/>
      <c r="F197" s="30"/>
      <c r="G197" s="30"/>
      <c r="H197" s="30"/>
      <c r="I197" s="30"/>
      <c r="J197" s="30"/>
      <c r="K197" s="30"/>
      <c r="L197" s="29"/>
      <c r="M197" s="19"/>
      <c r="N197" s="19"/>
      <c r="O197" s="19"/>
      <c r="P197" s="19"/>
      <c r="Q197" s="19"/>
      <c r="R197" s="19"/>
      <c r="S197" s="19"/>
    </row>
    <row r="198" spans="2:19" x14ac:dyDescent="0.25">
      <c r="B198" s="19"/>
      <c r="C198" s="19"/>
      <c r="D198" s="19"/>
      <c r="E198" s="30"/>
      <c r="F198" s="30"/>
      <c r="G198" s="30"/>
      <c r="H198" s="30"/>
      <c r="I198" s="30"/>
      <c r="J198" s="30"/>
      <c r="K198" s="30"/>
      <c r="L198" s="29"/>
      <c r="M198" s="19"/>
      <c r="N198" s="19"/>
      <c r="O198" s="19"/>
      <c r="P198" s="19"/>
      <c r="Q198" s="19"/>
      <c r="R198" s="19"/>
      <c r="S198" s="19"/>
    </row>
    <row r="199" spans="2:19" x14ac:dyDescent="0.25">
      <c r="B199" s="19"/>
      <c r="C199" s="19"/>
      <c r="D199" s="19"/>
      <c r="E199" s="30"/>
      <c r="F199" s="30"/>
      <c r="G199" s="30"/>
      <c r="H199" s="30"/>
      <c r="I199" s="30"/>
      <c r="J199" s="30"/>
      <c r="K199" s="30"/>
      <c r="L199" s="29"/>
      <c r="M199" s="19"/>
      <c r="N199" s="19"/>
      <c r="O199" s="19"/>
      <c r="P199" s="19"/>
      <c r="Q199" s="19"/>
      <c r="R199" s="19"/>
      <c r="S199" s="19"/>
    </row>
    <row r="200" spans="2:19" x14ac:dyDescent="0.25">
      <c r="B200" s="19"/>
      <c r="C200" s="19"/>
      <c r="D200" s="19"/>
      <c r="E200" s="30"/>
      <c r="F200" s="30"/>
      <c r="G200" s="30"/>
      <c r="H200" s="30"/>
      <c r="I200" s="30"/>
      <c r="J200" s="30"/>
      <c r="K200" s="30"/>
      <c r="L200" s="29"/>
      <c r="M200" s="19"/>
      <c r="N200" s="19"/>
      <c r="O200" s="19"/>
      <c r="P200" s="19"/>
      <c r="Q200" s="19"/>
      <c r="R200" s="19"/>
      <c r="S200" s="19"/>
    </row>
    <row r="201" spans="2:19" x14ac:dyDescent="0.25">
      <c r="B201" s="19"/>
      <c r="C201" s="19"/>
      <c r="D201" s="19"/>
      <c r="E201" s="30"/>
      <c r="F201" s="30"/>
      <c r="G201" s="30"/>
      <c r="H201" s="30"/>
      <c r="I201" s="30"/>
      <c r="J201" s="30"/>
      <c r="K201" s="30"/>
      <c r="L201" s="29"/>
      <c r="M201" s="19"/>
      <c r="N201" s="19"/>
      <c r="O201" s="19"/>
      <c r="P201" s="19"/>
      <c r="Q201" s="19"/>
      <c r="R201" s="19"/>
      <c r="S201" s="19"/>
    </row>
    <row r="202" spans="2:19" x14ac:dyDescent="0.25">
      <c r="B202" s="19"/>
      <c r="C202" s="19"/>
      <c r="D202" s="19"/>
      <c r="E202" s="30"/>
      <c r="F202" s="30"/>
      <c r="G202" s="30"/>
      <c r="H202" s="30"/>
      <c r="I202" s="30"/>
      <c r="J202" s="30"/>
      <c r="K202" s="30"/>
      <c r="L202" s="29"/>
      <c r="M202" s="19"/>
      <c r="N202" s="19"/>
      <c r="O202" s="19"/>
      <c r="P202" s="19"/>
      <c r="Q202" s="19"/>
      <c r="R202" s="19"/>
      <c r="S202" s="19"/>
    </row>
    <row r="203" spans="2:19" x14ac:dyDescent="0.25">
      <c r="B203" s="19"/>
      <c r="C203" s="19"/>
      <c r="D203" s="19"/>
      <c r="E203" s="30"/>
      <c r="F203" s="30"/>
      <c r="G203" s="30"/>
      <c r="H203" s="30"/>
      <c r="I203" s="30"/>
      <c r="J203" s="30"/>
      <c r="K203" s="30"/>
      <c r="L203" s="29"/>
      <c r="M203" s="19"/>
      <c r="N203" s="19"/>
      <c r="O203" s="19"/>
      <c r="P203" s="19"/>
      <c r="Q203" s="19"/>
      <c r="R203" s="19"/>
      <c r="S203" s="19"/>
    </row>
    <row r="204" spans="2:19" x14ac:dyDescent="0.25">
      <c r="B204" s="19"/>
      <c r="C204" s="19"/>
      <c r="D204" s="19"/>
      <c r="E204" s="30"/>
      <c r="F204" s="30"/>
      <c r="G204" s="30"/>
      <c r="H204" s="30"/>
      <c r="I204" s="30"/>
      <c r="J204" s="30"/>
      <c r="K204" s="30"/>
      <c r="L204" s="29"/>
      <c r="M204" s="19"/>
      <c r="N204" s="19"/>
      <c r="O204" s="19"/>
      <c r="P204" s="19"/>
      <c r="Q204" s="19"/>
      <c r="R204" s="19"/>
      <c r="S204" s="19"/>
    </row>
    <row r="205" spans="2:19" x14ac:dyDescent="0.25">
      <c r="B205" s="19"/>
      <c r="C205" s="19"/>
      <c r="D205" s="19"/>
      <c r="E205" s="30"/>
      <c r="F205" s="30"/>
      <c r="G205" s="30"/>
      <c r="H205" s="30"/>
      <c r="I205" s="30"/>
      <c r="J205" s="30"/>
      <c r="K205" s="30"/>
      <c r="L205" s="29"/>
      <c r="M205" s="19"/>
      <c r="N205" s="19"/>
      <c r="O205" s="19"/>
      <c r="P205" s="19"/>
      <c r="Q205" s="19"/>
      <c r="R205" s="19"/>
      <c r="S205" s="19"/>
    </row>
    <row r="206" spans="2:19" x14ac:dyDescent="0.25">
      <c r="B206" s="19"/>
      <c r="C206" s="19"/>
      <c r="D206" s="19"/>
      <c r="E206" s="30"/>
      <c r="F206" s="30"/>
      <c r="G206" s="30"/>
      <c r="H206" s="30"/>
      <c r="I206" s="30"/>
      <c r="J206" s="30"/>
      <c r="K206" s="30"/>
      <c r="L206" s="29"/>
      <c r="M206" s="19"/>
      <c r="N206" s="19"/>
      <c r="O206" s="19"/>
      <c r="P206" s="19"/>
      <c r="Q206" s="19"/>
      <c r="R206" s="19"/>
      <c r="S206" s="19"/>
    </row>
    <row r="207" spans="2:19" x14ac:dyDescent="0.25">
      <c r="B207" s="19"/>
      <c r="C207" s="19"/>
      <c r="D207" s="19"/>
      <c r="E207" s="30"/>
      <c r="F207" s="30"/>
      <c r="G207" s="30"/>
      <c r="H207" s="30"/>
      <c r="I207" s="30"/>
      <c r="J207" s="30"/>
      <c r="K207" s="30"/>
      <c r="L207" s="29"/>
      <c r="M207" s="19"/>
      <c r="N207" s="19"/>
      <c r="O207" s="19"/>
      <c r="P207" s="19"/>
      <c r="Q207" s="19"/>
      <c r="R207" s="19"/>
      <c r="S207" s="19"/>
    </row>
    <row r="208" spans="2:19" x14ac:dyDescent="0.25">
      <c r="B208" s="19"/>
      <c r="C208" s="19"/>
      <c r="D208" s="19"/>
      <c r="E208" s="30"/>
      <c r="F208" s="30"/>
      <c r="G208" s="30"/>
      <c r="H208" s="30"/>
      <c r="I208" s="30"/>
      <c r="J208" s="30"/>
      <c r="K208" s="30"/>
      <c r="L208" s="29"/>
      <c r="M208" s="19"/>
      <c r="N208" s="19"/>
      <c r="O208" s="19"/>
      <c r="P208" s="19"/>
      <c r="Q208" s="19"/>
      <c r="R208" s="19"/>
      <c r="S208" s="19"/>
    </row>
    <row r="209" spans="2:19" x14ac:dyDescent="0.25">
      <c r="B209" s="19"/>
      <c r="C209" s="19"/>
      <c r="D209" s="19"/>
      <c r="E209" s="30"/>
      <c r="F209" s="30"/>
      <c r="G209" s="30"/>
      <c r="H209" s="30"/>
      <c r="I209" s="30"/>
      <c r="J209" s="30"/>
      <c r="K209" s="30"/>
      <c r="L209" s="29"/>
      <c r="M209" s="19"/>
      <c r="N209" s="19"/>
      <c r="O209" s="19"/>
      <c r="P209" s="19"/>
      <c r="Q209" s="19"/>
      <c r="R209" s="19"/>
      <c r="S209" s="19"/>
    </row>
    <row r="210" spans="2:19" x14ac:dyDescent="0.25">
      <c r="B210" s="19"/>
      <c r="C210" s="19"/>
      <c r="D210" s="19"/>
      <c r="E210" s="30"/>
      <c r="F210" s="30"/>
      <c r="G210" s="30"/>
      <c r="H210" s="30"/>
      <c r="I210" s="30"/>
      <c r="J210" s="30"/>
      <c r="K210" s="30"/>
      <c r="L210" s="29"/>
      <c r="M210" s="19"/>
      <c r="N210" s="19"/>
      <c r="O210" s="19"/>
      <c r="P210" s="19"/>
      <c r="Q210" s="19"/>
      <c r="R210" s="19"/>
      <c r="S210" s="19"/>
    </row>
    <row r="211" spans="2:19" x14ac:dyDescent="0.25">
      <c r="B211" s="19"/>
      <c r="C211" s="19"/>
      <c r="D211" s="19"/>
      <c r="E211" s="30"/>
      <c r="F211" s="30"/>
      <c r="G211" s="30"/>
      <c r="H211" s="30"/>
      <c r="I211" s="30"/>
      <c r="J211" s="30"/>
      <c r="K211" s="30"/>
      <c r="L211" s="29"/>
      <c r="M211" s="19"/>
      <c r="N211" s="19"/>
      <c r="O211" s="19"/>
      <c r="P211" s="19"/>
      <c r="Q211" s="19"/>
      <c r="R211" s="19"/>
      <c r="S211" s="19"/>
    </row>
    <row r="212" spans="2:19" x14ac:dyDescent="0.25">
      <c r="B212" s="19"/>
      <c r="C212" s="19"/>
      <c r="D212" s="19"/>
      <c r="E212" s="30"/>
      <c r="F212" s="30"/>
      <c r="G212" s="30"/>
      <c r="H212" s="30"/>
      <c r="I212" s="30"/>
      <c r="J212" s="30"/>
      <c r="K212" s="30"/>
      <c r="L212" s="29"/>
      <c r="M212" s="19"/>
      <c r="N212" s="19"/>
      <c r="O212" s="19"/>
      <c r="P212" s="19"/>
      <c r="Q212" s="19"/>
      <c r="R212" s="19"/>
      <c r="S212" s="19"/>
    </row>
    <row r="213" spans="2:19" x14ac:dyDescent="0.25">
      <c r="B213" s="19"/>
      <c r="C213" s="19"/>
      <c r="D213" s="19"/>
      <c r="E213" s="30"/>
      <c r="F213" s="30"/>
      <c r="G213" s="30"/>
      <c r="H213" s="30"/>
      <c r="I213" s="30"/>
      <c r="J213" s="30"/>
      <c r="K213" s="30"/>
      <c r="L213" s="29"/>
      <c r="M213" s="19"/>
      <c r="N213" s="19"/>
      <c r="O213" s="19"/>
      <c r="P213" s="19"/>
      <c r="Q213" s="19"/>
      <c r="R213" s="19"/>
      <c r="S213" s="19"/>
    </row>
    <row r="214" spans="2:19" x14ac:dyDescent="0.25">
      <c r="B214" s="19"/>
      <c r="C214" s="19"/>
      <c r="D214" s="19"/>
      <c r="E214" s="30"/>
      <c r="F214" s="30"/>
      <c r="G214" s="30"/>
      <c r="H214" s="30"/>
      <c r="I214" s="30"/>
      <c r="J214" s="30"/>
      <c r="K214" s="30"/>
      <c r="L214" s="29"/>
      <c r="M214" s="19"/>
      <c r="N214" s="19"/>
      <c r="O214" s="19"/>
      <c r="P214" s="19"/>
      <c r="Q214" s="19"/>
      <c r="R214" s="19"/>
      <c r="S214" s="19"/>
    </row>
    <row r="215" spans="2:19" x14ac:dyDescent="0.25">
      <c r="B215" s="19"/>
      <c r="C215" s="19"/>
      <c r="D215" s="19"/>
      <c r="E215" s="30"/>
      <c r="F215" s="30"/>
      <c r="G215" s="30"/>
      <c r="H215" s="30"/>
      <c r="I215" s="30"/>
      <c r="J215" s="30"/>
      <c r="K215" s="30"/>
      <c r="L215" s="29"/>
      <c r="M215" s="19"/>
      <c r="N215" s="19"/>
      <c r="O215" s="19"/>
      <c r="P215" s="19"/>
      <c r="Q215" s="19"/>
      <c r="R215" s="19"/>
      <c r="S215" s="19"/>
    </row>
    <row r="216" spans="2:19" x14ac:dyDescent="0.25">
      <c r="B216" s="19"/>
      <c r="C216" s="19"/>
      <c r="D216" s="19"/>
      <c r="E216" s="30"/>
      <c r="F216" s="30"/>
      <c r="G216" s="30"/>
      <c r="H216" s="30"/>
      <c r="I216" s="30"/>
      <c r="J216" s="30"/>
      <c r="K216" s="30"/>
      <c r="L216" s="29"/>
      <c r="M216" s="19"/>
      <c r="N216" s="19"/>
      <c r="O216" s="19"/>
      <c r="P216" s="19"/>
      <c r="Q216" s="19"/>
      <c r="R216" s="19"/>
      <c r="S216" s="19"/>
    </row>
    <row r="217" spans="2:19" x14ac:dyDescent="0.25">
      <c r="B217" s="19"/>
      <c r="C217" s="19"/>
      <c r="D217" s="19"/>
      <c r="E217" s="30"/>
      <c r="F217" s="30"/>
      <c r="G217" s="30"/>
      <c r="H217" s="30"/>
      <c r="I217" s="30"/>
      <c r="J217" s="30"/>
      <c r="K217" s="30"/>
      <c r="L217" s="29"/>
      <c r="M217" s="19"/>
      <c r="N217" s="19"/>
      <c r="O217" s="19"/>
      <c r="P217" s="19"/>
      <c r="Q217" s="19"/>
      <c r="R217" s="19"/>
      <c r="S217" s="19"/>
    </row>
    <row r="218" spans="2:19" x14ac:dyDescent="0.25">
      <c r="B218" s="19"/>
      <c r="C218" s="19"/>
      <c r="D218" s="19"/>
      <c r="E218" s="30"/>
      <c r="F218" s="30"/>
      <c r="G218" s="30"/>
      <c r="H218" s="30"/>
      <c r="I218" s="30"/>
      <c r="J218" s="30"/>
      <c r="K218" s="30"/>
      <c r="L218" s="29"/>
      <c r="M218" s="19"/>
      <c r="N218" s="19"/>
      <c r="O218" s="19"/>
      <c r="P218" s="19"/>
      <c r="Q218" s="19"/>
      <c r="R218" s="19"/>
      <c r="S218" s="19"/>
    </row>
    <row r="219" spans="2:19" x14ac:dyDescent="0.25">
      <c r="B219" s="19"/>
      <c r="C219" s="19"/>
      <c r="D219" s="19"/>
      <c r="E219" s="30"/>
      <c r="F219" s="30"/>
      <c r="G219" s="30"/>
      <c r="H219" s="30"/>
      <c r="I219" s="30"/>
      <c r="J219" s="30"/>
      <c r="K219" s="30"/>
      <c r="L219" s="29"/>
      <c r="M219" s="19"/>
      <c r="N219" s="19"/>
      <c r="O219" s="19"/>
      <c r="P219" s="19"/>
      <c r="Q219" s="19"/>
      <c r="R219" s="19"/>
      <c r="S219" s="19"/>
    </row>
    <row r="220" spans="2:19" x14ac:dyDescent="0.25">
      <c r="B220" s="19"/>
      <c r="C220" s="19"/>
      <c r="D220" s="19"/>
      <c r="E220" s="30"/>
      <c r="F220" s="30"/>
      <c r="G220" s="30"/>
      <c r="H220" s="30"/>
      <c r="I220" s="30"/>
      <c r="J220" s="30"/>
      <c r="K220" s="30"/>
      <c r="L220" s="29"/>
      <c r="M220" s="19"/>
      <c r="N220" s="19"/>
      <c r="O220" s="19"/>
      <c r="P220" s="19"/>
      <c r="Q220" s="19"/>
      <c r="R220" s="19"/>
      <c r="S220" s="19"/>
    </row>
    <row r="221" spans="2:19" x14ac:dyDescent="0.25">
      <c r="B221" s="19"/>
      <c r="C221" s="19"/>
      <c r="D221" s="19"/>
      <c r="E221" s="30"/>
      <c r="F221" s="30"/>
      <c r="G221" s="30"/>
      <c r="H221" s="30"/>
      <c r="I221" s="30"/>
      <c r="J221" s="30"/>
      <c r="K221" s="30"/>
      <c r="L221" s="29"/>
      <c r="M221" s="19"/>
      <c r="N221" s="19"/>
      <c r="O221" s="19"/>
      <c r="P221" s="19"/>
      <c r="Q221" s="19"/>
      <c r="R221" s="19"/>
      <c r="S221" s="19"/>
    </row>
    <row r="222" spans="2:19" x14ac:dyDescent="0.25">
      <c r="B222" s="19"/>
      <c r="C222" s="19"/>
      <c r="D222" s="19"/>
      <c r="E222" s="30"/>
      <c r="F222" s="30"/>
      <c r="G222" s="30"/>
      <c r="H222" s="30"/>
      <c r="I222" s="30"/>
      <c r="J222" s="30"/>
      <c r="K222" s="30"/>
      <c r="L222" s="29"/>
      <c r="M222" s="19"/>
      <c r="N222" s="19"/>
      <c r="O222" s="19"/>
      <c r="P222" s="19"/>
      <c r="Q222" s="19"/>
      <c r="R222" s="19"/>
      <c r="S222" s="19"/>
    </row>
    <row r="223" spans="2:19" x14ac:dyDescent="0.25">
      <c r="B223" s="19"/>
      <c r="C223" s="19"/>
      <c r="D223" s="19"/>
      <c r="E223" s="30"/>
      <c r="F223" s="30"/>
      <c r="G223" s="30"/>
      <c r="H223" s="30"/>
      <c r="I223" s="30"/>
      <c r="J223" s="30"/>
      <c r="K223" s="30"/>
      <c r="L223" s="29"/>
      <c r="M223" s="19"/>
      <c r="N223" s="19"/>
      <c r="O223" s="19"/>
      <c r="P223" s="19"/>
      <c r="Q223" s="19"/>
      <c r="R223" s="19"/>
      <c r="S223" s="19"/>
    </row>
    <row r="224" spans="2:19" x14ac:dyDescent="0.25">
      <c r="B224" s="19"/>
      <c r="C224" s="19"/>
      <c r="D224" s="19"/>
      <c r="E224" s="30"/>
      <c r="F224" s="30"/>
      <c r="G224" s="30"/>
      <c r="H224" s="30"/>
      <c r="I224" s="30"/>
      <c r="J224" s="30"/>
      <c r="K224" s="30"/>
      <c r="L224" s="29"/>
      <c r="M224" s="19"/>
      <c r="N224" s="19"/>
      <c r="O224" s="19"/>
      <c r="P224" s="19"/>
      <c r="Q224" s="19"/>
      <c r="R224" s="19"/>
      <c r="S224" s="19"/>
    </row>
    <row r="225" spans="2:19" x14ac:dyDescent="0.25">
      <c r="B225" s="19"/>
      <c r="C225" s="19"/>
      <c r="D225" s="19"/>
      <c r="E225" s="30"/>
      <c r="F225" s="30"/>
      <c r="G225" s="30"/>
      <c r="H225" s="30"/>
      <c r="I225" s="30"/>
      <c r="J225" s="30"/>
      <c r="K225" s="30"/>
      <c r="L225" s="29"/>
      <c r="M225" s="19"/>
      <c r="N225" s="19"/>
      <c r="O225" s="19"/>
      <c r="P225" s="19"/>
      <c r="Q225" s="19"/>
      <c r="R225" s="19"/>
      <c r="S225" s="19"/>
    </row>
    <row r="226" spans="2:19" x14ac:dyDescent="0.25">
      <c r="B226" s="19"/>
      <c r="C226" s="19"/>
      <c r="D226" s="19"/>
      <c r="E226" s="30"/>
      <c r="F226" s="30"/>
      <c r="G226" s="30"/>
      <c r="H226" s="30"/>
      <c r="I226" s="30"/>
      <c r="J226" s="30"/>
      <c r="K226" s="30"/>
      <c r="L226" s="29"/>
      <c r="M226" s="19"/>
      <c r="N226" s="19"/>
      <c r="O226" s="19"/>
      <c r="P226" s="19"/>
      <c r="Q226" s="19"/>
      <c r="R226" s="19"/>
      <c r="S226" s="19"/>
    </row>
    <row r="227" spans="2:19" x14ac:dyDescent="0.25">
      <c r="B227" s="19"/>
      <c r="C227" s="19"/>
      <c r="D227" s="19"/>
      <c r="E227" s="30"/>
      <c r="F227" s="30"/>
      <c r="G227" s="30"/>
      <c r="H227" s="30"/>
      <c r="I227" s="30"/>
      <c r="J227" s="30"/>
      <c r="K227" s="30"/>
      <c r="L227" s="29"/>
      <c r="M227" s="19"/>
      <c r="N227" s="19"/>
      <c r="O227" s="19"/>
      <c r="P227" s="19"/>
      <c r="Q227" s="19"/>
      <c r="R227" s="19"/>
      <c r="S227" s="19"/>
    </row>
    <row r="228" spans="2:19" x14ac:dyDescent="0.25">
      <c r="B228" s="19"/>
      <c r="C228" s="19"/>
      <c r="D228" s="19"/>
      <c r="E228" s="30"/>
      <c r="F228" s="30"/>
      <c r="G228" s="30"/>
      <c r="H228" s="30"/>
      <c r="I228" s="30"/>
      <c r="J228" s="30"/>
      <c r="K228" s="30"/>
      <c r="L228" s="29"/>
      <c r="M228" s="19"/>
      <c r="N228" s="19"/>
      <c r="O228" s="19"/>
      <c r="P228" s="19"/>
      <c r="Q228" s="19"/>
      <c r="R228" s="19"/>
      <c r="S228" s="19"/>
    </row>
    <row r="229" spans="2:19" x14ac:dyDescent="0.25">
      <c r="B229" s="19"/>
      <c r="C229" s="19"/>
      <c r="D229" s="19"/>
      <c r="E229" s="30"/>
      <c r="F229" s="30"/>
      <c r="G229" s="30"/>
      <c r="H229" s="30"/>
      <c r="I229" s="30"/>
      <c r="J229" s="30"/>
      <c r="K229" s="30"/>
      <c r="L229" s="29"/>
      <c r="M229" s="19"/>
      <c r="N229" s="19"/>
      <c r="O229" s="19"/>
      <c r="P229" s="19"/>
      <c r="Q229" s="19"/>
      <c r="R229" s="19"/>
      <c r="S229" s="19"/>
    </row>
    <row r="230" spans="2:19" x14ac:dyDescent="0.25">
      <c r="B230" s="19"/>
      <c r="C230" s="19"/>
      <c r="D230" s="19"/>
      <c r="E230" s="30"/>
      <c r="F230" s="30"/>
      <c r="G230" s="30"/>
      <c r="H230" s="30"/>
      <c r="I230" s="30"/>
      <c r="J230" s="30"/>
      <c r="K230" s="30"/>
      <c r="L230" s="29"/>
      <c r="M230" s="19"/>
      <c r="N230" s="19"/>
      <c r="O230" s="19"/>
      <c r="P230" s="19"/>
      <c r="Q230" s="19"/>
      <c r="R230" s="19"/>
      <c r="S230" s="19"/>
    </row>
    <row r="231" spans="2:19" x14ac:dyDescent="0.25">
      <c r="B231" s="19"/>
      <c r="C231" s="19"/>
      <c r="D231" s="19"/>
      <c r="E231" s="30"/>
      <c r="F231" s="30"/>
      <c r="G231" s="30"/>
      <c r="H231" s="30"/>
      <c r="I231" s="30"/>
      <c r="J231" s="30"/>
      <c r="K231" s="30"/>
      <c r="L231" s="29"/>
      <c r="M231" s="19"/>
      <c r="N231" s="19"/>
      <c r="O231" s="19"/>
      <c r="P231" s="19"/>
      <c r="Q231" s="19"/>
      <c r="R231" s="19"/>
      <c r="S231" s="19"/>
    </row>
    <row r="232" spans="2:19" x14ac:dyDescent="0.25">
      <c r="B232" s="19"/>
      <c r="C232" s="19"/>
      <c r="D232" s="19"/>
      <c r="E232" s="30"/>
      <c r="F232" s="30"/>
      <c r="G232" s="30"/>
      <c r="H232" s="30"/>
      <c r="I232" s="30"/>
      <c r="J232" s="30"/>
      <c r="K232" s="30"/>
      <c r="L232" s="29"/>
      <c r="M232" s="19"/>
      <c r="N232" s="19"/>
      <c r="O232" s="19"/>
      <c r="P232" s="19"/>
      <c r="Q232" s="19"/>
      <c r="R232" s="19"/>
      <c r="S232" s="19"/>
    </row>
    <row r="233" spans="2:19" x14ac:dyDescent="0.25">
      <c r="B233" s="19"/>
      <c r="C233" s="19"/>
      <c r="D233" s="19"/>
      <c r="E233" s="30"/>
      <c r="F233" s="30"/>
      <c r="G233" s="30"/>
      <c r="H233" s="30"/>
      <c r="I233" s="30"/>
      <c r="J233" s="30"/>
      <c r="K233" s="30"/>
      <c r="L233" s="29"/>
      <c r="M233" s="19"/>
      <c r="N233" s="19"/>
      <c r="O233" s="19"/>
      <c r="P233" s="19"/>
      <c r="Q233" s="19"/>
      <c r="R233" s="19"/>
      <c r="S233" s="19"/>
    </row>
    <row r="234" spans="2:19" x14ac:dyDescent="0.25">
      <c r="B234" s="19"/>
      <c r="C234" s="19"/>
      <c r="D234" s="19"/>
      <c r="E234" s="30"/>
      <c r="F234" s="30"/>
      <c r="G234" s="30"/>
      <c r="H234" s="30"/>
      <c r="I234" s="30"/>
      <c r="J234" s="30"/>
      <c r="K234" s="30"/>
      <c r="L234" s="29"/>
      <c r="M234" s="19"/>
      <c r="N234" s="19"/>
      <c r="O234" s="19"/>
      <c r="P234" s="19"/>
      <c r="Q234" s="19"/>
      <c r="R234" s="19"/>
      <c r="S234" s="19"/>
    </row>
    <row r="235" spans="2:19" x14ac:dyDescent="0.25">
      <c r="B235" s="19"/>
      <c r="C235" s="19"/>
      <c r="D235" s="19"/>
      <c r="E235" s="30"/>
      <c r="F235" s="30"/>
      <c r="G235" s="30"/>
      <c r="H235" s="30"/>
      <c r="I235" s="30"/>
      <c r="J235" s="30"/>
      <c r="K235" s="30"/>
      <c r="L235" s="29"/>
      <c r="M235" s="19"/>
      <c r="N235" s="19"/>
      <c r="O235" s="19"/>
      <c r="P235" s="19"/>
      <c r="Q235" s="19"/>
      <c r="R235" s="19"/>
      <c r="S235" s="19"/>
    </row>
    <row r="236" spans="2:19" x14ac:dyDescent="0.25">
      <c r="B236" s="19"/>
      <c r="C236" s="19"/>
      <c r="D236" s="19"/>
      <c r="E236" s="30"/>
      <c r="F236" s="30"/>
      <c r="G236" s="30"/>
      <c r="H236" s="30"/>
      <c r="I236" s="30"/>
      <c r="J236" s="30"/>
      <c r="K236" s="30"/>
      <c r="L236" s="29"/>
      <c r="M236" s="19"/>
      <c r="N236" s="19"/>
      <c r="O236" s="19"/>
      <c r="P236" s="19"/>
      <c r="Q236" s="19"/>
      <c r="R236" s="19"/>
      <c r="S236" s="19"/>
    </row>
    <row r="237" spans="2:19" x14ac:dyDescent="0.25">
      <c r="B237" s="19"/>
      <c r="C237" s="19"/>
      <c r="D237" s="19"/>
      <c r="E237" s="30"/>
      <c r="F237" s="30"/>
      <c r="G237" s="30"/>
      <c r="H237" s="30"/>
      <c r="I237" s="30"/>
      <c r="J237" s="30"/>
      <c r="K237" s="30"/>
      <c r="L237" s="29"/>
      <c r="M237" s="19"/>
      <c r="N237" s="19"/>
      <c r="O237" s="19"/>
      <c r="P237" s="19"/>
      <c r="Q237" s="19"/>
      <c r="R237" s="19"/>
      <c r="S237" s="19"/>
    </row>
    <row r="238" spans="2:19" x14ac:dyDescent="0.25">
      <c r="B238" s="19"/>
      <c r="C238" s="19"/>
      <c r="D238" s="19"/>
      <c r="E238" s="30"/>
      <c r="F238" s="30"/>
      <c r="G238" s="30"/>
      <c r="H238" s="30"/>
      <c r="I238" s="30"/>
      <c r="J238" s="30"/>
      <c r="K238" s="30"/>
      <c r="L238" s="29"/>
      <c r="M238" s="19"/>
      <c r="N238" s="19"/>
      <c r="O238" s="19"/>
      <c r="P238" s="19"/>
      <c r="Q238" s="19"/>
      <c r="R238" s="19"/>
      <c r="S238" s="19"/>
    </row>
    <row r="239" spans="2:19" x14ac:dyDescent="0.25">
      <c r="B239" s="19"/>
      <c r="C239" s="19"/>
      <c r="D239" s="19"/>
      <c r="E239" s="30"/>
      <c r="F239" s="30"/>
      <c r="G239" s="30"/>
      <c r="H239" s="30"/>
      <c r="I239" s="30"/>
      <c r="J239" s="30"/>
      <c r="K239" s="30"/>
      <c r="L239" s="29"/>
      <c r="M239" s="19"/>
      <c r="N239" s="19"/>
      <c r="O239" s="19"/>
      <c r="P239" s="19"/>
      <c r="Q239" s="19"/>
      <c r="R239" s="19"/>
      <c r="S239" s="19"/>
    </row>
    <row r="240" spans="2:19" x14ac:dyDescent="0.25">
      <c r="B240" s="19"/>
      <c r="C240" s="19"/>
      <c r="D240" s="19"/>
      <c r="E240" s="30"/>
      <c r="F240" s="30"/>
      <c r="G240" s="30"/>
      <c r="H240" s="30"/>
      <c r="I240" s="30"/>
      <c r="J240" s="30"/>
      <c r="K240" s="30"/>
      <c r="L240" s="29"/>
      <c r="M240" s="19"/>
      <c r="N240" s="19"/>
      <c r="O240" s="19"/>
      <c r="P240" s="19"/>
      <c r="Q240" s="19"/>
      <c r="R240" s="19"/>
      <c r="S240" s="19"/>
    </row>
    <row r="241" spans="2:19" x14ac:dyDescent="0.25">
      <c r="B241" s="19"/>
      <c r="C241" s="19"/>
      <c r="D241" s="19"/>
      <c r="E241" s="30"/>
      <c r="F241" s="30"/>
      <c r="G241" s="30"/>
      <c r="H241" s="30"/>
      <c r="I241" s="30"/>
      <c r="J241" s="30"/>
      <c r="K241" s="30"/>
      <c r="L241" s="29"/>
      <c r="M241" s="19"/>
      <c r="N241" s="19"/>
      <c r="O241" s="19"/>
      <c r="P241" s="19"/>
      <c r="Q241" s="19"/>
      <c r="R241" s="19"/>
      <c r="S241" s="19"/>
    </row>
    <row r="242" spans="2:19" x14ac:dyDescent="0.25">
      <c r="B242" s="19"/>
      <c r="C242" s="19"/>
      <c r="D242" s="19"/>
      <c r="E242" s="30"/>
      <c r="F242" s="30"/>
      <c r="G242" s="30"/>
      <c r="H242" s="30"/>
      <c r="I242" s="30"/>
      <c r="J242" s="30"/>
      <c r="K242" s="30"/>
      <c r="L242" s="29"/>
      <c r="M242" s="19"/>
      <c r="N242" s="19"/>
      <c r="O242" s="19"/>
      <c r="P242" s="19"/>
      <c r="Q242" s="19"/>
      <c r="R242" s="19"/>
      <c r="S242" s="19"/>
    </row>
    <row r="243" spans="2:19" x14ac:dyDescent="0.25">
      <c r="B243" s="19"/>
      <c r="C243" s="19"/>
      <c r="D243" s="19"/>
      <c r="E243" s="30"/>
      <c r="F243" s="30"/>
      <c r="G243" s="30"/>
      <c r="H243" s="30"/>
      <c r="I243" s="30"/>
      <c r="J243" s="30"/>
      <c r="K243" s="30"/>
      <c r="L243" s="29"/>
      <c r="M243" s="19"/>
      <c r="N243" s="19"/>
      <c r="O243" s="19"/>
      <c r="P243" s="19"/>
      <c r="Q243" s="19"/>
      <c r="R243" s="19"/>
      <c r="S243" s="19"/>
    </row>
    <row r="244" spans="2:19" x14ac:dyDescent="0.25">
      <c r="B244" s="19"/>
      <c r="C244" s="19"/>
      <c r="D244" s="19"/>
      <c r="E244" s="30"/>
      <c r="F244" s="30"/>
      <c r="G244" s="30"/>
      <c r="H244" s="30"/>
      <c r="I244" s="30"/>
      <c r="J244" s="30"/>
      <c r="K244" s="30"/>
      <c r="L244" s="29"/>
      <c r="M244" s="19"/>
      <c r="N244" s="19"/>
      <c r="O244" s="19"/>
      <c r="P244" s="19"/>
      <c r="Q244" s="19"/>
      <c r="R244" s="19"/>
      <c r="S244" s="19"/>
    </row>
    <row r="245" spans="2:19" x14ac:dyDescent="0.25">
      <c r="B245" s="19"/>
      <c r="C245" s="19"/>
      <c r="D245" s="19"/>
      <c r="E245" s="30"/>
      <c r="F245" s="30"/>
      <c r="G245" s="30"/>
      <c r="H245" s="30"/>
      <c r="I245" s="30"/>
      <c r="J245" s="30"/>
      <c r="K245" s="30"/>
      <c r="L245" s="29"/>
      <c r="M245" s="19"/>
      <c r="N245" s="19"/>
      <c r="O245" s="19"/>
      <c r="P245" s="19"/>
      <c r="Q245" s="19"/>
      <c r="R245" s="19"/>
      <c r="S245" s="19"/>
    </row>
    <row r="246" spans="2:19" x14ac:dyDescent="0.25">
      <c r="B246" s="19"/>
      <c r="C246" s="19"/>
      <c r="D246" s="19"/>
      <c r="E246" s="30"/>
      <c r="F246" s="30"/>
      <c r="G246" s="30"/>
      <c r="H246" s="30"/>
      <c r="I246" s="30"/>
      <c r="J246" s="30"/>
      <c r="K246" s="30"/>
      <c r="L246" s="29"/>
      <c r="M246" s="19"/>
      <c r="N246" s="19"/>
      <c r="O246" s="19"/>
      <c r="P246" s="19"/>
      <c r="Q246" s="19"/>
      <c r="R246" s="19"/>
      <c r="S246" s="19"/>
    </row>
    <row r="247" spans="2:19" x14ac:dyDescent="0.25">
      <c r="B247" s="19"/>
      <c r="C247" s="19"/>
      <c r="D247" s="19"/>
      <c r="E247" s="30"/>
      <c r="F247" s="30"/>
      <c r="G247" s="30"/>
      <c r="H247" s="30"/>
      <c r="I247" s="30"/>
      <c r="J247" s="30"/>
      <c r="K247" s="30"/>
      <c r="L247" s="29"/>
      <c r="M247" s="19"/>
      <c r="N247" s="19"/>
      <c r="O247" s="19"/>
      <c r="P247" s="19"/>
      <c r="Q247" s="19"/>
      <c r="R247" s="19"/>
      <c r="S247" s="19"/>
    </row>
    <row r="248" spans="2:19" x14ac:dyDescent="0.25">
      <c r="B248" s="19"/>
      <c r="C248" s="19"/>
      <c r="D248" s="19"/>
      <c r="E248" s="30"/>
      <c r="F248" s="30"/>
      <c r="G248" s="30"/>
      <c r="H248" s="30"/>
      <c r="I248" s="30"/>
      <c r="J248" s="30"/>
      <c r="K248" s="30"/>
      <c r="L248" s="29"/>
      <c r="M248" s="19"/>
      <c r="N248" s="19"/>
      <c r="O248" s="19"/>
      <c r="P248" s="19"/>
      <c r="Q248" s="19"/>
      <c r="R248" s="19"/>
      <c r="S248" s="19"/>
    </row>
    <row r="249" spans="2:19" x14ac:dyDescent="0.25">
      <c r="B249" s="19"/>
      <c r="C249" s="19"/>
      <c r="D249" s="19"/>
      <c r="E249" s="30"/>
      <c r="F249" s="30"/>
      <c r="G249" s="30"/>
      <c r="H249" s="30"/>
      <c r="I249" s="30"/>
      <c r="J249" s="30"/>
      <c r="K249" s="30"/>
      <c r="L249" s="29"/>
      <c r="M249" s="19"/>
      <c r="N249" s="19"/>
      <c r="O249" s="19"/>
      <c r="P249" s="19"/>
      <c r="Q249" s="19"/>
      <c r="R249" s="19"/>
      <c r="S249" s="19"/>
    </row>
    <row r="250" spans="2:19" x14ac:dyDescent="0.25">
      <c r="B250" s="19"/>
      <c r="C250" s="19"/>
      <c r="D250" s="19"/>
      <c r="E250" s="30"/>
      <c r="F250" s="30"/>
      <c r="G250" s="30"/>
      <c r="H250" s="30"/>
      <c r="I250" s="30"/>
      <c r="J250" s="30"/>
      <c r="K250" s="30"/>
      <c r="L250" s="29"/>
      <c r="M250" s="19"/>
      <c r="N250" s="19"/>
      <c r="O250" s="19"/>
      <c r="P250" s="19"/>
      <c r="Q250" s="19"/>
      <c r="R250" s="19"/>
      <c r="S250" s="19"/>
    </row>
    <row r="251" spans="2:19" x14ac:dyDescent="0.25">
      <c r="B251" s="19"/>
      <c r="C251" s="19"/>
      <c r="D251" s="19"/>
      <c r="E251" s="30"/>
      <c r="F251" s="30"/>
      <c r="G251" s="30"/>
      <c r="H251" s="30"/>
      <c r="I251" s="30"/>
      <c r="J251" s="30"/>
      <c r="K251" s="30"/>
      <c r="L251" s="29"/>
      <c r="M251" s="19"/>
      <c r="N251" s="19"/>
      <c r="O251" s="19"/>
      <c r="P251" s="19"/>
      <c r="Q251" s="19"/>
      <c r="R251" s="19"/>
      <c r="S251" s="19"/>
    </row>
    <row r="252" spans="2:19" x14ac:dyDescent="0.25">
      <c r="B252" s="19"/>
      <c r="C252" s="19"/>
      <c r="D252" s="19"/>
      <c r="E252" s="30"/>
      <c r="F252" s="30"/>
      <c r="G252" s="30"/>
      <c r="H252" s="30"/>
      <c r="I252" s="30"/>
      <c r="J252" s="30"/>
      <c r="K252" s="30"/>
      <c r="L252" s="29"/>
      <c r="M252" s="19"/>
      <c r="N252" s="19"/>
      <c r="O252" s="19"/>
      <c r="P252" s="19"/>
      <c r="Q252" s="19"/>
      <c r="R252" s="19"/>
      <c r="S252" s="19"/>
    </row>
    <row r="253" spans="2:19" x14ac:dyDescent="0.25">
      <c r="B253" s="19"/>
      <c r="C253" s="19"/>
      <c r="D253" s="19"/>
      <c r="E253" s="30"/>
      <c r="F253" s="30"/>
      <c r="G253" s="30"/>
      <c r="H253" s="30"/>
      <c r="I253" s="30"/>
      <c r="J253" s="30"/>
      <c r="K253" s="30"/>
      <c r="L253" s="29"/>
      <c r="M253" s="19"/>
      <c r="N253" s="19"/>
      <c r="O253" s="19"/>
      <c r="P253" s="19"/>
      <c r="Q253" s="19"/>
      <c r="R253" s="19"/>
      <c r="S253" s="19"/>
    </row>
    <row r="254" spans="2:19" x14ac:dyDescent="0.25">
      <c r="B254" s="19"/>
      <c r="C254" s="19"/>
      <c r="D254" s="19"/>
      <c r="E254" s="30"/>
      <c r="F254" s="30"/>
      <c r="G254" s="30"/>
      <c r="H254" s="30"/>
      <c r="I254" s="30"/>
      <c r="J254" s="30"/>
      <c r="K254" s="30"/>
      <c r="L254" s="29"/>
      <c r="M254" s="19"/>
      <c r="N254" s="19"/>
      <c r="O254" s="19"/>
      <c r="P254" s="19"/>
      <c r="Q254" s="19"/>
      <c r="R254" s="19"/>
      <c r="S254" s="19"/>
    </row>
    <row r="255" spans="2:19" x14ac:dyDescent="0.25">
      <c r="B255" s="19"/>
      <c r="C255" s="19"/>
      <c r="D255" s="19"/>
      <c r="E255" s="30"/>
      <c r="F255" s="30"/>
      <c r="G255" s="30"/>
      <c r="H255" s="30"/>
      <c r="I255" s="30"/>
      <c r="J255" s="30"/>
      <c r="K255" s="30"/>
      <c r="L255" s="29"/>
      <c r="M255" s="19"/>
      <c r="N255" s="19"/>
      <c r="O255" s="19"/>
      <c r="P255" s="19"/>
      <c r="Q255" s="19"/>
      <c r="R255" s="19"/>
      <c r="S255" s="19"/>
    </row>
    <row r="256" spans="2:19" x14ac:dyDescent="0.25">
      <c r="B256" s="19"/>
      <c r="C256" s="19"/>
      <c r="D256" s="19"/>
      <c r="E256" s="30"/>
      <c r="F256" s="30"/>
      <c r="G256" s="30"/>
      <c r="H256" s="30"/>
      <c r="I256" s="30"/>
      <c r="J256" s="30"/>
      <c r="K256" s="30"/>
      <c r="L256" s="29"/>
      <c r="M256" s="19"/>
      <c r="N256" s="19"/>
      <c r="O256" s="19"/>
      <c r="P256" s="19"/>
      <c r="Q256" s="19"/>
      <c r="R256" s="19"/>
      <c r="S256" s="19"/>
    </row>
    <row r="257" spans="2:19" x14ac:dyDescent="0.25">
      <c r="B257" s="19"/>
      <c r="C257" s="19"/>
      <c r="D257" s="19"/>
      <c r="E257" s="30"/>
      <c r="F257" s="30"/>
      <c r="G257" s="30"/>
      <c r="H257" s="30"/>
      <c r="I257" s="30"/>
      <c r="J257" s="30"/>
      <c r="K257" s="30"/>
      <c r="L257" s="29"/>
      <c r="M257" s="19"/>
      <c r="N257" s="19"/>
      <c r="O257" s="19"/>
      <c r="P257" s="19"/>
      <c r="Q257" s="19"/>
      <c r="R257" s="19"/>
      <c r="S257" s="19"/>
    </row>
    <row r="258" spans="2:19" x14ac:dyDescent="0.25">
      <c r="B258" s="19"/>
      <c r="C258" s="19"/>
      <c r="D258" s="19"/>
      <c r="E258" s="30"/>
      <c r="F258" s="30"/>
      <c r="G258" s="30"/>
      <c r="H258" s="30"/>
      <c r="I258" s="30"/>
      <c r="J258" s="30"/>
      <c r="K258" s="30"/>
      <c r="L258" s="29"/>
      <c r="M258" s="19"/>
      <c r="N258" s="19"/>
      <c r="O258" s="19"/>
      <c r="P258" s="19"/>
      <c r="Q258" s="19"/>
      <c r="R258" s="19"/>
      <c r="S258" s="19"/>
    </row>
    <row r="259" spans="2:19" x14ac:dyDescent="0.25">
      <c r="B259" s="19"/>
      <c r="C259" s="19"/>
      <c r="D259" s="19"/>
      <c r="E259" s="30"/>
      <c r="F259" s="30"/>
      <c r="G259" s="30"/>
      <c r="H259" s="30"/>
      <c r="I259" s="30"/>
      <c r="J259" s="30"/>
      <c r="K259" s="30"/>
      <c r="L259" s="29"/>
      <c r="M259" s="19"/>
      <c r="N259" s="19"/>
      <c r="O259" s="19"/>
      <c r="P259" s="19"/>
      <c r="Q259" s="19"/>
      <c r="R259" s="19"/>
      <c r="S259" s="19"/>
    </row>
    <row r="260" spans="2:19" x14ac:dyDescent="0.25">
      <c r="B260" s="19"/>
      <c r="C260" s="19"/>
      <c r="D260" s="19"/>
      <c r="E260" s="30"/>
      <c r="F260" s="30"/>
      <c r="G260" s="30"/>
      <c r="H260" s="30"/>
      <c r="I260" s="30"/>
      <c r="J260" s="30"/>
      <c r="K260" s="30"/>
      <c r="L260" s="29"/>
      <c r="M260" s="19"/>
      <c r="N260" s="19"/>
      <c r="O260" s="19"/>
      <c r="P260" s="19"/>
      <c r="Q260" s="19"/>
      <c r="R260" s="19"/>
      <c r="S260" s="19"/>
    </row>
    <row r="261" spans="2:19" x14ac:dyDescent="0.25">
      <c r="B261" s="19"/>
      <c r="C261" s="19"/>
      <c r="D261" s="19"/>
      <c r="E261" s="30"/>
      <c r="F261" s="30"/>
      <c r="G261" s="30"/>
      <c r="H261" s="30"/>
      <c r="I261" s="30"/>
      <c r="J261" s="30"/>
      <c r="K261" s="30"/>
      <c r="L261" s="29"/>
      <c r="M261" s="19"/>
      <c r="N261" s="19"/>
      <c r="O261" s="19"/>
      <c r="P261" s="19"/>
      <c r="Q261" s="19"/>
      <c r="R261" s="19"/>
      <c r="S261" s="19"/>
    </row>
    <row r="262" spans="2:19" x14ac:dyDescent="0.25">
      <c r="B262" s="19"/>
      <c r="C262" s="19"/>
      <c r="D262" s="19"/>
      <c r="E262" s="30"/>
      <c r="F262" s="30"/>
      <c r="G262" s="30"/>
      <c r="H262" s="30"/>
      <c r="I262" s="30"/>
      <c r="J262" s="30"/>
      <c r="K262" s="30"/>
      <c r="L262" s="29"/>
      <c r="M262" s="19"/>
      <c r="N262" s="19"/>
      <c r="O262" s="19"/>
      <c r="P262" s="19"/>
      <c r="Q262" s="19"/>
      <c r="R262" s="19"/>
      <c r="S262" s="19"/>
    </row>
    <row r="263" spans="2:19" x14ac:dyDescent="0.25">
      <c r="B263" s="19"/>
      <c r="C263" s="19"/>
      <c r="D263" s="19"/>
      <c r="E263" s="30"/>
      <c r="F263" s="30"/>
      <c r="G263" s="30"/>
      <c r="H263" s="30"/>
      <c r="I263" s="30"/>
      <c r="J263" s="30"/>
      <c r="K263" s="30"/>
      <c r="L263" s="29"/>
      <c r="M263" s="19"/>
      <c r="N263" s="19"/>
      <c r="O263" s="19"/>
      <c r="P263" s="19"/>
      <c r="Q263" s="19"/>
      <c r="R263" s="19"/>
      <c r="S263" s="19"/>
    </row>
    <row r="264" spans="2:19" x14ac:dyDescent="0.25">
      <c r="B264" s="19"/>
      <c r="C264" s="19"/>
      <c r="D264" s="19"/>
      <c r="E264" s="30"/>
      <c r="F264" s="30"/>
      <c r="G264" s="30"/>
      <c r="H264" s="30"/>
      <c r="I264" s="30"/>
      <c r="J264" s="30"/>
      <c r="K264" s="30"/>
      <c r="L264" s="29"/>
      <c r="M264" s="19"/>
      <c r="N264" s="19"/>
      <c r="O264" s="19"/>
      <c r="P264" s="19"/>
      <c r="Q264" s="19"/>
      <c r="R264" s="19"/>
      <c r="S264" s="19"/>
    </row>
    <row r="265" spans="2:19" x14ac:dyDescent="0.25">
      <c r="B265" s="19"/>
      <c r="C265" s="19"/>
      <c r="D265" s="19"/>
      <c r="E265" s="30"/>
      <c r="F265" s="30"/>
      <c r="G265" s="30"/>
      <c r="H265" s="30"/>
      <c r="I265" s="30"/>
      <c r="J265" s="30"/>
      <c r="K265" s="30"/>
      <c r="L265" s="29"/>
      <c r="M265" s="19"/>
      <c r="N265" s="19"/>
      <c r="O265" s="19"/>
      <c r="P265" s="19"/>
      <c r="Q265" s="19"/>
      <c r="R265" s="19"/>
      <c r="S265" s="19"/>
    </row>
    <row r="266" spans="2:19" x14ac:dyDescent="0.25">
      <c r="B266" s="19"/>
      <c r="C266" s="19"/>
      <c r="D266" s="19"/>
      <c r="E266" s="30"/>
      <c r="F266" s="30"/>
      <c r="G266" s="30"/>
      <c r="H266" s="30"/>
      <c r="I266" s="30"/>
      <c r="J266" s="30"/>
      <c r="K266" s="30"/>
      <c r="L266" s="29"/>
      <c r="M266" s="19"/>
      <c r="N266" s="19"/>
      <c r="O266" s="19"/>
      <c r="P266" s="19"/>
      <c r="Q266" s="19"/>
      <c r="R266" s="19"/>
      <c r="S266" s="19"/>
    </row>
    <row r="267" spans="2:19" x14ac:dyDescent="0.25">
      <c r="B267" s="19"/>
      <c r="C267" s="19"/>
      <c r="D267" s="19"/>
      <c r="E267" s="30"/>
      <c r="F267" s="30"/>
      <c r="G267" s="30"/>
      <c r="H267" s="30"/>
      <c r="I267" s="30"/>
      <c r="J267" s="30"/>
      <c r="K267" s="30"/>
      <c r="L267" s="29"/>
      <c r="M267" s="19"/>
      <c r="N267" s="19"/>
      <c r="O267" s="19"/>
      <c r="P267" s="19"/>
      <c r="Q267" s="19"/>
      <c r="R267" s="19"/>
      <c r="S267" s="19"/>
    </row>
    <row r="268" spans="2:19" x14ac:dyDescent="0.25">
      <c r="B268" s="19"/>
      <c r="C268" s="19"/>
      <c r="D268" s="19"/>
      <c r="E268" s="30"/>
      <c r="F268" s="30"/>
      <c r="G268" s="30"/>
      <c r="H268" s="30"/>
      <c r="I268" s="30"/>
      <c r="J268" s="30"/>
      <c r="K268" s="30"/>
      <c r="L268" s="29"/>
      <c r="M268" s="19"/>
      <c r="N268" s="19"/>
      <c r="O268" s="19"/>
      <c r="P268" s="19"/>
      <c r="Q268" s="19"/>
      <c r="R268" s="19"/>
      <c r="S268" s="19"/>
    </row>
    <row r="269" spans="2:19" x14ac:dyDescent="0.25">
      <c r="B269" s="19"/>
      <c r="C269" s="19"/>
      <c r="D269" s="19"/>
      <c r="E269" s="30"/>
      <c r="F269" s="30"/>
      <c r="G269" s="30"/>
      <c r="H269" s="30"/>
      <c r="I269" s="30"/>
      <c r="J269" s="30"/>
      <c r="K269" s="30"/>
      <c r="L269" s="29"/>
      <c r="M269" s="19"/>
      <c r="N269" s="19"/>
      <c r="O269" s="19"/>
      <c r="P269" s="19"/>
      <c r="Q269" s="19"/>
      <c r="R269" s="19"/>
      <c r="S269" s="19"/>
    </row>
    <row r="270" spans="2:19" x14ac:dyDescent="0.25">
      <c r="B270" s="19"/>
      <c r="C270" s="19"/>
      <c r="D270" s="19"/>
      <c r="E270" s="30"/>
      <c r="F270" s="30"/>
      <c r="G270" s="30"/>
      <c r="H270" s="30"/>
      <c r="I270" s="30"/>
      <c r="J270" s="30"/>
      <c r="K270" s="30"/>
      <c r="L270" s="29"/>
      <c r="M270" s="19"/>
      <c r="N270" s="19"/>
      <c r="O270" s="19"/>
      <c r="P270" s="19"/>
      <c r="Q270" s="19"/>
      <c r="R270" s="19"/>
      <c r="S270" s="19"/>
    </row>
    <row r="271" spans="2:19" x14ac:dyDescent="0.25">
      <c r="B271" s="19"/>
      <c r="C271" s="19"/>
      <c r="D271" s="19"/>
      <c r="E271" s="30"/>
      <c r="F271" s="30"/>
      <c r="G271" s="30"/>
      <c r="H271" s="30"/>
      <c r="I271" s="30"/>
      <c r="J271" s="30"/>
      <c r="K271" s="30"/>
      <c r="L271" s="29"/>
      <c r="M271" s="19"/>
      <c r="N271" s="19"/>
      <c r="O271" s="19"/>
      <c r="P271" s="19"/>
      <c r="Q271" s="19"/>
      <c r="R271" s="19"/>
      <c r="S271" s="19"/>
    </row>
    <row r="272" spans="2:19" x14ac:dyDescent="0.25">
      <c r="B272" s="19"/>
      <c r="C272" s="19"/>
      <c r="D272" s="19"/>
      <c r="E272" s="30"/>
      <c r="F272" s="30"/>
      <c r="G272" s="30"/>
      <c r="H272" s="30"/>
      <c r="I272" s="30"/>
      <c r="J272" s="30"/>
      <c r="K272" s="30"/>
      <c r="L272" s="29"/>
      <c r="M272" s="19"/>
      <c r="N272" s="19"/>
      <c r="O272" s="19"/>
      <c r="P272" s="19"/>
      <c r="Q272" s="19"/>
      <c r="R272" s="19"/>
      <c r="S272" s="19"/>
    </row>
    <row r="273" spans="2:19" x14ac:dyDescent="0.25">
      <c r="B273" s="19"/>
      <c r="C273" s="19"/>
      <c r="D273" s="19"/>
      <c r="E273" s="30"/>
      <c r="F273" s="30"/>
      <c r="G273" s="30"/>
      <c r="H273" s="30"/>
      <c r="I273" s="30"/>
      <c r="J273" s="30"/>
      <c r="K273" s="30"/>
      <c r="L273" s="29"/>
      <c r="M273" s="19"/>
      <c r="N273" s="19"/>
      <c r="O273" s="19"/>
      <c r="P273" s="19"/>
      <c r="Q273" s="19"/>
      <c r="R273" s="19"/>
      <c r="S273" s="19"/>
    </row>
    <row r="274" spans="2:19" x14ac:dyDescent="0.25">
      <c r="B274" s="19"/>
      <c r="C274" s="19"/>
      <c r="D274" s="19"/>
      <c r="E274" s="30"/>
      <c r="F274" s="30"/>
      <c r="G274" s="30"/>
      <c r="H274" s="30"/>
      <c r="I274" s="30"/>
      <c r="J274" s="30"/>
      <c r="K274" s="30"/>
      <c r="L274" s="29"/>
      <c r="M274" s="19"/>
      <c r="N274" s="19"/>
      <c r="O274" s="19"/>
      <c r="P274" s="19"/>
      <c r="Q274" s="19"/>
      <c r="R274" s="19"/>
      <c r="S274" s="19"/>
    </row>
    <row r="275" spans="2:19" x14ac:dyDescent="0.25">
      <c r="B275" s="19"/>
      <c r="C275" s="19"/>
      <c r="D275" s="19"/>
      <c r="E275" s="30"/>
      <c r="F275" s="30"/>
      <c r="G275" s="30"/>
      <c r="H275" s="30"/>
      <c r="I275" s="30"/>
      <c r="J275" s="30"/>
      <c r="K275" s="30"/>
      <c r="L275" s="29"/>
      <c r="M275" s="19"/>
      <c r="N275" s="19"/>
      <c r="O275" s="19"/>
      <c r="P275" s="19"/>
      <c r="Q275" s="19"/>
      <c r="R275" s="19"/>
      <c r="S275" s="19"/>
    </row>
    <row r="276" spans="2:19" x14ac:dyDescent="0.25">
      <c r="B276" s="19"/>
      <c r="C276" s="19"/>
      <c r="D276" s="19"/>
      <c r="E276" s="30"/>
      <c r="F276" s="30"/>
      <c r="G276" s="30"/>
      <c r="H276" s="30"/>
      <c r="I276" s="30"/>
      <c r="J276" s="30"/>
      <c r="K276" s="30"/>
      <c r="L276" s="29"/>
      <c r="M276" s="19"/>
      <c r="N276" s="19"/>
      <c r="O276" s="19"/>
      <c r="P276" s="19"/>
      <c r="Q276" s="19"/>
      <c r="R276" s="19"/>
      <c r="S276" s="19"/>
    </row>
    <row r="277" spans="2:19" x14ac:dyDescent="0.25">
      <c r="B277" s="19"/>
      <c r="C277" s="19"/>
      <c r="D277" s="19"/>
      <c r="E277" s="30"/>
      <c r="F277" s="30"/>
      <c r="G277" s="30"/>
      <c r="H277" s="30"/>
      <c r="I277" s="30"/>
      <c r="J277" s="30"/>
      <c r="K277" s="30"/>
      <c r="L277" s="29"/>
      <c r="M277" s="19"/>
      <c r="N277" s="19"/>
      <c r="O277" s="19"/>
      <c r="P277" s="19"/>
      <c r="Q277" s="19"/>
      <c r="R277" s="19"/>
      <c r="S277" s="19"/>
    </row>
    <row r="278" spans="2:19" x14ac:dyDescent="0.25">
      <c r="B278" s="19"/>
      <c r="C278" s="19"/>
      <c r="D278" s="19"/>
      <c r="E278" s="30"/>
      <c r="F278" s="30"/>
      <c r="G278" s="30"/>
      <c r="H278" s="30"/>
      <c r="I278" s="30"/>
      <c r="J278" s="30"/>
      <c r="K278" s="30"/>
      <c r="L278" s="29"/>
      <c r="M278" s="19"/>
      <c r="N278" s="19"/>
      <c r="O278" s="19"/>
      <c r="P278" s="19"/>
      <c r="Q278" s="19"/>
      <c r="R278" s="19"/>
      <c r="S278" s="19"/>
    </row>
    <row r="279" spans="2:19" x14ac:dyDescent="0.25">
      <c r="B279" s="19"/>
      <c r="C279" s="19"/>
      <c r="D279" s="19"/>
      <c r="E279" s="30"/>
      <c r="F279" s="30"/>
      <c r="G279" s="30"/>
      <c r="H279" s="30"/>
      <c r="I279" s="30"/>
      <c r="J279" s="30"/>
      <c r="K279" s="30"/>
      <c r="L279" s="29"/>
      <c r="M279" s="19"/>
      <c r="N279" s="19"/>
      <c r="O279" s="19"/>
      <c r="P279" s="19"/>
      <c r="Q279" s="19"/>
      <c r="R279" s="19"/>
      <c r="S279" s="19"/>
    </row>
    <row r="280" spans="2:19" x14ac:dyDescent="0.25">
      <c r="B280" s="19"/>
      <c r="C280" s="19"/>
      <c r="D280" s="19"/>
      <c r="E280" s="30"/>
      <c r="F280" s="30"/>
      <c r="G280" s="30"/>
      <c r="H280" s="30"/>
      <c r="I280" s="30"/>
      <c r="J280" s="30"/>
      <c r="K280" s="30"/>
      <c r="L280" s="29"/>
      <c r="M280" s="19"/>
      <c r="N280" s="19"/>
      <c r="O280" s="19"/>
      <c r="P280" s="19"/>
      <c r="Q280" s="19"/>
      <c r="R280" s="19"/>
      <c r="S280" s="19"/>
    </row>
    <row r="281" spans="2:19" x14ac:dyDescent="0.25">
      <c r="B281" s="19"/>
      <c r="C281" s="19"/>
      <c r="D281" s="19"/>
      <c r="E281" s="30"/>
      <c r="F281" s="30"/>
      <c r="G281" s="30"/>
      <c r="H281" s="30"/>
      <c r="I281" s="30"/>
      <c r="J281" s="30"/>
      <c r="K281" s="30"/>
      <c r="L281" s="29"/>
      <c r="M281" s="19"/>
      <c r="N281" s="19"/>
      <c r="O281" s="19"/>
      <c r="P281" s="19"/>
      <c r="Q281" s="19"/>
      <c r="R281" s="19"/>
      <c r="S281" s="19"/>
    </row>
    <row r="282" spans="2:19" x14ac:dyDescent="0.25">
      <c r="B282" s="19"/>
      <c r="C282" s="19"/>
      <c r="D282" s="19"/>
      <c r="E282" s="30"/>
      <c r="F282" s="30"/>
      <c r="G282" s="30"/>
      <c r="H282" s="30"/>
      <c r="I282" s="30"/>
      <c r="J282" s="30"/>
      <c r="K282" s="30"/>
      <c r="L282" s="29"/>
      <c r="M282" s="19"/>
      <c r="N282" s="19"/>
      <c r="O282" s="19"/>
      <c r="P282" s="19"/>
      <c r="Q282" s="19"/>
      <c r="R282" s="19"/>
      <c r="S282" s="19"/>
    </row>
    <row r="283" spans="2:19" x14ac:dyDescent="0.25">
      <c r="B283" s="19"/>
      <c r="C283" s="19"/>
      <c r="D283" s="19"/>
      <c r="E283" s="30"/>
      <c r="F283" s="30"/>
      <c r="G283" s="30"/>
      <c r="H283" s="30"/>
      <c r="I283" s="30"/>
      <c r="J283" s="30"/>
      <c r="K283" s="30"/>
      <c r="L283" s="29"/>
      <c r="M283" s="19"/>
      <c r="N283" s="19"/>
      <c r="O283" s="19"/>
      <c r="P283" s="19"/>
      <c r="Q283" s="19"/>
      <c r="R283" s="19"/>
      <c r="S283" s="19"/>
    </row>
    <row r="284" spans="2:19" x14ac:dyDescent="0.25">
      <c r="B284" s="19"/>
      <c r="C284" s="19"/>
      <c r="D284" s="19"/>
      <c r="E284" s="30"/>
      <c r="F284" s="30"/>
      <c r="G284" s="30"/>
      <c r="H284" s="30"/>
      <c r="I284" s="30"/>
      <c r="J284" s="30"/>
      <c r="K284" s="30"/>
      <c r="L284" s="29"/>
      <c r="M284" s="19"/>
      <c r="N284" s="19"/>
      <c r="O284" s="19"/>
      <c r="P284" s="19"/>
      <c r="Q284" s="19"/>
      <c r="R284" s="19"/>
      <c r="S284" s="19"/>
    </row>
    <row r="285" spans="2:19" x14ac:dyDescent="0.25">
      <c r="B285" s="19"/>
      <c r="C285" s="19"/>
      <c r="D285" s="19"/>
      <c r="E285" s="30"/>
      <c r="F285" s="30"/>
      <c r="G285" s="30"/>
      <c r="H285" s="30"/>
      <c r="I285" s="30"/>
      <c r="J285" s="30"/>
      <c r="K285" s="30"/>
      <c r="L285" s="29"/>
      <c r="M285" s="19"/>
      <c r="N285" s="19"/>
      <c r="O285" s="19"/>
      <c r="P285" s="19"/>
      <c r="Q285" s="19"/>
      <c r="R285" s="19"/>
      <c r="S285" s="19"/>
    </row>
    <row r="286" spans="2:19" x14ac:dyDescent="0.25">
      <c r="B286" s="19"/>
      <c r="C286" s="19"/>
      <c r="D286" s="19"/>
      <c r="E286" s="30"/>
      <c r="F286" s="30"/>
      <c r="G286" s="30"/>
      <c r="H286" s="30"/>
      <c r="I286" s="30"/>
      <c r="J286" s="30"/>
      <c r="K286" s="30"/>
      <c r="L286" s="29"/>
      <c r="M286" s="19"/>
      <c r="N286" s="19"/>
      <c r="O286" s="19"/>
      <c r="P286" s="19"/>
      <c r="Q286" s="19"/>
      <c r="R286" s="19"/>
      <c r="S286" s="19"/>
    </row>
    <row r="287" spans="2:19" x14ac:dyDescent="0.25">
      <c r="B287" s="19"/>
      <c r="C287" s="19"/>
      <c r="D287" s="19"/>
      <c r="E287" s="30"/>
      <c r="F287" s="30"/>
      <c r="G287" s="30"/>
      <c r="H287" s="30"/>
      <c r="I287" s="30"/>
      <c r="J287" s="30"/>
      <c r="K287" s="30"/>
      <c r="L287" s="29"/>
      <c r="M287" s="19"/>
      <c r="N287" s="19"/>
      <c r="O287" s="19"/>
      <c r="P287" s="19"/>
      <c r="Q287" s="19"/>
      <c r="R287" s="19"/>
      <c r="S287" s="19"/>
    </row>
    <row r="288" spans="2:19" x14ac:dyDescent="0.25">
      <c r="B288" s="19"/>
      <c r="C288" s="19"/>
      <c r="D288" s="19"/>
      <c r="E288" s="30"/>
      <c r="F288" s="30"/>
      <c r="G288" s="30"/>
      <c r="H288" s="30"/>
      <c r="I288" s="30"/>
      <c r="J288" s="30"/>
      <c r="K288" s="30"/>
      <c r="L288" s="29"/>
      <c r="M288" s="19"/>
      <c r="N288" s="19"/>
      <c r="O288" s="19"/>
      <c r="P288" s="19"/>
      <c r="Q288" s="19"/>
      <c r="R288" s="19"/>
      <c r="S288" s="19"/>
    </row>
    <row r="289" spans="2:19" x14ac:dyDescent="0.25">
      <c r="B289" s="19"/>
      <c r="C289" s="19"/>
      <c r="D289" s="19"/>
      <c r="E289" s="30"/>
      <c r="F289" s="30"/>
      <c r="G289" s="30"/>
      <c r="H289" s="30"/>
      <c r="I289" s="30"/>
      <c r="J289" s="30"/>
      <c r="K289" s="30"/>
      <c r="L289" s="29"/>
      <c r="M289" s="19"/>
      <c r="N289" s="19"/>
      <c r="O289" s="19"/>
      <c r="P289" s="19"/>
      <c r="Q289" s="19"/>
      <c r="R289" s="19"/>
      <c r="S289" s="19"/>
    </row>
    <row r="290" spans="2:19" x14ac:dyDescent="0.25">
      <c r="B290" s="19"/>
      <c r="C290" s="19"/>
      <c r="D290" s="19"/>
      <c r="E290" s="30"/>
      <c r="F290" s="30"/>
      <c r="G290" s="30"/>
      <c r="H290" s="30"/>
      <c r="I290" s="30"/>
      <c r="J290" s="30"/>
      <c r="K290" s="30"/>
      <c r="L290" s="29"/>
      <c r="M290" s="19"/>
      <c r="N290" s="19"/>
      <c r="O290" s="19"/>
      <c r="P290" s="19"/>
      <c r="Q290" s="19"/>
      <c r="R290" s="19"/>
      <c r="S290" s="19"/>
    </row>
    <row r="291" spans="2:19" x14ac:dyDescent="0.25">
      <c r="B291" s="19"/>
      <c r="C291" s="19"/>
      <c r="D291" s="19"/>
      <c r="E291" s="30"/>
      <c r="F291" s="30"/>
      <c r="G291" s="30"/>
      <c r="H291" s="30"/>
      <c r="I291" s="30"/>
      <c r="J291" s="30"/>
      <c r="K291" s="30"/>
      <c r="L291" s="29"/>
      <c r="M291" s="19"/>
      <c r="N291" s="19"/>
      <c r="O291" s="19"/>
      <c r="P291" s="19"/>
      <c r="Q291" s="19"/>
      <c r="R291" s="19"/>
      <c r="S291" s="19"/>
    </row>
    <row r="292" spans="2:19" x14ac:dyDescent="0.25">
      <c r="B292" s="19"/>
      <c r="C292" s="19"/>
      <c r="D292" s="19"/>
      <c r="E292" s="30"/>
      <c r="F292" s="30"/>
      <c r="G292" s="30"/>
      <c r="H292" s="30"/>
      <c r="I292" s="30"/>
      <c r="J292" s="30"/>
      <c r="K292" s="30"/>
      <c r="L292" s="29"/>
      <c r="M292" s="19"/>
      <c r="N292" s="19"/>
      <c r="O292" s="19"/>
      <c r="P292" s="19"/>
      <c r="Q292" s="19"/>
      <c r="R292" s="19"/>
      <c r="S292" s="19"/>
    </row>
    <row r="293" spans="2:19" x14ac:dyDescent="0.25">
      <c r="B293" s="19"/>
      <c r="C293" s="19"/>
      <c r="D293" s="19"/>
      <c r="E293" s="30"/>
      <c r="F293" s="30"/>
      <c r="G293" s="30"/>
      <c r="H293" s="30"/>
      <c r="I293" s="30"/>
      <c r="J293" s="30"/>
      <c r="K293" s="30"/>
      <c r="L293" s="29"/>
      <c r="M293" s="19"/>
      <c r="N293" s="19"/>
      <c r="O293" s="19"/>
      <c r="P293" s="19"/>
      <c r="Q293" s="19"/>
      <c r="R293" s="19"/>
      <c r="S293" s="19"/>
    </row>
    <row r="294" spans="2:19" x14ac:dyDescent="0.25">
      <c r="B294" s="19"/>
      <c r="C294" s="19"/>
      <c r="D294" s="19"/>
      <c r="E294" s="30"/>
      <c r="F294" s="30"/>
      <c r="G294" s="30"/>
      <c r="H294" s="30"/>
      <c r="I294" s="30"/>
      <c r="J294" s="30"/>
      <c r="K294" s="30"/>
      <c r="L294" s="29"/>
      <c r="M294" s="19"/>
      <c r="N294" s="19"/>
      <c r="O294" s="19"/>
      <c r="P294" s="19"/>
      <c r="Q294" s="19"/>
      <c r="R294" s="19"/>
      <c r="S294" s="19"/>
    </row>
    <row r="295" spans="2:19" x14ac:dyDescent="0.25">
      <c r="B295" s="19"/>
      <c r="C295" s="19"/>
      <c r="D295" s="19"/>
      <c r="E295" s="30"/>
      <c r="F295" s="30"/>
      <c r="G295" s="30"/>
      <c r="H295" s="30"/>
      <c r="I295" s="30"/>
      <c r="J295" s="30"/>
      <c r="K295" s="30"/>
      <c r="L295" s="29"/>
      <c r="M295" s="19"/>
      <c r="N295" s="19"/>
      <c r="O295" s="19"/>
      <c r="P295" s="19"/>
      <c r="Q295" s="19"/>
      <c r="R295" s="19"/>
      <c r="S295" s="19"/>
    </row>
    <row r="296" spans="2:19" x14ac:dyDescent="0.25">
      <c r="B296" s="19"/>
      <c r="C296" s="19"/>
      <c r="D296" s="19"/>
      <c r="E296" s="30"/>
      <c r="F296" s="30"/>
      <c r="G296" s="30"/>
      <c r="H296" s="30"/>
      <c r="I296" s="30"/>
      <c r="J296" s="30"/>
      <c r="K296" s="30"/>
      <c r="L296" s="29"/>
      <c r="M296" s="19"/>
      <c r="N296" s="19"/>
      <c r="O296" s="19"/>
      <c r="P296" s="19"/>
      <c r="Q296" s="19"/>
      <c r="R296" s="19"/>
      <c r="S296" s="19"/>
    </row>
    <row r="297" spans="2:19" x14ac:dyDescent="0.25">
      <c r="B297" s="19"/>
      <c r="C297" s="19"/>
      <c r="D297" s="19"/>
      <c r="E297" s="30"/>
      <c r="F297" s="30"/>
      <c r="G297" s="30"/>
      <c r="H297" s="30"/>
      <c r="I297" s="30"/>
      <c r="J297" s="30"/>
      <c r="K297" s="30"/>
      <c r="L297" s="29"/>
      <c r="M297" s="19"/>
      <c r="N297" s="19"/>
      <c r="O297" s="19"/>
      <c r="P297" s="19"/>
      <c r="Q297" s="19"/>
      <c r="R297" s="19"/>
      <c r="S297" s="19"/>
    </row>
    <row r="298" spans="2:19" x14ac:dyDescent="0.25">
      <c r="B298" s="19"/>
      <c r="C298" s="19"/>
      <c r="D298" s="19"/>
      <c r="E298" s="30"/>
      <c r="F298" s="30"/>
      <c r="G298" s="30"/>
      <c r="H298" s="30"/>
      <c r="I298" s="30"/>
      <c r="J298" s="30"/>
      <c r="K298" s="30"/>
      <c r="L298" s="29"/>
      <c r="M298" s="19"/>
      <c r="N298" s="19"/>
      <c r="O298" s="19"/>
      <c r="P298" s="19"/>
      <c r="Q298" s="19"/>
      <c r="R298" s="19"/>
      <c r="S298" s="19"/>
    </row>
    <row r="299" spans="2:19" x14ac:dyDescent="0.25">
      <c r="B299" s="19"/>
      <c r="C299" s="19"/>
      <c r="D299" s="19"/>
      <c r="E299" s="30"/>
      <c r="F299" s="30"/>
      <c r="G299" s="30"/>
      <c r="H299" s="30"/>
      <c r="I299" s="30"/>
      <c r="J299" s="30"/>
      <c r="K299" s="30"/>
      <c r="L299" s="29"/>
      <c r="M299" s="19"/>
      <c r="N299" s="19"/>
      <c r="O299" s="19"/>
      <c r="P299" s="19"/>
      <c r="Q299" s="19"/>
      <c r="R299" s="19"/>
      <c r="S299" s="19"/>
    </row>
    <row r="300" spans="2:19" x14ac:dyDescent="0.25">
      <c r="B300" s="19"/>
      <c r="C300" s="19"/>
      <c r="D300" s="19"/>
      <c r="E300" s="30"/>
      <c r="F300" s="30"/>
      <c r="G300" s="30"/>
      <c r="H300" s="30"/>
      <c r="I300" s="30"/>
      <c r="J300" s="30"/>
      <c r="K300" s="30"/>
      <c r="L300" s="29"/>
      <c r="M300" s="19"/>
      <c r="N300" s="19"/>
      <c r="O300" s="19"/>
      <c r="P300" s="19"/>
      <c r="Q300" s="19"/>
      <c r="R300" s="19"/>
      <c r="S300" s="19"/>
    </row>
    <row r="301" spans="2:19" x14ac:dyDescent="0.25">
      <c r="B301" s="19"/>
      <c r="C301" s="19"/>
      <c r="D301" s="19"/>
      <c r="E301" s="30"/>
      <c r="F301" s="30"/>
      <c r="G301" s="30"/>
      <c r="H301" s="30"/>
      <c r="I301" s="30"/>
      <c r="J301" s="30"/>
      <c r="K301" s="30"/>
      <c r="L301" s="29"/>
      <c r="M301" s="19"/>
      <c r="N301" s="19"/>
      <c r="O301" s="19"/>
      <c r="P301" s="19"/>
      <c r="Q301" s="19"/>
      <c r="R301" s="19"/>
      <c r="S301" s="19"/>
    </row>
    <row r="302" spans="2:19" x14ac:dyDescent="0.25">
      <c r="B302" s="19"/>
      <c r="C302" s="19"/>
      <c r="D302" s="19"/>
      <c r="E302" s="30"/>
      <c r="F302" s="30"/>
      <c r="G302" s="30"/>
      <c r="H302" s="30"/>
      <c r="I302" s="30"/>
      <c r="J302" s="30"/>
      <c r="K302" s="30"/>
      <c r="L302" s="29"/>
      <c r="M302" s="19"/>
      <c r="N302" s="19"/>
      <c r="O302" s="19"/>
      <c r="P302" s="19"/>
      <c r="Q302" s="19"/>
      <c r="R302" s="19"/>
      <c r="S302" s="19"/>
    </row>
    <row r="303" spans="2:19" x14ac:dyDescent="0.25">
      <c r="B303" s="19"/>
      <c r="C303" s="19"/>
      <c r="D303" s="19"/>
      <c r="E303" s="30"/>
      <c r="F303" s="30"/>
      <c r="G303" s="30"/>
      <c r="H303" s="30"/>
      <c r="I303" s="30"/>
      <c r="J303" s="30"/>
      <c r="K303" s="30"/>
      <c r="L303" s="29"/>
      <c r="M303" s="19"/>
      <c r="N303" s="19"/>
      <c r="O303" s="19"/>
      <c r="P303" s="19"/>
      <c r="Q303" s="19"/>
      <c r="R303" s="19"/>
      <c r="S303" s="19"/>
    </row>
    <row r="304" spans="2:19" x14ac:dyDescent="0.25">
      <c r="B304" s="19"/>
      <c r="C304" s="19"/>
      <c r="D304" s="19"/>
      <c r="E304" s="30"/>
      <c r="F304" s="30"/>
      <c r="G304" s="30"/>
      <c r="H304" s="30"/>
      <c r="I304" s="30"/>
      <c r="J304" s="30"/>
      <c r="K304" s="30"/>
      <c r="L304" s="29"/>
      <c r="M304" s="19"/>
      <c r="N304" s="19"/>
      <c r="O304" s="19"/>
      <c r="P304" s="19"/>
      <c r="Q304" s="19"/>
      <c r="R304" s="19"/>
      <c r="S304" s="19"/>
    </row>
    <row r="305" spans="2:19" x14ac:dyDescent="0.25">
      <c r="B305" s="19"/>
      <c r="C305" s="19"/>
      <c r="D305" s="19"/>
      <c r="E305" s="30"/>
      <c r="F305" s="30"/>
      <c r="G305" s="30"/>
      <c r="H305" s="30"/>
      <c r="I305" s="30"/>
      <c r="J305" s="30"/>
      <c r="K305" s="30"/>
      <c r="L305" s="29"/>
      <c r="M305" s="19"/>
      <c r="N305" s="19"/>
      <c r="O305" s="19"/>
      <c r="P305" s="19"/>
      <c r="Q305" s="19"/>
      <c r="R305" s="19"/>
      <c r="S305" s="19"/>
    </row>
    <row r="306" spans="2:19" x14ac:dyDescent="0.25">
      <c r="B306" s="19"/>
      <c r="C306" s="19"/>
      <c r="D306" s="19"/>
      <c r="E306" s="30"/>
      <c r="F306" s="30"/>
      <c r="G306" s="30"/>
      <c r="H306" s="30"/>
      <c r="I306" s="30"/>
      <c r="J306" s="30"/>
      <c r="K306" s="30"/>
      <c r="L306" s="29"/>
      <c r="M306" s="19"/>
      <c r="N306" s="19"/>
      <c r="O306" s="19"/>
      <c r="P306" s="19"/>
      <c r="Q306" s="19"/>
      <c r="R306" s="19"/>
      <c r="S306" s="19"/>
    </row>
    <row r="307" spans="2:19" x14ac:dyDescent="0.25">
      <c r="B307" s="19"/>
      <c r="C307" s="19"/>
      <c r="D307" s="19"/>
      <c r="E307" s="30"/>
      <c r="F307" s="30"/>
      <c r="G307" s="30"/>
      <c r="H307" s="30"/>
      <c r="I307" s="30"/>
      <c r="J307" s="30"/>
      <c r="K307" s="30"/>
      <c r="L307" s="29"/>
      <c r="M307" s="19"/>
      <c r="N307" s="19"/>
      <c r="O307" s="19"/>
      <c r="P307" s="19"/>
      <c r="Q307" s="19"/>
      <c r="R307" s="19"/>
      <c r="S307" s="19"/>
    </row>
    <row r="308" spans="2:19" x14ac:dyDescent="0.25">
      <c r="B308" s="19"/>
      <c r="C308" s="19"/>
      <c r="D308" s="19"/>
      <c r="E308" s="30"/>
      <c r="F308" s="30"/>
      <c r="G308" s="30"/>
      <c r="H308" s="30"/>
      <c r="I308" s="30"/>
      <c r="J308" s="30"/>
      <c r="K308" s="30"/>
      <c r="L308" s="29"/>
      <c r="M308" s="19"/>
      <c r="N308" s="19"/>
      <c r="O308" s="19"/>
      <c r="P308" s="19"/>
      <c r="Q308" s="19"/>
      <c r="R308" s="19"/>
      <c r="S308" s="19"/>
    </row>
    <row r="309" spans="2:19" x14ac:dyDescent="0.25">
      <c r="B309" s="19"/>
      <c r="C309" s="19"/>
      <c r="D309" s="19"/>
      <c r="E309" s="30"/>
      <c r="F309" s="30"/>
      <c r="G309" s="30"/>
      <c r="H309" s="30"/>
      <c r="I309" s="30"/>
      <c r="J309" s="30"/>
      <c r="K309" s="30"/>
      <c r="L309" s="29"/>
      <c r="M309" s="19"/>
      <c r="N309" s="19"/>
      <c r="O309" s="19"/>
      <c r="P309" s="19"/>
      <c r="Q309" s="19"/>
      <c r="R309" s="19"/>
      <c r="S309" s="19"/>
    </row>
    <row r="310" spans="2:19" x14ac:dyDescent="0.25">
      <c r="B310" s="19"/>
      <c r="C310" s="19"/>
      <c r="D310" s="19"/>
      <c r="E310" s="30"/>
      <c r="F310" s="30"/>
      <c r="G310" s="30"/>
      <c r="H310" s="30"/>
      <c r="I310" s="30"/>
      <c r="J310" s="30"/>
      <c r="K310" s="30"/>
      <c r="L310" s="29"/>
      <c r="M310" s="19"/>
      <c r="N310" s="19"/>
      <c r="O310" s="19"/>
      <c r="P310" s="19"/>
      <c r="Q310" s="19"/>
      <c r="R310" s="19"/>
      <c r="S310" s="19"/>
    </row>
    <row r="311" spans="2:19" x14ac:dyDescent="0.25">
      <c r="B311" s="19"/>
      <c r="C311" s="19"/>
      <c r="D311" s="19"/>
      <c r="E311" s="30"/>
      <c r="F311" s="30"/>
      <c r="G311" s="30"/>
      <c r="H311" s="30"/>
      <c r="I311" s="30"/>
      <c r="J311" s="30"/>
      <c r="K311" s="30"/>
      <c r="L311" s="29"/>
      <c r="M311" s="19"/>
      <c r="N311" s="19"/>
      <c r="O311" s="19"/>
      <c r="P311" s="19"/>
      <c r="Q311" s="19"/>
      <c r="R311" s="19"/>
      <c r="S311" s="19"/>
    </row>
    <row r="312" spans="2:19" x14ac:dyDescent="0.25">
      <c r="B312" s="19"/>
      <c r="C312" s="19"/>
      <c r="D312" s="19"/>
      <c r="E312" s="30"/>
      <c r="F312" s="30"/>
      <c r="G312" s="30"/>
      <c r="H312" s="30"/>
      <c r="I312" s="30"/>
      <c r="J312" s="30"/>
      <c r="K312" s="30"/>
      <c r="L312" s="29"/>
      <c r="M312" s="19"/>
      <c r="N312" s="19"/>
      <c r="O312" s="19"/>
      <c r="P312" s="19"/>
      <c r="Q312" s="19"/>
      <c r="R312" s="19"/>
      <c r="S312" s="19"/>
    </row>
    <row r="313" spans="2:19" x14ac:dyDescent="0.25">
      <c r="B313" s="19"/>
      <c r="C313" s="19"/>
      <c r="D313" s="19"/>
      <c r="E313" s="30"/>
      <c r="F313" s="30"/>
      <c r="G313" s="30"/>
      <c r="H313" s="30"/>
      <c r="I313" s="30"/>
      <c r="J313" s="30"/>
      <c r="K313" s="30"/>
      <c r="L313" s="29"/>
      <c r="M313" s="19"/>
      <c r="N313" s="19"/>
      <c r="O313" s="19"/>
      <c r="P313" s="19"/>
      <c r="Q313" s="19"/>
      <c r="R313" s="19"/>
      <c r="S313" s="19"/>
    </row>
    <row r="314" spans="2:19" x14ac:dyDescent="0.25">
      <c r="B314" s="19"/>
      <c r="C314" s="19"/>
      <c r="D314" s="19"/>
      <c r="E314" s="30"/>
      <c r="F314" s="30"/>
      <c r="G314" s="30"/>
      <c r="H314" s="30"/>
      <c r="I314" s="30"/>
      <c r="J314" s="30"/>
      <c r="K314" s="30"/>
      <c r="L314" s="29"/>
      <c r="M314" s="19"/>
      <c r="N314" s="19"/>
      <c r="O314" s="19"/>
      <c r="P314" s="19"/>
      <c r="Q314" s="19"/>
      <c r="R314" s="19"/>
      <c r="S314" s="19"/>
    </row>
    <row r="315" spans="2:19" x14ac:dyDescent="0.25">
      <c r="B315" s="19"/>
      <c r="C315" s="19"/>
      <c r="D315" s="19"/>
      <c r="E315" s="30"/>
      <c r="F315" s="30"/>
      <c r="G315" s="30"/>
      <c r="H315" s="30"/>
      <c r="I315" s="30"/>
      <c r="J315" s="30"/>
      <c r="K315" s="30"/>
      <c r="L315" s="29"/>
      <c r="M315" s="19"/>
      <c r="N315" s="19"/>
      <c r="O315" s="19"/>
      <c r="P315" s="19"/>
      <c r="Q315" s="19"/>
      <c r="R315" s="19"/>
      <c r="S315" s="19"/>
    </row>
    <row r="316" spans="2:19" x14ac:dyDescent="0.25">
      <c r="B316" s="19"/>
      <c r="C316" s="19"/>
      <c r="D316" s="19"/>
      <c r="E316" s="30"/>
      <c r="F316" s="30"/>
      <c r="G316" s="30"/>
      <c r="H316" s="30"/>
      <c r="I316" s="30"/>
      <c r="J316" s="30"/>
      <c r="K316" s="30"/>
      <c r="L316" s="29"/>
      <c r="M316" s="19"/>
      <c r="N316" s="19"/>
      <c r="O316" s="19"/>
      <c r="P316" s="19"/>
      <c r="Q316" s="19"/>
      <c r="R316" s="19"/>
      <c r="S316" s="19"/>
    </row>
    <row r="317" spans="2:19" x14ac:dyDescent="0.25">
      <c r="B317" s="19"/>
      <c r="C317" s="19"/>
      <c r="D317" s="19"/>
      <c r="E317" s="30"/>
      <c r="F317" s="30"/>
      <c r="G317" s="30"/>
      <c r="H317" s="30"/>
      <c r="I317" s="30"/>
      <c r="J317" s="30"/>
      <c r="K317" s="30"/>
      <c r="L317" s="29"/>
      <c r="M317" s="19"/>
      <c r="N317" s="19"/>
      <c r="O317" s="19"/>
      <c r="P317" s="19"/>
      <c r="Q317" s="19"/>
      <c r="R317" s="19"/>
      <c r="S317" s="19"/>
    </row>
    <row r="318" spans="2:19" x14ac:dyDescent="0.25">
      <c r="B318" s="19"/>
      <c r="C318" s="19"/>
      <c r="D318" s="19"/>
      <c r="E318" s="30"/>
      <c r="F318" s="30"/>
      <c r="G318" s="30"/>
      <c r="H318" s="30"/>
      <c r="I318" s="30"/>
      <c r="J318" s="30"/>
      <c r="K318" s="30"/>
      <c r="L318" s="29"/>
      <c r="M318" s="19"/>
      <c r="N318" s="19"/>
      <c r="O318" s="19"/>
      <c r="P318" s="19"/>
      <c r="Q318" s="19"/>
      <c r="R318" s="19"/>
      <c r="S318" s="19"/>
    </row>
    <row r="319" spans="2:19" x14ac:dyDescent="0.25">
      <c r="B319" s="19"/>
      <c r="C319" s="19"/>
      <c r="D319" s="19"/>
      <c r="E319" s="30"/>
      <c r="F319" s="30"/>
      <c r="G319" s="30"/>
      <c r="H319" s="30"/>
      <c r="I319" s="30"/>
      <c r="J319" s="30"/>
      <c r="K319" s="30"/>
      <c r="L319" s="29"/>
      <c r="M319" s="19"/>
      <c r="N319" s="19"/>
      <c r="O319" s="19"/>
      <c r="P319" s="19"/>
      <c r="Q319" s="19"/>
      <c r="R319" s="19"/>
      <c r="S319" s="19"/>
    </row>
    <row r="320" spans="2:19" x14ac:dyDescent="0.25">
      <c r="B320" s="19"/>
      <c r="C320" s="19"/>
      <c r="D320" s="19"/>
      <c r="E320" s="30"/>
      <c r="F320" s="30"/>
      <c r="G320" s="30"/>
      <c r="H320" s="30"/>
      <c r="I320" s="30"/>
      <c r="J320" s="30"/>
      <c r="K320" s="30"/>
      <c r="L320" s="29"/>
      <c r="M320" s="19"/>
      <c r="N320" s="19"/>
      <c r="O320" s="19"/>
      <c r="P320" s="19"/>
      <c r="Q320" s="19"/>
      <c r="R320" s="19"/>
      <c r="S320" s="19"/>
    </row>
    <row r="321" spans="2:19" x14ac:dyDescent="0.25">
      <c r="B321" s="19"/>
      <c r="C321" s="19"/>
      <c r="D321" s="19"/>
      <c r="E321" s="30"/>
      <c r="F321" s="30"/>
      <c r="G321" s="30"/>
      <c r="H321" s="30"/>
      <c r="I321" s="30"/>
      <c r="J321" s="30"/>
      <c r="K321" s="30"/>
      <c r="L321" s="29"/>
      <c r="M321" s="19"/>
      <c r="N321" s="19"/>
      <c r="O321" s="19"/>
      <c r="P321" s="19"/>
      <c r="Q321" s="19"/>
      <c r="R321" s="19"/>
      <c r="S321" s="19"/>
    </row>
    <row r="322" spans="2:19" x14ac:dyDescent="0.25">
      <c r="B322" s="19"/>
      <c r="C322" s="19"/>
      <c r="D322" s="19"/>
      <c r="E322" s="30"/>
      <c r="F322" s="30"/>
      <c r="G322" s="30"/>
      <c r="H322" s="30"/>
      <c r="I322" s="30"/>
      <c r="J322" s="30"/>
      <c r="K322" s="30"/>
      <c r="L322" s="29"/>
      <c r="M322" s="19"/>
      <c r="N322" s="19"/>
      <c r="O322" s="19"/>
      <c r="P322" s="19"/>
      <c r="Q322" s="19"/>
      <c r="R322" s="19"/>
      <c r="S322" s="19"/>
    </row>
    <row r="323" spans="2:19" x14ac:dyDescent="0.25">
      <c r="B323" s="19"/>
      <c r="C323" s="19"/>
      <c r="D323" s="19"/>
      <c r="E323" s="30"/>
      <c r="F323" s="30"/>
      <c r="G323" s="30"/>
      <c r="H323" s="30"/>
      <c r="I323" s="30"/>
      <c r="J323" s="30"/>
      <c r="K323" s="30"/>
      <c r="L323" s="29"/>
      <c r="M323" s="19"/>
      <c r="N323" s="19"/>
      <c r="O323" s="19"/>
      <c r="P323" s="19"/>
      <c r="Q323" s="19"/>
      <c r="R323" s="19"/>
      <c r="S323" s="19"/>
    </row>
    <row r="324" spans="2:19" x14ac:dyDescent="0.25">
      <c r="B324" s="19"/>
      <c r="C324" s="19"/>
      <c r="D324" s="19"/>
      <c r="E324" s="30"/>
      <c r="F324" s="30"/>
      <c r="G324" s="30"/>
      <c r="H324" s="30"/>
      <c r="I324" s="30"/>
      <c r="J324" s="30"/>
      <c r="K324" s="30"/>
      <c r="L324" s="29"/>
      <c r="M324" s="19"/>
      <c r="N324" s="19"/>
      <c r="O324" s="19"/>
      <c r="P324" s="19"/>
      <c r="Q324" s="19"/>
      <c r="R324" s="19"/>
      <c r="S324" s="19"/>
    </row>
    <row r="325" spans="2:19" x14ac:dyDescent="0.25">
      <c r="B325" s="19"/>
      <c r="C325" s="19"/>
      <c r="D325" s="19"/>
      <c r="E325" s="30"/>
      <c r="F325" s="30"/>
      <c r="G325" s="30"/>
      <c r="H325" s="30"/>
      <c r="I325" s="30"/>
      <c r="J325" s="30"/>
      <c r="K325" s="30"/>
      <c r="L325" s="29"/>
      <c r="M325" s="19"/>
      <c r="N325" s="19"/>
      <c r="O325" s="19"/>
      <c r="P325" s="19"/>
      <c r="Q325" s="19"/>
      <c r="R325" s="19"/>
      <c r="S325" s="19"/>
    </row>
    <row r="326" spans="2:19" x14ac:dyDescent="0.25">
      <c r="B326" s="19"/>
      <c r="C326" s="19"/>
      <c r="D326" s="19"/>
      <c r="E326" s="30"/>
      <c r="F326" s="30"/>
      <c r="G326" s="30"/>
      <c r="H326" s="30"/>
      <c r="I326" s="30"/>
      <c r="J326" s="30"/>
      <c r="K326" s="30"/>
      <c r="L326" s="29"/>
      <c r="M326" s="19"/>
      <c r="N326" s="19"/>
      <c r="O326" s="19"/>
      <c r="P326" s="19"/>
      <c r="Q326" s="19"/>
      <c r="R326" s="19"/>
      <c r="S326" s="19"/>
    </row>
    <row r="327" spans="2:19" x14ac:dyDescent="0.25">
      <c r="B327" s="19"/>
      <c r="C327" s="19"/>
      <c r="D327" s="19"/>
      <c r="E327" s="30"/>
      <c r="F327" s="30"/>
      <c r="G327" s="30"/>
      <c r="H327" s="30"/>
      <c r="I327" s="30"/>
      <c r="J327" s="30"/>
      <c r="K327" s="30"/>
      <c r="L327" s="29"/>
      <c r="M327" s="19"/>
      <c r="N327" s="19"/>
      <c r="O327" s="19"/>
      <c r="P327" s="19"/>
      <c r="Q327" s="19"/>
      <c r="R327" s="19"/>
      <c r="S327" s="19"/>
    </row>
    <row r="328" spans="2:19" x14ac:dyDescent="0.25">
      <c r="B328" s="19"/>
      <c r="C328" s="19"/>
      <c r="D328" s="19"/>
      <c r="E328" s="30"/>
      <c r="F328" s="30"/>
      <c r="G328" s="30"/>
      <c r="H328" s="30"/>
      <c r="I328" s="30"/>
      <c r="J328" s="30"/>
      <c r="K328" s="30"/>
      <c r="L328" s="29"/>
      <c r="M328" s="19"/>
      <c r="N328" s="19"/>
      <c r="O328" s="19"/>
      <c r="P328" s="19"/>
      <c r="Q328" s="19"/>
      <c r="R328" s="19"/>
      <c r="S328" s="19"/>
    </row>
    <row r="329" spans="2:19" x14ac:dyDescent="0.25">
      <c r="B329" s="19"/>
      <c r="C329" s="19"/>
      <c r="D329" s="19"/>
      <c r="E329" s="30"/>
      <c r="F329" s="30"/>
      <c r="G329" s="30"/>
      <c r="H329" s="30"/>
      <c r="I329" s="30"/>
      <c r="J329" s="30"/>
      <c r="K329" s="30"/>
      <c r="L329" s="29"/>
      <c r="M329" s="19"/>
      <c r="N329" s="19"/>
      <c r="O329" s="19"/>
      <c r="P329" s="19"/>
      <c r="Q329" s="19"/>
      <c r="R329" s="19"/>
      <c r="S329" s="19"/>
    </row>
    <row r="330" spans="2:19" x14ac:dyDescent="0.25">
      <c r="B330" s="19"/>
      <c r="C330" s="19"/>
      <c r="D330" s="19"/>
      <c r="E330" s="30"/>
      <c r="F330" s="30"/>
      <c r="G330" s="30"/>
      <c r="H330" s="30"/>
      <c r="I330" s="30"/>
      <c r="J330" s="30"/>
      <c r="K330" s="30"/>
      <c r="L330" s="29"/>
      <c r="M330" s="19"/>
      <c r="N330" s="19"/>
      <c r="O330" s="19"/>
      <c r="P330" s="19"/>
      <c r="Q330" s="19"/>
      <c r="R330" s="19"/>
      <c r="S330" s="19"/>
    </row>
    <row r="331" spans="2:19" x14ac:dyDescent="0.25">
      <c r="B331" s="19"/>
      <c r="C331" s="19"/>
      <c r="D331" s="19"/>
      <c r="E331" s="30"/>
      <c r="F331" s="30"/>
      <c r="G331" s="30"/>
      <c r="H331" s="30"/>
      <c r="I331" s="30"/>
      <c r="J331" s="30"/>
      <c r="K331" s="30"/>
      <c r="L331" s="29"/>
      <c r="M331" s="19"/>
      <c r="N331" s="19"/>
      <c r="O331" s="19"/>
      <c r="P331" s="19"/>
      <c r="Q331" s="19"/>
      <c r="R331" s="19"/>
      <c r="S331" s="19"/>
    </row>
    <row r="332" spans="2:19" x14ac:dyDescent="0.25">
      <c r="B332" s="19"/>
      <c r="C332" s="19"/>
      <c r="D332" s="19"/>
      <c r="E332" s="30"/>
      <c r="F332" s="30"/>
      <c r="G332" s="30"/>
      <c r="H332" s="30"/>
      <c r="I332" s="30"/>
      <c r="J332" s="30"/>
      <c r="K332" s="30"/>
      <c r="L332" s="29"/>
      <c r="M332" s="19"/>
      <c r="N332" s="19"/>
      <c r="O332" s="19"/>
      <c r="P332" s="19"/>
      <c r="Q332" s="19"/>
      <c r="R332" s="19"/>
      <c r="S332" s="19"/>
    </row>
    <row r="333" spans="2:19" x14ac:dyDescent="0.25">
      <c r="B333" s="19"/>
      <c r="C333" s="19"/>
      <c r="D333" s="19"/>
      <c r="E333" s="30"/>
      <c r="F333" s="30"/>
      <c r="G333" s="30"/>
      <c r="H333" s="30"/>
      <c r="I333" s="30"/>
      <c r="J333" s="30"/>
      <c r="K333" s="30"/>
      <c r="L333" s="29"/>
      <c r="M333" s="19"/>
      <c r="N333" s="19"/>
      <c r="O333" s="19"/>
      <c r="P333" s="19"/>
      <c r="Q333" s="19"/>
      <c r="R333" s="19"/>
      <c r="S333" s="19"/>
    </row>
    <row r="334" spans="2:19" x14ac:dyDescent="0.25">
      <c r="B334" s="19"/>
      <c r="C334" s="19"/>
      <c r="D334" s="19"/>
      <c r="E334" s="30"/>
      <c r="F334" s="30"/>
      <c r="G334" s="30"/>
      <c r="H334" s="30"/>
      <c r="I334" s="30"/>
      <c r="J334" s="30"/>
      <c r="K334" s="30"/>
      <c r="L334" s="29"/>
      <c r="M334" s="19"/>
      <c r="N334" s="19"/>
      <c r="O334" s="19"/>
      <c r="P334" s="19"/>
      <c r="Q334" s="19"/>
      <c r="R334" s="19"/>
      <c r="S334" s="19"/>
    </row>
    <row r="335" spans="2:19" x14ac:dyDescent="0.25">
      <c r="B335" s="19"/>
      <c r="C335" s="19"/>
      <c r="D335" s="19"/>
      <c r="E335" s="30"/>
      <c r="F335" s="30"/>
      <c r="G335" s="30"/>
      <c r="H335" s="30"/>
      <c r="I335" s="30"/>
      <c r="J335" s="30"/>
      <c r="K335" s="30"/>
      <c r="L335" s="29"/>
      <c r="M335" s="19"/>
      <c r="N335" s="19"/>
      <c r="O335" s="19"/>
      <c r="P335" s="19"/>
      <c r="Q335" s="19"/>
      <c r="R335" s="19"/>
      <c r="S335" s="19"/>
    </row>
    <row r="336" spans="2:19" x14ac:dyDescent="0.25">
      <c r="B336" s="19"/>
      <c r="C336" s="19"/>
      <c r="D336" s="19"/>
      <c r="E336" s="30"/>
      <c r="F336" s="30"/>
      <c r="G336" s="30"/>
      <c r="H336" s="30"/>
      <c r="I336" s="30"/>
      <c r="J336" s="30"/>
      <c r="K336" s="30"/>
      <c r="L336" s="29"/>
      <c r="M336" s="19"/>
      <c r="N336" s="19"/>
      <c r="O336" s="19"/>
      <c r="P336" s="19"/>
      <c r="Q336" s="19"/>
      <c r="R336" s="19"/>
      <c r="S336" s="19"/>
    </row>
    <row r="337" spans="2:19" x14ac:dyDescent="0.25">
      <c r="B337" s="19"/>
      <c r="C337" s="19"/>
      <c r="D337" s="19"/>
      <c r="E337" s="30"/>
      <c r="F337" s="30"/>
      <c r="G337" s="30"/>
      <c r="H337" s="30"/>
      <c r="I337" s="30"/>
      <c r="J337" s="30"/>
      <c r="K337" s="30"/>
      <c r="L337" s="29"/>
      <c r="M337" s="19"/>
      <c r="N337" s="19"/>
      <c r="O337" s="19"/>
      <c r="P337" s="19"/>
      <c r="Q337" s="19"/>
      <c r="R337" s="19"/>
      <c r="S337" s="19"/>
    </row>
    <row r="338" spans="2:19" x14ac:dyDescent="0.25">
      <c r="B338" s="19"/>
      <c r="C338" s="19"/>
      <c r="D338" s="19"/>
      <c r="E338" s="30"/>
      <c r="F338" s="30"/>
      <c r="G338" s="30"/>
      <c r="H338" s="30"/>
      <c r="I338" s="30"/>
      <c r="J338" s="30"/>
      <c r="K338" s="30"/>
      <c r="L338" s="29"/>
      <c r="M338" s="19"/>
      <c r="N338" s="19"/>
      <c r="O338" s="19"/>
      <c r="P338" s="19"/>
      <c r="Q338" s="19"/>
      <c r="R338" s="19"/>
      <c r="S338" s="19"/>
    </row>
    <row r="339" spans="2:19" x14ac:dyDescent="0.25">
      <c r="B339" s="19"/>
      <c r="C339" s="19"/>
      <c r="D339" s="19"/>
      <c r="E339" s="30"/>
      <c r="F339" s="30"/>
      <c r="G339" s="30"/>
      <c r="H339" s="30"/>
      <c r="I339" s="30"/>
      <c r="J339" s="30"/>
      <c r="K339" s="30"/>
      <c r="L339" s="29"/>
      <c r="M339" s="19"/>
      <c r="N339" s="19"/>
      <c r="O339" s="19"/>
      <c r="P339" s="19"/>
      <c r="Q339" s="19"/>
      <c r="R339" s="19"/>
      <c r="S339" s="19"/>
    </row>
    <row r="340" spans="2:19" x14ac:dyDescent="0.25">
      <c r="B340" s="19"/>
      <c r="C340" s="19"/>
      <c r="D340" s="19"/>
      <c r="E340" s="30"/>
      <c r="F340" s="30"/>
      <c r="G340" s="30"/>
      <c r="H340" s="30"/>
      <c r="I340" s="30"/>
      <c r="J340" s="30"/>
      <c r="K340" s="30"/>
      <c r="L340" s="29"/>
      <c r="M340" s="19"/>
      <c r="N340" s="19"/>
      <c r="O340" s="19"/>
      <c r="P340" s="19"/>
      <c r="Q340" s="19"/>
      <c r="R340" s="19"/>
      <c r="S340" s="19"/>
    </row>
    <row r="341" spans="2:19" x14ac:dyDescent="0.25">
      <c r="B341" s="19"/>
      <c r="C341" s="19"/>
      <c r="D341" s="19"/>
      <c r="E341" s="30"/>
      <c r="F341" s="30"/>
      <c r="G341" s="30"/>
      <c r="H341" s="30"/>
      <c r="I341" s="30"/>
      <c r="J341" s="30"/>
      <c r="K341" s="30"/>
      <c r="L341" s="29"/>
      <c r="M341" s="19"/>
      <c r="N341" s="19"/>
      <c r="O341" s="19"/>
      <c r="P341" s="19"/>
      <c r="Q341" s="19"/>
      <c r="R341" s="19"/>
      <c r="S341" s="19"/>
    </row>
    <row r="342" spans="2:19" x14ac:dyDescent="0.25">
      <c r="B342" s="19"/>
      <c r="C342" s="19"/>
      <c r="D342" s="19"/>
      <c r="E342" s="30"/>
      <c r="F342" s="30"/>
      <c r="G342" s="30"/>
      <c r="H342" s="30"/>
      <c r="I342" s="30"/>
      <c r="J342" s="30"/>
      <c r="K342" s="30"/>
      <c r="L342" s="29"/>
      <c r="M342" s="19"/>
      <c r="N342" s="19"/>
      <c r="O342" s="19"/>
      <c r="P342" s="19"/>
      <c r="Q342" s="19"/>
      <c r="R342" s="19"/>
      <c r="S342" s="19"/>
    </row>
    <row r="343" spans="2:19" x14ac:dyDescent="0.25">
      <c r="B343" s="19"/>
      <c r="C343" s="19"/>
      <c r="D343" s="19"/>
      <c r="E343" s="30"/>
      <c r="F343" s="30"/>
      <c r="G343" s="30"/>
      <c r="H343" s="30"/>
      <c r="I343" s="30"/>
      <c r="J343" s="30"/>
      <c r="K343" s="30"/>
      <c r="L343" s="29"/>
      <c r="M343" s="19"/>
      <c r="N343" s="19"/>
      <c r="O343" s="19"/>
      <c r="P343" s="19"/>
      <c r="Q343" s="19"/>
      <c r="R343" s="19"/>
      <c r="S343" s="19"/>
    </row>
    <row r="344" spans="2:19" x14ac:dyDescent="0.25">
      <c r="B344" s="19"/>
      <c r="C344" s="19"/>
      <c r="D344" s="19"/>
      <c r="E344" s="30"/>
      <c r="F344" s="30"/>
      <c r="G344" s="30"/>
      <c r="H344" s="30"/>
      <c r="I344" s="30"/>
      <c r="J344" s="30"/>
      <c r="K344" s="30"/>
      <c r="L344" s="29"/>
      <c r="M344" s="19"/>
      <c r="N344" s="19"/>
      <c r="O344" s="19"/>
      <c r="P344" s="19"/>
      <c r="Q344" s="19"/>
      <c r="R344" s="19"/>
      <c r="S344" s="19"/>
    </row>
    <row r="345" spans="2:19" x14ac:dyDescent="0.25">
      <c r="B345" s="19"/>
      <c r="C345" s="19"/>
      <c r="D345" s="19"/>
      <c r="E345" s="30"/>
      <c r="F345" s="30"/>
      <c r="G345" s="30"/>
      <c r="H345" s="30"/>
      <c r="I345" s="30"/>
      <c r="J345" s="30"/>
      <c r="K345" s="30"/>
      <c r="L345" s="29"/>
      <c r="M345" s="19"/>
      <c r="N345" s="19"/>
      <c r="O345" s="19"/>
      <c r="P345" s="19"/>
      <c r="Q345" s="19"/>
      <c r="R345" s="19"/>
      <c r="S345" s="19"/>
    </row>
    <row r="346" spans="2:19" x14ac:dyDescent="0.25">
      <c r="B346" s="19"/>
      <c r="C346" s="19"/>
      <c r="D346" s="19"/>
      <c r="E346" s="30"/>
      <c r="F346" s="30"/>
      <c r="G346" s="30"/>
      <c r="H346" s="30"/>
      <c r="I346" s="30"/>
      <c r="J346" s="30"/>
      <c r="K346" s="30"/>
      <c r="L346" s="29"/>
      <c r="M346" s="19"/>
      <c r="N346" s="19"/>
      <c r="O346" s="19"/>
      <c r="P346" s="19"/>
      <c r="Q346" s="19"/>
      <c r="R346" s="19"/>
      <c r="S346" s="19"/>
    </row>
    <row r="347" spans="2:19" x14ac:dyDescent="0.25">
      <c r="B347" s="19"/>
      <c r="C347" s="19"/>
      <c r="D347" s="19"/>
      <c r="E347" s="30"/>
      <c r="F347" s="30"/>
      <c r="G347" s="30"/>
      <c r="H347" s="30"/>
      <c r="I347" s="30"/>
      <c r="J347" s="30"/>
      <c r="K347" s="30"/>
      <c r="L347" s="29"/>
      <c r="M347" s="19"/>
      <c r="N347" s="19"/>
      <c r="O347" s="19"/>
      <c r="P347" s="19"/>
      <c r="Q347" s="19"/>
      <c r="R347" s="19"/>
      <c r="S347" s="19"/>
    </row>
    <row r="348" spans="2:19" x14ac:dyDescent="0.25">
      <c r="B348" s="19"/>
      <c r="C348" s="19"/>
      <c r="D348" s="19"/>
      <c r="E348" s="30"/>
      <c r="F348" s="30"/>
      <c r="G348" s="30"/>
      <c r="H348" s="30"/>
      <c r="I348" s="30"/>
      <c r="J348" s="30"/>
      <c r="K348" s="30"/>
      <c r="L348" s="29"/>
      <c r="M348" s="19"/>
      <c r="N348" s="19"/>
      <c r="O348" s="19"/>
      <c r="P348" s="19"/>
      <c r="Q348" s="19"/>
      <c r="R348" s="19"/>
      <c r="S348" s="19"/>
    </row>
    <row r="349" spans="2:19" x14ac:dyDescent="0.25">
      <c r="B349" s="19"/>
      <c r="C349" s="19"/>
      <c r="D349" s="19"/>
      <c r="E349" s="30"/>
      <c r="F349" s="30"/>
      <c r="G349" s="30"/>
      <c r="H349" s="30"/>
      <c r="I349" s="30"/>
      <c r="J349" s="30"/>
      <c r="K349" s="30"/>
      <c r="L349" s="29"/>
      <c r="M349" s="19"/>
      <c r="N349" s="19"/>
      <c r="O349" s="19"/>
      <c r="P349" s="19"/>
      <c r="Q349" s="19"/>
      <c r="R349" s="19"/>
      <c r="S349" s="19"/>
    </row>
    <row r="350" spans="2:19" x14ac:dyDescent="0.25">
      <c r="B350" s="19"/>
      <c r="C350" s="19"/>
      <c r="D350" s="19"/>
      <c r="E350" s="30"/>
      <c r="F350" s="30"/>
      <c r="G350" s="30"/>
      <c r="H350" s="30"/>
      <c r="I350" s="30"/>
      <c r="J350" s="30"/>
      <c r="K350" s="30"/>
      <c r="L350" s="29"/>
      <c r="M350" s="19"/>
      <c r="N350" s="19"/>
      <c r="O350" s="19"/>
      <c r="P350" s="19"/>
      <c r="Q350" s="19"/>
      <c r="R350" s="19"/>
      <c r="S350" s="19"/>
    </row>
    <row r="351" spans="2:19" x14ac:dyDescent="0.25">
      <c r="B351" s="19"/>
      <c r="C351" s="19"/>
      <c r="D351" s="19"/>
      <c r="E351" s="30"/>
      <c r="F351" s="30"/>
      <c r="G351" s="30"/>
      <c r="H351" s="30"/>
      <c r="I351" s="30"/>
      <c r="J351" s="30"/>
      <c r="K351" s="30"/>
      <c r="L351" s="29"/>
      <c r="M351" s="19"/>
      <c r="N351" s="19"/>
      <c r="O351" s="19"/>
      <c r="P351" s="19"/>
      <c r="Q351" s="19"/>
      <c r="R351" s="19"/>
      <c r="S351" s="19"/>
    </row>
    <row r="352" spans="2:19" x14ac:dyDescent="0.25">
      <c r="B352" s="19"/>
      <c r="C352" s="19"/>
      <c r="D352" s="19"/>
      <c r="E352" s="30"/>
      <c r="F352" s="30"/>
      <c r="G352" s="30"/>
      <c r="H352" s="30"/>
      <c r="I352" s="30"/>
      <c r="J352" s="30"/>
      <c r="K352" s="30"/>
      <c r="L352" s="29"/>
      <c r="M352" s="19"/>
      <c r="N352" s="19"/>
      <c r="O352" s="19"/>
      <c r="P352" s="19"/>
      <c r="Q352" s="19"/>
      <c r="R352" s="19"/>
      <c r="S352" s="19"/>
    </row>
    <row r="353" spans="2:19" x14ac:dyDescent="0.25">
      <c r="B353" s="19"/>
      <c r="C353" s="19"/>
      <c r="D353" s="19"/>
      <c r="E353" s="30"/>
      <c r="F353" s="30"/>
      <c r="G353" s="30"/>
      <c r="H353" s="30"/>
      <c r="I353" s="30"/>
      <c r="J353" s="30"/>
      <c r="K353" s="30"/>
      <c r="L353" s="29"/>
      <c r="M353" s="19"/>
      <c r="N353" s="19"/>
      <c r="O353" s="19"/>
      <c r="P353" s="19"/>
      <c r="Q353" s="19"/>
      <c r="R353" s="19"/>
      <c r="S353" s="19"/>
    </row>
    <row r="354" spans="2:19" x14ac:dyDescent="0.25">
      <c r="B354" s="19"/>
      <c r="C354" s="19"/>
      <c r="D354" s="19"/>
      <c r="E354" s="30"/>
      <c r="F354" s="30"/>
      <c r="G354" s="30"/>
      <c r="H354" s="30"/>
      <c r="I354" s="30"/>
      <c r="J354" s="30"/>
      <c r="K354" s="30"/>
      <c r="L354" s="29"/>
      <c r="M354" s="19"/>
      <c r="N354" s="19"/>
      <c r="O354" s="19"/>
      <c r="P354" s="19"/>
      <c r="Q354" s="19"/>
      <c r="R354" s="19"/>
      <c r="S354" s="19"/>
    </row>
    <row r="355" spans="2:19" x14ac:dyDescent="0.25">
      <c r="B355" s="19"/>
      <c r="C355" s="19"/>
      <c r="D355" s="19"/>
      <c r="E355" s="30"/>
      <c r="F355" s="30"/>
      <c r="G355" s="30"/>
      <c r="H355" s="30"/>
      <c r="I355" s="30"/>
      <c r="J355" s="30"/>
      <c r="K355" s="30"/>
      <c r="L355" s="29"/>
      <c r="M355" s="19"/>
      <c r="N355" s="19"/>
      <c r="O355" s="19"/>
      <c r="P355" s="19"/>
      <c r="Q355" s="19"/>
      <c r="R355" s="19"/>
      <c r="S355" s="19"/>
    </row>
    <row r="356" spans="2:19" x14ac:dyDescent="0.25">
      <c r="B356" s="19"/>
      <c r="C356" s="19"/>
      <c r="D356" s="19"/>
      <c r="E356" s="30"/>
      <c r="F356" s="30"/>
      <c r="G356" s="30"/>
      <c r="H356" s="30"/>
      <c r="I356" s="30"/>
      <c r="J356" s="30"/>
      <c r="K356" s="30"/>
      <c r="L356" s="29"/>
      <c r="M356" s="19"/>
      <c r="N356" s="19"/>
      <c r="O356" s="19"/>
      <c r="P356" s="19"/>
      <c r="Q356" s="19"/>
      <c r="R356" s="19"/>
      <c r="S356" s="19"/>
    </row>
    <row r="357" spans="2:19" x14ac:dyDescent="0.25">
      <c r="B357" s="19"/>
      <c r="C357" s="19"/>
      <c r="D357" s="19"/>
      <c r="E357" s="30"/>
      <c r="F357" s="30"/>
      <c r="G357" s="30"/>
      <c r="H357" s="30"/>
      <c r="I357" s="30"/>
      <c r="J357" s="30"/>
      <c r="K357" s="30"/>
      <c r="L357" s="29"/>
      <c r="M357" s="19"/>
      <c r="N357" s="19"/>
      <c r="O357" s="19"/>
      <c r="P357" s="19"/>
      <c r="Q357" s="19"/>
      <c r="R357" s="19"/>
      <c r="S357" s="19"/>
    </row>
    <row r="358" spans="2:19" x14ac:dyDescent="0.25">
      <c r="B358" s="19"/>
      <c r="C358" s="19"/>
      <c r="D358" s="19"/>
      <c r="E358" s="30"/>
      <c r="F358" s="30"/>
      <c r="G358" s="30"/>
      <c r="H358" s="30"/>
      <c r="I358" s="30"/>
      <c r="J358" s="30"/>
      <c r="K358" s="30"/>
      <c r="L358" s="29"/>
      <c r="M358" s="19"/>
      <c r="N358" s="19"/>
      <c r="O358" s="19"/>
      <c r="P358" s="19"/>
      <c r="Q358" s="19"/>
      <c r="R358" s="19"/>
      <c r="S358" s="19"/>
    </row>
    <row r="359" spans="2:19" x14ac:dyDescent="0.25">
      <c r="B359" s="19"/>
      <c r="C359" s="19"/>
      <c r="D359" s="19"/>
      <c r="E359" s="30"/>
      <c r="F359" s="30"/>
      <c r="G359" s="30"/>
      <c r="H359" s="30"/>
      <c r="I359" s="30"/>
      <c r="J359" s="30"/>
      <c r="K359" s="30"/>
      <c r="L359" s="29"/>
      <c r="M359" s="19"/>
      <c r="N359" s="19"/>
      <c r="O359" s="19"/>
      <c r="P359" s="19"/>
      <c r="Q359" s="19"/>
      <c r="R359" s="19"/>
      <c r="S359" s="19"/>
    </row>
    <row r="360" spans="2:19" x14ac:dyDescent="0.25">
      <c r="B360" s="19"/>
      <c r="C360" s="19"/>
      <c r="D360" s="19"/>
      <c r="E360" s="30"/>
      <c r="F360" s="30"/>
      <c r="G360" s="30"/>
      <c r="H360" s="30"/>
      <c r="I360" s="30"/>
      <c r="J360" s="30"/>
      <c r="K360" s="30"/>
      <c r="L360" s="29"/>
      <c r="M360" s="19"/>
      <c r="N360" s="19"/>
      <c r="O360" s="19"/>
      <c r="P360" s="19"/>
      <c r="Q360" s="19"/>
      <c r="R360" s="19"/>
      <c r="S360" s="19"/>
    </row>
    <row r="361" spans="2:19" x14ac:dyDescent="0.25">
      <c r="B361" s="19"/>
      <c r="C361" s="19"/>
      <c r="D361" s="19"/>
      <c r="E361" s="30"/>
      <c r="F361" s="30"/>
      <c r="G361" s="30"/>
      <c r="H361" s="30"/>
      <c r="I361" s="30"/>
      <c r="J361" s="30"/>
      <c r="K361" s="30"/>
      <c r="L361" s="29"/>
      <c r="M361" s="19"/>
      <c r="N361" s="19"/>
      <c r="O361" s="19"/>
      <c r="P361" s="19"/>
      <c r="Q361" s="19"/>
      <c r="R361" s="19"/>
      <c r="S361" s="19"/>
    </row>
    <row r="362" spans="2:19" x14ac:dyDescent="0.25">
      <c r="B362" s="19"/>
      <c r="C362" s="19"/>
      <c r="D362" s="19"/>
      <c r="E362" s="30"/>
      <c r="F362" s="30"/>
      <c r="G362" s="30"/>
      <c r="H362" s="30"/>
      <c r="I362" s="30"/>
      <c r="J362" s="30"/>
      <c r="K362" s="30"/>
      <c r="L362" s="29"/>
      <c r="M362" s="19"/>
      <c r="N362" s="19"/>
      <c r="O362" s="19"/>
      <c r="P362" s="19"/>
      <c r="Q362" s="19"/>
      <c r="R362" s="19"/>
      <c r="S362" s="19"/>
    </row>
    <row r="363" spans="2:19" x14ac:dyDescent="0.25">
      <c r="B363" s="19"/>
      <c r="C363" s="19"/>
      <c r="D363" s="19"/>
      <c r="E363" s="30"/>
      <c r="F363" s="30"/>
      <c r="G363" s="30"/>
      <c r="H363" s="30"/>
      <c r="I363" s="30"/>
      <c r="J363" s="30"/>
      <c r="K363" s="30"/>
      <c r="L363" s="29"/>
      <c r="M363" s="19"/>
      <c r="N363" s="19"/>
      <c r="O363" s="19"/>
      <c r="P363" s="19"/>
      <c r="Q363" s="19"/>
      <c r="R363" s="19"/>
      <c r="S363" s="19"/>
    </row>
    <row r="364" spans="2:19" x14ac:dyDescent="0.25">
      <c r="B364" s="19"/>
      <c r="C364" s="19"/>
      <c r="D364" s="19"/>
      <c r="E364" s="30"/>
      <c r="F364" s="30"/>
      <c r="G364" s="30"/>
      <c r="H364" s="30"/>
      <c r="I364" s="30"/>
      <c r="J364" s="30"/>
      <c r="K364" s="30"/>
      <c r="L364" s="29"/>
      <c r="M364" s="19"/>
      <c r="N364" s="19"/>
      <c r="O364" s="19"/>
      <c r="P364" s="19"/>
      <c r="Q364" s="19"/>
      <c r="R364" s="19"/>
      <c r="S364" s="19"/>
    </row>
    <row r="365" spans="2:19" x14ac:dyDescent="0.25">
      <c r="B365" s="19"/>
      <c r="C365" s="19"/>
      <c r="D365" s="19"/>
      <c r="E365" s="30"/>
      <c r="F365" s="30"/>
      <c r="G365" s="30"/>
      <c r="H365" s="30"/>
      <c r="I365" s="30"/>
      <c r="J365" s="30"/>
      <c r="K365" s="30"/>
      <c r="L365" s="29"/>
      <c r="M365" s="19"/>
      <c r="N365" s="19"/>
      <c r="O365" s="19"/>
      <c r="P365" s="19"/>
      <c r="Q365" s="19"/>
      <c r="R365" s="19"/>
      <c r="S365" s="19"/>
    </row>
    <row r="366" spans="2:19" x14ac:dyDescent="0.25">
      <c r="B366" s="19"/>
      <c r="C366" s="19"/>
      <c r="D366" s="19"/>
      <c r="E366" s="30"/>
      <c r="F366" s="30"/>
      <c r="G366" s="30"/>
      <c r="H366" s="30"/>
      <c r="I366" s="30"/>
      <c r="J366" s="30"/>
      <c r="K366" s="30"/>
      <c r="L366" s="29"/>
      <c r="M366" s="19"/>
      <c r="N366" s="19"/>
      <c r="O366" s="19"/>
      <c r="P366" s="19"/>
      <c r="Q366" s="19"/>
      <c r="R366" s="19"/>
      <c r="S366" s="19"/>
    </row>
    <row r="367" spans="2:19" x14ac:dyDescent="0.25">
      <c r="B367" s="19"/>
      <c r="C367" s="19"/>
      <c r="D367" s="19"/>
      <c r="E367" s="30"/>
      <c r="F367" s="30"/>
      <c r="G367" s="30"/>
      <c r="H367" s="30"/>
      <c r="I367" s="30"/>
      <c r="J367" s="30"/>
      <c r="K367" s="30"/>
      <c r="L367" s="29"/>
      <c r="M367" s="19"/>
      <c r="N367" s="19"/>
      <c r="O367" s="19"/>
      <c r="P367" s="19"/>
      <c r="Q367" s="19"/>
      <c r="R367" s="19"/>
      <c r="S367" s="19"/>
    </row>
    <row r="368" spans="2:19" x14ac:dyDescent="0.25">
      <c r="B368" s="19"/>
      <c r="C368" s="19"/>
      <c r="D368" s="19"/>
      <c r="E368" s="30"/>
      <c r="F368" s="30"/>
      <c r="G368" s="30"/>
      <c r="H368" s="30"/>
      <c r="I368" s="30"/>
      <c r="J368" s="30"/>
      <c r="K368" s="30"/>
      <c r="L368" s="29"/>
      <c r="M368" s="19"/>
      <c r="N368" s="19"/>
      <c r="O368" s="19"/>
      <c r="P368" s="19"/>
      <c r="Q368" s="19"/>
      <c r="R368" s="19"/>
      <c r="S368" s="19"/>
    </row>
    <row r="369" spans="2:19" x14ac:dyDescent="0.25">
      <c r="B369" s="19"/>
      <c r="C369" s="19"/>
      <c r="D369" s="19"/>
      <c r="E369" s="30"/>
      <c r="F369" s="30"/>
      <c r="G369" s="30"/>
      <c r="H369" s="30"/>
      <c r="I369" s="30"/>
      <c r="J369" s="30"/>
      <c r="K369" s="30"/>
      <c r="L369" s="29"/>
      <c r="M369" s="19"/>
      <c r="N369" s="19"/>
      <c r="O369" s="19"/>
      <c r="P369" s="19"/>
      <c r="Q369" s="19"/>
      <c r="R369" s="19"/>
      <c r="S369" s="19"/>
    </row>
    <row r="370" spans="2:19" x14ac:dyDescent="0.25">
      <c r="B370" s="19"/>
      <c r="C370" s="19"/>
      <c r="D370" s="19"/>
      <c r="E370" s="30"/>
      <c r="F370" s="30"/>
      <c r="G370" s="30"/>
      <c r="H370" s="30"/>
      <c r="I370" s="30"/>
      <c r="J370" s="30"/>
      <c r="K370" s="30"/>
      <c r="L370" s="29"/>
      <c r="M370" s="19"/>
      <c r="N370" s="19"/>
      <c r="O370" s="19"/>
      <c r="P370" s="19"/>
      <c r="Q370" s="19"/>
      <c r="R370" s="19"/>
      <c r="S370" s="19"/>
    </row>
    <row r="371" spans="2:19" x14ac:dyDescent="0.25">
      <c r="B371" s="19"/>
      <c r="C371" s="19"/>
      <c r="D371" s="19"/>
      <c r="E371" s="30"/>
      <c r="F371" s="30"/>
      <c r="G371" s="30"/>
      <c r="H371" s="30"/>
      <c r="I371" s="30"/>
      <c r="J371" s="30"/>
      <c r="K371" s="30"/>
      <c r="L371" s="29"/>
      <c r="M371" s="19"/>
      <c r="N371" s="19"/>
      <c r="O371" s="19"/>
      <c r="P371" s="19"/>
      <c r="Q371" s="19"/>
      <c r="R371" s="19"/>
      <c r="S371" s="19"/>
    </row>
    <row r="372" spans="2:19" x14ac:dyDescent="0.25">
      <c r="B372" s="19"/>
      <c r="C372" s="19"/>
      <c r="D372" s="19"/>
      <c r="E372" s="30"/>
      <c r="F372" s="30"/>
      <c r="G372" s="30"/>
      <c r="H372" s="30"/>
      <c r="I372" s="30"/>
      <c r="J372" s="30"/>
      <c r="K372" s="30"/>
      <c r="L372" s="29"/>
      <c r="M372" s="19"/>
      <c r="N372" s="19"/>
      <c r="O372" s="19"/>
      <c r="P372" s="19"/>
      <c r="Q372" s="19"/>
      <c r="R372" s="19"/>
      <c r="S372" s="19"/>
    </row>
    <row r="373" spans="2:19" x14ac:dyDescent="0.25">
      <c r="B373" s="19"/>
      <c r="C373" s="19"/>
      <c r="D373" s="19"/>
      <c r="E373" s="30"/>
      <c r="F373" s="30"/>
      <c r="G373" s="30"/>
      <c r="H373" s="30"/>
      <c r="I373" s="30"/>
      <c r="J373" s="30"/>
      <c r="K373" s="30"/>
      <c r="L373" s="29"/>
      <c r="M373" s="19"/>
      <c r="N373" s="19"/>
      <c r="O373" s="19"/>
      <c r="P373" s="19"/>
      <c r="Q373" s="19"/>
      <c r="R373" s="19"/>
      <c r="S373" s="19"/>
    </row>
    <row r="374" spans="2:19" x14ac:dyDescent="0.25">
      <c r="B374" s="19"/>
      <c r="C374" s="19"/>
      <c r="D374" s="19"/>
      <c r="E374" s="30"/>
      <c r="F374" s="30"/>
      <c r="G374" s="30"/>
      <c r="H374" s="30"/>
      <c r="I374" s="30"/>
      <c r="J374" s="30"/>
      <c r="K374" s="30"/>
      <c r="L374" s="29"/>
      <c r="M374" s="19"/>
      <c r="N374" s="19"/>
      <c r="O374" s="19"/>
      <c r="P374" s="19"/>
      <c r="Q374" s="19"/>
      <c r="R374" s="19"/>
      <c r="S374" s="19"/>
    </row>
    <row r="375" spans="2:19" x14ac:dyDescent="0.25">
      <c r="B375" s="19"/>
      <c r="C375" s="19"/>
      <c r="D375" s="19"/>
      <c r="E375" s="30"/>
      <c r="F375" s="30"/>
      <c r="G375" s="30"/>
      <c r="H375" s="30"/>
      <c r="I375" s="30"/>
      <c r="J375" s="30"/>
      <c r="K375" s="30"/>
      <c r="L375" s="29"/>
      <c r="M375" s="19"/>
      <c r="N375" s="19"/>
      <c r="O375" s="19"/>
      <c r="P375" s="19"/>
      <c r="Q375" s="19"/>
      <c r="R375" s="19"/>
      <c r="S375" s="19"/>
    </row>
    <row r="376" spans="2:19" x14ac:dyDescent="0.25">
      <c r="B376" s="19"/>
      <c r="C376" s="19"/>
      <c r="D376" s="19"/>
      <c r="E376" s="30"/>
      <c r="F376" s="30"/>
      <c r="G376" s="30"/>
      <c r="H376" s="30"/>
      <c r="I376" s="30"/>
      <c r="J376" s="30"/>
      <c r="K376" s="30"/>
      <c r="L376" s="29"/>
      <c r="M376" s="19"/>
      <c r="N376" s="19"/>
      <c r="O376" s="19"/>
      <c r="P376" s="19"/>
      <c r="Q376" s="19"/>
      <c r="R376" s="19"/>
      <c r="S376" s="19"/>
    </row>
    <row r="377" spans="2:19" x14ac:dyDescent="0.25">
      <c r="B377" s="19"/>
      <c r="C377" s="19"/>
      <c r="D377" s="19"/>
      <c r="E377" s="30"/>
      <c r="F377" s="30"/>
      <c r="G377" s="30"/>
      <c r="H377" s="30"/>
      <c r="I377" s="30"/>
      <c r="J377" s="30"/>
      <c r="K377" s="30"/>
      <c r="L377" s="29"/>
      <c r="M377" s="19"/>
      <c r="N377" s="19"/>
      <c r="O377" s="19"/>
      <c r="P377" s="19"/>
      <c r="Q377" s="19"/>
      <c r="R377" s="19"/>
      <c r="S377" s="19"/>
    </row>
    <row r="378" spans="2:19" x14ac:dyDescent="0.25">
      <c r="B378" s="19"/>
      <c r="C378" s="19"/>
      <c r="D378" s="19"/>
      <c r="E378" s="30"/>
      <c r="F378" s="30"/>
      <c r="G378" s="30"/>
      <c r="H378" s="30"/>
      <c r="I378" s="30"/>
      <c r="J378" s="30"/>
      <c r="K378" s="30"/>
      <c r="L378" s="29"/>
      <c r="M378" s="19"/>
      <c r="N378" s="19"/>
      <c r="O378" s="19"/>
      <c r="P378" s="19"/>
      <c r="Q378" s="19"/>
      <c r="R378" s="19"/>
      <c r="S378" s="19"/>
    </row>
    <row r="379" spans="2:19" x14ac:dyDescent="0.25">
      <c r="B379" s="19"/>
      <c r="C379" s="19"/>
      <c r="D379" s="19"/>
      <c r="E379" s="30"/>
      <c r="F379" s="30"/>
      <c r="G379" s="30"/>
      <c r="H379" s="30"/>
      <c r="I379" s="30"/>
      <c r="J379" s="30"/>
      <c r="K379" s="30"/>
      <c r="L379" s="29"/>
      <c r="M379" s="19"/>
      <c r="N379" s="19"/>
      <c r="O379" s="19"/>
      <c r="P379" s="19"/>
      <c r="Q379" s="19"/>
      <c r="R379" s="19"/>
      <c r="S379" s="19"/>
    </row>
    <row r="380" spans="2:19" x14ac:dyDescent="0.25">
      <c r="B380" s="19"/>
      <c r="C380" s="19"/>
      <c r="D380" s="19"/>
      <c r="E380" s="30"/>
      <c r="F380" s="30"/>
      <c r="G380" s="30"/>
      <c r="H380" s="30"/>
      <c r="I380" s="30"/>
      <c r="J380" s="30"/>
      <c r="K380" s="30"/>
      <c r="L380" s="29"/>
      <c r="M380" s="19"/>
      <c r="N380" s="19"/>
      <c r="O380" s="19"/>
      <c r="P380" s="19"/>
      <c r="Q380" s="19"/>
      <c r="R380" s="19"/>
      <c r="S380" s="19"/>
    </row>
    <row r="381" spans="2:19" x14ac:dyDescent="0.25">
      <c r="B381" s="19"/>
      <c r="C381" s="19"/>
      <c r="D381" s="19"/>
      <c r="E381" s="30"/>
      <c r="F381" s="30"/>
      <c r="G381" s="30"/>
      <c r="H381" s="30"/>
      <c r="I381" s="30"/>
      <c r="J381" s="30"/>
      <c r="K381" s="30"/>
      <c r="L381" s="29"/>
      <c r="M381" s="19"/>
      <c r="N381" s="19"/>
      <c r="O381" s="19"/>
      <c r="P381" s="19"/>
      <c r="Q381" s="19"/>
      <c r="R381" s="19"/>
      <c r="S381" s="19"/>
    </row>
    <row r="382" spans="2:19" x14ac:dyDescent="0.25">
      <c r="B382" s="19"/>
      <c r="C382" s="19"/>
      <c r="D382" s="19"/>
      <c r="E382" s="30"/>
      <c r="F382" s="30"/>
      <c r="G382" s="30"/>
      <c r="H382" s="30"/>
      <c r="I382" s="30"/>
      <c r="J382" s="30"/>
      <c r="K382" s="30"/>
      <c r="L382" s="29"/>
      <c r="M382" s="19"/>
      <c r="N382" s="19"/>
      <c r="O382" s="19"/>
      <c r="P382" s="19"/>
      <c r="Q382" s="19"/>
      <c r="R382" s="19"/>
      <c r="S382" s="19"/>
    </row>
    <row r="383" spans="2:19" x14ac:dyDescent="0.25">
      <c r="B383" s="19"/>
      <c r="C383" s="19"/>
      <c r="D383" s="19"/>
      <c r="E383" s="30"/>
      <c r="F383" s="30"/>
      <c r="G383" s="30"/>
      <c r="H383" s="30"/>
      <c r="I383" s="30"/>
      <c r="J383" s="30"/>
      <c r="K383" s="30"/>
      <c r="L383" s="29"/>
      <c r="M383" s="19"/>
      <c r="N383" s="19"/>
      <c r="O383" s="19"/>
      <c r="P383" s="19"/>
      <c r="Q383" s="19"/>
      <c r="R383" s="19"/>
      <c r="S383" s="19"/>
    </row>
    <row r="384" spans="2:19" x14ac:dyDescent="0.25">
      <c r="B384" s="19"/>
      <c r="C384" s="19"/>
      <c r="D384" s="19"/>
      <c r="E384" s="30"/>
      <c r="F384" s="30"/>
      <c r="G384" s="30"/>
      <c r="H384" s="30"/>
      <c r="I384" s="30"/>
      <c r="J384" s="30"/>
      <c r="K384" s="30"/>
      <c r="L384" s="29"/>
      <c r="M384" s="19"/>
      <c r="N384" s="19"/>
      <c r="O384" s="19"/>
      <c r="P384" s="19"/>
      <c r="Q384" s="19"/>
      <c r="R384" s="19"/>
      <c r="S384" s="19"/>
    </row>
    <row r="385" spans="2:19" x14ac:dyDescent="0.25">
      <c r="B385" s="19"/>
      <c r="C385" s="19"/>
      <c r="D385" s="19"/>
      <c r="E385" s="30"/>
      <c r="F385" s="30"/>
      <c r="G385" s="30"/>
      <c r="H385" s="30"/>
      <c r="I385" s="30"/>
      <c r="J385" s="30"/>
      <c r="K385" s="30"/>
      <c r="L385" s="29"/>
      <c r="M385" s="19"/>
      <c r="N385" s="19"/>
      <c r="O385" s="19"/>
      <c r="P385" s="19"/>
      <c r="Q385" s="19"/>
      <c r="R385" s="19"/>
      <c r="S385" s="19"/>
    </row>
    <row r="386" spans="2:19" x14ac:dyDescent="0.25">
      <c r="B386" s="19"/>
      <c r="C386" s="19"/>
      <c r="D386" s="19"/>
      <c r="E386" s="30"/>
      <c r="F386" s="30"/>
      <c r="G386" s="30"/>
      <c r="H386" s="30"/>
      <c r="I386" s="30"/>
      <c r="J386" s="30"/>
      <c r="K386" s="30"/>
      <c r="L386" s="29"/>
      <c r="M386" s="19"/>
      <c r="N386" s="19"/>
      <c r="O386" s="19"/>
      <c r="P386" s="19"/>
      <c r="Q386" s="19"/>
      <c r="R386" s="19"/>
      <c r="S386" s="19"/>
    </row>
    <row r="387" spans="2:19" x14ac:dyDescent="0.25">
      <c r="B387" s="19"/>
      <c r="C387" s="19"/>
      <c r="D387" s="19"/>
      <c r="E387" s="30"/>
      <c r="F387" s="30"/>
      <c r="G387" s="30"/>
      <c r="H387" s="30"/>
      <c r="I387" s="30"/>
      <c r="J387" s="30"/>
      <c r="K387" s="30"/>
      <c r="L387" s="29"/>
      <c r="M387" s="19"/>
      <c r="N387" s="19"/>
      <c r="O387" s="19"/>
      <c r="P387" s="19"/>
      <c r="Q387" s="19"/>
      <c r="R387" s="19"/>
      <c r="S387" s="19"/>
    </row>
    <row r="388" spans="2:19" x14ac:dyDescent="0.25">
      <c r="B388" s="19"/>
      <c r="C388" s="19"/>
      <c r="D388" s="19"/>
      <c r="E388" s="30"/>
      <c r="F388" s="30"/>
      <c r="G388" s="30"/>
      <c r="H388" s="30"/>
      <c r="I388" s="30"/>
      <c r="J388" s="30"/>
      <c r="K388" s="30"/>
      <c r="L388" s="29"/>
      <c r="M388" s="19"/>
      <c r="N388" s="19"/>
      <c r="O388" s="19"/>
      <c r="P388" s="19"/>
      <c r="Q388" s="19"/>
      <c r="R388" s="19"/>
      <c r="S388" s="19"/>
    </row>
    <row r="389" spans="2:19" x14ac:dyDescent="0.25">
      <c r="B389" s="19"/>
      <c r="C389" s="19"/>
      <c r="D389" s="19"/>
      <c r="E389" s="30"/>
      <c r="F389" s="30"/>
      <c r="G389" s="30"/>
      <c r="H389" s="30"/>
      <c r="I389" s="30"/>
      <c r="J389" s="30"/>
      <c r="K389" s="30"/>
      <c r="L389" s="29"/>
      <c r="M389" s="19"/>
      <c r="N389" s="19"/>
      <c r="O389" s="19"/>
      <c r="P389" s="19"/>
      <c r="Q389" s="19"/>
      <c r="R389" s="19"/>
      <c r="S389" s="19"/>
    </row>
    <row r="390" spans="2:19" x14ac:dyDescent="0.25">
      <c r="B390" s="19"/>
      <c r="C390" s="19"/>
      <c r="D390" s="19"/>
      <c r="E390" s="30"/>
      <c r="F390" s="30"/>
      <c r="G390" s="30"/>
      <c r="H390" s="30"/>
      <c r="I390" s="30"/>
      <c r="J390" s="30"/>
      <c r="K390" s="30"/>
      <c r="L390" s="29"/>
      <c r="M390" s="19"/>
      <c r="N390" s="19"/>
      <c r="O390" s="19"/>
      <c r="P390" s="19"/>
      <c r="Q390" s="19"/>
      <c r="R390" s="19"/>
      <c r="S390" s="19"/>
    </row>
    <row r="391" spans="2:19" x14ac:dyDescent="0.25">
      <c r="B391" s="19"/>
      <c r="C391" s="19"/>
      <c r="D391" s="19"/>
      <c r="E391" s="30"/>
      <c r="F391" s="30"/>
      <c r="G391" s="30"/>
      <c r="H391" s="30"/>
      <c r="I391" s="30"/>
      <c r="J391" s="30"/>
      <c r="K391" s="30"/>
      <c r="L391" s="29"/>
      <c r="M391" s="19"/>
      <c r="N391" s="19"/>
      <c r="O391" s="19"/>
      <c r="P391" s="19"/>
      <c r="Q391" s="19"/>
      <c r="R391" s="19"/>
      <c r="S391" s="19"/>
    </row>
    <row r="392" spans="2:19" x14ac:dyDescent="0.25">
      <c r="B392" s="19"/>
      <c r="C392" s="19"/>
      <c r="D392" s="19"/>
      <c r="E392" s="30"/>
      <c r="F392" s="30"/>
      <c r="G392" s="30"/>
      <c r="H392" s="30"/>
      <c r="I392" s="30"/>
      <c r="J392" s="30"/>
      <c r="K392" s="30"/>
      <c r="L392" s="29"/>
      <c r="M392" s="19"/>
      <c r="N392" s="19"/>
      <c r="O392" s="19"/>
      <c r="P392" s="19"/>
      <c r="Q392" s="19"/>
      <c r="R392" s="19"/>
      <c r="S392" s="19"/>
    </row>
    <row r="393" spans="2:19" x14ac:dyDescent="0.25">
      <c r="B393" s="19"/>
      <c r="C393" s="19"/>
      <c r="D393" s="19"/>
      <c r="E393" s="30"/>
      <c r="F393" s="30"/>
      <c r="G393" s="30"/>
      <c r="H393" s="30"/>
      <c r="I393" s="30"/>
      <c r="J393" s="30"/>
      <c r="K393" s="30"/>
      <c r="L393" s="29"/>
      <c r="M393" s="19"/>
      <c r="N393" s="19"/>
      <c r="O393" s="19"/>
      <c r="P393" s="19"/>
      <c r="Q393" s="19"/>
      <c r="R393" s="19"/>
      <c r="S393" s="19"/>
    </row>
    <row r="394" spans="2:19" x14ac:dyDescent="0.25">
      <c r="B394" s="19"/>
      <c r="C394" s="19"/>
      <c r="D394" s="19"/>
      <c r="E394" s="30"/>
      <c r="F394" s="30"/>
      <c r="G394" s="30"/>
      <c r="H394" s="30"/>
      <c r="I394" s="30"/>
      <c r="J394" s="30"/>
      <c r="K394" s="30"/>
      <c r="L394" s="29"/>
      <c r="M394" s="19"/>
      <c r="N394" s="19"/>
      <c r="O394" s="19"/>
      <c r="P394" s="19"/>
      <c r="Q394" s="19"/>
      <c r="R394" s="19"/>
      <c r="S394" s="19"/>
    </row>
    <row r="395" spans="2:19" x14ac:dyDescent="0.25">
      <c r="B395" s="19"/>
      <c r="C395" s="19"/>
      <c r="D395" s="19"/>
      <c r="E395" s="30"/>
      <c r="F395" s="30"/>
      <c r="G395" s="30"/>
      <c r="H395" s="30"/>
      <c r="I395" s="30"/>
      <c r="J395" s="30"/>
      <c r="K395" s="30"/>
      <c r="L395" s="29"/>
      <c r="M395" s="19"/>
      <c r="N395" s="19"/>
      <c r="O395" s="19"/>
      <c r="P395" s="19"/>
      <c r="Q395" s="19"/>
      <c r="R395" s="19"/>
      <c r="S395" s="19"/>
    </row>
    <row r="396" spans="2:19" x14ac:dyDescent="0.25">
      <c r="B396" s="19"/>
      <c r="C396" s="19"/>
      <c r="D396" s="19"/>
      <c r="E396" s="30"/>
      <c r="F396" s="30"/>
      <c r="G396" s="30"/>
      <c r="H396" s="30"/>
      <c r="I396" s="30"/>
      <c r="J396" s="30"/>
      <c r="K396" s="30"/>
      <c r="L396" s="29"/>
      <c r="M396" s="19"/>
      <c r="N396" s="19"/>
      <c r="O396" s="19"/>
      <c r="P396" s="19"/>
      <c r="Q396" s="19"/>
      <c r="R396" s="19"/>
      <c r="S396" s="19"/>
    </row>
    <row r="397" spans="2:19" x14ac:dyDescent="0.25">
      <c r="B397" s="19"/>
      <c r="C397" s="19"/>
      <c r="D397" s="19"/>
      <c r="E397" s="30"/>
      <c r="F397" s="30"/>
      <c r="G397" s="30"/>
      <c r="H397" s="30"/>
      <c r="I397" s="30"/>
      <c r="J397" s="30"/>
      <c r="K397" s="30"/>
      <c r="L397" s="29"/>
      <c r="M397" s="19"/>
      <c r="N397" s="19"/>
      <c r="O397" s="19"/>
      <c r="P397" s="19"/>
      <c r="Q397" s="19"/>
      <c r="R397" s="19"/>
      <c r="S397" s="19"/>
    </row>
    <row r="398" spans="2:19" x14ac:dyDescent="0.25">
      <c r="B398" s="19"/>
      <c r="C398" s="19"/>
      <c r="D398" s="19"/>
      <c r="E398" s="30"/>
      <c r="F398" s="30"/>
      <c r="G398" s="30"/>
      <c r="H398" s="30"/>
      <c r="I398" s="30"/>
      <c r="J398" s="30"/>
      <c r="K398" s="30"/>
      <c r="L398" s="29"/>
      <c r="M398" s="19"/>
      <c r="N398" s="19"/>
      <c r="O398" s="19"/>
      <c r="P398" s="19"/>
      <c r="Q398" s="19"/>
      <c r="R398" s="19"/>
      <c r="S398" s="19"/>
    </row>
    <row r="399" spans="2:19" x14ac:dyDescent="0.25">
      <c r="B399" s="19"/>
      <c r="C399" s="19"/>
      <c r="D399" s="19"/>
      <c r="E399" s="30"/>
      <c r="F399" s="30"/>
      <c r="G399" s="30"/>
      <c r="H399" s="30"/>
      <c r="I399" s="30"/>
      <c r="J399" s="30"/>
      <c r="K399" s="30"/>
      <c r="L399" s="29"/>
      <c r="M399" s="19"/>
      <c r="N399" s="19"/>
      <c r="O399" s="19"/>
      <c r="P399" s="19"/>
      <c r="Q399" s="19"/>
      <c r="R399" s="19"/>
      <c r="S399" s="19"/>
    </row>
    <row r="400" spans="2:19" x14ac:dyDescent="0.25">
      <c r="B400" s="19"/>
      <c r="C400" s="19"/>
      <c r="D400" s="19"/>
      <c r="E400" s="30"/>
      <c r="F400" s="30"/>
      <c r="G400" s="30"/>
      <c r="H400" s="30"/>
      <c r="I400" s="30"/>
      <c r="J400" s="30"/>
      <c r="K400" s="30"/>
      <c r="L400" s="29"/>
      <c r="M400" s="19"/>
      <c r="N400" s="19"/>
      <c r="O400" s="19"/>
      <c r="P400" s="19"/>
      <c r="Q400" s="19"/>
      <c r="R400" s="19"/>
      <c r="S400" s="19"/>
    </row>
    <row r="401" spans="2:19" x14ac:dyDescent="0.25">
      <c r="B401" s="19"/>
      <c r="C401" s="19"/>
      <c r="D401" s="19"/>
      <c r="E401" s="30"/>
      <c r="F401" s="30"/>
      <c r="G401" s="30"/>
      <c r="H401" s="30"/>
      <c r="I401" s="30"/>
      <c r="J401" s="30"/>
      <c r="K401" s="30"/>
      <c r="L401" s="29"/>
      <c r="M401" s="19"/>
      <c r="N401" s="19"/>
      <c r="O401" s="19"/>
      <c r="P401" s="19"/>
      <c r="Q401" s="19"/>
      <c r="R401" s="19"/>
      <c r="S401" s="19"/>
    </row>
    <row r="402" spans="2:19" x14ac:dyDescent="0.25">
      <c r="B402" s="19"/>
      <c r="C402" s="19"/>
      <c r="D402" s="19"/>
      <c r="E402" s="30"/>
      <c r="F402" s="30"/>
      <c r="G402" s="30"/>
      <c r="H402" s="30"/>
      <c r="I402" s="30"/>
      <c r="J402" s="30"/>
      <c r="K402" s="30"/>
      <c r="L402" s="29"/>
      <c r="M402" s="19"/>
      <c r="N402" s="19"/>
      <c r="O402" s="19"/>
      <c r="P402" s="19"/>
      <c r="Q402" s="19"/>
      <c r="R402" s="19"/>
      <c r="S402" s="19"/>
    </row>
    <row r="403" spans="2:19" x14ac:dyDescent="0.25">
      <c r="B403" s="19"/>
      <c r="C403" s="19"/>
      <c r="D403" s="19"/>
      <c r="E403" s="30"/>
      <c r="F403" s="30"/>
      <c r="G403" s="30"/>
      <c r="H403" s="30"/>
      <c r="I403" s="30"/>
      <c r="J403" s="30"/>
      <c r="K403" s="30"/>
      <c r="L403" s="29"/>
      <c r="M403" s="19"/>
      <c r="N403" s="19"/>
      <c r="O403" s="19"/>
      <c r="P403" s="19"/>
      <c r="Q403" s="19"/>
      <c r="R403" s="19"/>
      <c r="S403" s="19"/>
    </row>
    <row r="404" spans="2:19" x14ac:dyDescent="0.25">
      <c r="B404" s="19"/>
      <c r="C404" s="19"/>
      <c r="D404" s="19"/>
      <c r="E404" s="30"/>
      <c r="F404" s="30"/>
      <c r="G404" s="30"/>
      <c r="H404" s="30"/>
      <c r="I404" s="30"/>
      <c r="J404" s="30"/>
      <c r="K404" s="30"/>
      <c r="L404" s="29"/>
      <c r="M404" s="19"/>
      <c r="N404" s="19"/>
      <c r="O404" s="19"/>
      <c r="P404" s="19"/>
      <c r="Q404" s="19"/>
      <c r="R404" s="19"/>
      <c r="S404" s="19"/>
    </row>
    <row r="405" spans="2:19" x14ac:dyDescent="0.25">
      <c r="B405" s="19"/>
      <c r="C405" s="19"/>
      <c r="D405" s="19"/>
      <c r="E405" s="30"/>
      <c r="F405" s="30"/>
      <c r="G405" s="30"/>
      <c r="H405" s="30"/>
      <c r="I405" s="30"/>
      <c r="J405" s="30"/>
      <c r="K405" s="30"/>
      <c r="L405" s="29"/>
      <c r="M405" s="19"/>
      <c r="N405" s="19"/>
      <c r="O405" s="19"/>
      <c r="P405" s="19"/>
      <c r="Q405" s="19"/>
      <c r="R405" s="19"/>
      <c r="S405" s="19"/>
    </row>
    <row r="406" spans="2:19" x14ac:dyDescent="0.25">
      <c r="B406" s="19"/>
      <c r="C406" s="19"/>
      <c r="D406" s="19"/>
      <c r="E406" s="30"/>
      <c r="F406" s="30"/>
      <c r="G406" s="30"/>
      <c r="H406" s="30"/>
      <c r="I406" s="30"/>
      <c r="J406" s="30"/>
      <c r="K406" s="30"/>
      <c r="L406" s="29"/>
      <c r="M406" s="19"/>
      <c r="N406" s="19"/>
      <c r="O406" s="19"/>
      <c r="P406" s="19"/>
      <c r="Q406" s="19"/>
      <c r="R406" s="19"/>
      <c r="S406" s="19"/>
    </row>
    <row r="407" spans="2:19" x14ac:dyDescent="0.25">
      <c r="B407" s="19"/>
      <c r="C407" s="19"/>
      <c r="D407" s="19"/>
      <c r="E407" s="30"/>
      <c r="F407" s="30"/>
      <c r="G407" s="30"/>
      <c r="H407" s="30"/>
      <c r="I407" s="30"/>
      <c r="J407" s="30"/>
      <c r="K407" s="30"/>
      <c r="L407" s="29"/>
      <c r="M407" s="19"/>
      <c r="N407" s="19"/>
      <c r="O407" s="19"/>
      <c r="P407" s="19"/>
      <c r="Q407" s="19"/>
      <c r="R407" s="19"/>
      <c r="S407" s="19"/>
    </row>
    <row r="408" spans="2:19" x14ac:dyDescent="0.25">
      <c r="B408" s="19"/>
      <c r="C408" s="19"/>
      <c r="D408" s="19"/>
      <c r="E408" s="30"/>
      <c r="F408" s="30"/>
      <c r="G408" s="30"/>
      <c r="H408" s="30"/>
      <c r="I408" s="30"/>
      <c r="J408" s="30"/>
      <c r="K408" s="30"/>
      <c r="L408" s="29"/>
      <c r="M408" s="19"/>
      <c r="N408" s="19"/>
      <c r="O408" s="19"/>
      <c r="P408" s="19"/>
      <c r="Q408" s="19"/>
      <c r="R408" s="19"/>
      <c r="S408" s="19"/>
    </row>
    <row r="409" spans="2:19" x14ac:dyDescent="0.25">
      <c r="B409" s="19"/>
      <c r="C409" s="19"/>
      <c r="D409" s="19"/>
      <c r="E409" s="30"/>
      <c r="F409" s="30"/>
      <c r="G409" s="30"/>
      <c r="H409" s="30"/>
      <c r="I409" s="30"/>
      <c r="J409" s="30"/>
      <c r="K409" s="30"/>
      <c r="L409" s="29"/>
      <c r="M409" s="19"/>
      <c r="N409" s="19"/>
      <c r="O409" s="19"/>
      <c r="P409" s="19"/>
      <c r="Q409" s="19"/>
      <c r="R409" s="19"/>
      <c r="S409" s="19"/>
    </row>
    <row r="410" spans="2:19" x14ac:dyDescent="0.25">
      <c r="B410" s="19"/>
      <c r="C410" s="19"/>
      <c r="D410" s="19"/>
      <c r="E410" s="30"/>
      <c r="F410" s="30"/>
      <c r="G410" s="30"/>
      <c r="H410" s="30"/>
      <c r="I410" s="30"/>
      <c r="J410" s="30"/>
      <c r="K410" s="30"/>
      <c r="L410" s="29"/>
      <c r="M410" s="19"/>
      <c r="N410" s="19"/>
      <c r="O410" s="19"/>
      <c r="P410" s="19"/>
      <c r="Q410" s="19"/>
      <c r="R410" s="19"/>
      <c r="S410" s="19"/>
    </row>
    <row r="411" spans="2:19" x14ac:dyDescent="0.25">
      <c r="B411" s="19"/>
      <c r="C411" s="19"/>
      <c r="D411" s="19"/>
      <c r="E411" s="30"/>
      <c r="F411" s="30"/>
      <c r="G411" s="30"/>
      <c r="H411" s="30"/>
      <c r="I411" s="30"/>
      <c r="J411" s="30"/>
      <c r="K411" s="30"/>
      <c r="L411" s="29"/>
      <c r="M411" s="19"/>
      <c r="N411" s="19"/>
      <c r="O411" s="19"/>
      <c r="P411" s="19"/>
      <c r="Q411" s="19"/>
      <c r="R411" s="19"/>
      <c r="S411" s="19"/>
    </row>
    <row r="412" spans="2:19" x14ac:dyDescent="0.25">
      <c r="B412" s="19"/>
      <c r="C412" s="19"/>
      <c r="D412" s="19"/>
      <c r="E412" s="30"/>
      <c r="F412" s="30"/>
      <c r="G412" s="30"/>
      <c r="H412" s="30"/>
      <c r="I412" s="30"/>
      <c r="J412" s="30"/>
      <c r="K412" s="30"/>
      <c r="L412" s="29"/>
      <c r="M412" s="19"/>
      <c r="N412" s="19"/>
      <c r="O412" s="19"/>
      <c r="P412" s="19"/>
      <c r="Q412" s="19"/>
      <c r="R412" s="19"/>
      <c r="S412" s="19"/>
    </row>
    <row r="413" spans="2:19" x14ac:dyDescent="0.25">
      <c r="B413" s="19"/>
      <c r="C413" s="19"/>
      <c r="D413" s="19"/>
      <c r="E413" s="30"/>
      <c r="F413" s="30"/>
      <c r="G413" s="30"/>
      <c r="H413" s="30"/>
      <c r="I413" s="30"/>
      <c r="J413" s="30"/>
      <c r="K413" s="30"/>
      <c r="L413" s="29"/>
      <c r="M413" s="19"/>
      <c r="N413" s="19"/>
      <c r="O413" s="19"/>
      <c r="P413" s="19"/>
      <c r="Q413" s="19"/>
      <c r="R413" s="19"/>
      <c r="S413" s="19"/>
    </row>
    <row r="414" spans="2:19" x14ac:dyDescent="0.25">
      <c r="B414" s="19"/>
      <c r="C414" s="19"/>
      <c r="D414" s="19"/>
      <c r="E414" s="30"/>
      <c r="F414" s="30"/>
      <c r="G414" s="30"/>
      <c r="H414" s="30"/>
      <c r="I414" s="30"/>
      <c r="J414" s="30"/>
      <c r="K414" s="30"/>
      <c r="L414" s="29"/>
      <c r="M414" s="19"/>
      <c r="N414" s="19"/>
      <c r="O414" s="19"/>
      <c r="P414" s="19"/>
      <c r="Q414" s="19"/>
      <c r="R414" s="19"/>
      <c r="S414" s="19"/>
    </row>
    <row r="415" spans="2:19" x14ac:dyDescent="0.25">
      <c r="B415" s="19"/>
      <c r="C415" s="19"/>
      <c r="D415" s="19"/>
      <c r="E415" s="30"/>
      <c r="F415" s="30"/>
      <c r="G415" s="30"/>
      <c r="H415" s="30"/>
      <c r="I415" s="30"/>
      <c r="J415" s="30"/>
      <c r="K415" s="30"/>
      <c r="L415" s="29"/>
      <c r="M415" s="19"/>
      <c r="N415" s="19"/>
      <c r="O415" s="19"/>
      <c r="P415" s="19"/>
      <c r="Q415" s="19"/>
      <c r="R415" s="19"/>
      <c r="S415" s="19"/>
    </row>
    <row r="416" spans="2:19" x14ac:dyDescent="0.25">
      <c r="B416" s="19"/>
      <c r="C416" s="19"/>
      <c r="D416" s="19"/>
      <c r="E416" s="30"/>
      <c r="F416" s="30"/>
      <c r="G416" s="30"/>
      <c r="H416" s="30"/>
      <c r="I416" s="30"/>
      <c r="J416" s="30"/>
      <c r="K416" s="30"/>
      <c r="L416" s="29"/>
      <c r="M416" s="19"/>
      <c r="N416" s="19"/>
      <c r="O416" s="19"/>
      <c r="P416" s="19"/>
      <c r="Q416" s="19"/>
      <c r="R416" s="19"/>
      <c r="S416" s="19"/>
    </row>
    <row r="417" spans="2:19" x14ac:dyDescent="0.25">
      <c r="B417" s="19"/>
      <c r="C417" s="19"/>
      <c r="D417" s="19"/>
      <c r="E417" s="30"/>
      <c r="F417" s="30"/>
      <c r="G417" s="30"/>
      <c r="H417" s="30"/>
      <c r="I417" s="30"/>
      <c r="J417" s="30"/>
      <c r="K417" s="30"/>
      <c r="L417" s="29"/>
      <c r="M417" s="19"/>
      <c r="N417" s="19"/>
      <c r="O417" s="19"/>
      <c r="P417" s="19"/>
      <c r="Q417" s="19"/>
      <c r="R417" s="19"/>
      <c r="S417" s="19"/>
    </row>
    <row r="418" spans="2:19" x14ac:dyDescent="0.25">
      <c r="B418" s="19"/>
      <c r="C418" s="19"/>
      <c r="D418" s="19"/>
      <c r="E418" s="30"/>
      <c r="F418" s="30"/>
      <c r="G418" s="30"/>
      <c r="H418" s="30"/>
      <c r="I418" s="30"/>
      <c r="J418" s="30"/>
      <c r="K418" s="30"/>
      <c r="L418" s="29"/>
      <c r="M418" s="19"/>
      <c r="N418" s="19"/>
      <c r="O418" s="19"/>
      <c r="P418" s="19"/>
      <c r="Q418" s="19"/>
      <c r="R418" s="19"/>
      <c r="S418" s="19"/>
    </row>
    <row r="419" spans="2:19" x14ac:dyDescent="0.25">
      <c r="B419" s="19"/>
      <c r="C419" s="19"/>
      <c r="D419" s="19"/>
      <c r="E419" s="30"/>
      <c r="F419" s="30"/>
      <c r="G419" s="30"/>
      <c r="H419" s="30"/>
      <c r="I419" s="30"/>
      <c r="J419" s="30"/>
      <c r="K419" s="30"/>
      <c r="L419" s="29"/>
      <c r="M419" s="19"/>
      <c r="N419" s="19"/>
      <c r="O419" s="19"/>
      <c r="P419" s="19"/>
      <c r="Q419" s="19"/>
      <c r="R419" s="19"/>
      <c r="S419" s="19"/>
    </row>
    <row r="420" spans="2:19" x14ac:dyDescent="0.25">
      <c r="B420" s="19"/>
      <c r="C420" s="19"/>
      <c r="D420" s="19"/>
      <c r="E420" s="30"/>
      <c r="F420" s="30"/>
      <c r="G420" s="30"/>
      <c r="H420" s="30"/>
      <c r="I420" s="30"/>
      <c r="J420" s="30"/>
      <c r="K420" s="30"/>
      <c r="L420" s="29"/>
      <c r="M420" s="19"/>
      <c r="N420" s="19"/>
      <c r="O420" s="19"/>
      <c r="P420" s="19"/>
      <c r="Q420" s="19"/>
      <c r="R420" s="19"/>
      <c r="S420" s="19"/>
    </row>
    <row r="421" spans="2:19" x14ac:dyDescent="0.25">
      <c r="B421" s="19"/>
      <c r="C421" s="19"/>
      <c r="D421" s="19"/>
      <c r="E421" s="30"/>
      <c r="F421" s="30"/>
      <c r="G421" s="30"/>
      <c r="H421" s="30"/>
      <c r="I421" s="30"/>
      <c r="J421" s="30"/>
      <c r="K421" s="30"/>
      <c r="L421" s="29"/>
      <c r="M421" s="19"/>
      <c r="N421" s="19"/>
      <c r="O421" s="19"/>
      <c r="P421" s="19"/>
      <c r="Q421" s="19"/>
      <c r="R421" s="19"/>
      <c r="S421" s="19"/>
    </row>
    <row r="422" spans="2:19" x14ac:dyDescent="0.25">
      <c r="B422" s="19"/>
      <c r="C422" s="19"/>
      <c r="D422" s="19"/>
      <c r="E422" s="30"/>
      <c r="F422" s="30"/>
      <c r="G422" s="30"/>
      <c r="H422" s="30"/>
      <c r="I422" s="30"/>
      <c r="J422" s="30"/>
      <c r="K422" s="30"/>
      <c r="L422" s="29"/>
      <c r="M422" s="19"/>
      <c r="N422" s="19"/>
      <c r="O422" s="19"/>
      <c r="P422" s="19"/>
      <c r="Q422" s="19"/>
      <c r="R422" s="19"/>
      <c r="S422" s="19"/>
    </row>
    <row r="423" spans="2:19" x14ac:dyDescent="0.25">
      <c r="B423" s="19"/>
      <c r="C423" s="19"/>
      <c r="D423" s="19"/>
      <c r="E423" s="30"/>
      <c r="F423" s="30"/>
      <c r="G423" s="30"/>
      <c r="H423" s="30"/>
      <c r="I423" s="30"/>
      <c r="J423" s="30"/>
      <c r="K423" s="30"/>
      <c r="L423" s="29"/>
      <c r="M423" s="19"/>
      <c r="N423" s="19"/>
      <c r="O423" s="19"/>
      <c r="P423" s="19"/>
      <c r="Q423" s="19"/>
      <c r="R423" s="19"/>
      <c r="S423" s="19"/>
    </row>
    <row r="424" spans="2:19" x14ac:dyDescent="0.25">
      <c r="B424" s="19"/>
      <c r="C424" s="19"/>
      <c r="D424" s="19"/>
      <c r="E424" s="30"/>
      <c r="F424" s="30"/>
      <c r="G424" s="30"/>
      <c r="H424" s="30"/>
      <c r="I424" s="30"/>
      <c r="J424" s="30"/>
      <c r="K424" s="30"/>
      <c r="L424" s="29"/>
      <c r="M424" s="19"/>
      <c r="N424" s="19"/>
      <c r="O424" s="19"/>
      <c r="P424" s="19"/>
      <c r="Q424" s="19"/>
      <c r="R424" s="19"/>
      <c r="S424" s="19"/>
    </row>
    <row r="425" spans="2:19" x14ac:dyDescent="0.25">
      <c r="B425" s="19"/>
      <c r="C425" s="19"/>
      <c r="D425" s="19"/>
      <c r="E425" s="30"/>
      <c r="F425" s="30"/>
      <c r="G425" s="30"/>
      <c r="H425" s="30"/>
      <c r="I425" s="30"/>
      <c r="J425" s="30"/>
      <c r="K425" s="30"/>
      <c r="L425" s="29"/>
      <c r="M425" s="19"/>
      <c r="N425" s="19"/>
      <c r="O425" s="19"/>
      <c r="P425" s="19"/>
      <c r="Q425" s="19"/>
      <c r="R425" s="19"/>
      <c r="S425" s="19"/>
    </row>
    <row r="426" spans="2:19" x14ac:dyDescent="0.25">
      <c r="B426" s="19"/>
      <c r="C426" s="19"/>
      <c r="D426" s="19"/>
      <c r="E426" s="30"/>
      <c r="F426" s="30"/>
      <c r="G426" s="30"/>
      <c r="H426" s="30"/>
      <c r="I426" s="30"/>
      <c r="J426" s="30"/>
      <c r="K426" s="30"/>
      <c r="L426" s="29"/>
      <c r="M426" s="19"/>
      <c r="N426" s="19"/>
      <c r="O426" s="19"/>
      <c r="P426" s="19"/>
      <c r="Q426" s="19"/>
      <c r="R426" s="19"/>
      <c r="S426" s="19"/>
    </row>
    <row r="427" spans="2:19" x14ac:dyDescent="0.25">
      <c r="B427" s="19"/>
      <c r="C427" s="19"/>
      <c r="D427" s="19"/>
      <c r="E427" s="30"/>
      <c r="F427" s="30"/>
      <c r="G427" s="30"/>
      <c r="H427" s="30"/>
      <c r="I427" s="30"/>
      <c r="J427" s="30"/>
      <c r="K427" s="30"/>
      <c r="L427" s="29"/>
      <c r="M427" s="19"/>
      <c r="N427" s="19"/>
      <c r="O427" s="19"/>
      <c r="P427" s="19"/>
      <c r="Q427" s="19"/>
      <c r="R427" s="19"/>
      <c r="S427" s="19"/>
    </row>
    <row r="428" spans="2:19" x14ac:dyDescent="0.25">
      <c r="B428" s="19"/>
      <c r="C428" s="19"/>
      <c r="D428" s="19"/>
      <c r="E428" s="30"/>
      <c r="F428" s="30"/>
      <c r="G428" s="30"/>
      <c r="H428" s="30"/>
      <c r="I428" s="30"/>
      <c r="J428" s="30"/>
      <c r="K428" s="30"/>
      <c r="L428" s="29"/>
      <c r="M428" s="19"/>
      <c r="N428" s="19"/>
      <c r="O428" s="19"/>
      <c r="P428" s="19"/>
      <c r="Q428" s="19"/>
      <c r="R428" s="19"/>
      <c r="S428" s="19"/>
    </row>
    <row r="429" spans="2:19" x14ac:dyDescent="0.25">
      <c r="B429" s="19"/>
      <c r="C429" s="19"/>
      <c r="D429" s="19"/>
      <c r="E429" s="30"/>
      <c r="F429" s="30"/>
      <c r="G429" s="30"/>
      <c r="H429" s="30"/>
      <c r="I429" s="30"/>
      <c r="J429" s="30"/>
      <c r="K429" s="30"/>
      <c r="L429" s="29"/>
      <c r="M429" s="19"/>
      <c r="N429" s="19"/>
      <c r="O429" s="19"/>
      <c r="P429" s="19"/>
      <c r="Q429" s="19"/>
      <c r="R429" s="19"/>
      <c r="S429" s="19"/>
    </row>
    <row r="430" spans="2:19" x14ac:dyDescent="0.25">
      <c r="B430" s="19"/>
      <c r="C430" s="19"/>
      <c r="D430" s="19"/>
      <c r="E430" s="30"/>
      <c r="F430" s="30"/>
      <c r="G430" s="30"/>
      <c r="H430" s="30"/>
      <c r="I430" s="30"/>
      <c r="J430" s="30"/>
      <c r="K430" s="30"/>
      <c r="L430" s="29"/>
      <c r="M430" s="19"/>
      <c r="N430" s="19"/>
      <c r="O430" s="19"/>
      <c r="P430" s="19"/>
      <c r="Q430" s="19"/>
      <c r="R430" s="19"/>
      <c r="S430" s="19"/>
    </row>
    <row r="431" spans="2:19" x14ac:dyDescent="0.25">
      <c r="B431" s="19"/>
      <c r="C431" s="19"/>
      <c r="D431" s="19"/>
      <c r="E431" s="30"/>
      <c r="F431" s="30"/>
      <c r="G431" s="30"/>
      <c r="H431" s="30"/>
      <c r="I431" s="30"/>
      <c r="J431" s="30"/>
      <c r="K431" s="30"/>
      <c r="L431" s="29"/>
      <c r="M431" s="19"/>
      <c r="N431" s="19"/>
      <c r="O431" s="19"/>
      <c r="P431" s="19"/>
      <c r="Q431" s="19"/>
      <c r="R431" s="19"/>
      <c r="S431" s="19"/>
    </row>
    <row r="432" spans="2:19" x14ac:dyDescent="0.25">
      <c r="B432" s="19"/>
      <c r="C432" s="19"/>
      <c r="D432" s="19"/>
      <c r="E432" s="30"/>
      <c r="F432" s="30"/>
      <c r="G432" s="30"/>
      <c r="H432" s="30"/>
      <c r="I432" s="30"/>
      <c r="J432" s="30"/>
      <c r="K432" s="30"/>
      <c r="L432" s="29"/>
      <c r="M432" s="19"/>
      <c r="N432" s="19"/>
      <c r="O432" s="19"/>
      <c r="P432" s="19"/>
      <c r="Q432" s="19"/>
      <c r="R432" s="19"/>
      <c r="S432" s="19"/>
    </row>
    <row r="433" spans="2:19" x14ac:dyDescent="0.25">
      <c r="B433" s="19"/>
      <c r="C433" s="19"/>
      <c r="D433" s="19"/>
      <c r="E433" s="30"/>
      <c r="F433" s="30"/>
      <c r="G433" s="30"/>
      <c r="H433" s="30"/>
      <c r="I433" s="30"/>
      <c r="J433" s="30"/>
      <c r="K433" s="30"/>
      <c r="L433" s="29"/>
      <c r="M433" s="19"/>
      <c r="N433" s="19"/>
      <c r="O433" s="19"/>
      <c r="P433" s="19"/>
      <c r="Q433" s="19"/>
      <c r="R433" s="19"/>
      <c r="S433" s="19"/>
    </row>
    <row r="434" spans="2:19" x14ac:dyDescent="0.25">
      <c r="B434" s="19"/>
      <c r="C434" s="19"/>
      <c r="D434" s="19"/>
      <c r="E434" s="30"/>
      <c r="F434" s="30"/>
      <c r="G434" s="30"/>
      <c r="H434" s="30"/>
      <c r="I434" s="30"/>
      <c r="J434" s="30"/>
      <c r="K434" s="30"/>
      <c r="L434" s="29"/>
      <c r="M434" s="19"/>
      <c r="N434" s="19"/>
      <c r="O434" s="19"/>
      <c r="P434" s="19"/>
      <c r="Q434" s="19"/>
      <c r="R434" s="19"/>
      <c r="S434" s="19"/>
    </row>
    <row r="435" spans="2:19" x14ac:dyDescent="0.25">
      <c r="B435" s="19"/>
      <c r="C435" s="19"/>
      <c r="D435" s="19"/>
      <c r="E435" s="30"/>
      <c r="F435" s="30"/>
      <c r="G435" s="30"/>
      <c r="H435" s="30"/>
      <c r="I435" s="30"/>
      <c r="J435" s="30"/>
      <c r="K435" s="30"/>
      <c r="L435" s="29"/>
      <c r="M435" s="19"/>
      <c r="N435" s="19"/>
      <c r="O435" s="19"/>
      <c r="P435" s="19"/>
      <c r="Q435" s="19"/>
      <c r="R435" s="19"/>
      <c r="S435" s="19"/>
    </row>
    <row r="436" spans="2:19" x14ac:dyDescent="0.25">
      <c r="B436" s="19"/>
      <c r="C436" s="19"/>
      <c r="D436" s="19"/>
      <c r="E436" s="30"/>
      <c r="F436" s="30"/>
      <c r="G436" s="30"/>
      <c r="H436" s="30"/>
      <c r="I436" s="30"/>
      <c r="J436" s="30"/>
      <c r="K436" s="30"/>
      <c r="L436" s="29"/>
      <c r="M436" s="19"/>
      <c r="N436" s="19"/>
      <c r="O436" s="19"/>
      <c r="P436" s="19"/>
      <c r="Q436" s="19"/>
      <c r="R436" s="19"/>
      <c r="S436" s="19"/>
    </row>
    <row r="437" spans="2:19" x14ac:dyDescent="0.25">
      <c r="B437" s="19"/>
      <c r="C437" s="19"/>
      <c r="D437" s="19"/>
      <c r="E437" s="30"/>
      <c r="F437" s="30"/>
      <c r="G437" s="30"/>
      <c r="H437" s="30"/>
      <c r="I437" s="30"/>
      <c r="J437" s="30"/>
      <c r="K437" s="30"/>
      <c r="L437" s="29"/>
      <c r="M437" s="19"/>
      <c r="N437" s="19"/>
      <c r="O437" s="19"/>
      <c r="P437" s="19"/>
      <c r="Q437" s="19"/>
      <c r="R437" s="19"/>
      <c r="S437" s="19"/>
    </row>
    <row r="438" spans="2:19" x14ac:dyDescent="0.25">
      <c r="B438" s="19"/>
      <c r="C438" s="19"/>
      <c r="D438" s="19"/>
      <c r="E438" s="30"/>
      <c r="F438" s="30"/>
      <c r="G438" s="30"/>
      <c r="H438" s="30"/>
      <c r="I438" s="30"/>
      <c r="J438" s="30"/>
      <c r="K438" s="30"/>
      <c r="L438" s="29"/>
      <c r="M438" s="19"/>
      <c r="N438" s="19"/>
      <c r="O438" s="19"/>
      <c r="P438" s="19"/>
      <c r="Q438" s="19"/>
      <c r="R438" s="19"/>
      <c r="S438" s="19"/>
    </row>
    <row r="439" spans="2:19" x14ac:dyDescent="0.25">
      <c r="B439" s="19"/>
      <c r="C439" s="19"/>
      <c r="D439" s="19"/>
      <c r="E439" s="30"/>
      <c r="F439" s="30"/>
      <c r="G439" s="30"/>
      <c r="H439" s="30"/>
      <c r="I439" s="30"/>
      <c r="J439" s="30"/>
      <c r="K439" s="30"/>
      <c r="L439" s="29"/>
      <c r="M439" s="19"/>
      <c r="N439" s="19"/>
      <c r="O439" s="19"/>
      <c r="P439" s="19"/>
      <c r="Q439" s="19"/>
      <c r="R439" s="19"/>
      <c r="S439" s="19"/>
    </row>
    <row r="440" spans="2:19" x14ac:dyDescent="0.25">
      <c r="B440" s="19"/>
      <c r="C440" s="19"/>
      <c r="D440" s="19"/>
      <c r="E440" s="30"/>
      <c r="F440" s="30"/>
      <c r="G440" s="30"/>
      <c r="H440" s="30"/>
      <c r="I440" s="30"/>
      <c r="J440" s="30"/>
      <c r="K440" s="30"/>
      <c r="L440" s="29"/>
      <c r="M440" s="19"/>
      <c r="N440" s="19"/>
      <c r="O440" s="19"/>
      <c r="P440" s="19"/>
      <c r="Q440" s="19"/>
      <c r="R440" s="19"/>
      <c r="S440" s="19"/>
    </row>
    <row r="441" spans="2:19" x14ac:dyDescent="0.25">
      <c r="B441" s="19"/>
      <c r="C441" s="19"/>
      <c r="D441" s="19"/>
      <c r="E441" s="30"/>
      <c r="F441" s="30"/>
      <c r="G441" s="30"/>
      <c r="H441" s="30"/>
      <c r="I441" s="30"/>
      <c r="J441" s="30"/>
      <c r="K441" s="30"/>
      <c r="L441" s="29"/>
      <c r="M441" s="19"/>
      <c r="N441" s="19"/>
      <c r="O441" s="19"/>
      <c r="P441" s="19"/>
      <c r="Q441" s="19"/>
      <c r="R441" s="19"/>
      <c r="S441" s="19"/>
    </row>
    <row r="442" spans="2:19" x14ac:dyDescent="0.25">
      <c r="B442" s="19"/>
      <c r="C442" s="19"/>
      <c r="D442" s="19"/>
      <c r="E442" s="30"/>
      <c r="F442" s="30"/>
      <c r="G442" s="30"/>
      <c r="H442" s="30"/>
      <c r="I442" s="30"/>
      <c r="J442" s="30"/>
      <c r="K442" s="30"/>
      <c r="L442" s="29"/>
      <c r="M442" s="19"/>
      <c r="N442" s="19"/>
      <c r="O442" s="19"/>
      <c r="P442" s="19"/>
      <c r="Q442" s="19"/>
      <c r="R442" s="19"/>
      <c r="S442" s="19"/>
    </row>
    <row r="443" spans="2:19" x14ac:dyDescent="0.25">
      <c r="B443" s="19"/>
      <c r="C443" s="19"/>
      <c r="D443" s="19"/>
      <c r="E443" s="30"/>
      <c r="F443" s="30"/>
      <c r="G443" s="30"/>
      <c r="H443" s="30"/>
      <c r="I443" s="30"/>
      <c r="J443" s="30"/>
      <c r="K443" s="30"/>
      <c r="L443" s="29"/>
      <c r="M443" s="19"/>
      <c r="N443" s="19"/>
      <c r="O443" s="19"/>
      <c r="P443" s="19"/>
      <c r="Q443" s="19"/>
      <c r="R443" s="19"/>
      <c r="S443" s="19"/>
    </row>
    <row r="444" spans="2:19" x14ac:dyDescent="0.25">
      <c r="B444" s="19"/>
      <c r="C444" s="19"/>
      <c r="D444" s="19"/>
      <c r="E444" s="30"/>
      <c r="F444" s="30"/>
      <c r="G444" s="30"/>
      <c r="H444" s="30"/>
      <c r="I444" s="30"/>
      <c r="J444" s="30"/>
      <c r="K444" s="30"/>
      <c r="L444" s="29"/>
      <c r="M444" s="19"/>
      <c r="N444" s="19"/>
      <c r="O444" s="19"/>
      <c r="P444" s="19"/>
      <c r="Q444" s="19"/>
      <c r="R444" s="19"/>
      <c r="S444" s="19"/>
    </row>
    <row r="445" spans="2:19" x14ac:dyDescent="0.25">
      <c r="B445" s="19"/>
      <c r="C445" s="19"/>
      <c r="D445" s="19"/>
      <c r="E445" s="30"/>
      <c r="F445" s="30"/>
      <c r="G445" s="30"/>
      <c r="H445" s="30"/>
      <c r="I445" s="30"/>
      <c r="J445" s="30"/>
      <c r="K445" s="30"/>
      <c r="L445" s="29"/>
      <c r="M445" s="19"/>
      <c r="N445" s="19"/>
      <c r="O445" s="19"/>
      <c r="P445" s="19"/>
      <c r="Q445" s="19"/>
      <c r="R445" s="19"/>
      <c r="S445" s="19"/>
    </row>
    <row r="446" spans="2:19" x14ac:dyDescent="0.25">
      <c r="B446" s="19"/>
      <c r="C446" s="19"/>
      <c r="D446" s="19"/>
      <c r="E446" s="30"/>
      <c r="F446" s="30"/>
      <c r="G446" s="30"/>
      <c r="H446" s="30"/>
      <c r="I446" s="30"/>
      <c r="J446" s="30"/>
      <c r="K446" s="30"/>
      <c r="L446" s="29"/>
      <c r="M446" s="19"/>
      <c r="N446" s="19"/>
      <c r="O446" s="19"/>
      <c r="P446" s="19"/>
      <c r="Q446" s="19"/>
      <c r="R446" s="19"/>
      <c r="S446" s="19"/>
    </row>
    <row r="447" spans="2:19" x14ac:dyDescent="0.25">
      <c r="B447" s="19"/>
      <c r="C447" s="19"/>
      <c r="D447" s="19"/>
      <c r="E447" s="30"/>
      <c r="F447" s="30"/>
      <c r="G447" s="30"/>
      <c r="H447" s="30"/>
      <c r="I447" s="30"/>
      <c r="J447" s="30"/>
      <c r="K447" s="30"/>
      <c r="L447" s="29"/>
      <c r="M447" s="19"/>
      <c r="N447" s="19"/>
      <c r="O447" s="19"/>
      <c r="P447" s="19"/>
      <c r="Q447" s="19"/>
      <c r="R447" s="19"/>
      <c r="S447" s="19"/>
    </row>
    <row r="448" spans="2:19" x14ac:dyDescent="0.25">
      <c r="B448" s="19"/>
      <c r="C448" s="19"/>
      <c r="D448" s="19"/>
      <c r="E448" s="30"/>
      <c r="F448" s="30"/>
      <c r="G448" s="30"/>
      <c r="H448" s="30"/>
      <c r="I448" s="30"/>
      <c r="J448" s="30"/>
      <c r="K448" s="30"/>
      <c r="L448" s="29"/>
      <c r="M448" s="19"/>
      <c r="N448" s="19"/>
      <c r="O448" s="19"/>
      <c r="P448" s="19"/>
      <c r="Q448" s="19"/>
      <c r="R448" s="19"/>
      <c r="S448" s="19"/>
    </row>
    <row r="449" spans="2:19" x14ac:dyDescent="0.25">
      <c r="B449" s="19"/>
      <c r="C449" s="19"/>
      <c r="D449" s="19"/>
      <c r="E449" s="30"/>
      <c r="F449" s="30"/>
      <c r="G449" s="30"/>
      <c r="H449" s="30"/>
      <c r="I449" s="30"/>
      <c r="J449" s="30"/>
      <c r="K449" s="30"/>
      <c r="L449" s="29"/>
      <c r="M449" s="19"/>
      <c r="N449" s="19"/>
      <c r="O449" s="19"/>
      <c r="P449" s="19"/>
      <c r="Q449" s="19"/>
      <c r="R449" s="19"/>
      <c r="S449" s="19"/>
    </row>
    <row r="450" spans="2:19" x14ac:dyDescent="0.25">
      <c r="B450" s="19"/>
      <c r="C450" s="19"/>
      <c r="D450" s="19"/>
      <c r="E450" s="30"/>
      <c r="F450" s="30"/>
      <c r="G450" s="30"/>
      <c r="H450" s="30"/>
      <c r="I450" s="30"/>
      <c r="J450" s="30"/>
      <c r="K450" s="30"/>
      <c r="L450" s="29"/>
      <c r="M450" s="19"/>
      <c r="N450" s="19"/>
      <c r="O450" s="19"/>
      <c r="P450" s="19"/>
      <c r="Q450" s="19"/>
      <c r="R450" s="19"/>
      <c r="S450" s="19"/>
    </row>
    <row r="451" spans="2:19" x14ac:dyDescent="0.25">
      <c r="B451" s="19"/>
      <c r="C451" s="19"/>
      <c r="D451" s="19"/>
      <c r="E451" s="30"/>
      <c r="F451" s="30"/>
      <c r="G451" s="30"/>
      <c r="H451" s="30"/>
      <c r="I451" s="30"/>
      <c r="J451" s="30"/>
      <c r="K451" s="30"/>
      <c r="L451" s="29"/>
      <c r="M451" s="19"/>
      <c r="N451" s="19"/>
      <c r="O451" s="19"/>
      <c r="P451" s="19"/>
      <c r="Q451" s="19"/>
      <c r="R451" s="19"/>
      <c r="S451" s="19"/>
    </row>
    <row r="452" spans="2:19" x14ac:dyDescent="0.25">
      <c r="B452" s="19"/>
      <c r="C452" s="19"/>
      <c r="D452" s="19"/>
      <c r="E452" s="30"/>
      <c r="F452" s="30"/>
      <c r="G452" s="30"/>
      <c r="H452" s="30"/>
      <c r="I452" s="30"/>
      <c r="J452" s="30"/>
      <c r="K452" s="30"/>
      <c r="L452" s="29"/>
      <c r="M452" s="19"/>
      <c r="N452" s="19"/>
      <c r="O452" s="19"/>
      <c r="P452" s="19"/>
      <c r="Q452" s="19"/>
      <c r="R452" s="19"/>
      <c r="S452" s="19"/>
    </row>
    <row r="453" spans="2:19" x14ac:dyDescent="0.25">
      <c r="B453" s="19"/>
      <c r="C453" s="19"/>
      <c r="D453" s="19"/>
      <c r="E453" s="30"/>
      <c r="F453" s="30"/>
      <c r="G453" s="30"/>
      <c r="H453" s="30"/>
      <c r="I453" s="30"/>
      <c r="J453" s="30"/>
      <c r="K453" s="30"/>
      <c r="L453" s="29"/>
      <c r="M453" s="19"/>
      <c r="N453" s="19"/>
      <c r="O453" s="19"/>
      <c r="P453" s="19"/>
      <c r="Q453" s="19"/>
      <c r="R453" s="19"/>
      <c r="S453" s="19"/>
    </row>
    <row r="454" spans="2:19" x14ac:dyDescent="0.25">
      <c r="B454" s="19"/>
      <c r="C454" s="19"/>
      <c r="D454" s="19"/>
      <c r="E454" s="30"/>
      <c r="F454" s="30"/>
      <c r="G454" s="30"/>
      <c r="H454" s="30"/>
      <c r="I454" s="30"/>
      <c r="J454" s="30"/>
      <c r="K454" s="30"/>
      <c r="L454" s="29"/>
      <c r="M454" s="19"/>
      <c r="N454" s="19"/>
      <c r="O454" s="19"/>
      <c r="P454" s="19"/>
      <c r="Q454" s="19"/>
      <c r="R454" s="19"/>
      <c r="S454" s="19"/>
    </row>
    <row r="455" spans="2:19" x14ac:dyDescent="0.25">
      <c r="B455" s="19"/>
      <c r="C455" s="19"/>
      <c r="D455" s="19"/>
      <c r="E455" s="30"/>
      <c r="F455" s="30"/>
      <c r="G455" s="30"/>
      <c r="H455" s="30"/>
      <c r="I455" s="30"/>
      <c r="J455" s="30"/>
      <c r="K455" s="30"/>
      <c r="L455" s="29"/>
      <c r="M455" s="19"/>
      <c r="N455" s="19"/>
      <c r="O455" s="19"/>
      <c r="P455" s="19"/>
      <c r="Q455" s="19"/>
      <c r="R455" s="19"/>
      <c r="S455" s="19"/>
    </row>
    <row r="456" spans="2:19" x14ac:dyDescent="0.25">
      <c r="B456" s="19"/>
      <c r="C456" s="19"/>
      <c r="D456" s="19"/>
      <c r="E456" s="30"/>
      <c r="F456" s="30"/>
      <c r="G456" s="30"/>
      <c r="H456" s="30"/>
      <c r="I456" s="30"/>
      <c r="J456" s="30"/>
      <c r="K456" s="30"/>
      <c r="L456" s="29"/>
      <c r="M456" s="19"/>
      <c r="N456" s="19"/>
      <c r="O456" s="19"/>
      <c r="P456" s="19"/>
      <c r="Q456" s="19"/>
      <c r="R456" s="19"/>
      <c r="S456" s="19"/>
    </row>
    <row r="457" spans="2:19" x14ac:dyDescent="0.25">
      <c r="B457" s="19"/>
      <c r="C457" s="19"/>
      <c r="D457" s="19"/>
      <c r="E457" s="30"/>
      <c r="F457" s="30"/>
      <c r="G457" s="30"/>
      <c r="H457" s="30"/>
      <c r="I457" s="30"/>
      <c r="J457" s="30"/>
      <c r="K457" s="30"/>
      <c r="L457" s="29"/>
      <c r="M457" s="19"/>
      <c r="N457" s="19"/>
      <c r="O457" s="19"/>
      <c r="P457" s="19"/>
      <c r="Q457" s="19"/>
      <c r="R457" s="19"/>
      <c r="S457" s="19"/>
    </row>
    <row r="458" spans="2:19" x14ac:dyDescent="0.25">
      <c r="B458" s="19"/>
      <c r="C458" s="19"/>
      <c r="D458" s="19"/>
      <c r="E458" s="30"/>
      <c r="F458" s="30"/>
      <c r="G458" s="30"/>
      <c r="H458" s="30"/>
      <c r="I458" s="30"/>
      <c r="J458" s="30"/>
      <c r="K458" s="30"/>
      <c r="L458" s="29"/>
      <c r="M458" s="19"/>
      <c r="N458" s="19"/>
      <c r="O458" s="19"/>
      <c r="P458" s="19"/>
      <c r="Q458" s="19"/>
      <c r="R458" s="19"/>
      <c r="S458" s="19"/>
    </row>
    <row r="459" spans="2:19" x14ac:dyDescent="0.25">
      <c r="B459" s="19"/>
      <c r="C459" s="19"/>
      <c r="D459" s="19"/>
      <c r="E459" s="30"/>
      <c r="F459" s="30"/>
      <c r="G459" s="30"/>
      <c r="H459" s="30"/>
      <c r="I459" s="30"/>
      <c r="J459" s="30"/>
      <c r="K459" s="30"/>
      <c r="L459" s="29"/>
      <c r="M459" s="19"/>
      <c r="N459" s="19"/>
      <c r="O459" s="19"/>
      <c r="P459" s="19"/>
      <c r="Q459" s="19"/>
      <c r="R459" s="19"/>
      <c r="S459" s="19"/>
    </row>
    <row r="460" spans="2:19" x14ac:dyDescent="0.25">
      <c r="B460" s="19"/>
      <c r="C460" s="19"/>
      <c r="D460" s="19"/>
      <c r="E460" s="30"/>
      <c r="F460" s="30"/>
      <c r="G460" s="30"/>
      <c r="H460" s="30"/>
      <c r="I460" s="30"/>
      <c r="J460" s="30"/>
      <c r="K460" s="30"/>
      <c r="L460" s="29"/>
      <c r="M460" s="19"/>
      <c r="N460" s="19"/>
      <c r="O460" s="19"/>
      <c r="P460" s="19"/>
      <c r="Q460" s="19"/>
      <c r="R460" s="19"/>
      <c r="S460" s="19"/>
    </row>
    <row r="461" spans="2:19" x14ac:dyDescent="0.25">
      <c r="B461" s="19"/>
      <c r="C461" s="19"/>
      <c r="D461" s="19"/>
      <c r="E461" s="30"/>
      <c r="F461" s="30"/>
      <c r="G461" s="30"/>
      <c r="H461" s="30"/>
      <c r="I461" s="30"/>
      <c r="J461" s="30"/>
      <c r="K461" s="30"/>
      <c r="L461" s="29"/>
      <c r="M461" s="19"/>
      <c r="N461" s="19"/>
      <c r="O461" s="19"/>
      <c r="P461" s="19"/>
      <c r="Q461" s="19"/>
      <c r="R461" s="19"/>
      <c r="S461" s="19"/>
    </row>
    <row r="462" spans="2:19" x14ac:dyDescent="0.25">
      <c r="B462" s="19"/>
      <c r="C462" s="19"/>
      <c r="D462" s="19"/>
      <c r="E462" s="30"/>
      <c r="F462" s="30"/>
      <c r="G462" s="30"/>
      <c r="H462" s="30"/>
      <c r="I462" s="30"/>
      <c r="J462" s="30"/>
      <c r="K462" s="30"/>
      <c r="L462" s="29"/>
      <c r="M462" s="19"/>
      <c r="N462" s="19"/>
      <c r="O462" s="19"/>
      <c r="P462" s="19"/>
      <c r="Q462" s="19"/>
      <c r="R462" s="19"/>
      <c r="S462" s="19"/>
    </row>
    <row r="463" spans="2:19" x14ac:dyDescent="0.25">
      <c r="B463" s="19"/>
      <c r="C463" s="19"/>
      <c r="D463" s="19"/>
      <c r="E463" s="30"/>
      <c r="F463" s="30"/>
      <c r="G463" s="30"/>
      <c r="H463" s="30"/>
      <c r="I463" s="30"/>
      <c r="J463" s="30"/>
      <c r="K463" s="30"/>
      <c r="L463" s="29"/>
      <c r="M463" s="19"/>
      <c r="N463" s="19"/>
      <c r="O463" s="19"/>
      <c r="P463" s="19"/>
      <c r="Q463" s="19"/>
      <c r="R463" s="19"/>
      <c r="S463" s="19"/>
    </row>
    <row r="464" spans="2:19" x14ac:dyDescent="0.25">
      <c r="B464" s="19"/>
      <c r="C464" s="19"/>
      <c r="D464" s="19"/>
      <c r="E464" s="30"/>
      <c r="F464" s="30"/>
      <c r="G464" s="30"/>
      <c r="H464" s="30"/>
      <c r="I464" s="30"/>
      <c r="J464" s="30"/>
      <c r="K464" s="30"/>
      <c r="L464" s="29"/>
      <c r="M464" s="19"/>
      <c r="N464" s="19"/>
      <c r="O464" s="19"/>
      <c r="P464" s="19"/>
      <c r="Q464" s="19"/>
      <c r="R464" s="19"/>
      <c r="S464" s="19"/>
    </row>
    <row r="465" spans="2:19" x14ac:dyDescent="0.25">
      <c r="B465" s="19"/>
      <c r="C465" s="19"/>
      <c r="D465" s="19"/>
      <c r="E465" s="30"/>
      <c r="F465" s="30"/>
      <c r="G465" s="30"/>
      <c r="H465" s="30"/>
      <c r="I465" s="30"/>
      <c r="J465" s="30"/>
      <c r="K465" s="30"/>
      <c r="L465" s="29"/>
      <c r="M465" s="19"/>
      <c r="N465" s="19"/>
      <c r="O465" s="19"/>
      <c r="P465" s="19"/>
      <c r="Q465" s="19"/>
      <c r="R465" s="19"/>
      <c r="S465" s="19"/>
    </row>
    <row r="466" spans="2:19" x14ac:dyDescent="0.25">
      <c r="B466" s="19"/>
      <c r="C466" s="19"/>
      <c r="D466" s="19"/>
      <c r="E466" s="30"/>
      <c r="F466" s="30"/>
      <c r="G466" s="30"/>
      <c r="H466" s="30"/>
      <c r="I466" s="30"/>
      <c r="J466" s="30"/>
      <c r="K466" s="30"/>
      <c r="L466" s="29"/>
      <c r="M466" s="19"/>
      <c r="N466" s="19"/>
      <c r="O466" s="19"/>
      <c r="P466" s="19"/>
      <c r="Q466" s="19"/>
      <c r="R466" s="19"/>
      <c r="S466" s="19"/>
    </row>
    <row r="467" spans="2:19" x14ac:dyDescent="0.25">
      <c r="B467" s="19"/>
      <c r="C467" s="19"/>
      <c r="D467" s="19"/>
      <c r="E467" s="29"/>
      <c r="F467" s="29"/>
      <c r="G467" s="29"/>
      <c r="H467" s="29"/>
      <c r="I467" s="29"/>
      <c r="J467" s="29"/>
      <c r="K467" s="29"/>
      <c r="L467" s="29"/>
      <c r="M467" s="19"/>
      <c r="N467" s="19"/>
      <c r="O467" s="19"/>
      <c r="P467" s="19"/>
      <c r="Q467" s="19"/>
      <c r="R467" s="19"/>
      <c r="S467" s="19"/>
    </row>
    <row r="468" spans="2:19" x14ac:dyDescent="0.25">
      <c r="B468" s="19"/>
      <c r="C468" s="19"/>
      <c r="D468" s="19"/>
      <c r="E468" s="29"/>
      <c r="F468" s="29"/>
      <c r="G468" s="29"/>
      <c r="H468" s="29"/>
      <c r="I468" s="29"/>
      <c r="J468" s="29"/>
      <c r="K468" s="29"/>
      <c r="L468" s="29"/>
      <c r="M468" s="19"/>
      <c r="N468" s="19"/>
      <c r="O468" s="19"/>
      <c r="P468" s="19"/>
      <c r="Q468" s="19"/>
      <c r="R468" s="19"/>
      <c r="S468" s="19"/>
    </row>
    <row r="469" spans="2:19" x14ac:dyDescent="0.25">
      <c r="B469" s="19"/>
      <c r="C469" s="19"/>
      <c r="D469" s="19"/>
      <c r="E469" s="29"/>
      <c r="F469" s="29"/>
      <c r="G469" s="29"/>
      <c r="H469" s="29"/>
      <c r="I469" s="29"/>
      <c r="J469" s="29"/>
      <c r="K469" s="29"/>
      <c r="L469" s="29"/>
      <c r="M469" s="19"/>
      <c r="N469" s="19"/>
      <c r="O469" s="19"/>
      <c r="P469" s="19"/>
      <c r="Q469" s="19"/>
      <c r="R469" s="19"/>
      <c r="S469" s="19"/>
    </row>
    <row r="470" spans="2:19" x14ac:dyDescent="0.25">
      <c r="B470" s="19"/>
      <c r="C470" s="19"/>
      <c r="D470" s="19"/>
      <c r="E470" s="29"/>
      <c r="F470" s="29"/>
      <c r="G470" s="29"/>
      <c r="H470" s="29"/>
      <c r="I470" s="29"/>
      <c r="J470" s="29"/>
      <c r="K470" s="29"/>
      <c r="L470" s="29"/>
      <c r="M470" s="19"/>
      <c r="N470" s="19"/>
      <c r="O470" s="19"/>
      <c r="P470" s="19"/>
      <c r="Q470" s="19"/>
      <c r="R470" s="19"/>
      <c r="S470" s="19"/>
    </row>
    <row r="471" spans="2:19" x14ac:dyDescent="0.25">
      <c r="B471" s="19"/>
      <c r="C471" s="19"/>
      <c r="D471" s="19"/>
      <c r="E471" s="29"/>
      <c r="F471" s="29"/>
      <c r="G471" s="29"/>
      <c r="H471" s="29"/>
      <c r="I471" s="29"/>
      <c r="J471" s="29"/>
      <c r="K471" s="29"/>
      <c r="L471" s="29"/>
      <c r="M471" s="19"/>
      <c r="N471" s="19"/>
      <c r="O471" s="19"/>
      <c r="P471" s="19"/>
      <c r="Q471" s="19"/>
      <c r="R471" s="19"/>
      <c r="S471" s="19"/>
    </row>
    <row r="472" spans="2:19" x14ac:dyDescent="0.25">
      <c r="B472" s="19"/>
      <c r="C472" s="19"/>
      <c r="D472" s="19"/>
      <c r="E472" s="29"/>
      <c r="F472" s="29"/>
      <c r="G472" s="29"/>
      <c r="H472" s="29"/>
      <c r="I472" s="29"/>
      <c r="J472" s="29"/>
      <c r="K472" s="29"/>
      <c r="L472" s="29"/>
      <c r="M472" s="19"/>
      <c r="N472" s="19"/>
      <c r="O472" s="19"/>
      <c r="P472" s="19"/>
      <c r="Q472" s="19"/>
      <c r="R472" s="19"/>
      <c r="S472" s="19"/>
    </row>
    <row r="473" spans="2:19" x14ac:dyDescent="0.25">
      <c r="B473" s="19"/>
      <c r="C473" s="19"/>
      <c r="D473" s="19"/>
      <c r="E473" s="29"/>
      <c r="F473" s="29"/>
      <c r="G473" s="29"/>
      <c r="H473" s="29"/>
      <c r="I473" s="29"/>
      <c r="J473" s="29"/>
      <c r="K473" s="29"/>
      <c r="L473" s="29"/>
      <c r="M473" s="19"/>
      <c r="N473" s="19"/>
      <c r="O473" s="19"/>
      <c r="P473" s="19"/>
      <c r="Q473" s="19"/>
      <c r="R473" s="19"/>
      <c r="S473" s="19"/>
    </row>
    <row r="474" spans="2:19" x14ac:dyDescent="0.25">
      <c r="B474" s="19"/>
      <c r="C474" s="19"/>
      <c r="D474" s="19"/>
      <c r="E474" s="29"/>
      <c r="F474" s="29"/>
      <c r="G474" s="29"/>
      <c r="H474" s="29"/>
      <c r="I474" s="29"/>
      <c r="J474" s="29"/>
      <c r="K474" s="29"/>
      <c r="L474" s="29"/>
      <c r="M474" s="19"/>
      <c r="N474" s="19"/>
      <c r="O474" s="19"/>
      <c r="P474" s="19"/>
      <c r="Q474" s="19"/>
      <c r="R474" s="19"/>
      <c r="S474" s="19"/>
    </row>
    <row r="475" spans="2:19" x14ac:dyDescent="0.25">
      <c r="B475" s="19"/>
      <c r="C475" s="19"/>
      <c r="D475" s="19"/>
      <c r="E475" s="29"/>
      <c r="F475" s="29"/>
      <c r="G475" s="29"/>
      <c r="H475" s="29"/>
      <c r="I475" s="29"/>
      <c r="J475" s="29"/>
      <c r="K475" s="29"/>
      <c r="L475" s="29"/>
      <c r="M475" s="19"/>
      <c r="N475" s="19"/>
      <c r="O475" s="19"/>
      <c r="P475" s="19"/>
      <c r="Q475" s="19"/>
      <c r="R475" s="19"/>
      <c r="S475" s="19"/>
    </row>
    <row r="476" spans="2:19" x14ac:dyDescent="0.25">
      <c r="B476" s="19"/>
      <c r="C476" s="19"/>
      <c r="D476" s="19"/>
      <c r="E476" s="29"/>
      <c r="F476" s="29"/>
      <c r="G476" s="29"/>
      <c r="H476" s="29"/>
      <c r="I476" s="29"/>
      <c r="J476" s="29"/>
      <c r="K476" s="29"/>
      <c r="L476" s="29"/>
      <c r="M476" s="19"/>
      <c r="N476" s="19"/>
      <c r="O476" s="19"/>
      <c r="P476" s="19"/>
      <c r="Q476" s="19"/>
      <c r="R476" s="19"/>
      <c r="S476" s="19"/>
    </row>
    <row r="477" spans="2:19" x14ac:dyDescent="0.25">
      <c r="B477" s="19"/>
      <c r="C477" s="19"/>
      <c r="D477" s="19"/>
      <c r="E477" s="29"/>
      <c r="F477" s="29"/>
      <c r="G477" s="29"/>
      <c r="H477" s="29"/>
      <c r="I477" s="29"/>
      <c r="J477" s="29"/>
      <c r="K477" s="29"/>
      <c r="L477" s="29"/>
      <c r="M477" s="19"/>
      <c r="N477" s="19"/>
      <c r="O477" s="19"/>
      <c r="P477" s="19"/>
      <c r="Q477" s="19"/>
      <c r="R477" s="19"/>
      <c r="S477" s="19"/>
    </row>
    <row r="478" spans="2:19" x14ac:dyDescent="0.25">
      <c r="B478" s="19"/>
      <c r="C478" s="19"/>
      <c r="D478" s="19"/>
      <c r="E478" s="29"/>
      <c r="F478" s="29"/>
      <c r="G478" s="29"/>
      <c r="H478" s="29"/>
      <c r="I478" s="29"/>
      <c r="J478" s="29"/>
      <c r="K478" s="29"/>
      <c r="L478" s="29"/>
      <c r="M478" s="19"/>
      <c r="N478" s="19"/>
      <c r="O478" s="19"/>
      <c r="P478" s="19"/>
      <c r="Q478" s="19"/>
      <c r="R478" s="19"/>
      <c r="S478" s="19"/>
    </row>
    <row r="479" spans="2:19" x14ac:dyDescent="0.25">
      <c r="B479" s="19"/>
      <c r="C479" s="19"/>
      <c r="D479" s="19"/>
      <c r="E479" s="29"/>
      <c r="F479" s="29"/>
      <c r="G479" s="29"/>
      <c r="H479" s="29"/>
      <c r="I479" s="29"/>
      <c r="J479" s="29"/>
      <c r="K479" s="29"/>
      <c r="L479" s="29"/>
      <c r="M479" s="19"/>
      <c r="N479" s="19"/>
      <c r="O479" s="19"/>
      <c r="P479" s="19"/>
      <c r="Q479" s="19"/>
      <c r="R479" s="19"/>
      <c r="S479" s="19"/>
    </row>
    <row r="480" spans="2:19" x14ac:dyDescent="0.25">
      <c r="B480" s="19"/>
      <c r="C480" s="19"/>
      <c r="D480" s="19"/>
      <c r="E480" s="29"/>
      <c r="F480" s="29"/>
      <c r="G480" s="29"/>
      <c r="H480" s="29"/>
      <c r="I480" s="29"/>
      <c r="J480" s="29"/>
      <c r="K480" s="29"/>
      <c r="L480" s="29"/>
      <c r="M480" s="19"/>
      <c r="N480" s="19"/>
      <c r="O480" s="19"/>
      <c r="P480" s="19"/>
      <c r="Q480" s="19"/>
      <c r="R480" s="19"/>
      <c r="S480" s="19"/>
    </row>
    <row r="481" spans="2:19" x14ac:dyDescent="0.25">
      <c r="B481" s="19"/>
      <c r="C481" s="19"/>
      <c r="D481" s="19"/>
      <c r="E481" s="29"/>
      <c r="F481" s="29"/>
      <c r="G481" s="29"/>
      <c r="H481" s="29"/>
      <c r="I481" s="29"/>
      <c r="J481" s="29"/>
      <c r="K481" s="29"/>
      <c r="L481" s="29"/>
      <c r="M481" s="19"/>
      <c r="N481" s="19"/>
      <c r="O481" s="19"/>
      <c r="P481" s="19"/>
      <c r="Q481" s="19"/>
      <c r="R481" s="19"/>
      <c r="S481" s="19"/>
    </row>
    <row r="482" spans="2:19" x14ac:dyDescent="0.25">
      <c r="B482" s="19"/>
      <c r="C482" s="19"/>
      <c r="D482" s="19"/>
      <c r="E482" s="29"/>
      <c r="F482" s="29"/>
      <c r="G482" s="29"/>
      <c r="H482" s="29"/>
      <c r="I482" s="29"/>
      <c r="J482" s="29"/>
      <c r="K482" s="29"/>
      <c r="L482" s="29"/>
      <c r="M482" s="19"/>
      <c r="N482" s="19"/>
      <c r="O482" s="19"/>
      <c r="P482" s="19"/>
      <c r="Q482" s="19"/>
      <c r="R482" s="19"/>
      <c r="S482" s="19"/>
    </row>
    <row r="483" spans="2:19" x14ac:dyDescent="0.25">
      <c r="B483" s="19"/>
      <c r="C483" s="19"/>
      <c r="D483" s="19"/>
      <c r="E483" s="29"/>
      <c r="F483" s="29"/>
      <c r="G483" s="29"/>
      <c r="H483" s="29"/>
      <c r="I483" s="29"/>
      <c r="J483" s="29"/>
      <c r="K483" s="29"/>
      <c r="L483" s="29"/>
      <c r="M483" s="19"/>
      <c r="N483" s="19"/>
      <c r="O483" s="19"/>
      <c r="P483" s="19"/>
      <c r="Q483" s="19"/>
      <c r="R483" s="19"/>
      <c r="S483" s="19"/>
    </row>
    <row r="484" spans="2:19" x14ac:dyDescent="0.25">
      <c r="B484" s="19"/>
      <c r="C484" s="19"/>
      <c r="D484" s="19"/>
      <c r="E484" s="29"/>
      <c r="F484" s="29"/>
      <c r="G484" s="29"/>
      <c r="H484" s="29"/>
      <c r="I484" s="29"/>
      <c r="J484" s="29"/>
      <c r="K484" s="29"/>
      <c r="L484" s="29"/>
      <c r="M484" s="19"/>
      <c r="N484" s="19"/>
      <c r="O484" s="19"/>
      <c r="P484" s="19"/>
      <c r="Q484" s="19"/>
      <c r="R484" s="19"/>
      <c r="S484" s="19"/>
    </row>
    <row r="485" spans="2:19" x14ac:dyDescent="0.25">
      <c r="B485" s="19"/>
      <c r="C485" s="19"/>
      <c r="D485" s="19"/>
      <c r="E485" s="29"/>
      <c r="F485" s="29"/>
      <c r="G485" s="29"/>
      <c r="H485" s="29"/>
      <c r="I485" s="29"/>
      <c r="J485" s="29"/>
      <c r="K485" s="29"/>
      <c r="L485" s="29"/>
      <c r="M485" s="19"/>
      <c r="N485" s="19"/>
      <c r="O485" s="19"/>
      <c r="P485" s="19"/>
      <c r="Q485" s="19"/>
      <c r="R485" s="19"/>
      <c r="S485" s="19"/>
    </row>
    <row r="486" spans="2:19" x14ac:dyDescent="0.25">
      <c r="B486" s="19"/>
      <c r="C486" s="19"/>
      <c r="D486" s="19"/>
      <c r="E486" s="29"/>
      <c r="F486" s="29"/>
      <c r="G486" s="29"/>
      <c r="H486" s="29"/>
      <c r="I486" s="29"/>
      <c r="J486" s="29"/>
      <c r="K486" s="29"/>
      <c r="L486" s="29"/>
      <c r="M486" s="19"/>
      <c r="N486" s="19"/>
      <c r="O486" s="19"/>
      <c r="P486" s="19"/>
      <c r="Q486" s="19"/>
      <c r="R486" s="19"/>
      <c r="S486" s="19"/>
    </row>
    <row r="487" spans="2:19" x14ac:dyDescent="0.25">
      <c r="B487" s="19"/>
      <c r="C487" s="19"/>
      <c r="D487" s="19"/>
      <c r="E487" s="29"/>
      <c r="F487" s="29"/>
      <c r="G487" s="29"/>
      <c r="H487" s="29"/>
      <c r="I487" s="29"/>
      <c r="J487" s="29"/>
      <c r="K487" s="29"/>
      <c r="L487" s="29"/>
      <c r="M487" s="19"/>
      <c r="N487" s="19"/>
      <c r="O487" s="19"/>
      <c r="P487" s="19"/>
      <c r="Q487" s="19"/>
      <c r="R487" s="19"/>
      <c r="S487" s="19"/>
    </row>
    <row r="488" spans="2:19" x14ac:dyDescent="0.25">
      <c r="B488" s="19"/>
      <c r="C488" s="19"/>
      <c r="D488" s="19"/>
      <c r="E488" s="29"/>
      <c r="F488" s="29"/>
      <c r="G488" s="29"/>
      <c r="H488" s="29"/>
      <c r="I488" s="29"/>
      <c r="J488" s="29"/>
      <c r="K488" s="29"/>
      <c r="L488" s="29"/>
      <c r="M488" s="19"/>
      <c r="N488" s="19"/>
      <c r="O488" s="19"/>
      <c r="P488" s="19"/>
      <c r="Q488" s="19"/>
      <c r="R488" s="19"/>
      <c r="S488" s="19"/>
    </row>
    <row r="489" spans="2:19" x14ac:dyDescent="0.25">
      <c r="B489" s="19"/>
      <c r="C489" s="19"/>
      <c r="D489" s="19"/>
      <c r="E489" s="29"/>
      <c r="F489" s="29"/>
      <c r="G489" s="29"/>
      <c r="H489" s="29"/>
      <c r="I489" s="29"/>
      <c r="J489" s="29"/>
      <c r="K489" s="29"/>
      <c r="L489" s="29"/>
      <c r="M489" s="19"/>
      <c r="N489" s="19"/>
      <c r="O489" s="19"/>
      <c r="P489" s="19"/>
      <c r="Q489" s="19"/>
      <c r="R489" s="19"/>
      <c r="S489" s="19"/>
    </row>
    <row r="490" spans="2:19" x14ac:dyDescent="0.25">
      <c r="B490" s="19"/>
      <c r="C490" s="19"/>
      <c r="D490" s="19"/>
      <c r="E490" s="29"/>
      <c r="F490" s="29"/>
      <c r="G490" s="29"/>
      <c r="H490" s="29"/>
      <c r="I490" s="29"/>
      <c r="J490" s="29"/>
      <c r="K490" s="29"/>
      <c r="L490" s="29"/>
      <c r="M490" s="19"/>
      <c r="N490" s="19"/>
      <c r="O490" s="19"/>
      <c r="P490" s="19"/>
      <c r="Q490" s="19"/>
      <c r="R490" s="19"/>
      <c r="S490" s="19"/>
    </row>
    <row r="491" spans="2:19" x14ac:dyDescent="0.25">
      <c r="B491" s="19"/>
      <c r="C491" s="19"/>
      <c r="D491" s="19"/>
      <c r="E491" s="29"/>
      <c r="F491" s="29"/>
      <c r="G491" s="29"/>
      <c r="H491" s="29"/>
      <c r="I491" s="29"/>
      <c r="J491" s="29"/>
      <c r="K491" s="29"/>
      <c r="L491" s="29"/>
      <c r="M491" s="19"/>
      <c r="N491" s="19"/>
      <c r="O491" s="19"/>
      <c r="P491" s="19"/>
      <c r="Q491" s="19"/>
      <c r="R491" s="19"/>
      <c r="S491" s="19"/>
    </row>
    <row r="492" spans="2:19" x14ac:dyDescent="0.25">
      <c r="B492" s="19"/>
      <c r="C492" s="19"/>
      <c r="D492" s="19"/>
      <c r="E492" s="29"/>
      <c r="F492" s="29"/>
      <c r="G492" s="29"/>
      <c r="H492" s="29"/>
      <c r="I492" s="29"/>
      <c r="J492" s="29"/>
      <c r="K492" s="29"/>
      <c r="L492" s="29"/>
      <c r="M492" s="19"/>
      <c r="N492" s="19"/>
      <c r="O492" s="19"/>
      <c r="P492" s="19"/>
      <c r="Q492" s="19"/>
      <c r="R492" s="19"/>
      <c r="S492" s="19"/>
    </row>
    <row r="493" spans="2:19" x14ac:dyDescent="0.25">
      <c r="B493" s="19"/>
      <c r="C493" s="19"/>
      <c r="D493" s="19"/>
      <c r="E493" s="29"/>
      <c r="F493" s="29"/>
      <c r="G493" s="29"/>
      <c r="H493" s="29"/>
      <c r="I493" s="29"/>
      <c r="J493" s="29"/>
      <c r="K493" s="29"/>
      <c r="L493" s="29"/>
      <c r="M493" s="19"/>
      <c r="N493" s="19"/>
      <c r="O493" s="19"/>
      <c r="P493" s="19"/>
      <c r="Q493" s="19"/>
      <c r="R493" s="19"/>
      <c r="S493" s="19"/>
    </row>
    <row r="494" spans="2:19" x14ac:dyDescent="0.25">
      <c r="B494" s="19"/>
      <c r="C494" s="19"/>
      <c r="D494" s="19"/>
      <c r="E494" s="29"/>
      <c r="F494" s="29"/>
      <c r="G494" s="29"/>
      <c r="H494" s="29"/>
      <c r="I494" s="29"/>
      <c r="J494" s="29"/>
      <c r="K494" s="29"/>
      <c r="L494" s="29"/>
      <c r="M494" s="19"/>
      <c r="N494" s="19"/>
      <c r="O494" s="19"/>
      <c r="P494" s="19"/>
      <c r="Q494" s="19"/>
      <c r="R494" s="19"/>
      <c r="S494" s="19"/>
    </row>
    <row r="495" spans="2:19" x14ac:dyDescent="0.25">
      <c r="B495" s="19"/>
      <c r="C495" s="19"/>
      <c r="D495" s="19"/>
      <c r="E495" s="29"/>
      <c r="F495" s="29"/>
      <c r="G495" s="29"/>
      <c r="H495" s="29"/>
      <c r="I495" s="29"/>
      <c r="J495" s="29"/>
      <c r="K495" s="29"/>
      <c r="L495" s="29"/>
      <c r="M495" s="19"/>
      <c r="N495" s="19"/>
      <c r="O495" s="19"/>
      <c r="P495" s="19"/>
      <c r="Q495" s="19"/>
      <c r="R495" s="19"/>
      <c r="S495" s="19"/>
    </row>
    <row r="496" spans="2:19" x14ac:dyDescent="0.25">
      <c r="B496" s="19"/>
      <c r="C496" s="19"/>
      <c r="D496" s="19"/>
      <c r="E496" s="29"/>
      <c r="F496" s="29"/>
      <c r="G496" s="29"/>
      <c r="H496" s="29"/>
      <c r="I496" s="29"/>
      <c r="J496" s="29"/>
      <c r="K496" s="29"/>
      <c r="L496" s="29"/>
      <c r="M496" s="19"/>
      <c r="N496" s="19"/>
      <c r="O496" s="19"/>
      <c r="P496" s="19"/>
      <c r="Q496" s="19"/>
      <c r="R496" s="19"/>
      <c r="S496" s="19"/>
    </row>
    <row r="497" spans="2:19" x14ac:dyDescent="0.25">
      <c r="B497" s="19"/>
      <c r="C497" s="19"/>
      <c r="D497" s="19"/>
      <c r="E497" s="29"/>
      <c r="F497" s="29"/>
      <c r="G497" s="29"/>
      <c r="H497" s="29"/>
      <c r="I497" s="29"/>
      <c r="J497" s="29"/>
      <c r="K497" s="29"/>
      <c r="L497" s="29"/>
      <c r="M497" s="19"/>
      <c r="N497" s="19"/>
      <c r="O497" s="19"/>
      <c r="P497" s="19"/>
      <c r="Q497" s="19"/>
      <c r="R497" s="19"/>
      <c r="S497" s="19"/>
    </row>
    <row r="498" spans="2:19" x14ac:dyDescent="0.25">
      <c r="B498" s="19"/>
      <c r="C498" s="19"/>
      <c r="D498" s="19"/>
      <c r="E498" s="29"/>
      <c r="F498" s="29"/>
      <c r="G498" s="29"/>
      <c r="H498" s="29"/>
      <c r="I498" s="29"/>
      <c r="J498" s="29"/>
      <c r="K498" s="29"/>
      <c r="L498" s="29"/>
      <c r="M498" s="19"/>
      <c r="N498" s="19"/>
      <c r="O498" s="19"/>
      <c r="P498" s="19"/>
      <c r="Q498" s="19"/>
      <c r="R498" s="19"/>
      <c r="S498" s="19"/>
    </row>
    <row r="499" spans="2:19" x14ac:dyDescent="0.25">
      <c r="B499" s="19"/>
      <c r="C499" s="19"/>
      <c r="D499" s="19"/>
      <c r="E499" s="29"/>
      <c r="F499" s="29"/>
      <c r="G499" s="29"/>
      <c r="H499" s="29"/>
      <c r="I499" s="29"/>
      <c r="J499" s="29"/>
      <c r="K499" s="29"/>
      <c r="L499" s="29"/>
      <c r="M499" s="19"/>
      <c r="N499" s="19"/>
      <c r="O499" s="19"/>
      <c r="P499" s="19"/>
      <c r="Q499" s="19"/>
      <c r="R499" s="19"/>
      <c r="S499" s="19"/>
    </row>
    <row r="500" spans="2:19" x14ac:dyDescent="0.25">
      <c r="B500" s="19"/>
      <c r="C500" s="19"/>
      <c r="D500" s="19"/>
      <c r="E500" s="29"/>
      <c r="F500" s="29"/>
      <c r="G500" s="29"/>
      <c r="H500" s="29"/>
      <c r="I500" s="29"/>
      <c r="J500" s="29"/>
      <c r="K500" s="29"/>
      <c r="L500" s="29"/>
      <c r="M500" s="19"/>
      <c r="N500" s="19"/>
      <c r="O500" s="19"/>
      <c r="P500" s="19"/>
      <c r="Q500" s="19"/>
      <c r="R500" s="19"/>
      <c r="S500" s="19"/>
    </row>
    <row r="501" spans="2:19" x14ac:dyDescent="0.25">
      <c r="B501" s="19"/>
      <c r="C501" s="19"/>
      <c r="D501" s="19"/>
      <c r="E501" s="29"/>
      <c r="F501" s="29"/>
      <c r="G501" s="29"/>
      <c r="H501" s="29"/>
      <c r="I501" s="29"/>
      <c r="J501" s="29"/>
      <c r="K501" s="29"/>
      <c r="L501" s="29"/>
      <c r="M501" s="19"/>
      <c r="N501" s="19"/>
      <c r="O501" s="19"/>
      <c r="P501" s="19"/>
      <c r="Q501" s="19"/>
      <c r="R501" s="19"/>
      <c r="S501" s="19"/>
    </row>
    <row r="502" spans="2:19" x14ac:dyDescent="0.25">
      <c r="B502" s="19"/>
      <c r="C502" s="19"/>
      <c r="D502" s="19"/>
      <c r="E502" s="29"/>
      <c r="F502" s="29"/>
      <c r="G502" s="29"/>
      <c r="H502" s="29"/>
      <c r="I502" s="29"/>
      <c r="J502" s="29"/>
      <c r="K502" s="29"/>
      <c r="L502" s="29"/>
      <c r="M502" s="19"/>
      <c r="N502" s="19"/>
      <c r="O502" s="19"/>
      <c r="P502" s="19"/>
      <c r="Q502" s="19"/>
      <c r="R502" s="19"/>
      <c r="S502" s="19"/>
    </row>
    <row r="503" spans="2:19" x14ac:dyDescent="0.25">
      <c r="B503" s="19"/>
      <c r="C503" s="19"/>
      <c r="D503" s="19"/>
      <c r="E503" s="29"/>
      <c r="F503" s="29"/>
      <c r="G503" s="29"/>
      <c r="H503" s="29"/>
      <c r="I503" s="29"/>
      <c r="J503" s="29"/>
      <c r="K503" s="29"/>
      <c r="L503" s="29"/>
      <c r="M503" s="19"/>
      <c r="N503" s="19"/>
      <c r="O503" s="19"/>
      <c r="P503" s="19"/>
      <c r="Q503" s="19"/>
      <c r="R503" s="19"/>
      <c r="S503" s="19"/>
    </row>
    <row r="504" spans="2:19" x14ac:dyDescent="0.25">
      <c r="B504" s="19"/>
      <c r="C504" s="19"/>
      <c r="D504" s="19"/>
      <c r="E504" s="29"/>
      <c r="F504" s="29"/>
      <c r="G504" s="29"/>
      <c r="H504" s="29"/>
      <c r="I504" s="29"/>
      <c r="J504" s="29"/>
      <c r="K504" s="29"/>
      <c r="L504" s="29"/>
      <c r="M504" s="19"/>
      <c r="N504" s="19"/>
      <c r="O504" s="19"/>
      <c r="P504" s="19"/>
      <c r="Q504" s="19"/>
      <c r="R504" s="19"/>
      <c r="S504" s="19"/>
    </row>
    <row r="505" spans="2:19" x14ac:dyDescent="0.25">
      <c r="B505" s="19"/>
      <c r="C505" s="19"/>
      <c r="D505" s="19"/>
      <c r="E505" s="29"/>
      <c r="F505" s="29"/>
      <c r="G505" s="29"/>
      <c r="H505" s="29"/>
      <c r="I505" s="29"/>
      <c r="J505" s="29"/>
      <c r="K505" s="29"/>
      <c r="L505" s="29"/>
      <c r="M505" s="19"/>
      <c r="N505" s="19"/>
      <c r="O505" s="19"/>
      <c r="P505" s="19"/>
      <c r="Q505" s="19"/>
      <c r="R505" s="19"/>
      <c r="S505" s="19"/>
    </row>
    <row r="506" spans="2:19" x14ac:dyDescent="0.25">
      <c r="B506" s="19"/>
      <c r="C506" s="19"/>
      <c r="D506" s="19"/>
      <c r="E506" s="29"/>
      <c r="F506" s="29"/>
      <c r="G506" s="29"/>
      <c r="H506" s="29"/>
      <c r="I506" s="29"/>
      <c r="J506" s="29"/>
      <c r="K506" s="29"/>
      <c r="L506" s="29"/>
      <c r="M506" s="19"/>
      <c r="N506" s="19"/>
      <c r="O506" s="19"/>
      <c r="P506" s="19"/>
      <c r="Q506" s="19"/>
      <c r="R506" s="19"/>
      <c r="S506" s="19"/>
    </row>
    <row r="507" spans="2:19" x14ac:dyDescent="0.25">
      <c r="B507" s="19"/>
      <c r="C507" s="19"/>
      <c r="D507" s="19"/>
      <c r="E507" s="29"/>
      <c r="F507" s="29"/>
      <c r="G507" s="29"/>
      <c r="H507" s="29"/>
      <c r="I507" s="29"/>
      <c r="J507" s="29"/>
      <c r="K507" s="29"/>
      <c r="L507" s="29"/>
      <c r="M507" s="19"/>
      <c r="N507" s="19"/>
      <c r="O507" s="19"/>
      <c r="P507" s="19"/>
      <c r="Q507" s="19"/>
      <c r="R507" s="19"/>
      <c r="S507" s="19"/>
    </row>
    <row r="508" spans="2:19" x14ac:dyDescent="0.25">
      <c r="B508" s="19"/>
      <c r="C508" s="19"/>
      <c r="D508" s="19"/>
      <c r="E508" s="29"/>
      <c r="F508" s="29"/>
      <c r="G508" s="29"/>
      <c r="H508" s="29"/>
      <c r="I508" s="29"/>
      <c r="J508" s="29"/>
      <c r="K508" s="29"/>
      <c r="L508" s="29"/>
      <c r="M508" s="19"/>
      <c r="N508" s="19"/>
      <c r="O508" s="19"/>
      <c r="P508" s="19"/>
      <c r="Q508" s="19"/>
      <c r="R508" s="19"/>
      <c r="S508" s="19"/>
    </row>
    <row r="509" spans="2:19" x14ac:dyDescent="0.25">
      <c r="B509" s="19"/>
      <c r="C509" s="19"/>
      <c r="D509" s="19"/>
      <c r="E509" s="29"/>
      <c r="F509" s="29"/>
      <c r="G509" s="29"/>
      <c r="H509" s="29"/>
      <c r="I509" s="29"/>
      <c r="J509" s="29"/>
      <c r="K509" s="29"/>
      <c r="L509" s="29"/>
      <c r="M509" s="19"/>
      <c r="N509" s="19"/>
      <c r="O509" s="19"/>
      <c r="P509" s="19"/>
      <c r="Q509" s="19"/>
      <c r="R509" s="19"/>
      <c r="S509" s="19"/>
    </row>
    <row r="510" spans="2:19" x14ac:dyDescent="0.25">
      <c r="B510" s="19"/>
      <c r="C510" s="19"/>
      <c r="D510" s="19"/>
      <c r="E510" s="29"/>
      <c r="F510" s="29"/>
      <c r="G510" s="29"/>
      <c r="H510" s="29"/>
      <c r="I510" s="29"/>
      <c r="J510" s="29"/>
      <c r="K510" s="29"/>
      <c r="L510" s="29"/>
      <c r="M510" s="19"/>
      <c r="N510" s="19"/>
      <c r="O510" s="19"/>
      <c r="P510" s="19"/>
      <c r="Q510" s="19"/>
      <c r="R510" s="19"/>
      <c r="S510" s="19"/>
    </row>
    <row r="511" spans="2:19" x14ac:dyDescent="0.25">
      <c r="B511" s="19"/>
      <c r="C511" s="19"/>
      <c r="D511" s="19"/>
      <c r="E511" s="29"/>
      <c r="F511" s="29"/>
      <c r="G511" s="29"/>
      <c r="H511" s="29"/>
      <c r="I511" s="29"/>
      <c r="J511" s="29"/>
      <c r="K511" s="29"/>
      <c r="L511" s="29"/>
      <c r="M511" s="19"/>
      <c r="N511" s="19"/>
      <c r="O511" s="19"/>
      <c r="P511" s="19"/>
      <c r="Q511" s="19"/>
      <c r="R511" s="19"/>
      <c r="S511" s="19"/>
    </row>
    <row r="512" spans="2:19" x14ac:dyDescent="0.25">
      <c r="B512" s="19"/>
      <c r="C512" s="19"/>
      <c r="D512" s="19"/>
      <c r="E512" s="29"/>
      <c r="F512" s="29"/>
      <c r="G512" s="29"/>
      <c r="H512" s="29"/>
      <c r="I512" s="29"/>
      <c r="J512" s="29"/>
      <c r="K512" s="29"/>
      <c r="L512" s="29"/>
      <c r="M512" s="19"/>
      <c r="N512" s="19"/>
      <c r="O512" s="19"/>
      <c r="P512" s="19"/>
      <c r="Q512" s="19"/>
      <c r="R512" s="19"/>
      <c r="S512" s="19"/>
    </row>
    <row r="513" spans="2:19" x14ac:dyDescent="0.25">
      <c r="B513" s="19"/>
      <c r="C513" s="19"/>
      <c r="D513" s="19"/>
      <c r="E513" s="29"/>
      <c r="F513" s="29"/>
      <c r="G513" s="29"/>
      <c r="H513" s="29"/>
      <c r="I513" s="29"/>
      <c r="J513" s="29"/>
      <c r="K513" s="29"/>
      <c r="L513" s="29"/>
      <c r="M513" s="19"/>
      <c r="N513" s="19"/>
      <c r="O513" s="19"/>
      <c r="P513" s="19"/>
      <c r="Q513" s="19"/>
      <c r="R513" s="19"/>
      <c r="S513" s="19"/>
    </row>
    <row r="514" spans="2:19" x14ac:dyDescent="0.25">
      <c r="B514" s="19"/>
      <c r="C514" s="19"/>
      <c r="D514" s="19"/>
      <c r="E514" s="29"/>
      <c r="F514" s="29"/>
      <c r="G514" s="29"/>
      <c r="H514" s="29"/>
      <c r="I514" s="29"/>
      <c r="J514" s="29"/>
      <c r="K514" s="29"/>
      <c r="L514" s="29"/>
      <c r="M514" s="19"/>
      <c r="N514" s="19"/>
      <c r="O514" s="19"/>
      <c r="P514" s="19"/>
      <c r="Q514" s="19"/>
      <c r="R514" s="19"/>
      <c r="S514" s="19"/>
    </row>
    <row r="515" spans="2:19" x14ac:dyDescent="0.25">
      <c r="B515" s="19"/>
      <c r="C515" s="19"/>
      <c r="D515" s="19"/>
      <c r="E515" s="29"/>
      <c r="F515" s="29"/>
      <c r="G515" s="29"/>
      <c r="H515" s="29"/>
      <c r="I515" s="29"/>
      <c r="J515" s="29"/>
      <c r="K515" s="29"/>
      <c r="L515" s="29"/>
      <c r="M515" s="19"/>
      <c r="N515" s="19"/>
      <c r="O515" s="19"/>
      <c r="P515" s="19"/>
      <c r="Q515" s="19"/>
      <c r="R515" s="19"/>
      <c r="S515" s="19"/>
    </row>
    <row r="516" spans="2:19" x14ac:dyDescent="0.25">
      <c r="B516" s="19"/>
      <c r="C516" s="19"/>
      <c r="D516" s="19"/>
      <c r="E516" s="29"/>
      <c r="F516" s="29"/>
      <c r="G516" s="29"/>
      <c r="H516" s="29"/>
      <c r="I516" s="29"/>
      <c r="J516" s="29"/>
      <c r="K516" s="29"/>
      <c r="L516" s="29"/>
      <c r="M516" s="19"/>
      <c r="N516" s="19"/>
      <c r="O516" s="19"/>
      <c r="P516" s="19"/>
      <c r="Q516" s="19"/>
      <c r="R516" s="19"/>
      <c r="S516" s="19"/>
    </row>
    <row r="517" spans="2:19" x14ac:dyDescent="0.25">
      <c r="B517" s="19"/>
      <c r="C517" s="19"/>
      <c r="D517" s="19"/>
      <c r="E517" s="29"/>
      <c r="F517" s="29"/>
      <c r="G517" s="29"/>
      <c r="H517" s="29"/>
      <c r="I517" s="29"/>
      <c r="J517" s="29"/>
      <c r="K517" s="29"/>
      <c r="L517" s="29"/>
      <c r="M517" s="19"/>
      <c r="N517" s="19"/>
      <c r="O517" s="19"/>
      <c r="P517" s="19"/>
      <c r="Q517" s="19"/>
      <c r="R517" s="19"/>
      <c r="S517" s="19"/>
    </row>
    <row r="518" spans="2:19" x14ac:dyDescent="0.25">
      <c r="B518" s="19"/>
      <c r="C518" s="19"/>
      <c r="D518" s="19"/>
      <c r="E518" s="29"/>
      <c r="F518" s="29"/>
      <c r="G518" s="29"/>
      <c r="H518" s="29"/>
      <c r="I518" s="29"/>
      <c r="J518" s="29"/>
      <c r="K518" s="29"/>
      <c r="L518" s="29"/>
      <c r="M518" s="19"/>
      <c r="N518" s="19"/>
      <c r="O518" s="19"/>
      <c r="P518" s="19"/>
      <c r="Q518" s="19"/>
      <c r="R518" s="19"/>
      <c r="S518" s="19"/>
    </row>
    <row r="519" spans="2:19" x14ac:dyDescent="0.25">
      <c r="B519" s="19"/>
      <c r="C519" s="19"/>
      <c r="D519" s="19"/>
      <c r="E519" s="29"/>
      <c r="F519" s="29"/>
      <c r="G519" s="29"/>
      <c r="H519" s="29"/>
      <c r="I519" s="29"/>
      <c r="J519" s="29"/>
      <c r="K519" s="29"/>
      <c r="L519" s="29"/>
      <c r="M519" s="19"/>
      <c r="N519" s="19"/>
      <c r="O519" s="19"/>
      <c r="P519" s="19"/>
      <c r="Q519" s="19"/>
      <c r="R519" s="19"/>
      <c r="S519" s="19"/>
    </row>
    <row r="520" spans="2:19" x14ac:dyDescent="0.25">
      <c r="B520" s="19"/>
      <c r="C520" s="19"/>
      <c r="D520" s="19"/>
      <c r="E520" s="29"/>
      <c r="F520" s="29"/>
      <c r="G520" s="29"/>
      <c r="H520" s="29"/>
      <c r="I520" s="29"/>
      <c r="J520" s="29"/>
      <c r="K520" s="29"/>
      <c r="L520" s="29"/>
      <c r="M520" s="19"/>
      <c r="N520" s="19"/>
      <c r="O520" s="19"/>
      <c r="P520" s="19"/>
      <c r="Q520" s="19"/>
      <c r="R520" s="19"/>
      <c r="S520" s="19"/>
    </row>
    <row r="521" spans="2:19" x14ac:dyDescent="0.25">
      <c r="B521" s="19"/>
      <c r="C521" s="19"/>
      <c r="D521" s="19"/>
      <c r="E521" s="29"/>
      <c r="F521" s="29"/>
      <c r="G521" s="29"/>
      <c r="H521" s="29"/>
      <c r="I521" s="29"/>
      <c r="J521" s="29"/>
      <c r="K521" s="29"/>
      <c r="L521" s="29"/>
      <c r="M521" s="19"/>
      <c r="N521" s="19"/>
      <c r="O521" s="19"/>
      <c r="P521" s="19"/>
      <c r="Q521" s="19"/>
      <c r="R521" s="19"/>
      <c r="S521" s="19"/>
    </row>
    <row r="522" spans="2:19" x14ac:dyDescent="0.25">
      <c r="B522" s="19"/>
      <c r="C522" s="19"/>
      <c r="D522" s="19"/>
      <c r="E522" s="29"/>
      <c r="F522" s="29"/>
      <c r="G522" s="29"/>
      <c r="H522" s="29"/>
      <c r="I522" s="29"/>
      <c r="J522" s="29"/>
      <c r="K522" s="29"/>
      <c r="L522" s="29"/>
      <c r="M522" s="19"/>
      <c r="N522" s="19"/>
      <c r="O522" s="19"/>
      <c r="P522" s="19"/>
      <c r="Q522" s="19"/>
      <c r="R522" s="19"/>
      <c r="S522" s="19"/>
    </row>
    <row r="523" spans="2:19" x14ac:dyDescent="0.25">
      <c r="B523" s="19"/>
      <c r="C523" s="19"/>
      <c r="D523" s="19"/>
      <c r="E523" s="29"/>
      <c r="F523" s="29"/>
      <c r="G523" s="29"/>
      <c r="H523" s="29"/>
      <c r="I523" s="29"/>
      <c r="J523" s="29"/>
      <c r="K523" s="29"/>
      <c r="L523" s="29"/>
      <c r="M523" s="19"/>
      <c r="N523" s="19"/>
      <c r="O523" s="19"/>
      <c r="P523" s="19"/>
      <c r="Q523" s="19"/>
      <c r="R523" s="19"/>
      <c r="S523" s="19"/>
    </row>
    <row r="524" spans="2:19" x14ac:dyDescent="0.25">
      <c r="B524" s="19"/>
      <c r="C524" s="19"/>
      <c r="D524" s="19"/>
      <c r="E524" s="29"/>
      <c r="F524" s="29"/>
      <c r="G524" s="29"/>
      <c r="H524" s="29"/>
      <c r="I524" s="29"/>
      <c r="J524" s="29"/>
      <c r="K524" s="29"/>
      <c r="L524" s="29"/>
      <c r="M524" s="19"/>
      <c r="N524" s="19"/>
      <c r="O524" s="19"/>
      <c r="P524" s="19"/>
      <c r="Q524" s="19"/>
      <c r="R524" s="19"/>
      <c r="S524" s="19"/>
    </row>
    <row r="525" spans="2:19" x14ac:dyDescent="0.25">
      <c r="B525" s="19"/>
      <c r="C525" s="19"/>
      <c r="D525" s="19"/>
      <c r="E525" s="29"/>
      <c r="F525" s="29"/>
      <c r="G525" s="29"/>
      <c r="H525" s="29"/>
      <c r="I525" s="29"/>
      <c r="J525" s="29"/>
      <c r="K525" s="29"/>
      <c r="L525" s="29"/>
      <c r="M525" s="19"/>
      <c r="N525" s="19"/>
      <c r="O525" s="19"/>
      <c r="P525" s="19"/>
      <c r="Q525" s="19"/>
      <c r="R525" s="19"/>
      <c r="S525" s="19"/>
    </row>
    <row r="526" spans="2:19" x14ac:dyDescent="0.25">
      <c r="B526" s="19"/>
      <c r="C526" s="19"/>
      <c r="D526" s="19"/>
      <c r="E526" s="29"/>
      <c r="F526" s="29"/>
      <c r="G526" s="29"/>
      <c r="H526" s="29"/>
      <c r="I526" s="29"/>
      <c r="J526" s="29"/>
      <c r="K526" s="29"/>
      <c r="L526" s="29"/>
      <c r="M526" s="19"/>
      <c r="N526" s="19"/>
      <c r="O526" s="19"/>
      <c r="P526" s="19"/>
      <c r="Q526" s="19"/>
      <c r="R526" s="19"/>
      <c r="S526" s="19"/>
    </row>
    <row r="527" spans="2:19" x14ac:dyDescent="0.25">
      <c r="B527" s="19"/>
      <c r="C527" s="19"/>
      <c r="D527" s="19"/>
      <c r="E527" s="29"/>
      <c r="F527" s="29"/>
      <c r="G527" s="29"/>
      <c r="H527" s="29"/>
      <c r="I527" s="29"/>
      <c r="J527" s="29"/>
      <c r="K527" s="29"/>
      <c r="L527" s="29"/>
      <c r="M527" s="19"/>
      <c r="N527" s="19"/>
      <c r="O527" s="19"/>
      <c r="P527" s="19"/>
      <c r="Q527" s="19"/>
      <c r="R527" s="19"/>
      <c r="S527" s="19"/>
    </row>
    <row r="528" spans="2:19" x14ac:dyDescent="0.25">
      <c r="B528" s="19"/>
      <c r="C528" s="19"/>
      <c r="D528" s="19"/>
      <c r="E528" s="29"/>
      <c r="F528" s="29"/>
      <c r="G528" s="29"/>
      <c r="H528" s="29"/>
      <c r="I528" s="29"/>
      <c r="J528" s="29"/>
      <c r="K528" s="29"/>
      <c r="L528" s="29"/>
      <c r="M528" s="19"/>
      <c r="N528" s="19"/>
      <c r="O528" s="19"/>
      <c r="P528" s="19"/>
      <c r="Q528" s="19"/>
      <c r="R528" s="19"/>
      <c r="S528" s="19"/>
    </row>
    <row r="529" spans="2:19" x14ac:dyDescent="0.25">
      <c r="B529" s="19"/>
      <c r="C529" s="19"/>
      <c r="D529" s="19"/>
      <c r="E529" s="29"/>
      <c r="F529" s="29"/>
      <c r="G529" s="29"/>
      <c r="H529" s="29"/>
      <c r="I529" s="29"/>
      <c r="J529" s="29"/>
      <c r="K529" s="29"/>
      <c r="L529" s="29"/>
      <c r="M529" s="19"/>
      <c r="N529" s="19"/>
      <c r="O529" s="19"/>
      <c r="P529" s="19"/>
      <c r="Q529" s="19"/>
      <c r="R529" s="19"/>
      <c r="S529" s="19"/>
    </row>
    <row r="530" spans="2:19" x14ac:dyDescent="0.25">
      <c r="B530" s="19"/>
      <c r="C530" s="19"/>
      <c r="D530" s="19"/>
      <c r="E530" s="29"/>
      <c r="F530" s="29"/>
      <c r="G530" s="29"/>
      <c r="H530" s="29"/>
      <c r="I530" s="29"/>
      <c r="J530" s="29"/>
      <c r="K530" s="29"/>
      <c r="L530" s="29"/>
      <c r="M530" s="19"/>
      <c r="N530" s="19"/>
      <c r="O530" s="19"/>
      <c r="P530" s="19"/>
      <c r="Q530" s="19"/>
      <c r="R530" s="19"/>
      <c r="S530" s="19"/>
    </row>
    <row r="531" spans="2:19" x14ac:dyDescent="0.25">
      <c r="B531" s="19"/>
      <c r="C531" s="19"/>
      <c r="D531" s="19"/>
      <c r="E531" s="29"/>
      <c r="F531" s="29"/>
      <c r="G531" s="29"/>
      <c r="H531" s="29"/>
      <c r="I531" s="29"/>
      <c r="J531" s="29"/>
      <c r="K531" s="29"/>
      <c r="L531" s="29"/>
      <c r="M531" s="19"/>
      <c r="N531" s="19"/>
      <c r="O531" s="19"/>
      <c r="P531" s="19"/>
      <c r="Q531" s="19"/>
      <c r="R531" s="19"/>
      <c r="S531" s="19"/>
    </row>
    <row r="532" spans="2:19" x14ac:dyDescent="0.25">
      <c r="B532" s="19"/>
      <c r="C532" s="19"/>
      <c r="D532" s="19"/>
      <c r="E532" s="29"/>
      <c r="F532" s="29"/>
      <c r="G532" s="29"/>
      <c r="H532" s="29"/>
      <c r="I532" s="29"/>
      <c r="J532" s="29"/>
      <c r="K532" s="29"/>
      <c r="L532" s="29"/>
      <c r="M532" s="19"/>
      <c r="N532" s="19"/>
      <c r="O532" s="19"/>
      <c r="P532" s="19"/>
      <c r="Q532" s="19"/>
      <c r="R532" s="19"/>
      <c r="S532" s="19"/>
    </row>
    <row r="533" spans="2:19" x14ac:dyDescent="0.25">
      <c r="B533" s="19"/>
      <c r="C533" s="19"/>
      <c r="D533" s="19"/>
      <c r="E533" s="29"/>
      <c r="F533" s="29"/>
      <c r="G533" s="29"/>
      <c r="H533" s="29"/>
      <c r="I533" s="29"/>
      <c r="J533" s="29"/>
      <c r="K533" s="29"/>
      <c r="L533" s="29"/>
      <c r="M533" s="19"/>
      <c r="N533" s="19"/>
      <c r="O533" s="19"/>
      <c r="P533" s="19"/>
      <c r="Q533" s="19"/>
      <c r="R533" s="19"/>
      <c r="S533" s="19"/>
    </row>
    <row r="534" spans="2:19" x14ac:dyDescent="0.25">
      <c r="B534" s="19"/>
      <c r="C534" s="19"/>
      <c r="D534" s="19"/>
      <c r="E534" s="29"/>
      <c r="F534" s="29"/>
      <c r="G534" s="29"/>
      <c r="H534" s="29"/>
      <c r="I534" s="29"/>
      <c r="J534" s="29"/>
      <c r="K534" s="29"/>
      <c r="L534" s="29"/>
      <c r="M534" s="19"/>
      <c r="N534" s="19"/>
      <c r="O534" s="19"/>
      <c r="P534" s="19"/>
      <c r="Q534" s="19"/>
      <c r="R534" s="19"/>
      <c r="S534" s="19"/>
    </row>
    <row r="535" spans="2:19" x14ac:dyDescent="0.25">
      <c r="B535" s="19"/>
      <c r="C535" s="19"/>
      <c r="D535" s="19"/>
      <c r="E535" s="29"/>
      <c r="F535" s="29"/>
      <c r="G535" s="29"/>
      <c r="H535" s="29"/>
      <c r="I535" s="29"/>
      <c r="J535" s="29"/>
      <c r="K535" s="29"/>
      <c r="L535" s="29"/>
      <c r="M535" s="19"/>
      <c r="N535" s="19"/>
      <c r="O535" s="19"/>
      <c r="P535" s="19"/>
      <c r="Q535" s="19"/>
      <c r="R535" s="19"/>
      <c r="S535" s="19"/>
    </row>
    <row r="536" spans="2:19" x14ac:dyDescent="0.25">
      <c r="B536" s="19"/>
      <c r="C536" s="19"/>
      <c r="D536" s="19"/>
      <c r="E536" s="29"/>
      <c r="F536" s="29"/>
      <c r="G536" s="29"/>
      <c r="H536" s="29"/>
      <c r="I536" s="29"/>
      <c r="J536" s="29"/>
      <c r="K536" s="29"/>
      <c r="L536" s="29"/>
      <c r="M536" s="19"/>
      <c r="N536" s="19"/>
      <c r="O536" s="19"/>
      <c r="P536" s="19"/>
      <c r="Q536" s="19"/>
      <c r="R536" s="19"/>
      <c r="S536" s="19"/>
    </row>
    <row r="537" spans="2:19" x14ac:dyDescent="0.25">
      <c r="B537" s="19"/>
      <c r="C537" s="19"/>
      <c r="D537" s="19"/>
      <c r="E537" s="29"/>
      <c r="F537" s="29"/>
      <c r="G537" s="29"/>
      <c r="H537" s="29"/>
      <c r="I537" s="29"/>
      <c r="J537" s="29"/>
      <c r="K537" s="29"/>
      <c r="L537" s="29"/>
      <c r="M537" s="19"/>
      <c r="N537" s="19"/>
      <c r="O537" s="19"/>
      <c r="P537" s="19"/>
      <c r="Q537" s="19"/>
      <c r="R537" s="19"/>
      <c r="S537" s="19"/>
    </row>
    <row r="538" spans="2:19" x14ac:dyDescent="0.25">
      <c r="B538" s="19"/>
      <c r="C538" s="19"/>
      <c r="D538" s="19"/>
      <c r="E538" s="29"/>
      <c r="F538" s="29"/>
      <c r="G538" s="29"/>
      <c r="H538" s="29"/>
      <c r="I538" s="29"/>
      <c r="J538" s="29"/>
      <c r="K538" s="29"/>
      <c r="L538" s="29"/>
      <c r="M538" s="19"/>
      <c r="N538" s="19"/>
      <c r="O538" s="19"/>
      <c r="P538" s="19"/>
      <c r="Q538" s="19"/>
      <c r="R538" s="19"/>
      <c r="S538" s="19"/>
    </row>
    <row r="539" spans="2:19" x14ac:dyDescent="0.25">
      <c r="B539" s="19"/>
      <c r="C539" s="19"/>
      <c r="D539" s="19"/>
      <c r="E539" s="29"/>
      <c r="F539" s="29"/>
      <c r="G539" s="29"/>
      <c r="H539" s="29"/>
      <c r="I539" s="29"/>
      <c r="J539" s="29"/>
      <c r="K539" s="29"/>
      <c r="L539" s="29"/>
      <c r="M539" s="19"/>
      <c r="N539" s="19"/>
      <c r="O539" s="19"/>
      <c r="P539" s="19"/>
      <c r="Q539" s="19"/>
      <c r="R539" s="19"/>
      <c r="S539" s="19"/>
    </row>
    <row r="540" spans="2:19" x14ac:dyDescent="0.25">
      <c r="B540" s="19"/>
      <c r="C540" s="19"/>
      <c r="D540" s="19"/>
      <c r="E540" s="29"/>
      <c r="F540" s="29"/>
      <c r="G540" s="29"/>
      <c r="H540" s="29"/>
      <c r="I540" s="29"/>
      <c r="J540" s="29"/>
      <c r="K540" s="29"/>
      <c r="L540" s="29"/>
      <c r="M540" s="19"/>
      <c r="N540" s="19"/>
      <c r="O540" s="19"/>
      <c r="P540" s="19"/>
      <c r="Q540" s="19"/>
      <c r="R540" s="19"/>
      <c r="S540" s="19"/>
    </row>
    <row r="541" spans="2:19" x14ac:dyDescent="0.25">
      <c r="B541" s="19"/>
      <c r="C541" s="19"/>
      <c r="D541" s="19"/>
      <c r="E541" s="29"/>
      <c r="F541" s="29"/>
      <c r="G541" s="29"/>
      <c r="H541" s="29"/>
      <c r="I541" s="29"/>
      <c r="J541" s="29"/>
      <c r="K541" s="29"/>
      <c r="L541" s="29"/>
      <c r="M541" s="19"/>
      <c r="N541" s="19"/>
      <c r="O541" s="19"/>
      <c r="P541" s="19"/>
      <c r="Q541" s="19"/>
      <c r="R541" s="19"/>
      <c r="S541" s="19"/>
    </row>
    <row r="542" spans="2:19" x14ac:dyDescent="0.25">
      <c r="B542" s="19"/>
      <c r="C542" s="19"/>
      <c r="D542" s="19"/>
      <c r="E542" s="29"/>
      <c r="F542" s="29"/>
      <c r="G542" s="29"/>
      <c r="H542" s="29"/>
      <c r="I542" s="29"/>
      <c r="J542" s="29"/>
      <c r="K542" s="29"/>
      <c r="L542" s="29"/>
      <c r="M542" s="19"/>
      <c r="N542" s="19"/>
      <c r="O542" s="19"/>
      <c r="P542" s="19"/>
      <c r="Q542" s="19"/>
      <c r="R542" s="19"/>
      <c r="S542" s="19"/>
    </row>
    <row r="543" spans="2:19" x14ac:dyDescent="0.25">
      <c r="B543" s="19"/>
      <c r="C543" s="19"/>
      <c r="D543" s="19"/>
      <c r="E543" s="29"/>
      <c r="F543" s="29"/>
      <c r="G543" s="29"/>
      <c r="H543" s="29"/>
      <c r="I543" s="29"/>
      <c r="J543" s="29"/>
      <c r="K543" s="29"/>
      <c r="L543" s="29"/>
      <c r="M543" s="19"/>
      <c r="N543" s="19"/>
      <c r="O543" s="19"/>
      <c r="P543" s="19"/>
      <c r="Q543" s="19"/>
      <c r="R543" s="19"/>
      <c r="S543" s="19"/>
    </row>
    <row r="544" spans="2:19" x14ac:dyDescent="0.25">
      <c r="B544" s="19"/>
      <c r="C544" s="19"/>
      <c r="D544" s="19"/>
      <c r="E544" s="29"/>
      <c r="F544" s="29"/>
      <c r="G544" s="29"/>
      <c r="H544" s="29"/>
      <c r="I544" s="29"/>
      <c r="J544" s="29"/>
      <c r="K544" s="29"/>
      <c r="L544" s="29"/>
      <c r="M544" s="19"/>
      <c r="N544" s="19"/>
      <c r="O544" s="19"/>
      <c r="P544" s="19"/>
      <c r="Q544" s="19"/>
      <c r="R544" s="19"/>
      <c r="S544" s="19"/>
    </row>
    <row r="545" spans="2:19" x14ac:dyDescent="0.25">
      <c r="B545" s="19"/>
      <c r="C545" s="19"/>
      <c r="D545" s="19"/>
      <c r="E545" s="29"/>
      <c r="F545" s="29"/>
      <c r="G545" s="29"/>
      <c r="H545" s="29"/>
      <c r="I545" s="29"/>
      <c r="J545" s="29"/>
      <c r="K545" s="29"/>
      <c r="L545" s="29"/>
      <c r="M545" s="19"/>
      <c r="N545" s="19"/>
      <c r="O545" s="19"/>
      <c r="P545" s="19"/>
      <c r="Q545" s="19"/>
      <c r="R545" s="19"/>
      <c r="S545" s="19"/>
    </row>
    <row r="546" spans="2:19" x14ac:dyDescent="0.25">
      <c r="B546" s="19"/>
      <c r="C546" s="19"/>
      <c r="D546" s="19"/>
      <c r="E546" s="29"/>
      <c r="F546" s="29"/>
      <c r="G546" s="29"/>
      <c r="H546" s="29"/>
      <c r="I546" s="29"/>
      <c r="J546" s="29"/>
      <c r="K546" s="29"/>
      <c r="L546" s="29"/>
      <c r="M546" s="19"/>
      <c r="N546" s="19"/>
      <c r="O546" s="19"/>
      <c r="P546" s="19"/>
      <c r="Q546" s="19"/>
      <c r="R546" s="19"/>
      <c r="S546" s="19"/>
    </row>
    <row r="547" spans="2:19" x14ac:dyDescent="0.25">
      <c r="B547" s="19"/>
      <c r="C547" s="19"/>
      <c r="D547" s="19"/>
      <c r="E547" s="29"/>
      <c r="F547" s="29"/>
      <c r="G547" s="29"/>
      <c r="H547" s="29"/>
      <c r="I547" s="29"/>
      <c r="J547" s="29"/>
      <c r="K547" s="29"/>
      <c r="L547" s="29"/>
      <c r="M547" s="19"/>
      <c r="N547" s="19"/>
      <c r="O547" s="19"/>
      <c r="P547" s="19"/>
      <c r="Q547" s="19"/>
      <c r="R547" s="19"/>
      <c r="S547" s="19"/>
    </row>
    <row r="548" spans="2:19" x14ac:dyDescent="0.25">
      <c r="B548" s="19"/>
      <c r="C548" s="19"/>
      <c r="D548" s="19"/>
      <c r="E548" s="29"/>
      <c r="F548" s="29"/>
      <c r="G548" s="29"/>
      <c r="H548" s="29"/>
      <c r="I548" s="29"/>
      <c r="J548" s="29"/>
      <c r="K548" s="29"/>
      <c r="L548" s="29"/>
      <c r="M548" s="19"/>
      <c r="N548" s="19"/>
      <c r="O548" s="19"/>
      <c r="P548" s="19"/>
      <c r="Q548" s="19"/>
      <c r="R548" s="19"/>
      <c r="S548" s="19"/>
    </row>
    <row r="549" spans="2:19" x14ac:dyDescent="0.25">
      <c r="B549" s="19"/>
      <c r="C549" s="19"/>
      <c r="D549" s="19"/>
      <c r="E549" s="29"/>
      <c r="F549" s="29"/>
      <c r="G549" s="29"/>
      <c r="H549" s="29"/>
      <c r="I549" s="29"/>
      <c r="J549" s="29"/>
      <c r="K549" s="29"/>
      <c r="L549" s="29"/>
      <c r="M549" s="19"/>
      <c r="N549" s="19"/>
      <c r="O549" s="19"/>
      <c r="P549" s="19"/>
      <c r="Q549" s="19"/>
      <c r="R549" s="19"/>
      <c r="S549" s="19"/>
    </row>
    <row r="550" spans="2:19" x14ac:dyDescent="0.25">
      <c r="B550" s="19"/>
      <c r="C550" s="19"/>
      <c r="D550" s="19"/>
      <c r="E550" s="29"/>
      <c r="F550" s="29"/>
      <c r="G550" s="29"/>
      <c r="H550" s="29"/>
      <c r="I550" s="29"/>
      <c r="J550" s="29"/>
      <c r="K550" s="29"/>
      <c r="L550" s="29"/>
      <c r="M550" s="19"/>
      <c r="N550" s="19"/>
      <c r="O550" s="19"/>
      <c r="P550" s="19"/>
      <c r="Q550" s="19"/>
      <c r="R550" s="19"/>
      <c r="S550" s="19"/>
    </row>
    <row r="551" spans="2:19" x14ac:dyDescent="0.25">
      <c r="B551" s="19"/>
      <c r="C551" s="19"/>
      <c r="D551" s="19"/>
      <c r="E551" s="29"/>
      <c r="F551" s="29"/>
      <c r="G551" s="29"/>
      <c r="H551" s="29"/>
      <c r="I551" s="29"/>
      <c r="J551" s="29"/>
      <c r="K551" s="29"/>
      <c r="L551" s="29"/>
      <c r="M551" s="19"/>
      <c r="N551" s="19"/>
      <c r="O551" s="19"/>
      <c r="P551" s="19"/>
      <c r="Q551" s="19"/>
      <c r="R551" s="19"/>
      <c r="S551" s="19"/>
    </row>
    <row r="552" spans="2:19" x14ac:dyDescent="0.25">
      <c r="B552" s="19"/>
      <c r="C552" s="19"/>
      <c r="D552" s="19"/>
      <c r="E552" s="29"/>
      <c r="F552" s="29"/>
      <c r="G552" s="29"/>
      <c r="H552" s="29"/>
      <c r="I552" s="29"/>
      <c r="J552" s="29"/>
      <c r="K552" s="29"/>
      <c r="L552" s="29"/>
      <c r="M552" s="19"/>
      <c r="N552" s="19"/>
      <c r="O552" s="19"/>
      <c r="P552" s="19"/>
      <c r="Q552" s="19"/>
      <c r="R552" s="19"/>
      <c r="S552" s="19"/>
    </row>
    <row r="553" spans="2:19" x14ac:dyDescent="0.25">
      <c r="B553" s="19"/>
      <c r="C553" s="19"/>
      <c r="D553" s="19"/>
      <c r="E553" s="29"/>
      <c r="F553" s="29"/>
      <c r="G553" s="29"/>
      <c r="H553" s="29"/>
      <c r="I553" s="29"/>
      <c r="J553" s="29"/>
      <c r="K553" s="29"/>
      <c r="L553" s="29"/>
      <c r="M553" s="19"/>
      <c r="N553" s="19"/>
      <c r="O553" s="19"/>
      <c r="P553" s="19"/>
      <c r="Q553" s="19"/>
      <c r="R553" s="19"/>
      <c r="S553" s="19"/>
    </row>
    <row r="554" spans="2:19" x14ac:dyDescent="0.25">
      <c r="B554" s="19"/>
      <c r="C554" s="19"/>
      <c r="D554" s="19"/>
      <c r="E554" s="29"/>
      <c r="F554" s="29"/>
      <c r="G554" s="29"/>
      <c r="H554" s="29"/>
      <c r="I554" s="29"/>
      <c r="J554" s="29"/>
      <c r="K554" s="29"/>
      <c r="L554" s="29"/>
      <c r="M554" s="19"/>
      <c r="N554" s="19"/>
      <c r="O554" s="19"/>
      <c r="P554" s="19"/>
      <c r="Q554" s="19"/>
      <c r="R554" s="19"/>
      <c r="S554" s="19"/>
    </row>
    <row r="555" spans="2:19" x14ac:dyDescent="0.25">
      <c r="B555" s="19"/>
      <c r="C555" s="19"/>
      <c r="D555" s="19"/>
      <c r="E555" s="29"/>
      <c r="F555" s="29"/>
      <c r="G555" s="29"/>
      <c r="H555" s="29"/>
      <c r="I555" s="29"/>
      <c r="J555" s="29"/>
      <c r="K555" s="29"/>
      <c r="L555" s="29"/>
      <c r="M555" s="19"/>
      <c r="N555" s="19"/>
      <c r="O555" s="19"/>
      <c r="P555" s="19"/>
      <c r="Q555" s="19"/>
      <c r="R555" s="19"/>
      <c r="S555" s="19"/>
    </row>
    <row r="556" spans="2:19" x14ac:dyDescent="0.25">
      <c r="B556" s="19"/>
      <c r="C556" s="19"/>
      <c r="D556" s="19"/>
      <c r="E556" s="29"/>
      <c r="F556" s="29"/>
      <c r="G556" s="29"/>
      <c r="H556" s="29"/>
      <c r="I556" s="29"/>
      <c r="J556" s="29"/>
      <c r="K556" s="29"/>
      <c r="L556" s="29"/>
      <c r="M556" s="19"/>
      <c r="N556" s="19"/>
      <c r="O556" s="19"/>
      <c r="P556" s="19"/>
      <c r="Q556" s="19"/>
      <c r="R556" s="19"/>
      <c r="S556" s="19"/>
    </row>
    <row r="557" spans="2:19" x14ac:dyDescent="0.25">
      <c r="B557" s="19"/>
      <c r="C557" s="19"/>
      <c r="D557" s="19"/>
      <c r="E557" s="29"/>
      <c r="F557" s="29"/>
      <c r="G557" s="29"/>
      <c r="H557" s="29"/>
      <c r="I557" s="29"/>
      <c r="J557" s="29"/>
      <c r="K557" s="29"/>
      <c r="L557" s="29"/>
      <c r="M557" s="19"/>
      <c r="N557" s="19"/>
      <c r="O557" s="19"/>
      <c r="P557" s="19"/>
      <c r="Q557" s="19"/>
      <c r="R557" s="19"/>
      <c r="S557" s="19"/>
    </row>
    <row r="558" spans="2:19" x14ac:dyDescent="0.25">
      <c r="B558" s="19"/>
      <c r="C558" s="19"/>
      <c r="D558" s="19"/>
      <c r="E558" s="29"/>
      <c r="F558" s="29"/>
      <c r="G558" s="29"/>
      <c r="H558" s="29"/>
      <c r="I558" s="29"/>
      <c r="J558" s="29"/>
      <c r="K558" s="29"/>
      <c r="L558" s="29"/>
      <c r="M558" s="19"/>
      <c r="N558" s="19"/>
      <c r="O558" s="19"/>
      <c r="P558" s="19"/>
      <c r="Q558" s="19"/>
      <c r="R558" s="19"/>
      <c r="S558" s="19"/>
    </row>
    <row r="559" spans="2:19" x14ac:dyDescent="0.25">
      <c r="B559" s="19"/>
      <c r="C559" s="19"/>
      <c r="D559" s="19"/>
      <c r="E559" s="29"/>
      <c r="F559" s="29"/>
      <c r="G559" s="29"/>
      <c r="H559" s="29"/>
      <c r="I559" s="29"/>
      <c r="J559" s="29"/>
      <c r="K559" s="29"/>
      <c r="L559" s="29"/>
      <c r="M559" s="19"/>
      <c r="N559" s="19"/>
      <c r="O559" s="19"/>
      <c r="P559" s="19"/>
      <c r="Q559" s="19"/>
      <c r="R559" s="19"/>
      <c r="S559" s="19"/>
    </row>
    <row r="560" spans="2:19" x14ac:dyDescent="0.25">
      <c r="B560" s="19"/>
      <c r="C560" s="19"/>
      <c r="D560" s="19"/>
      <c r="E560" s="29"/>
      <c r="F560" s="29"/>
      <c r="G560" s="29"/>
      <c r="H560" s="29"/>
      <c r="I560" s="29"/>
      <c r="J560" s="29"/>
      <c r="K560" s="29"/>
      <c r="L560" s="29"/>
      <c r="M560" s="19"/>
      <c r="N560" s="19"/>
      <c r="O560" s="19"/>
      <c r="P560" s="19"/>
      <c r="Q560" s="19"/>
      <c r="R560" s="19"/>
      <c r="S560" s="19"/>
    </row>
    <row r="561" spans="2:19" x14ac:dyDescent="0.25">
      <c r="B561" s="19"/>
      <c r="C561" s="19"/>
      <c r="D561" s="19"/>
      <c r="E561" s="29"/>
      <c r="F561" s="29"/>
      <c r="G561" s="29"/>
      <c r="H561" s="29"/>
      <c r="I561" s="29"/>
      <c r="J561" s="29"/>
      <c r="K561" s="29"/>
      <c r="L561" s="29"/>
      <c r="M561" s="19"/>
      <c r="N561" s="19"/>
      <c r="O561" s="19"/>
      <c r="P561" s="19"/>
      <c r="Q561" s="19"/>
      <c r="R561" s="19"/>
      <c r="S561" s="19"/>
    </row>
    <row r="562" spans="2:19" x14ac:dyDescent="0.25">
      <c r="B562" s="19"/>
      <c r="C562" s="19"/>
      <c r="D562" s="19"/>
      <c r="E562" s="29"/>
      <c r="F562" s="29"/>
      <c r="G562" s="29"/>
      <c r="H562" s="29"/>
      <c r="I562" s="29"/>
      <c r="J562" s="29"/>
      <c r="K562" s="29"/>
      <c r="L562" s="29"/>
      <c r="M562" s="19"/>
      <c r="N562" s="19"/>
      <c r="O562" s="19"/>
      <c r="P562" s="19"/>
      <c r="Q562" s="19"/>
      <c r="R562" s="19"/>
      <c r="S562" s="19"/>
    </row>
    <row r="563" spans="2:19" x14ac:dyDescent="0.25">
      <c r="B563" s="19"/>
      <c r="C563" s="19"/>
      <c r="D563" s="19"/>
      <c r="E563" s="29"/>
      <c r="F563" s="29"/>
      <c r="G563" s="29"/>
      <c r="H563" s="29"/>
      <c r="I563" s="29"/>
      <c r="J563" s="29"/>
      <c r="K563" s="29"/>
      <c r="L563" s="29"/>
      <c r="M563" s="19"/>
      <c r="N563" s="19"/>
      <c r="O563" s="19"/>
      <c r="P563" s="19"/>
      <c r="Q563" s="19"/>
      <c r="R563" s="19"/>
      <c r="S563" s="19"/>
    </row>
    <row r="564" spans="2:19" x14ac:dyDescent="0.25">
      <c r="B564" s="19"/>
      <c r="C564" s="19"/>
      <c r="D564" s="19"/>
      <c r="E564" s="29"/>
      <c r="F564" s="29"/>
      <c r="G564" s="29"/>
      <c r="H564" s="29"/>
      <c r="I564" s="29"/>
      <c r="J564" s="29"/>
      <c r="K564" s="29"/>
      <c r="L564" s="29"/>
      <c r="M564" s="19"/>
      <c r="N564" s="19"/>
      <c r="O564" s="19"/>
      <c r="P564" s="19"/>
      <c r="Q564" s="19"/>
      <c r="R564" s="19"/>
      <c r="S564" s="19"/>
    </row>
    <row r="565" spans="2:19" x14ac:dyDescent="0.25">
      <c r="B565" s="19"/>
      <c r="C565" s="19"/>
      <c r="D565" s="19"/>
      <c r="E565" s="29"/>
      <c r="F565" s="29"/>
      <c r="G565" s="29"/>
      <c r="H565" s="29"/>
      <c r="I565" s="29"/>
      <c r="J565" s="29"/>
      <c r="K565" s="29"/>
      <c r="L565" s="29"/>
      <c r="M565" s="19"/>
      <c r="N565" s="19"/>
      <c r="O565" s="19"/>
      <c r="P565" s="19"/>
      <c r="Q565" s="19"/>
      <c r="R565" s="19"/>
      <c r="S565" s="19"/>
    </row>
    <row r="566" spans="2:19" x14ac:dyDescent="0.25">
      <c r="B566" s="19"/>
      <c r="C566" s="19"/>
      <c r="D566" s="19"/>
      <c r="E566" s="29"/>
      <c r="F566" s="29"/>
      <c r="G566" s="29"/>
      <c r="H566" s="29"/>
      <c r="I566" s="29"/>
      <c r="J566" s="29"/>
      <c r="K566" s="29"/>
      <c r="L566" s="29"/>
      <c r="M566" s="19"/>
      <c r="N566" s="19"/>
      <c r="O566" s="19"/>
      <c r="P566" s="19"/>
      <c r="Q566" s="19"/>
      <c r="R566" s="19"/>
      <c r="S566" s="19"/>
    </row>
    <row r="567" spans="2:19" x14ac:dyDescent="0.25">
      <c r="B567" s="19"/>
      <c r="C567" s="19"/>
      <c r="D567" s="19"/>
      <c r="E567" s="29"/>
      <c r="F567" s="29"/>
      <c r="G567" s="29"/>
      <c r="H567" s="29"/>
      <c r="I567" s="29"/>
      <c r="J567" s="29"/>
      <c r="K567" s="29"/>
      <c r="L567" s="29"/>
      <c r="M567" s="19"/>
      <c r="N567" s="19"/>
      <c r="O567" s="19"/>
      <c r="P567" s="19"/>
      <c r="Q567" s="19"/>
      <c r="R567" s="19"/>
      <c r="S567" s="19"/>
    </row>
    <row r="568" spans="2:19" x14ac:dyDescent="0.25">
      <c r="B568" s="19"/>
      <c r="C568" s="19"/>
      <c r="D568" s="19"/>
      <c r="E568" s="29"/>
      <c r="F568" s="29"/>
      <c r="G568" s="29"/>
      <c r="H568" s="29"/>
      <c r="I568" s="29"/>
      <c r="J568" s="29"/>
      <c r="K568" s="29"/>
      <c r="L568" s="29"/>
      <c r="M568" s="19"/>
      <c r="N568" s="19"/>
      <c r="O568" s="19"/>
      <c r="P568" s="19"/>
      <c r="Q568" s="19"/>
      <c r="R568" s="19"/>
      <c r="S568" s="19"/>
    </row>
    <row r="569" spans="2:19" x14ac:dyDescent="0.25">
      <c r="B569" s="19"/>
      <c r="C569" s="19"/>
      <c r="D569" s="19"/>
      <c r="E569" s="29"/>
      <c r="F569" s="29"/>
      <c r="G569" s="29"/>
      <c r="H569" s="29"/>
      <c r="I569" s="29"/>
      <c r="J569" s="29"/>
      <c r="K569" s="29"/>
      <c r="L569" s="29"/>
      <c r="M569" s="19"/>
      <c r="N569" s="19"/>
      <c r="O569" s="19"/>
      <c r="P569" s="19"/>
      <c r="Q569" s="19"/>
      <c r="R569" s="19"/>
      <c r="S569" s="19"/>
    </row>
    <row r="570" spans="2:19" x14ac:dyDescent="0.25">
      <c r="B570" s="19"/>
      <c r="C570" s="19"/>
      <c r="D570" s="19"/>
      <c r="E570" s="29"/>
      <c r="F570" s="29"/>
      <c r="G570" s="29"/>
      <c r="H570" s="29"/>
      <c r="I570" s="29"/>
      <c r="J570" s="29"/>
      <c r="K570" s="29"/>
      <c r="L570" s="29"/>
      <c r="M570" s="19"/>
      <c r="N570" s="19"/>
      <c r="O570" s="19"/>
      <c r="P570" s="19"/>
      <c r="Q570" s="19"/>
      <c r="R570" s="19"/>
      <c r="S570" s="19"/>
    </row>
    <row r="571" spans="2:19" x14ac:dyDescent="0.25">
      <c r="B571" s="19"/>
      <c r="C571" s="19"/>
      <c r="D571" s="19"/>
      <c r="E571" s="29"/>
      <c r="F571" s="29"/>
      <c r="G571" s="29"/>
      <c r="H571" s="29"/>
      <c r="I571" s="29"/>
      <c r="J571" s="29"/>
      <c r="K571" s="29"/>
      <c r="L571" s="29"/>
      <c r="M571" s="19"/>
      <c r="N571" s="19"/>
      <c r="O571" s="19"/>
      <c r="P571" s="19"/>
      <c r="Q571" s="19"/>
      <c r="R571" s="19"/>
      <c r="S571" s="19"/>
    </row>
    <row r="572" spans="2:19" x14ac:dyDescent="0.25">
      <c r="B572" s="19"/>
      <c r="C572" s="19"/>
      <c r="D572" s="19"/>
      <c r="E572" s="29"/>
      <c r="F572" s="29"/>
      <c r="G572" s="29"/>
      <c r="H572" s="29"/>
      <c r="I572" s="29"/>
      <c r="J572" s="29"/>
      <c r="K572" s="29"/>
      <c r="L572" s="29"/>
      <c r="M572" s="19"/>
      <c r="N572" s="19"/>
      <c r="O572" s="19"/>
      <c r="P572" s="19"/>
      <c r="Q572" s="19"/>
      <c r="R572" s="19"/>
      <c r="S572" s="19"/>
    </row>
    <row r="573" spans="2:19" x14ac:dyDescent="0.25">
      <c r="B573" s="19"/>
      <c r="C573" s="19"/>
      <c r="D573" s="19"/>
      <c r="E573" s="29"/>
      <c r="F573" s="29"/>
      <c r="G573" s="29"/>
      <c r="H573" s="29"/>
      <c r="I573" s="29"/>
      <c r="J573" s="29"/>
      <c r="K573" s="29"/>
      <c r="L573" s="29"/>
      <c r="M573" s="19"/>
      <c r="N573" s="19"/>
      <c r="O573" s="19"/>
      <c r="P573" s="19"/>
      <c r="Q573" s="19"/>
      <c r="R573" s="19"/>
      <c r="S573" s="19"/>
    </row>
    <row r="574" spans="2:19" x14ac:dyDescent="0.25">
      <c r="B574" s="19"/>
      <c r="C574" s="19"/>
      <c r="D574" s="19"/>
      <c r="E574" s="29"/>
      <c r="F574" s="29"/>
      <c r="G574" s="29"/>
      <c r="H574" s="29"/>
      <c r="I574" s="29"/>
      <c r="J574" s="29"/>
      <c r="K574" s="29"/>
      <c r="L574" s="29"/>
      <c r="M574" s="19"/>
      <c r="N574" s="19"/>
      <c r="O574" s="19"/>
      <c r="P574" s="19"/>
      <c r="Q574" s="19"/>
      <c r="R574" s="19"/>
      <c r="S574" s="19"/>
    </row>
    <row r="575" spans="2:19" x14ac:dyDescent="0.25">
      <c r="B575" s="19"/>
      <c r="C575" s="19"/>
      <c r="D575" s="19"/>
      <c r="E575" s="29"/>
      <c r="F575" s="29"/>
      <c r="G575" s="29"/>
      <c r="H575" s="29"/>
      <c r="I575" s="29"/>
      <c r="J575" s="29"/>
      <c r="K575" s="29"/>
      <c r="L575" s="29"/>
      <c r="M575" s="19"/>
      <c r="N575" s="19"/>
      <c r="O575" s="19"/>
      <c r="P575" s="19"/>
      <c r="Q575" s="19"/>
      <c r="R575" s="19"/>
      <c r="S575" s="19"/>
    </row>
    <row r="576" spans="2:19" x14ac:dyDescent="0.25">
      <c r="B576" s="19"/>
      <c r="C576" s="19"/>
      <c r="D576" s="19"/>
      <c r="E576" s="29"/>
      <c r="F576" s="29"/>
      <c r="G576" s="29"/>
      <c r="H576" s="29"/>
      <c r="I576" s="29"/>
      <c r="J576" s="29"/>
      <c r="K576" s="29"/>
      <c r="L576" s="29"/>
      <c r="M576" s="19"/>
      <c r="N576" s="19"/>
      <c r="O576" s="19"/>
      <c r="P576" s="19"/>
      <c r="Q576" s="19"/>
      <c r="R576" s="19"/>
      <c r="S576" s="19"/>
    </row>
    <row r="577" spans="2:19" x14ac:dyDescent="0.25">
      <c r="B577" s="19"/>
      <c r="C577" s="19"/>
      <c r="D577" s="19"/>
      <c r="E577" s="29"/>
      <c r="F577" s="29"/>
      <c r="G577" s="29"/>
      <c r="H577" s="29"/>
      <c r="I577" s="29"/>
      <c r="J577" s="29"/>
      <c r="K577" s="29"/>
      <c r="L577" s="29"/>
      <c r="M577" s="19"/>
      <c r="N577" s="19"/>
      <c r="O577" s="19"/>
      <c r="P577" s="19"/>
      <c r="Q577" s="19"/>
      <c r="R577" s="19"/>
      <c r="S577" s="19"/>
    </row>
    <row r="578" spans="2:19" x14ac:dyDescent="0.25">
      <c r="B578" s="19"/>
      <c r="C578" s="19"/>
      <c r="D578" s="19"/>
      <c r="E578" s="29"/>
      <c r="F578" s="29"/>
      <c r="G578" s="29"/>
      <c r="H578" s="29"/>
      <c r="I578" s="29"/>
      <c r="J578" s="29"/>
      <c r="K578" s="29"/>
      <c r="L578" s="29"/>
      <c r="M578" s="19"/>
      <c r="N578" s="19"/>
      <c r="O578" s="19"/>
      <c r="P578" s="19"/>
      <c r="Q578" s="19"/>
      <c r="R578" s="19"/>
      <c r="S578" s="19"/>
    </row>
    <row r="579" spans="2:19" x14ac:dyDescent="0.25">
      <c r="B579" s="19"/>
      <c r="C579" s="19"/>
      <c r="D579" s="19"/>
      <c r="E579" s="29"/>
      <c r="F579" s="29"/>
      <c r="G579" s="29"/>
      <c r="H579" s="29"/>
      <c r="I579" s="29"/>
      <c r="J579" s="29"/>
      <c r="K579" s="29"/>
      <c r="L579" s="29"/>
      <c r="M579" s="19"/>
      <c r="N579" s="19"/>
      <c r="O579" s="19"/>
      <c r="P579" s="19"/>
      <c r="Q579" s="19"/>
      <c r="R579" s="19"/>
      <c r="S579" s="19"/>
    </row>
    <row r="580" spans="2:19" x14ac:dyDescent="0.25">
      <c r="B580" s="19"/>
      <c r="C580" s="19"/>
      <c r="D580" s="19"/>
      <c r="E580" s="29"/>
      <c r="F580" s="29"/>
      <c r="G580" s="29"/>
      <c r="H580" s="29"/>
      <c r="I580" s="29"/>
      <c r="J580" s="29"/>
      <c r="K580" s="29"/>
      <c r="L580" s="29"/>
      <c r="M580" s="19"/>
      <c r="N580" s="19"/>
      <c r="O580" s="19"/>
      <c r="P580" s="19"/>
      <c r="Q580" s="19"/>
      <c r="R580" s="19"/>
      <c r="S580" s="19"/>
    </row>
    <row r="581" spans="2:19" x14ac:dyDescent="0.25">
      <c r="B581" s="19"/>
      <c r="C581" s="19"/>
      <c r="D581" s="19"/>
      <c r="E581" s="29"/>
      <c r="F581" s="29"/>
      <c r="G581" s="29"/>
      <c r="H581" s="29"/>
      <c r="I581" s="29"/>
      <c r="J581" s="29"/>
      <c r="K581" s="29"/>
      <c r="L581" s="29"/>
      <c r="M581" s="19"/>
      <c r="N581" s="19"/>
      <c r="O581" s="19"/>
      <c r="P581" s="19"/>
      <c r="Q581" s="19"/>
      <c r="R581" s="19"/>
      <c r="S581" s="19"/>
    </row>
    <row r="582" spans="2:19" x14ac:dyDescent="0.25">
      <c r="B582" s="19"/>
      <c r="C582" s="19"/>
      <c r="D582" s="19"/>
      <c r="E582" s="29"/>
      <c r="F582" s="29"/>
      <c r="G582" s="29"/>
      <c r="H582" s="29"/>
      <c r="I582" s="29"/>
      <c r="J582" s="29"/>
      <c r="K582" s="29"/>
      <c r="L582" s="29"/>
      <c r="M582" s="19"/>
      <c r="N582" s="19"/>
      <c r="O582" s="19"/>
      <c r="P582" s="19"/>
      <c r="Q582" s="19"/>
      <c r="R582" s="19"/>
      <c r="S582" s="19"/>
    </row>
    <row r="583" spans="2:19" x14ac:dyDescent="0.25">
      <c r="B583" s="19"/>
      <c r="C583" s="19"/>
      <c r="D583" s="19"/>
      <c r="E583" s="29"/>
      <c r="F583" s="29"/>
      <c r="G583" s="29"/>
      <c r="H583" s="29"/>
      <c r="I583" s="29"/>
      <c r="J583" s="29"/>
      <c r="K583" s="29"/>
      <c r="L583" s="29"/>
      <c r="M583" s="19"/>
      <c r="N583" s="19"/>
      <c r="O583" s="19"/>
      <c r="P583" s="19"/>
      <c r="Q583" s="19"/>
      <c r="R583" s="19"/>
      <c r="S583" s="19"/>
    </row>
    <row r="584" spans="2:19" x14ac:dyDescent="0.25">
      <c r="B584" s="19"/>
      <c r="C584" s="19"/>
      <c r="D584" s="19"/>
      <c r="E584" s="29"/>
      <c r="F584" s="29"/>
      <c r="G584" s="29"/>
      <c r="H584" s="29"/>
      <c r="I584" s="29"/>
      <c r="J584" s="29"/>
      <c r="K584" s="29"/>
      <c r="L584" s="29"/>
      <c r="M584" s="19"/>
      <c r="N584" s="19"/>
      <c r="O584" s="19"/>
      <c r="P584" s="19"/>
      <c r="Q584" s="19"/>
      <c r="R584" s="19"/>
      <c r="S584" s="19"/>
    </row>
    <row r="585" spans="2:19" x14ac:dyDescent="0.25">
      <c r="B585" s="19"/>
      <c r="C585" s="19"/>
      <c r="D585" s="19"/>
      <c r="E585" s="29"/>
      <c r="F585" s="29"/>
      <c r="G585" s="29"/>
      <c r="H585" s="29"/>
      <c r="I585" s="29"/>
      <c r="J585" s="29"/>
      <c r="K585" s="29"/>
      <c r="L585" s="29"/>
      <c r="M585" s="19"/>
      <c r="N585" s="19"/>
      <c r="O585" s="19"/>
      <c r="P585" s="19"/>
      <c r="Q585" s="19"/>
      <c r="R585" s="19"/>
      <c r="S585" s="19"/>
    </row>
    <row r="586" spans="2:19" x14ac:dyDescent="0.25">
      <c r="B586" s="19"/>
      <c r="C586" s="19"/>
      <c r="D586" s="19"/>
      <c r="E586" s="29"/>
      <c r="F586" s="29"/>
      <c r="G586" s="29"/>
      <c r="H586" s="29"/>
      <c r="I586" s="29"/>
      <c r="J586" s="29"/>
      <c r="K586" s="29"/>
      <c r="L586" s="29"/>
      <c r="M586" s="19"/>
      <c r="N586" s="19"/>
      <c r="O586" s="19"/>
      <c r="P586" s="19"/>
      <c r="Q586" s="19"/>
      <c r="R586" s="19"/>
      <c r="S586" s="19"/>
    </row>
    <row r="587" spans="2:19" x14ac:dyDescent="0.25">
      <c r="B587" s="19"/>
      <c r="C587" s="19"/>
      <c r="D587" s="19"/>
      <c r="E587" s="29"/>
      <c r="F587" s="29"/>
      <c r="G587" s="29"/>
      <c r="H587" s="29"/>
      <c r="I587" s="29"/>
      <c r="J587" s="29"/>
      <c r="K587" s="29"/>
      <c r="L587" s="29"/>
      <c r="M587" s="19"/>
      <c r="N587" s="19"/>
      <c r="O587" s="19"/>
      <c r="P587" s="19"/>
      <c r="Q587" s="19"/>
      <c r="R587" s="19"/>
      <c r="S587" s="19"/>
    </row>
    <row r="588" spans="2:19" x14ac:dyDescent="0.25">
      <c r="B588" s="19"/>
      <c r="C588" s="19"/>
      <c r="D588" s="19"/>
      <c r="E588" s="29"/>
      <c r="F588" s="29"/>
      <c r="G588" s="29"/>
      <c r="H588" s="29"/>
      <c r="I588" s="29"/>
      <c r="J588" s="29"/>
      <c r="K588" s="29"/>
      <c r="L588" s="29"/>
      <c r="M588" s="19"/>
      <c r="N588" s="19"/>
      <c r="O588" s="19"/>
      <c r="P588" s="19"/>
      <c r="Q588" s="19"/>
      <c r="R588" s="19"/>
      <c r="S588" s="19"/>
    </row>
    <row r="589" spans="2:19" x14ac:dyDescent="0.25">
      <c r="B589" s="19"/>
      <c r="C589" s="19"/>
      <c r="D589" s="19"/>
      <c r="E589" s="29"/>
      <c r="F589" s="29"/>
      <c r="G589" s="29"/>
      <c r="H589" s="29"/>
      <c r="I589" s="29"/>
      <c r="J589" s="29"/>
      <c r="K589" s="29"/>
      <c r="L589" s="29"/>
      <c r="M589" s="19"/>
      <c r="N589" s="19"/>
      <c r="O589" s="19"/>
      <c r="P589" s="19"/>
      <c r="Q589" s="19"/>
      <c r="R589" s="19"/>
      <c r="S589" s="19"/>
    </row>
    <row r="590" spans="2:19" x14ac:dyDescent="0.25">
      <c r="B590" s="19"/>
      <c r="C590" s="19"/>
      <c r="D590" s="19"/>
      <c r="E590" s="29"/>
      <c r="F590" s="29"/>
      <c r="G590" s="29"/>
      <c r="H590" s="29"/>
      <c r="I590" s="29"/>
      <c r="J590" s="29"/>
      <c r="K590" s="29"/>
      <c r="L590" s="29"/>
      <c r="M590" s="19"/>
      <c r="N590" s="19"/>
      <c r="O590" s="19"/>
      <c r="P590" s="19"/>
      <c r="Q590" s="19"/>
      <c r="R590" s="19"/>
      <c r="S590" s="19"/>
    </row>
    <row r="591" spans="2:19" x14ac:dyDescent="0.25">
      <c r="B591" s="19"/>
      <c r="C591" s="19"/>
      <c r="D591" s="19"/>
      <c r="E591" s="29"/>
      <c r="F591" s="29"/>
      <c r="G591" s="29"/>
      <c r="H591" s="29"/>
      <c r="I591" s="29"/>
      <c r="J591" s="29"/>
      <c r="K591" s="29"/>
      <c r="L591" s="29"/>
      <c r="M591" s="19"/>
      <c r="N591" s="19"/>
      <c r="O591" s="19"/>
      <c r="P591" s="19"/>
      <c r="Q591" s="19"/>
      <c r="R591" s="19"/>
      <c r="S591" s="19"/>
    </row>
    <row r="592" spans="2:19" x14ac:dyDescent="0.25">
      <c r="B592" s="19"/>
      <c r="C592" s="19"/>
      <c r="D592" s="19"/>
      <c r="E592" s="29"/>
      <c r="F592" s="29"/>
      <c r="G592" s="29"/>
      <c r="H592" s="29"/>
      <c r="I592" s="29"/>
      <c r="J592" s="29"/>
      <c r="K592" s="29"/>
      <c r="L592" s="29"/>
      <c r="M592" s="19"/>
      <c r="N592" s="19"/>
      <c r="O592" s="19"/>
      <c r="P592" s="19"/>
      <c r="Q592" s="19"/>
      <c r="R592" s="19"/>
      <c r="S592" s="19"/>
    </row>
    <row r="593" spans="2:19" x14ac:dyDescent="0.25">
      <c r="B593" s="19"/>
      <c r="C593" s="19"/>
      <c r="D593" s="19"/>
      <c r="E593" s="29"/>
      <c r="F593" s="29"/>
      <c r="G593" s="29"/>
      <c r="H593" s="29"/>
      <c r="I593" s="29"/>
      <c r="J593" s="29"/>
      <c r="K593" s="29"/>
      <c r="L593" s="29"/>
      <c r="M593" s="19"/>
      <c r="N593" s="19"/>
      <c r="O593" s="19"/>
      <c r="P593" s="19"/>
      <c r="Q593" s="19"/>
      <c r="R593" s="19"/>
      <c r="S593" s="19"/>
    </row>
    <row r="594" spans="2:19" x14ac:dyDescent="0.25">
      <c r="B594" s="19"/>
      <c r="C594" s="19"/>
      <c r="D594" s="19"/>
      <c r="E594" s="29"/>
      <c r="F594" s="29"/>
      <c r="G594" s="29"/>
      <c r="H594" s="29"/>
      <c r="I594" s="29"/>
      <c r="J594" s="29"/>
      <c r="K594" s="29"/>
      <c r="L594" s="29"/>
      <c r="M594" s="19"/>
      <c r="N594" s="19"/>
      <c r="O594" s="19"/>
      <c r="P594" s="19"/>
      <c r="Q594" s="19"/>
      <c r="R594" s="19"/>
      <c r="S594" s="19"/>
    </row>
    <row r="595" spans="2:19" x14ac:dyDescent="0.25">
      <c r="B595" s="19"/>
      <c r="C595" s="19"/>
      <c r="D595" s="19"/>
      <c r="E595" s="29"/>
      <c r="F595" s="29"/>
      <c r="G595" s="29"/>
      <c r="H595" s="29"/>
      <c r="I595" s="29"/>
      <c r="J595" s="29"/>
      <c r="K595" s="29"/>
      <c r="L595" s="29"/>
      <c r="M595" s="19"/>
      <c r="N595" s="19"/>
      <c r="O595" s="19"/>
      <c r="P595" s="19"/>
      <c r="Q595" s="19"/>
      <c r="R595" s="19"/>
      <c r="S595" s="19"/>
    </row>
    <row r="596" spans="2:19" x14ac:dyDescent="0.25">
      <c r="B596" s="19"/>
      <c r="C596" s="19"/>
      <c r="D596" s="19"/>
      <c r="E596" s="29"/>
      <c r="F596" s="29"/>
      <c r="G596" s="29"/>
      <c r="H596" s="29"/>
      <c r="I596" s="29"/>
      <c r="J596" s="29"/>
      <c r="K596" s="29"/>
      <c r="L596" s="29"/>
      <c r="M596" s="19"/>
      <c r="N596" s="19"/>
      <c r="O596" s="19"/>
      <c r="P596" s="19"/>
      <c r="Q596" s="19"/>
      <c r="R596" s="19"/>
      <c r="S596" s="19"/>
    </row>
    <row r="597" spans="2:19" x14ac:dyDescent="0.25">
      <c r="B597" s="19"/>
      <c r="C597" s="19"/>
      <c r="D597" s="19"/>
      <c r="E597" s="29"/>
      <c r="F597" s="29"/>
      <c r="G597" s="29"/>
      <c r="H597" s="29"/>
      <c r="I597" s="29"/>
      <c r="J597" s="29"/>
      <c r="K597" s="29"/>
      <c r="L597" s="29"/>
      <c r="M597" s="19"/>
      <c r="N597" s="19"/>
      <c r="O597" s="19"/>
      <c r="P597" s="19"/>
      <c r="Q597" s="19"/>
      <c r="R597" s="19"/>
      <c r="S597" s="19"/>
    </row>
    <row r="598" spans="2:19" x14ac:dyDescent="0.25">
      <c r="B598" s="19"/>
      <c r="C598" s="19"/>
      <c r="D598" s="19"/>
      <c r="E598" s="29"/>
      <c r="F598" s="29"/>
      <c r="G598" s="29"/>
      <c r="H598" s="29"/>
      <c r="I598" s="29"/>
      <c r="J598" s="29"/>
      <c r="K598" s="29"/>
      <c r="L598" s="29"/>
      <c r="M598" s="19"/>
      <c r="N598" s="19"/>
      <c r="O598" s="19"/>
      <c r="P598" s="19"/>
      <c r="Q598" s="19"/>
      <c r="R598" s="19"/>
      <c r="S598" s="19"/>
    </row>
    <row r="599" spans="2:19" x14ac:dyDescent="0.25">
      <c r="B599" s="19"/>
      <c r="C599" s="19"/>
      <c r="D599" s="19"/>
      <c r="E599" s="29"/>
      <c r="F599" s="29"/>
      <c r="G599" s="29"/>
      <c r="H599" s="29"/>
      <c r="I599" s="29"/>
      <c r="J599" s="29"/>
      <c r="K599" s="29"/>
      <c r="L599" s="29"/>
      <c r="M599" s="19"/>
      <c r="N599" s="19"/>
      <c r="O599" s="19"/>
      <c r="P599" s="19"/>
      <c r="Q599" s="19"/>
      <c r="R599" s="19"/>
      <c r="S599" s="19"/>
    </row>
    <row r="600" spans="2:19" x14ac:dyDescent="0.25">
      <c r="B600" s="19"/>
      <c r="C600" s="19"/>
      <c r="D600" s="19"/>
      <c r="E600" s="29"/>
      <c r="F600" s="29"/>
      <c r="G600" s="29"/>
      <c r="H600" s="29"/>
      <c r="I600" s="29"/>
      <c r="J600" s="29"/>
      <c r="K600" s="29"/>
      <c r="L600" s="29"/>
      <c r="M600" s="19"/>
      <c r="N600" s="19"/>
      <c r="O600" s="19"/>
      <c r="P600" s="19"/>
      <c r="Q600" s="19"/>
      <c r="R600" s="19"/>
      <c r="S600" s="19"/>
    </row>
    <row r="601" spans="2:19" x14ac:dyDescent="0.25">
      <c r="B601" s="19"/>
      <c r="C601" s="19"/>
      <c r="D601" s="19"/>
      <c r="E601" s="29"/>
      <c r="F601" s="29"/>
      <c r="G601" s="29"/>
      <c r="H601" s="29"/>
      <c r="I601" s="29"/>
      <c r="J601" s="29"/>
      <c r="K601" s="29"/>
      <c r="L601" s="29"/>
      <c r="M601" s="19"/>
      <c r="N601" s="19"/>
      <c r="O601" s="19"/>
      <c r="P601" s="19"/>
      <c r="Q601" s="19"/>
      <c r="R601" s="19"/>
      <c r="S601" s="19"/>
    </row>
    <row r="602" spans="2:19" x14ac:dyDescent="0.25">
      <c r="B602" s="19"/>
      <c r="C602" s="19"/>
      <c r="D602" s="19"/>
      <c r="E602" s="29"/>
      <c r="F602" s="29"/>
      <c r="G602" s="29"/>
      <c r="H602" s="29"/>
      <c r="I602" s="29"/>
      <c r="J602" s="29"/>
      <c r="K602" s="29"/>
      <c r="L602" s="29"/>
      <c r="M602" s="19"/>
      <c r="N602" s="19"/>
      <c r="O602" s="19"/>
      <c r="P602" s="19"/>
      <c r="Q602" s="19"/>
      <c r="R602" s="19"/>
      <c r="S602" s="19"/>
    </row>
    <row r="603" spans="2:19" x14ac:dyDescent="0.25">
      <c r="B603" s="19"/>
      <c r="C603" s="19"/>
      <c r="D603" s="19"/>
      <c r="E603" s="29"/>
      <c r="F603" s="29"/>
      <c r="G603" s="29"/>
      <c r="H603" s="29"/>
      <c r="I603" s="29"/>
      <c r="J603" s="29"/>
      <c r="K603" s="29"/>
      <c r="L603" s="29"/>
      <c r="M603" s="19"/>
      <c r="N603" s="19"/>
      <c r="O603" s="19"/>
      <c r="P603" s="19"/>
      <c r="Q603" s="19"/>
      <c r="R603" s="19"/>
      <c r="S603" s="19"/>
    </row>
    <row r="604" spans="2:19" x14ac:dyDescent="0.25">
      <c r="B604" s="19"/>
      <c r="C604" s="19"/>
      <c r="D604" s="19"/>
      <c r="E604" s="29"/>
      <c r="F604" s="29"/>
      <c r="G604" s="29"/>
      <c r="H604" s="29"/>
      <c r="I604" s="29"/>
      <c r="J604" s="29"/>
      <c r="K604" s="29"/>
      <c r="L604" s="29"/>
      <c r="M604" s="19"/>
      <c r="N604" s="19"/>
      <c r="O604" s="19"/>
      <c r="P604" s="19"/>
      <c r="Q604" s="19"/>
      <c r="R604" s="19"/>
      <c r="S604" s="19"/>
    </row>
    <row r="605" spans="2:19" x14ac:dyDescent="0.25">
      <c r="B605" s="19"/>
      <c r="C605" s="19"/>
      <c r="D605" s="19"/>
      <c r="E605" s="29"/>
      <c r="F605" s="29"/>
      <c r="G605" s="29"/>
      <c r="H605" s="29"/>
      <c r="I605" s="29"/>
      <c r="J605" s="29"/>
      <c r="K605" s="29"/>
      <c r="L605" s="29"/>
      <c r="M605" s="19"/>
      <c r="N605" s="19"/>
      <c r="O605" s="19"/>
      <c r="P605" s="19"/>
      <c r="Q605" s="19"/>
      <c r="R605" s="19"/>
      <c r="S605" s="19"/>
    </row>
    <row r="606" spans="2:19" x14ac:dyDescent="0.25">
      <c r="B606" s="19"/>
      <c r="C606" s="19"/>
      <c r="D606" s="19"/>
      <c r="E606" s="29"/>
      <c r="F606" s="29"/>
      <c r="G606" s="29"/>
      <c r="H606" s="29"/>
      <c r="I606" s="29"/>
      <c r="J606" s="29"/>
      <c r="K606" s="29"/>
      <c r="L606" s="29"/>
      <c r="M606" s="19"/>
      <c r="N606" s="19"/>
      <c r="O606" s="19"/>
      <c r="P606" s="19"/>
      <c r="Q606" s="19"/>
      <c r="R606" s="19"/>
      <c r="S606" s="19"/>
    </row>
    <row r="607" spans="2:19" x14ac:dyDescent="0.25">
      <c r="B607" s="19"/>
      <c r="C607" s="19"/>
      <c r="D607" s="19"/>
      <c r="E607" s="29"/>
      <c r="F607" s="29"/>
      <c r="G607" s="29"/>
      <c r="H607" s="29"/>
      <c r="I607" s="29"/>
      <c r="J607" s="29"/>
      <c r="K607" s="29"/>
      <c r="L607" s="29"/>
      <c r="M607" s="19"/>
      <c r="N607" s="19"/>
      <c r="O607" s="19"/>
      <c r="P607" s="19"/>
      <c r="Q607" s="19"/>
      <c r="R607" s="19"/>
      <c r="S607" s="19"/>
    </row>
    <row r="608" spans="2:19" x14ac:dyDescent="0.25">
      <c r="B608" s="19"/>
      <c r="C608" s="19"/>
      <c r="D608" s="19"/>
      <c r="E608" s="29"/>
      <c r="F608" s="29"/>
      <c r="G608" s="29"/>
      <c r="H608" s="29"/>
      <c r="I608" s="29"/>
      <c r="J608" s="29"/>
      <c r="K608" s="29"/>
      <c r="L608" s="29"/>
      <c r="M608" s="19"/>
      <c r="N608" s="19"/>
      <c r="O608" s="19"/>
      <c r="P608" s="19"/>
      <c r="Q608" s="19"/>
      <c r="R608" s="19"/>
      <c r="S608" s="19"/>
    </row>
    <row r="609" spans="2:19" x14ac:dyDescent="0.25">
      <c r="B609" s="19"/>
      <c r="C609" s="19"/>
      <c r="D609" s="19"/>
      <c r="E609" s="29"/>
      <c r="F609" s="29"/>
      <c r="G609" s="29"/>
      <c r="H609" s="29"/>
      <c r="I609" s="29"/>
      <c r="J609" s="29"/>
      <c r="K609" s="29"/>
      <c r="L609" s="29"/>
      <c r="M609" s="19"/>
      <c r="N609" s="19"/>
      <c r="O609" s="19"/>
      <c r="P609" s="19"/>
      <c r="Q609" s="19"/>
      <c r="R609" s="19"/>
      <c r="S609" s="19"/>
    </row>
    <row r="610" spans="2:19" x14ac:dyDescent="0.25">
      <c r="B610" s="19"/>
      <c r="C610" s="19"/>
      <c r="D610" s="19"/>
      <c r="E610" s="29"/>
      <c r="F610" s="29"/>
      <c r="G610" s="29"/>
      <c r="H610" s="29"/>
      <c r="I610" s="29"/>
      <c r="J610" s="29"/>
      <c r="K610" s="29"/>
      <c r="L610" s="29"/>
      <c r="M610" s="19"/>
      <c r="N610" s="19"/>
      <c r="O610" s="19"/>
      <c r="P610" s="19"/>
      <c r="Q610" s="19"/>
      <c r="R610" s="19"/>
      <c r="S610" s="19"/>
    </row>
    <row r="611" spans="2:19" x14ac:dyDescent="0.25">
      <c r="B611" s="19"/>
      <c r="C611" s="19"/>
      <c r="D611" s="19"/>
      <c r="E611" s="29"/>
      <c r="F611" s="29"/>
      <c r="G611" s="29"/>
      <c r="H611" s="29"/>
      <c r="I611" s="29"/>
      <c r="J611" s="29"/>
      <c r="K611" s="29"/>
      <c r="L611" s="29"/>
      <c r="M611" s="19"/>
      <c r="N611" s="19"/>
      <c r="O611" s="19"/>
      <c r="P611" s="19"/>
      <c r="Q611" s="19"/>
      <c r="R611" s="19"/>
      <c r="S611" s="19"/>
    </row>
    <row r="612" spans="2:19" x14ac:dyDescent="0.25">
      <c r="B612" s="19"/>
      <c r="C612" s="19"/>
      <c r="D612" s="19"/>
      <c r="E612" s="29"/>
      <c r="F612" s="29"/>
      <c r="G612" s="29"/>
      <c r="H612" s="29"/>
      <c r="I612" s="29"/>
      <c r="J612" s="29"/>
      <c r="K612" s="29"/>
      <c r="L612" s="29"/>
      <c r="M612" s="19"/>
      <c r="N612" s="19"/>
      <c r="O612" s="19"/>
      <c r="P612" s="19"/>
      <c r="Q612" s="19"/>
      <c r="R612" s="19"/>
      <c r="S612" s="19"/>
    </row>
    <row r="613" spans="2:19" x14ac:dyDescent="0.25">
      <c r="B613" s="19"/>
      <c r="C613" s="19"/>
      <c r="D613" s="19"/>
      <c r="E613" s="29"/>
      <c r="F613" s="29"/>
      <c r="G613" s="29"/>
      <c r="H613" s="29"/>
      <c r="I613" s="29"/>
      <c r="J613" s="29"/>
      <c r="K613" s="29"/>
      <c r="L613" s="29"/>
      <c r="M613" s="19"/>
      <c r="N613" s="19"/>
      <c r="O613" s="19"/>
      <c r="P613" s="19"/>
      <c r="Q613" s="19"/>
      <c r="R613" s="19"/>
      <c r="S613" s="19"/>
    </row>
    <row r="614" spans="2:19" x14ac:dyDescent="0.25">
      <c r="B614" s="19"/>
      <c r="C614" s="19"/>
      <c r="D614" s="19"/>
      <c r="E614" s="29"/>
      <c r="F614" s="29"/>
      <c r="G614" s="29"/>
      <c r="H614" s="29"/>
      <c r="I614" s="29"/>
      <c r="J614" s="29"/>
      <c r="K614" s="29"/>
      <c r="L614" s="29"/>
      <c r="M614" s="19"/>
      <c r="N614" s="19"/>
      <c r="O614" s="19"/>
      <c r="P614" s="19"/>
      <c r="Q614" s="19"/>
      <c r="R614" s="19"/>
      <c r="S614" s="19"/>
    </row>
    <row r="615" spans="2:19" x14ac:dyDescent="0.25">
      <c r="B615" s="19"/>
      <c r="C615" s="19"/>
      <c r="D615" s="19"/>
      <c r="E615" s="29"/>
      <c r="F615" s="29"/>
      <c r="G615" s="29"/>
      <c r="H615" s="29"/>
      <c r="I615" s="29"/>
      <c r="J615" s="29"/>
      <c r="K615" s="29"/>
      <c r="L615" s="29"/>
      <c r="M615" s="19"/>
      <c r="N615" s="19"/>
      <c r="O615" s="19"/>
      <c r="P615" s="19"/>
      <c r="Q615" s="19"/>
      <c r="R615" s="19"/>
      <c r="S615" s="19"/>
    </row>
    <row r="616" spans="2:19" x14ac:dyDescent="0.25">
      <c r="B616" s="19"/>
      <c r="C616" s="19"/>
      <c r="D616" s="19"/>
      <c r="E616" s="29"/>
      <c r="F616" s="29"/>
      <c r="G616" s="29"/>
      <c r="H616" s="29"/>
      <c r="I616" s="29"/>
      <c r="J616" s="29"/>
      <c r="K616" s="29"/>
      <c r="L616" s="29"/>
      <c r="M616" s="19"/>
      <c r="N616" s="19"/>
      <c r="O616" s="19"/>
      <c r="P616" s="19"/>
      <c r="Q616" s="19"/>
      <c r="R616" s="19"/>
      <c r="S616" s="19"/>
    </row>
    <row r="617" spans="2:19" x14ac:dyDescent="0.25">
      <c r="B617" s="19"/>
      <c r="C617" s="19"/>
      <c r="D617" s="19"/>
      <c r="E617" s="29"/>
      <c r="F617" s="29"/>
      <c r="G617" s="29"/>
      <c r="H617" s="29"/>
      <c r="I617" s="29"/>
      <c r="J617" s="29"/>
      <c r="K617" s="29"/>
      <c r="L617" s="29"/>
      <c r="M617" s="19"/>
      <c r="N617" s="19"/>
      <c r="O617" s="19"/>
      <c r="P617" s="19"/>
      <c r="Q617" s="19"/>
      <c r="R617" s="19"/>
      <c r="S617" s="19"/>
    </row>
    <row r="618" spans="2:19" x14ac:dyDescent="0.25">
      <c r="B618" s="19"/>
      <c r="C618" s="19"/>
      <c r="D618" s="19"/>
      <c r="E618" s="29"/>
      <c r="F618" s="29"/>
      <c r="G618" s="29"/>
      <c r="H618" s="29"/>
      <c r="I618" s="29"/>
      <c r="J618" s="29"/>
      <c r="K618" s="29"/>
      <c r="L618" s="29"/>
      <c r="M618" s="19"/>
      <c r="N618" s="19"/>
      <c r="O618" s="19"/>
      <c r="P618" s="19"/>
      <c r="Q618" s="19"/>
      <c r="R618" s="19"/>
      <c r="S618" s="19"/>
    </row>
    <row r="619" spans="2:19" x14ac:dyDescent="0.25">
      <c r="B619" s="19"/>
      <c r="C619" s="19"/>
      <c r="D619" s="19"/>
      <c r="E619" s="29"/>
      <c r="F619" s="29"/>
      <c r="G619" s="29"/>
      <c r="H619" s="29"/>
      <c r="I619" s="29"/>
      <c r="J619" s="29"/>
      <c r="K619" s="29"/>
      <c r="L619" s="29"/>
      <c r="M619" s="19"/>
      <c r="N619" s="19"/>
      <c r="O619" s="19"/>
      <c r="P619" s="19"/>
      <c r="Q619" s="19"/>
      <c r="R619" s="19"/>
      <c r="S619" s="19"/>
    </row>
    <row r="620" spans="2:19" x14ac:dyDescent="0.25">
      <c r="B620" s="19"/>
      <c r="C620" s="19"/>
      <c r="D620" s="19"/>
      <c r="E620" s="29"/>
      <c r="F620" s="29"/>
      <c r="G620" s="29"/>
      <c r="H620" s="29"/>
      <c r="I620" s="29"/>
      <c r="J620" s="29"/>
      <c r="K620" s="29"/>
      <c r="L620" s="29"/>
      <c r="M620" s="19"/>
      <c r="N620" s="19"/>
      <c r="O620" s="19"/>
      <c r="P620" s="19"/>
      <c r="Q620" s="19"/>
      <c r="R620" s="19"/>
      <c r="S620" s="19"/>
    </row>
    <row r="621" spans="2:19" x14ac:dyDescent="0.25">
      <c r="B621" s="19"/>
      <c r="C621" s="19"/>
      <c r="D621" s="19"/>
      <c r="E621" s="29"/>
      <c r="F621" s="29"/>
      <c r="G621" s="29"/>
      <c r="H621" s="29"/>
      <c r="I621" s="29"/>
      <c r="J621" s="29"/>
      <c r="K621" s="29"/>
      <c r="L621" s="29"/>
      <c r="M621" s="19"/>
      <c r="N621" s="19"/>
      <c r="O621" s="19"/>
      <c r="P621" s="19"/>
      <c r="Q621" s="19"/>
      <c r="R621" s="19"/>
      <c r="S621" s="19"/>
    </row>
    <row r="622" spans="2:19" x14ac:dyDescent="0.25">
      <c r="B622" s="19"/>
      <c r="C622" s="19"/>
      <c r="D622" s="19"/>
      <c r="E622" s="29"/>
      <c r="F622" s="29"/>
      <c r="G622" s="29"/>
      <c r="H622" s="29"/>
      <c r="I622" s="29"/>
      <c r="J622" s="29"/>
      <c r="K622" s="29"/>
      <c r="L622" s="29"/>
      <c r="M622" s="19"/>
      <c r="N622" s="19"/>
      <c r="O622" s="19"/>
      <c r="P622" s="19"/>
      <c r="Q622" s="19"/>
      <c r="R622" s="19"/>
      <c r="S622" s="19"/>
    </row>
    <row r="623" spans="2:19" x14ac:dyDescent="0.25">
      <c r="B623" s="19"/>
      <c r="C623" s="19"/>
      <c r="D623" s="19"/>
      <c r="E623" s="29"/>
      <c r="F623" s="29"/>
      <c r="G623" s="29"/>
      <c r="H623" s="29"/>
      <c r="I623" s="29"/>
      <c r="J623" s="29"/>
      <c r="K623" s="29"/>
      <c r="L623" s="29"/>
      <c r="M623" s="19"/>
      <c r="N623" s="19"/>
      <c r="O623" s="19"/>
      <c r="P623" s="19"/>
      <c r="Q623" s="19"/>
      <c r="R623" s="19"/>
      <c r="S623" s="19"/>
    </row>
    <row r="624" spans="2:19" x14ac:dyDescent="0.25">
      <c r="B624" s="19"/>
      <c r="C624" s="19"/>
      <c r="D624" s="19"/>
      <c r="E624" s="29"/>
      <c r="F624" s="29"/>
      <c r="G624" s="29"/>
      <c r="H624" s="29"/>
      <c r="I624" s="29"/>
      <c r="J624" s="29"/>
      <c r="K624" s="29"/>
      <c r="L624" s="29"/>
      <c r="M624" s="19"/>
      <c r="N624" s="19"/>
      <c r="O624" s="19"/>
      <c r="P624" s="19"/>
      <c r="Q624" s="19"/>
      <c r="R624" s="19"/>
      <c r="S624" s="19"/>
    </row>
    <row r="625" spans="2:19" x14ac:dyDescent="0.25">
      <c r="B625" s="19"/>
      <c r="C625" s="19"/>
      <c r="D625" s="19"/>
      <c r="E625" s="29"/>
      <c r="F625" s="29"/>
      <c r="G625" s="29"/>
      <c r="H625" s="29"/>
      <c r="I625" s="29"/>
      <c r="J625" s="29"/>
      <c r="K625" s="29"/>
      <c r="L625" s="29"/>
      <c r="M625" s="19"/>
      <c r="N625" s="19"/>
      <c r="O625" s="19"/>
      <c r="P625" s="19"/>
      <c r="Q625" s="19"/>
      <c r="R625" s="19"/>
      <c r="S625" s="19"/>
    </row>
    <row r="626" spans="2:19" x14ac:dyDescent="0.25">
      <c r="B626" s="19"/>
      <c r="C626" s="19"/>
      <c r="D626" s="19"/>
      <c r="E626" s="29"/>
      <c r="F626" s="29"/>
      <c r="G626" s="29"/>
      <c r="H626" s="29"/>
      <c r="I626" s="29"/>
      <c r="J626" s="29"/>
      <c r="K626" s="29"/>
      <c r="L626" s="29"/>
      <c r="M626" s="19"/>
      <c r="N626" s="19"/>
      <c r="O626" s="19"/>
      <c r="P626" s="19"/>
      <c r="Q626" s="19"/>
      <c r="R626" s="19"/>
      <c r="S626" s="19"/>
    </row>
    <row r="627" spans="2:19" x14ac:dyDescent="0.25">
      <c r="B627" s="19"/>
      <c r="C627" s="19"/>
      <c r="D627" s="19"/>
      <c r="E627" s="29"/>
      <c r="F627" s="29"/>
      <c r="G627" s="29"/>
      <c r="H627" s="29"/>
      <c r="I627" s="29"/>
      <c r="J627" s="29"/>
      <c r="K627" s="29"/>
      <c r="L627" s="29"/>
      <c r="M627" s="19"/>
      <c r="N627" s="19"/>
      <c r="O627" s="19"/>
      <c r="P627" s="19"/>
      <c r="Q627" s="19"/>
      <c r="R627" s="19"/>
      <c r="S627" s="19"/>
    </row>
    <row r="628" spans="2:19" x14ac:dyDescent="0.25">
      <c r="B628" s="19"/>
      <c r="C628" s="19"/>
      <c r="D628" s="19"/>
      <c r="E628" s="29"/>
      <c r="F628" s="29"/>
      <c r="G628" s="29"/>
      <c r="H628" s="29"/>
      <c r="I628" s="29"/>
      <c r="J628" s="29"/>
      <c r="K628" s="29"/>
      <c r="L628" s="29"/>
      <c r="M628" s="19"/>
      <c r="N628" s="19"/>
      <c r="O628" s="19"/>
      <c r="P628" s="19"/>
      <c r="Q628" s="19"/>
      <c r="R628" s="19"/>
      <c r="S628" s="19"/>
    </row>
    <row r="629" spans="2:19" x14ac:dyDescent="0.25">
      <c r="B629" s="19"/>
      <c r="C629" s="19"/>
      <c r="D629" s="19"/>
      <c r="E629" s="29"/>
      <c r="F629" s="29"/>
      <c r="G629" s="29"/>
      <c r="H629" s="29"/>
      <c r="I629" s="29"/>
      <c r="J629" s="29"/>
      <c r="K629" s="29"/>
      <c r="L629" s="29"/>
      <c r="M629" s="19"/>
      <c r="N629" s="19"/>
      <c r="O629" s="19"/>
      <c r="P629" s="19"/>
      <c r="Q629" s="19"/>
      <c r="R629" s="19"/>
      <c r="S629" s="19"/>
    </row>
    <row r="630" spans="2:19" x14ac:dyDescent="0.25">
      <c r="B630" s="19"/>
      <c r="C630" s="19"/>
      <c r="D630" s="19"/>
      <c r="E630" s="29"/>
      <c r="F630" s="29"/>
      <c r="G630" s="29"/>
      <c r="H630" s="29"/>
      <c r="I630" s="29"/>
      <c r="J630" s="29"/>
      <c r="K630" s="29"/>
      <c r="L630" s="29"/>
      <c r="M630" s="19"/>
      <c r="N630" s="19"/>
      <c r="O630" s="19"/>
      <c r="P630" s="19"/>
      <c r="Q630" s="19"/>
      <c r="R630" s="19"/>
      <c r="S630" s="19"/>
    </row>
    <row r="631" spans="2:19" x14ac:dyDescent="0.25">
      <c r="B631" s="19"/>
      <c r="C631" s="19"/>
      <c r="D631" s="19"/>
      <c r="E631" s="29"/>
      <c r="F631" s="29"/>
      <c r="G631" s="29"/>
      <c r="H631" s="29"/>
      <c r="I631" s="29"/>
      <c r="J631" s="29"/>
      <c r="K631" s="29"/>
      <c r="L631" s="29"/>
      <c r="M631" s="19"/>
      <c r="N631" s="19"/>
      <c r="O631" s="19"/>
      <c r="P631" s="19"/>
      <c r="Q631" s="19"/>
      <c r="R631" s="19"/>
      <c r="S631" s="19"/>
    </row>
    <row r="632" spans="2:19" x14ac:dyDescent="0.25">
      <c r="B632" s="19"/>
      <c r="C632" s="19"/>
      <c r="D632" s="19"/>
      <c r="E632" s="29"/>
      <c r="F632" s="29"/>
      <c r="G632" s="29"/>
      <c r="H632" s="29"/>
      <c r="I632" s="29"/>
      <c r="J632" s="29"/>
      <c r="K632" s="29"/>
      <c r="L632" s="29"/>
      <c r="M632" s="19"/>
      <c r="N632" s="19"/>
      <c r="O632" s="19"/>
      <c r="P632" s="19"/>
      <c r="Q632" s="19"/>
      <c r="R632" s="19"/>
      <c r="S632" s="19"/>
    </row>
    <row r="633" spans="2:19" x14ac:dyDescent="0.25">
      <c r="E633" s="36"/>
      <c r="F633" s="36"/>
      <c r="G633" s="36"/>
      <c r="H633" s="36"/>
      <c r="I633" s="36"/>
      <c r="J633" s="36"/>
      <c r="K633" s="36"/>
      <c r="L633" s="36"/>
    </row>
    <row r="634" spans="2:19" x14ac:dyDescent="0.25">
      <c r="E634" s="36"/>
      <c r="F634" s="36"/>
      <c r="G634" s="36"/>
      <c r="H634" s="36"/>
      <c r="I634" s="36"/>
      <c r="J634" s="36"/>
      <c r="K634" s="36"/>
      <c r="L634" s="36"/>
    </row>
    <row r="635" spans="2:19" x14ac:dyDescent="0.25">
      <c r="E635" s="36"/>
      <c r="F635" s="36"/>
      <c r="G635" s="36"/>
      <c r="H635" s="36"/>
      <c r="I635" s="36"/>
      <c r="J635" s="36"/>
      <c r="K635" s="36"/>
      <c r="L635" s="36"/>
    </row>
    <row r="636" spans="2:19" x14ac:dyDescent="0.25">
      <c r="E636" s="36"/>
      <c r="F636" s="36"/>
      <c r="G636" s="36"/>
      <c r="H636" s="36"/>
      <c r="I636" s="36"/>
      <c r="J636" s="36"/>
      <c r="K636" s="36"/>
      <c r="L636" s="36"/>
    </row>
    <row r="637" spans="2:19" x14ac:dyDescent="0.25">
      <c r="E637" s="36"/>
      <c r="F637" s="36"/>
      <c r="G637" s="36"/>
      <c r="H637" s="36"/>
      <c r="I637" s="36"/>
      <c r="J637" s="36"/>
      <c r="K637" s="36"/>
      <c r="L637" s="36"/>
    </row>
    <row r="638" spans="2:19" x14ac:dyDescent="0.25">
      <c r="E638" s="36"/>
      <c r="F638" s="36"/>
      <c r="G638" s="36"/>
      <c r="H638" s="36"/>
      <c r="I638" s="36"/>
      <c r="J638" s="36"/>
      <c r="K638" s="36"/>
      <c r="L638" s="36"/>
    </row>
    <row r="639" spans="2:19" x14ac:dyDescent="0.25">
      <c r="E639" s="36"/>
      <c r="F639" s="36"/>
      <c r="G639" s="36"/>
      <c r="H639" s="36"/>
      <c r="I639" s="36"/>
      <c r="J639" s="36"/>
      <c r="K639" s="36"/>
      <c r="L639" s="36"/>
    </row>
    <row r="640" spans="2:19" x14ac:dyDescent="0.25">
      <c r="E640" s="36"/>
      <c r="F640" s="36"/>
      <c r="G640" s="36"/>
      <c r="H640" s="36"/>
      <c r="I640" s="36"/>
      <c r="J640" s="36"/>
      <c r="K640" s="36"/>
      <c r="L640" s="36"/>
    </row>
    <row r="641" spans="5:12" x14ac:dyDescent="0.25">
      <c r="E641" s="36"/>
      <c r="F641" s="36"/>
      <c r="G641" s="36"/>
      <c r="H641" s="36"/>
      <c r="I641" s="36"/>
      <c r="J641" s="36"/>
      <c r="K641" s="36"/>
      <c r="L641" s="36"/>
    </row>
    <row r="642" spans="5:12" x14ac:dyDescent="0.25">
      <c r="E642" s="36"/>
      <c r="F642" s="36"/>
      <c r="G642" s="36"/>
      <c r="H642" s="36"/>
      <c r="I642" s="36"/>
      <c r="J642" s="36"/>
      <c r="K642" s="36"/>
      <c r="L642" s="36"/>
    </row>
    <row r="643" spans="5:12" x14ac:dyDescent="0.25">
      <c r="E643" s="36"/>
      <c r="F643" s="36"/>
      <c r="G643" s="36"/>
      <c r="H643" s="36"/>
      <c r="I643" s="36"/>
      <c r="J643" s="36"/>
      <c r="K643" s="36"/>
      <c r="L643" s="36"/>
    </row>
    <row r="644" spans="5:12" x14ac:dyDescent="0.25">
      <c r="E644" s="36"/>
      <c r="F644" s="36"/>
      <c r="G644" s="36"/>
      <c r="H644" s="36"/>
      <c r="I644" s="36"/>
      <c r="J644" s="36"/>
      <c r="K644" s="36"/>
      <c r="L644" s="36"/>
    </row>
    <row r="645" spans="5:12" x14ac:dyDescent="0.25">
      <c r="E645" s="36"/>
      <c r="F645" s="36"/>
      <c r="G645" s="36"/>
      <c r="H645" s="36"/>
      <c r="I645" s="36"/>
      <c r="J645" s="36"/>
      <c r="K645" s="36"/>
      <c r="L645" s="36"/>
    </row>
    <row r="646" spans="5:12" x14ac:dyDescent="0.25">
      <c r="E646" s="36"/>
      <c r="F646" s="36"/>
      <c r="G646" s="36"/>
      <c r="H646" s="36"/>
      <c r="I646" s="36"/>
      <c r="J646" s="36"/>
      <c r="K646" s="36"/>
      <c r="L646" s="36"/>
    </row>
    <row r="647" spans="5:12" x14ac:dyDescent="0.25">
      <c r="E647" s="36"/>
      <c r="F647" s="36"/>
      <c r="G647" s="36"/>
      <c r="H647" s="36"/>
      <c r="I647" s="36"/>
      <c r="J647" s="36"/>
      <c r="K647" s="36"/>
      <c r="L647" s="36"/>
    </row>
    <row r="648" spans="5:12" x14ac:dyDescent="0.25">
      <c r="E648" s="36"/>
      <c r="F648" s="36"/>
      <c r="G648" s="36"/>
      <c r="H648" s="36"/>
      <c r="I648" s="36"/>
      <c r="J648" s="36"/>
      <c r="K648" s="36"/>
      <c r="L648" s="36"/>
    </row>
    <row r="649" spans="5:12" x14ac:dyDescent="0.25">
      <c r="E649" s="36"/>
      <c r="F649" s="36"/>
      <c r="G649" s="36"/>
      <c r="H649" s="36"/>
      <c r="I649" s="36"/>
      <c r="J649" s="36"/>
      <c r="K649" s="36"/>
      <c r="L649" s="36"/>
    </row>
    <row r="650" spans="5:12" x14ac:dyDescent="0.25">
      <c r="E650" s="36"/>
      <c r="F650" s="36"/>
      <c r="G650" s="36"/>
      <c r="H650" s="36"/>
      <c r="I650" s="36"/>
      <c r="J650" s="36"/>
      <c r="K650" s="36"/>
      <c r="L650" s="36"/>
    </row>
    <row r="651" spans="5:12" x14ac:dyDescent="0.25">
      <c r="E651" s="36"/>
      <c r="F651" s="36"/>
      <c r="G651" s="36"/>
      <c r="H651" s="36"/>
      <c r="I651" s="36"/>
      <c r="J651" s="36"/>
      <c r="K651" s="36"/>
      <c r="L651" s="36"/>
    </row>
    <row r="652" spans="5:12" x14ac:dyDescent="0.25">
      <c r="E652" s="36"/>
      <c r="F652" s="36"/>
      <c r="G652" s="36"/>
      <c r="H652" s="36"/>
      <c r="I652" s="36"/>
      <c r="J652" s="36"/>
      <c r="K652" s="36"/>
      <c r="L652" s="36"/>
    </row>
    <row r="653" spans="5:12" x14ac:dyDescent="0.25">
      <c r="E653" s="36"/>
      <c r="F653" s="36"/>
      <c r="G653" s="36"/>
      <c r="H653" s="36"/>
      <c r="I653" s="36"/>
      <c r="J653" s="36"/>
      <c r="K653" s="36"/>
      <c r="L653" s="36"/>
    </row>
    <row r="654" spans="5:12" x14ac:dyDescent="0.25">
      <c r="E654" s="36"/>
      <c r="F654" s="36"/>
      <c r="G654" s="36"/>
      <c r="H654" s="36"/>
      <c r="I654" s="36"/>
      <c r="J654" s="36"/>
      <c r="K654" s="36"/>
      <c r="L654" s="36"/>
    </row>
    <row r="655" spans="5:12" x14ac:dyDescent="0.25">
      <c r="E655" s="36"/>
      <c r="F655" s="36"/>
      <c r="G655" s="36"/>
      <c r="H655" s="36"/>
      <c r="I655" s="36"/>
      <c r="J655" s="36"/>
      <c r="K655" s="36"/>
      <c r="L655" s="36"/>
    </row>
    <row r="656" spans="5:12" x14ac:dyDescent="0.25">
      <c r="E656" s="36"/>
      <c r="F656" s="36"/>
      <c r="G656" s="36"/>
      <c r="H656" s="36"/>
      <c r="I656" s="36"/>
      <c r="J656" s="36"/>
      <c r="K656" s="36"/>
      <c r="L656" s="36"/>
    </row>
    <row r="657" spans="5:12" x14ac:dyDescent="0.25">
      <c r="E657" s="36"/>
      <c r="F657" s="36"/>
      <c r="G657" s="36"/>
      <c r="H657" s="36"/>
      <c r="I657" s="36"/>
      <c r="J657" s="36"/>
      <c r="K657" s="36"/>
      <c r="L657" s="36"/>
    </row>
    <row r="658" spans="5:12" x14ac:dyDescent="0.25">
      <c r="E658" s="36"/>
      <c r="F658" s="36"/>
      <c r="G658" s="36"/>
      <c r="H658" s="36"/>
      <c r="I658" s="36"/>
      <c r="J658" s="36"/>
      <c r="K658" s="36"/>
      <c r="L658" s="36"/>
    </row>
    <row r="659" spans="5:12" x14ac:dyDescent="0.25">
      <c r="E659" s="36"/>
      <c r="F659" s="36"/>
      <c r="G659" s="36"/>
      <c r="H659" s="36"/>
      <c r="I659" s="36"/>
      <c r="J659" s="36"/>
      <c r="K659" s="36"/>
      <c r="L659" s="36"/>
    </row>
    <row r="660" spans="5:12" x14ac:dyDescent="0.25">
      <c r="E660" s="36"/>
      <c r="F660" s="36"/>
      <c r="G660" s="36"/>
      <c r="H660" s="36"/>
      <c r="I660" s="36"/>
      <c r="J660" s="36"/>
      <c r="K660" s="36"/>
      <c r="L660" s="36"/>
    </row>
    <row r="661" spans="5:12" x14ac:dyDescent="0.25">
      <c r="E661" s="36"/>
      <c r="F661" s="36"/>
      <c r="G661" s="36"/>
      <c r="H661" s="36"/>
      <c r="I661" s="36"/>
      <c r="J661" s="36"/>
      <c r="K661" s="36"/>
      <c r="L661" s="36"/>
    </row>
    <row r="662" spans="5:12" x14ac:dyDescent="0.25">
      <c r="E662" s="36"/>
      <c r="F662" s="36"/>
      <c r="G662" s="36"/>
      <c r="H662" s="36"/>
      <c r="I662" s="36"/>
      <c r="J662" s="36"/>
      <c r="K662" s="36"/>
      <c r="L662" s="36"/>
    </row>
    <row r="663" spans="5:12" x14ac:dyDescent="0.25">
      <c r="E663" s="36"/>
      <c r="F663" s="36"/>
      <c r="G663" s="36"/>
      <c r="H663" s="36"/>
      <c r="I663" s="36"/>
      <c r="J663" s="36"/>
      <c r="K663" s="36"/>
      <c r="L663" s="36"/>
    </row>
    <row r="664" spans="5:12" x14ac:dyDescent="0.25">
      <c r="E664" s="36"/>
      <c r="F664" s="36"/>
      <c r="G664" s="36"/>
      <c r="H664" s="36"/>
      <c r="I664" s="36"/>
      <c r="J664" s="36"/>
      <c r="K664" s="36"/>
      <c r="L664" s="36"/>
    </row>
    <row r="665" spans="5:12" x14ac:dyDescent="0.25">
      <c r="E665" s="36"/>
      <c r="F665" s="36"/>
      <c r="G665" s="36"/>
      <c r="H665" s="36"/>
      <c r="I665" s="36"/>
      <c r="J665" s="36"/>
      <c r="K665" s="36"/>
      <c r="L665" s="36"/>
    </row>
    <row r="666" spans="5:12" x14ac:dyDescent="0.25">
      <c r="E666" s="36"/>
      <c r="F666" s="36"/>
      <c r="G666" s="36"/>
      <c r="H666" s="36"/>
      <c r="I666" s="36"/>
      <c r="J666" s="36"/>
      <c r="K666" s="36"/>
      <c r="L666" s="36"/>
    </row>
    <row r="667" spans="5:12" x14ac:dyDescent="0.25">
      <c r="E667" s="36"/>
      <c r="F667" s="36"/>
      <c r="G667" s="36"/>
      <c r="H667" s="36"/>
      <c r="I667" s="36"/>
      <c r="J667" s="36"/>
      <c r="K667" s="36"/>
      <c r="L667" s="36"/>
    </row>
    <row r="668" spans="5:12" x14ac:dyDescent="0.25">
      <c r="E668" s="36"/>
      <c r="F668" s="36"/>
      <c r="G668" s="36"/>
      <c r="H668" s="36"/>
      <c r="I668" s="36"/>
      <c r="J668" s="36"/>
      <c r="K668" s="36"/>
      <c r="L668" s="36"/>
    </row>
    <row r="669" spans="5:12" x14ac:dyDescent="0.25">
      <c r="E669" s="36"/>
      <c r="F669" s="36"/>
      <c r="G669" s="36"/>
      <c r="H669" s="36"/>
      <c r="I669" s="36"/>
      <c r="J669" s="36"/>
      <c r="K669" s="36"/>
      <c r="L669" s="36"/>
    </row>
    <row r="670" spans="5:12" x14ac:dyDescent="0.25">
      <c r="E670" s="36"/>
      <c r="F670" s="36"/>
      <c r="G670" s="36"/>
      <c r="H670" s="36"/>
      <c r="I670" s="36"/>
      <c r="J670" s="36"/>
      <c r="K670" s="36"/>
      <c r="L670" s="36"/>
    </row>
    <row r="671" spans="5:12" x14ac:dyDescent="0.25">
      <c r="E671" s="36"/>
      <c r="F671" s="36"/>
      <c r="G671" s="36"/>
      <c r="H671" s="36"/>
      <c r="I671" s="36"/>
      <c r="J671" s="36"/>
      <c r="K671" s="36"/>
      <c r="L671" s="36"/>
    </row>
    <row r="672" spans="5:12" x14ac:dyDescent="0.25">
      <c r="E672" s="36"/>
      <c r="F672" s="36"/>
      <c r="G672" s="36"/>
      <c r="H672" s="36"/>
      <c r="I672" s="36"/>
      <c r="J672" s="36"/>
      <c r="K672" s="36"/>
      <c r="L672" s="36"/>
    </row>
    <row r="673" spans="5:12" x14ac:dyDescent="0.25">
      <c r="E673" s="36"/>
      <c r="F673" s="36"/>
      <c r="G673" s="36"/>
      <c r="H673" s="36"/>
      <c r="I673" s="36"/>
      <c r="J673" s="36"/>
      <c r="K673" s="36"/>
      <c r="L673" s="36"/>
    </row>
    <row r="674" spans="5:12" x14ac:dyDescent="0.25">
      <c r="E674" s="36"/>
      <c r="F674" s="36"/>
      <c r="G674" s="36"/>
      <c r="H674" s="36"/>
      <c r="I674" s="36"/>
      <c r="J674" s="36"/>
      <c r="K674" s="36"/>
      <c r="L674" s="36"/>
    </row>
    <row r="675" spans="5:12" x14ac:dyDescent="0.25">
      <c r="E675" s="36"/>
      <c r="F675" s="36"/>
      <c r="G675" s="36"/>
      <c r="H675" s="36"/>
      <c r="I675" s="36"/>
      <c r="J675" s="36"/>
      <c r="K675" s="36"/>
      <c r="L675" s="36"/>
    </row>
    <row r="676" spans="5:12" x14ac:dyDescent="0.25">
      <c r="E676" s="36"/>
      <c r="F676" s="36"/>
      <c r="G676" s="36"/>
      <c r="H676" s="36"/>
      <c r="I676" s="36"/>
      <c r="J676" s="36"/>
      <c r="K676" s="36"/>
      <c r="L676" s="36"/>
    </row>
    <row r="677" spans="5:12" x14ac:dyDescent="0.25">
      <c r="E677" s="36"/>
      <c r="F677" s="36"/>
      <c r="G677" s="36"/>
      <c r="H677" s="36"/>
      <c r="I677" s="36"/>
      <c r="J677" s="36"/>
      <c r="K677" s="36"/>
      <c r="L677" s="36"/>
    </row>
    <row r="678" spans="5:12" x14ac:dyDescent="0.25">
      <c r="E678" s="36"/>
      <c r="F678" s="36"/>
      <c r="G678" s="36"/>
      <c r="H678" s="36"/>
      <c r="I678" s="36"/>
      <c r="J678" s="36"/>
      <c r="K678" s="36"/>
      <c r="L678" s="36"/>
    </row>
    <row r="679" spans="5:12" x14ac:dyDescent="0.25">
      <c r="E679" s="36"/>
      <c r="F679" s="36"/>
      <c r="G679" s="36"/>
      <c r="H679" s="36"/>
      <c r="I679" s="36"/>
      <c r="J679" s="36"/>
      <c r="K679" s="36"/>
      <c r="L679" s="36"/>
    </row>
    <row r="680" spans="5:12" x14ac:dyDescent="0.25">
      <c r="E680" s="36"/>
      <c r="F680" s="36"/>
      <c r="G680" s="36"/>
      <c r="H680" s="36"/>
      <c r="I680" s="36"/>
      <c r="J680" s="36"/>
      <c r="K680" s="36"/>
      <c r="L680" s="36"/>
    </row>
    <row r="681" spans="5:12" x14ac:dyDescent="0.25">
      <c r="E681" s="36"/>
      <c r="F681" s="36"/>
      <c r="G681" s="36"/>
      <c r="H681" s="36"/>
      <c r="I681" s="36"/>
      <c r="J681" s="36"/>
      <c r="K681" s="36"/>
      <c r="L681" s="36"/>
    </row>
    <row r="682" spans="5:12" x14ac:dyDescent="0.25">
      <c r="E682" s="36"/>
      <c r="F682" s="36"/>
      <c r="G682" s="36"/>
      <c r="H682" s="36"/>
      <c r="I682" s="36"/>
      <c r="J682" s="36"/>
      <c r="K682" s="36"/>
      <c r="L682" s="36"/>
    </row>
    <row r="683" spans="5:12" x14ac:dyDescent="0.25">
      <c r="E683" s="36"/>
      <c r="F683" s="36"/>
      <c r="G683" s="36"/>
      <c r="H683" s="36"/>
      <c r="I683" s="36"/>
      <c r="J683" s="36"/>
      <c r="K683" s="36"/>
      <c r="L683" s="36"/>
    </row>
    <row r="684" spans="5:12" x14ac:dyDescent="0.25">
      <c r="E684" s="36"/>
      <c r="F684" s="36"/>
      <c r="G684" s="36"/>
      <c r="H684" s="36"/>
      <c r="I684" s="36"/>
      <c r="J684" s="36"/>
      <c r="K684" s="36"/>
      <c r="L684" s="36"/>
    </row>
    <row r="685" spans="5:12" x14ac:dyDescent="0.25">
      <c r="E685" s="36"/>
      <c r="F685" s="36"/>
      <c r="G685" s="36"/>
      <c r="H685" s="36"/>
      <c r="I685" s="36"/>
      <c r="J685" s="36"/>
      <c r="K685" s="36"/>
      <c r="L685" s="36"/>
    </row>
    <row r="686" spans="5:12" x14ac:dyDescent="0.25">
      <c r="E686" s="36"/>
      <c r="F686" s="36"/>
      <c r="G686" s="36"/>
      <c r="H686" s="36"/>
      <c r="I686" s="36"/>
      <c r="J686" s="36"/>
      <c r="K686" s="36"/>
      <c r="L686" s="36"/>
    </row>
    <row r="687" spans="5:12" x14ac:dyDescent="0.25">
      <c r="E687" s="36"/>
      <c r="F687" s="36"/>
      <c r="G687" s="36"/>
      <c r="H687" s="36"/>
      <c r="I687" s="36"/>
      <c r="J687" s="36"/>
      <c r="K687" s="36"/>
      <c r="L687" s="36"/>
    </row>
    <row r="688" spans="5:12" x14ac:dyDescent="0.25">
      <c r="E688" s="36"/>
      <c r="F688" s="36"/>
      <c r="G688" s="36"/>
      <c r="H688" s="36"/>
      <c r="I688" s="36"/>
      <c r="J688" s="36"/>
      <c r="K688" s="36"/>
      <c r="L688" s="36"/>
    </row>
    <row r="689" spans="5:12" x14ac:dyDescent="0.25">
      <c r="E689" s="36"/>
      <c r="F689" s="36"/>
      <c r="G689" s="36"/>
      <c r="H689" s="36"/>
      <c r="I689" s="36"/>
      <c r="J689" s="36"/>
      <c r="K689" s="36"/>
      <c r="L689" s="36"/>
    </row>
    <row r="690" spans="5:12" x14ac:dyDescent="0.25">
      <c r="E690" s="36"/>
      <c r="F690" s="36"/>
      <c r="G690" s="36"/>
      <c r="H690" s="36"/>
      <c r="I690" s="36"/>
      <c r="J690" s="36"/>
      <c r="K690" s="36"/>
      <c r="L690" s="36"/>
    </row>
    <row r="691" spans="5:12" x14ac:dyDescent="0.25">
      <c r="E691" s="36"/>
      <c r="F691" s="36"/>
      <c r="G691" s="36"/>
      <c r="H691" s="36"/>
      <c r="I691" s="36"/>
      <c r="J691" s="36"/>
      <c r="K691" s="36"/>
      <c r="L691" s="36"/>
    </row>
    <row r="692" spans="5:12" x14ac:dyDescent="0.25">
      <c r="E692" s="36"/>
      <c r="F692" s="36"/>
      <c r="G692" s="36"/>
      <c r="H692" s="36"/>
      <c r="I692" s="36"/>
      <c r="J692" s="36"/>
      <c r="K692" s="36"/>
      <c r="L692" s="36"/>
    </row>
    <row r="693" spans="5:12" x14ac:dyDescent="0.25">
      <c r="E693" s="36"/>
      <c r="F693" s="36"/>
      <c r="G693" s="36"/>
      <c r="H693" s="36"/>
      <c r="I693" s="36"/>
      <c r="J693" s="36"/>
      <c r="K693" s="36"/>
      <c r="L693" s="36"/>
    </row>
    <row r="694" spans="5:12" x14ac:dyDescent="0.25">
      <c r="E694" s="36"/>
      <c r="F694" s="36"/>
      <c r="G694" s="36"/>
      <c r="H694" s="36"/>
      <c r="I694" s="36"/>
      <c r="J694" s="36"/>
      <c r="K694" s="36"/>
      <c r="L694" s="36"/>
    </row>
    <row r="695" spans="5:12" x14ac:dyDescent="0.25">
      <c r="E695" s="36"/>
      <c r="F695" s="36"/>
      <c r="G695" s="36"/>
      <c r="H695" s="36"/>
      <c r="I695" s="36"/>
      <c r="J695" s="36"/>
      <c r="K695" s="36"/>
      <c r="L695" s="36"/>
    </row>
    <row r="696" spans="5:12" x14ac:dyDescent="0.25">
      <c r="E696" s="36"/>
      <c r="F696" s="36"/>
      <c r="G696" s="36"/>
      <c r="H696" s="36"/>
      <c r="I696" s="36"/>
      <c r="J696" s="36"/>
      <c r="K696" s="36"/>
      <c r="L696" s="36"/>
    </row>
    <row r="697" spans="5:12" x14ac:dyDescent="0.25">
      <c r="E697" s="36"/>
      <c r="F697" s="36"/>
      <c r="G697" s="36"/>
      <c r="H697" s="36"/>
      <c r="I697" s="36"/>
      <c r="J697" s="36"/>
      <c r="K697" s="36"/>
      <c r="L697" s="36"/>
    </row>
    <row r="698" spans="5:12" x14ac:dyDescent="0.25">
      <c r="E698" s="36"/>
      <c r="F698" s="36"/>
      <c r="G698" s="36"/>
      <c r="H698" s="36"/>
      <c r="I698" s="36"/>
      <c r="J698" s="36"/>
      <c r="K698" s="36"/>
      <c r="L698" s="36"/>
    </row>
    <row r="699" spans="5:12" x14ac:dyDescent="0.25">
      <c r="E699" s="36"/>
      <c r="F699" s="36"/>
      <c r="G699" s="36"/>
      <c r="H699" s="36"/>
      <c r="I699" s="36"/>
      <c r="J699" s="36"/>
      <c r="K699" s="36"/>
      <c r="L699" s="36"/>
    </row>
    <row r="700" spans="5:12" x14ac:dyDescent="0.25">
      <c r="E700" s="36"/>
      <c r="F700" s="36"/>
      <c r="G700" s="36"/>
      <c r="H700" s="36"/>
      <c r="I700" s="36"/>
      <c r="J700" s="36"/>
      <c r="K700" s="36"/>
      <c r="L700" s="36"/>
    </row>
    <row r="701" spans="5:12" x14ac:dyDescent="0.25">
      <c r="E701" s="36"/>
      <c r="F701" s="36"/>
      <c r="G701" s="36"/>
      <c r="H701" s="36"/>
      <c r="I701" s="36"/>
      <c r="J701" s="36"/>
      <c r="K701" s="36"/>
      <c r="L701" s="36"/>
    </row>
    <row r="702" spans="5:12" x14ac:dyDescent="0.25">
      <c r="E702" s="36"/>
      <c r="F702" s="36"/>
      <c r="G702" s="36"/>
      <c r="H702" s="36"/>
      <c r="I702" s="36"/>
      <c r="J702" s="36"/>
      <c r="K702" s="36"/>
      <c r="L702" s="36"/>
    </row>
    <row r="703" spans="5:12" x14ac:dyDescent="0.25">
      <c r="E703" s="36"/>
      <c r="F703" s="36"/>
      <c r="G703" s="36"/>
      <c r="H703" s="36"/>
      <c r="I703" s="36"/>
      <c r="J703" s="36"/>
      <c r="K703" s="36"/>
      <c r="L703" s="36"/>
    </row>
    <row r="704" spans="5:12" x14ac:dyDescent="0.25">
      <c r="E704" s="36"/>
      <c r="F704" s="36"/>
      <c r="G704" s="36"/>
      <c r="H704" s="36"/>
      <c r="I704" s="36"/>
      <c r="J704" s="36"/>
      <c r="K704" s="36"/>
      <c r="L704" s="36"/>
    </row>
    <row r="705" spans="5:12" x14ac:dyDescent="0.25">
      <c r="E705" s="36"/>
      <c r="F705" s="36"/>
      <c r="G705" s="36"/>
      <c r="H705" s="36"/>
      <c r="I705" s="36"/>
      <c r="J705" s="36"/>
      <c r="K705" s="36"/>
      <c r="L705" s="36"/>
    </row>
    <row r="706" spans="5:12" x14ac:dyDescent="0.25">
      <c r="E706" s="36"/>
      <c r="F706" s="36"/>
      <c r="G706" s="36"/>
      <c r="H706" s="36"/>
      <c r="I706" s="36"/>
      <c r="J706" s="36"/>
      <c r="K706" s="36"/>
      <c r="L706" s="36"/>
    </row>
    <row r="707" spans="5:12" x14ac:dyDescent="0.25">
      <c r="E707" s="36"/>
      <c r="F707" s="36"/>
      <c r="G707" s="36"/>
      <c r="H707" s="36"/>
      <c r="I707" s="36"/>
      <c r="J707" s="36"/>
      <c r="K707" s="36"/>
      <c r="L707" s="36"/>
    </row>
    <row r="708" spans="5:12" x14ac:dyDescent="0.25">
      <c r="E708" s="36"/>
      <c r="F708" s="36"/>
      <c r="G708" s="36"/>
      <c r="H708" s="36"/>
      <c r="I708" s="36"/>
      <c r="J708" s="36"/>
      <c r="K708" s="36"/>
      <c r="L708" s="36"/>
    </row>
    <row r="709" spans="5:12" x14ac:dyDescent="0.25">
      <c r="E709" s="36"/>
      <c r="F709" s="36"/>
      <c r="G709" s="36"/>
      <c r="H709" s="36"/>
      <c r="I709" s="36"/>
      <c r="J709" s="36"/>
      <c r="K709" s="36"/>
      <c r="L709" s="36"/>
    </row>
    <row r="710" spans="5:12" x14ac:dyDescent="0.25">
      <c r="E710" s="36"/>
      <c r="F710" s="36"/>
      <c r="G710" s="36"/>
      <c r="H710" s="36"/>
      <c r="I710" s="36"/>
      <c r="J710" s="36"/>
      <c r="K710" s="36"/>
      <c r="L710" s="36"/>
    </row>
    <row r="711" spans="5:12" x14ac:dyDescent="0.25">
      <c r="E711" s="36"/>
      <c r="F711" s="36"/>
      <c r="G711" s="36"/>
      <c r="H711" s="36"/>
      <c r="I711" s="36"/>
      <c r="J711" s="36"/>
      <c r="K711" s="36"/>
      <c r="L711" s="36"/>
    </row>
    <row r="712" spans="5:12" x14ac:dyDescent="0.25">
      <c r="E712" s="36"/>
      <c r="F712" s="36"/>
      <c r="G712" s="36"/>
      <c r="H712" s="36"/>
      <c r="I712" s="36"/>
      <c r="J712" s="36"/>
      <c r="K712" s="36"/>
      <c r="L712" s="36"/>
    </row>
    <row r="713" spans="5:12" x14ac:dyDescent="0.25">
      <c r="E713" s="36"/>
      <c r="F713" s="36"/>
      <c r="G713" s="36"/>
      <c r="H713" s="36"/>
      <c r="I713" s="36"/>
      <c r="J713" s="36"/>
      <c r="K713" s="36"/>
      <c r="L713" s="36"/>
    </row>
    <row r="714" spans="5:12" x14ac:dyDescent="0.25">
      <c r="E714" s="36"/>
      <c r="F714" s="36"/>
      <c r="G714" s="36"/>
      <c r="H714" s="36"/>
      <c r="I714" s="36"/>
      <c r="J714" s="36"/>
      <c r="K714" s="36"/>
      <c r="L714" s="36"/>
    </row>
    <row r="715" spans="5:12" x14ac:dyDescent="0.25">
      <c r="E715" s="36"/>
      <c r="F715" s="36"/>
      <c r="G715" s="36"/>
      <c r="H715" s="36"/>
      <c r="I715" s="36"/>
      <c r="J715" s="36"/>
      <c r="K715" s="36"/>
      <c r="L715" s="36"/>
    </row>
    <row r="716" spans="5:12" x14ac:dyDescent="0.25">
      <c r="E716" s="36"/>
      <c r="F716" s="36"/>
      <c r="G716" s="36"/>
      <c r="H716" s="36"/>
      <c r="I716" s="36"/>
      <c r="J716" s="36"/>
      <c r="K716" s="36"/>
      <c r="L716" s="36"/>
    </row>
    <row r="717" spans="5:12" x14ac:dyDescent="0.25">
      <c r="E717" s="36"/>
      <c r="F717" s="36"/>
      <c r="G717" s="36"/>
      <c r="H717" s="36"/>
      <c r="I717" s="36"/>
      <c r="J717" s="36"/>
      <c r="K717" s="36"/>
      <c r="L717" s="36"/>
    </row>
    <row r="718" spans="5:12" x14ac:dyDescent="0.25">
      <c r="E718" s="36"/>
      <c r="F718" s="36"/>
      <c r="G718" s="36"/>
      <c r="H718" s="36"/>
      <c r="I718" s="36"/>
      <c r="J718" s="36"/>
      <c r="K718" s="36"/>
      <c r="L718" s="36"/>
    </row>
    <row r="719" spans="5:12" x14ac:dyDescent="0.25">
      <c r="E719" s="36"/>
      <c r="F719" s="36"/>
      <c r="G719" s="36"/>
      <c r="H719" s="36"/>
      <c r="I719" s="36"/>
      <c r="J719" s="36"/>
      <c r="K719" s="36"/>
      <c r="L719" s="36"/>
    </row>
    <row r="720" spans="5:12" x14ac:dyDescent="0.25">
      <c r="E720" s="36"/>
      <c r="F720" s="36"/>
      <c r="G720" s="36"/>
      <c r="H720" s="36"/>
      <c r="I720" s="36"/>
      <c r="J720" s="36"/>
      <c r="K720" s="36"/>
      <c r="L720" s="36"/>
    </row>
    <row r="721" spans="5:12" x14ac:dyDescent="0.25">
      <c r="E721" s="36"/>
      <c r="F721" s="36"/>
      <c r="G721" s="36"/>
      <c r="H721" s="36"/>
      <c r="I721" s="36"/>
      <c r="J721" s="36"/>
      <c r="K721" s="36"/>
      <c r="L721" s="36"/>
    </row>
    <row r="722" spans="5:12" x14ac:dyDescent="0.25">
      <c r="E722" s="36"/>
      <c r="F722" s="36"/>
      <c r="G722" s="36"/>
      <c r="H722" s="36"/>
      <c r="I722" s="36"/>
      <c r="J722" s="36"/>
      <c r="K722" s="36"/>
      <c r="L722" s="36"/>
    </row>
    <row r="723" spans="5:12" x14ac:dyDescent="0.25">
      <c r="E723" s="36"/>
      <c r="F723" s="36"/>
      <c r="G723" s="36"/>
      <c r="H723" s="36"/>
      <c r="I723" s="36"/>
      <c r="J723" s="36"/>
      <c r="K723" s="36"/>
      <c r="L723" s="36"/>
    </row>
    <row r="724" spans="5:12" x14ac:dyDescent="0.25">
      <c r="E724" s="36"/>
      <c r="F724" s="36"/>
      <c r="G724" s="36"/>
      <c r="H724" s="36"/>
      <c r="I724" s="36"/>
      <c r="J724" s="36"/>
      <c r="K724" s="36"/>
      <c r="L724" s="36"/>
    </row>
    <row r="725" spans="5:12" x14ac:dyDescent="0.25">
      <c r="E725" s="36"/>
      <c r="F725" s="36"/>
      <c r="G725" s="36"/>
      <c r="H725" s="36"/>
      <c r="I725" s="36"/>
      <c r="J725" s="36"/>
      <c r="K725" s="36"/>
      <c r="L725" s="36"/>
    </row>
    <row r="726" spans="5:12" x14ac:dyDescent="0.25">
      <c r="E726" s="36"/>
      <c r="F726" s="36"/>
      <c r="G726" s="36"/>
      <c r="H726" s="36"/>
      <c r="I726" s="36"/>
      <c r="J726" s="36"/>
      <c r="K726" s="36"/>
      <c r="L726" s="36"/>
    </row>
    <row r="727" spans="5:12" x14ac:dyDescent="0.25">
      <c r="E727" s="36"/>
      <c r="F727" s="36"/>
      <c r="G727" s="36"/>
      <c r="H727" s="36"/>
      <c r="I727" s="36"/>
      <c r="J727" s="36"/>
      <c r="K727" s="36"/>
      <c r="L727" s="36"/>
    </row>
    <row r="728" spans="5:12" x14ac:dyDescent="0.25">
      <c r="E728" s="36"/>
      <c r="F728" s="36"/>
      <c r="G728" s="36"/>
      <c r="H728" s="36"/>
      <c r="I728" s="36"/>
      <c r="J728" s="36"/>
      <c r="K728" s="36"/>
      <c r="L728" s="36"/>
    </row>
    <row r="729" spans="5:12" x14ac:dyDescent="0.25">
      <c r="E729" s="36"/>
      <c r="F729" s="36"/>
      <c r="G729" s="36"/>
      <c r="H729" s="36"/>
      <c r="I729" s="36"/>
      <c r="J729" s="36"/>
      <c r="K729" s="36"/>
      <c r="L729" s="36"/>
    </row>
    <row r="730" spans="5:12" x14ac:dyDescent="0.25">
      <c r="E730" s="36"/>
      <c r="F730" s="36"/>
      <c r="G730" s="36"/>
      <c r="H730" s="36"/>
      <c r="I730" s="36"/>
      <c r="J730" s="36"/>
      <c r="K730" s="36"/>
      <c r="L730" s="36"/>
    </row>
    <row r="731" spans="5:12" x14ac:dyDescent="0.25">
      <c r="E731" s="36"/>
      <c r="F731" s="36"/>
      <c r="G731" s="36"/>
      <c r="H731" s="36"/>
      <c r="I731" s="36"/>
      <c r="J731" s="36"/>
      <c r="K731" s="36"/>
      <c r="L731" s="36"/>
    </row>
    <row r="732" spans="5:12" x14ac:dyDescent="0.25">
      <c r="E732" s="36"/>
      <c r="F732" s="36"/>
      <c r="G732" s="36"/>
      <c r="H732" s="36"/>
      <c r="I732" s="36"/>
      <c r="J732" s="36"/>
      <c r="K732" s="36"/>
      <c r="L732" s="36"/>
    </row>
    <row r="733" spans="5:12" x14ac:dyDescent="0.25">
      <c r="E733" s="36"/>
      <c r="F733" s="36"/>
      <c r="G733" s="36"/>
      <c r="H733" s="36"/>
      <c r="I733" s="36"/>
      <c r="J733" s="36"/>
      <c r="K733" s="36"/>
      <c r="L733" s="36"/>
    </row>
    <row r="734" spans="5:12" x14ac:dyDescent="0.25">
      <c r="E734" s="36"/>
      <c r="F734" s="36"/>
      <c r="G734" s="36"/>
      <c r="H734" s="36"/>
      <c r="I734" s="36"/>
      <c r="J734" s="36"/>
      <c r="K734" s="36"/>
      <c r="L734" s="36"/>
    </row>
    <row r="735" spans="5:12" x14ac:dyDescent="0.25">
      <c r="E735" s="36"/>
      <c r="F735" s="36"/>
      <c r="G735" s="36"/>
      <c r="H735" s="36"/>
      <c r="I735" s="36"/>
      <c r="J735" s="36"/>
      <c r="K735" s="36"/>
      <c r="L735" s="36"/>
    </row>
    <row r="736" spans="5:12" x14ac:dyDescent="0.25">
      <c r="E736" s="36"/>
      <c r="F736" s="36"/>
      <c r="G736" s="36"/>
      <c r="H736" s="36"/>
      <c r="I736" s="36"/>
      <c r="J736" s="36"/>
      <c r="K736" s="36"/>
      <c r="L736" s="36"/>
    </row>
    <row r="737" spans="5:12" x14ac:dyDescent="0.25">
      <c r="E737" s="36"/>
      <c r="F737" s="36"/>
      <c r="G737" s="36"/>
      <c r="H737" s="36"/>
      <c r="I737" s="36"/>
      <c r="J737" s="36"/>
      <c r="K737" s="36"/>
      <c r="L737" s="36"/>
    </row>
    <row r="738" spans="5:12" x14ac:dyDescent="0.25">
      <c r="E738" s="36"/>
      <c r="F738" s="36"/>
      <c r="G738" s="36"/>
      <c r="H738" s="36"/>
      <c r="I738" s="36"/>
      <c r="J738" s="36"/>
      <c r="K738" s="36"/>
      <c r="L738" s="36"/>
    </row>
    <row r="739" spans="5:12" x14ac:dyDescent="0.25">
      <c r="E739" s="36"/>
      <c r="F739" s="36"/>
      <c r="G739" s="36"/>
      <c r="H739" s="36"/>
      <c r="I739" s="36"/>
      <c r="J739" s="36"/>
      <c r="K739" s="36"/>
      <c r="L739" s="36"/>
    </row>
    <row r="740" spans="5:12" x14ac:dyDescent="0.25">
      <c r="E740" s="36"/>
      <c r="F740" s="36"/>
      <c r="G740" s="36"/>
      <c r="H740" s="36"/>
      <c r="I740" s="36"/>
      <c r="J740" s="36"/>
      <c r="K740" s="36"/>
      <c r="L740" s="36"/>
    </row>
    <row r="741" spans="5:12" x14ac:dyDescent="0.25">
      <c r="E741" s="36"/>
      <c r="F741" s="36"/>
      <c r="G741" s="36"/>
      <c r="H741" s="36"/>
      <c r="I741" s="36"/>
      <c r="J741" s="36"/>
      <c r="K741" s="36"/>
      <c r="L741" s="36"/>
    </row>
    <row r="742" spans="5:12" x14ac:dyDescent="0.25">
      <c r="E742" s="36"/>
      <c r="F742" s="36"/>
      <c r="G742" s="36"/>
      <c r="H742" s="36"/>
      <c r="I742" s="36"/>
      <c r="J742" s="36"/>
      <c r="K742" s="36"/>
      <c r="L742" s="36"/>
    </row>
    <row r="743" spans="5:12" x14ac:dyDescent="0.25">
      <c r="E743" s="36"/>
      <c r="F743" s="36"/>
      <c r="G743" s="36"/>
      <c r="H743" s="36"/>
      <c r="I743" s="36"/>
      <c r="J743" s="36"/>
      <c r="K743" s="36"/>
      <c r="L743" s="36"/>
    </row>
    <row r="744" spans="5:12" x14ac:dyDescent="0.25">
      <c r="E744" s="36"/>
      <c r="F744" s="36"/>
      <c r="G744" s="36"/>
      <c r="H744" s="36"/>
      <c r="I744" s="36"/>
      <c r="J744" s="36"/>
      <c r="K744" s="36"/>
      <c r="L744" s="36"/>
    </row>
    <row r="745" spans="5:12" x14ac:dyDescent="0.25">
      <c r="E745" s="36"/>
      <c r="F745" s="36"/>
      <c r="G745" s="36"/>
      <c r="H745" s="36"/>
      <c r="I745" s="36"/>
      <c r="J745" s="36"/>
      <c r="K745" s="36"/>
      <c r="L745" s="36"/>
    </row>
    <row r="746" spans="5:12" x14ac:dyDescent="0.25">
      <c r="E746" s="36"/>
      <c r="F746" s="36"/>
      <c r="G746" s="36"/>
      <c r="H746" s="36"/>
      <c r="I746" s="36"/>
      <c r="J746" s="36"/>
      <c r="K746" s="36"/>
      <c r="L746" s="36"/>
    </row>
    <row r="747" spans="5:12" x14ac:dyDescent="0.25">
      <c r="E747" s="36"/>
      <c r="F747" s="36"/>
      <c r="G747" s="36"/>
      <c r="H747" s="36"/>
      <c r="I747" s="36"/>
      <c r="J747" s="36"/>
      <c r="K747" s="36"/>
      <c r="L747" s="36"/>
    </row>
    <row r="748" spans="5:12" x14ac:dyDescent="0.25">
      <c r="E748" s="36"/>
      <c r="F748" s="36"/>
      <c r="G748" s="36"/>
      <c r="H748" s="36"/>
      <c r="I748" s="36"/>
      <c r="J748" s="36"/>
      <c r="K748" s="36"/>
      <c r="L748" s="36"/>
    </row>
    <row r="749" spans="5:12" x14ac:dyDescent="0.25">
      <c r="E749" s="36"/>
      <c r="F749" s="36"/>
      <c r="G749" s="36"/>
      <c r="H749" s="36"/>
      <c r="I749" s="36"/>
      <c r="J749" s="36"/>
      <c r="K749" s="36"/>
      <c r="L749" s="36"/>
    </row>
    <row r="750" spans="5:12" x14ac:dyDescent="0.25">
      <c r="E750" s="36"/>
      <c r="F750" s="36"/>
      <c r="G750" s="36"/>
      <c r="H750" s="36"/>
      <c r="I750" s="36"/>
      <c r="J750" s="36"/>
      <c r="K750" s="36"/>
      <c r="L750" s="36"/>
    </row>
    <row r="751" spans="5:12" x14ac:dyDescent="0.25">
      <c r="E751" s="36"/>
      <c r="F751" s="36"/>
      <c r="G751" s="36"/>
      <c r="H751" s="36"/>
      <c r="I751" s="36"/>
      <c r="J751" s="36"/>
      <c r="K751" s="36"/>
      <c r="L751" s="36"/>
    </row>
    <row r="752" spans="5:12" x14ac:dyDescent="0.25">
      <c r="E752" s="36"/>
      <c r="F752" s="36"/>
      <c r="G752" s="36"/>
      <c r="H752" s="36"/>
      <c r="I752" s="36"/>
      <c r="J752" s="36"/>
      <c r="K752" s="36"/>
      <c r="L752" s="36"/>
    </row>
    <row r="753" spans="5:12" x14ac:dyDescent="0.25">
      <c r="E753" s="36"/>
      <c r="F753" s="36"/>
      <c r="G753" s="36"/>
      <c r="H753" s="36"/>
      <c r="I753" s="36"/>
      <c r="J753" s="36"/>
      <c r="K753" s="36"/>
      <c r="L753" s="36"/>
    </row>
    <row r="754" spans="5:12" x14ac:dyDescent="0.25">
      <c r="E754" s="36"/>
      <c r="F754" s="36"/>
      <c r="G754" s="36"/>
      <c r="H754" s="36"/>
      <c r="I754" s="36"/>
      <c r="J754" s="36"/>
      <c r="K754" s="36"/>
      <c r="L754" s="36"/>
    </row>
    <row r="755" spans="5:12" x14ac:dyDescent="0.25">
      <c r="E755" s="36"/>
      <c r="F755" s="36"/>
      <c r="G755" s="36"/>
      <c r="H755" s="36"/>
      <c r="I755" s="36"/>
      <c r="J755" s="36"/>
      <c r="K755" s="36"/>
      <c r="L755" s="36"/>
    </row>
    <row r="756" spans="5:12" x14ac:dyDescent="0.25">
      <c r="E756" s="36"/>
      <c r="F756" s="36"/>
      <c r="G756" s="36"/>
      <c r="H756" s="36"/>
      <c r="I756" s="36"/>
      <c r="J756" s="36"/>
      <c r="K756" s="36"/>
      <c r="L756" s="36"/>
    </row>
    <row r="757" spans="5:12" x14ac:dyDescent="0.25">
      <c r="E757" s="36"/>
      <c r="F757" s="36"/>
      <c r="G757" s="36"/>
      <c r="H757" s="36"/>
      <c r="I757" s="36"/>
      <c r="J757" s="36"/>
      <c r="K757" s="36"/>
      <c r="L757" s="36"/>
    </row>
    <row r="758" spans="5:12" x14ac:dyDescent="0.25">
      <c r="E758" s="36"/>
      <c r="F758" s="36"/>
      <c r="G758" s="36"/>
      <c r="H758" s="36"/>
      <c r="I758" s="36"/>
      <c r="J758" s="36"/>
      <c r="K758" s="36"/>
      <c r="L758" s="36"/>
    </row>
    <row r="759" spans="5:12" x14ac:dyDescent="0.25">
      <c r="E759" s="36"/>
      <c r="F759" s="36"/>
      <c r="G759" s="36"/>
      <c r="H759" s="36"/>
      <c r="I759" s="36"/>
      <c r="J759" s="36"/>
      <c r="K759" s="36"/>
      <c r="L759" s="36"/>
    </row>
    <row r="760" spans="5:12" x14ac:dyDescent="0.25">
      <c r="E760" s="36"/>
      <c r="F760" s="36"/>
      <c r="G760" s="36"/>
      <c r="H760" s="36"/>
      <c r="I760" s="36"/>
      <c r="J760" s="36"/>
      <c r="K760" s="36"/>
      <c r="L760" s="36"/>
    </row>
    <row r="761" spans="5:12" x14ac:dyDescent="0.25">
      <c r="E761" s="36"/>
      <c r="F761" s="36"/>
      <c r="G761" s="36"/>
      <c r="H761" s="36"/>
      <c r="I761" s="36"/>
      <c r="J761" s="36"/>
      <c r="K761" s="36"/>
      <c r="L761" s="36"/>
    </row>
    <row r="762" spans="5:12" x14ac:dyDescent="0.25">
      <c r="E762" s="36"/>
      <c r="F762" s="36"/>
      <c r="G762" s="36"/>
      <c r="H762" s="36"/>
      <c r="I762" s="36"/>
      <c r="J762" s="36"/>
      <c r="K762" s="36"/>
      <c r="L762" s="36"/>
    </row>
    <row r="763" spans="5:12" x14ac:dyDescent="0.25">
      <c r="E763" s="36"/>
      <c r="F763" s="36"/>
      <c r="G763" s="36"/>
      <c r="H763" s="36"/>
      <c r="I763" s="36"/>
      <c r="J763" s="36"/>
      <c r="K763" s="36"/>
      <c r="L763" s="36"/>
    </row>
    <row r="764" spans="5:12" x14ac:dyDescent="0.25">
      <c r="E764" s="36"/>
      <c r="F764" s="36"/>
      <c r="G764" s="36"/>
      <c r="H764" s="36"/>
      <c r="I764" s="36"/>
      <c r="J764" s="36"/>
      <c r="K764" s="36"/>
      <c r="L764" s="36"/>
    </row>
    <row r="765" spans="5:12" x14ac:dyDescent="0.25">
      <c r="E765" s="36"/>
      <c r="F765" s="36"/>
      <c r="G765" s="36"/>
      <c r="H765" s="36"/>
      <c r="I765" s="36"/>
      <c r="J765" s="36"/>
      <c r="K765" s="36"/>
      <c r="L765" s="36"/>
    </row>
    <row r="766" spans="5:12" x14ac:dyDescent="0.25">
      <c r="E766" s="36"/>
      <c r="F766" s="36"/>
      <c r="G766" s="36"/>
      <c r="H766" s="36"/>
      <c r="I766" s="36"/>
      <c r="J766" s="36"/>
      <c r="K766" s="36"/>
      <c r="L766" s="36"/>
    </row>
    <row r="767" spans="5:12" x14ac:dyDescent="0.25">
      <c r="E767" s="36"/>
      <c r="F767" s="36"/>
      <c r="G767" s="36"/>
      <c r="H767" s="36"/>
      <c r="I767" s="36"/>
      <c r="J767" s="36"/>
      <c r="K767" s="36"/>
      <c r="L767" s="36"/>
    </row>
    <row r="768" spans="5:12" x14ac:dyDescent="0.25">
      <c r="E768" s="36"/>
      <c r="F768" s="36"/>
      <c r="G768" s="36"/>
      <c r="H768" s="36"/>
      <c r="I768" s="36"/>
      <c r="J768" s="36"/>
      <c r="K768" s="36"/>
      <c r="L768" s="36"/>
    </row>
    <row r="769" spans="5:12" x14ac:dyDescent="0.25">
      <c r="E769" s="36"/>
      <c r="F769" s="36"/>
      <c r="G769" s="36"/>
      <c r="H769" s="36"/>
      <c r="I769" s="36"/>
      <c r="J769" s="36"/>
      <c r="K769" s="36"/>
      <c r="L769" s="36"/>
    </row>
    <row r="770" spans="5:12" x14ac:dyDescent="0.25">
      <c r="E770" s="36"/>
      <c r="F770" s="36"/>
      <c r="G770" s="36"/>
      <c r="H770" s="36"/>
      <c r="I770" s="36"/>
      <c r="J770" s="36"/>
      <c r="K770" s="36"/>
      <c r="L770" s="36"/>
    </row>
    <row r="771" spans="5:12" x14ac:dyDescent="0.25">
      <c r="E771" s="36"/>
      <c r="F771" s="36"/>
      <c r="G771" s="36"/>
      <c r="H771" s="36"/>
      <c r="I771" s="36"/>
      <c r="J771" s="36"/>
      <c r="K771" s="36"/>
      <c r="L771" s="36"/>
    </row>
    <row r="772" spans="5:12" x14ac:dyDescent="0.25">
      <c r="E772" s="36"/>
      <c r="F772" s="36"/>
      <c r="G772" s="36"/>
      <c r="H772" s="36"/>
      <c r="I772" s="36"/>
      <c r="J772" s="36"/>
      <c r="K772" s="36"/>
      <c r="L772" s="36"/>
    </row>
    <row r="773" spans="5:12" x14ac:dyDescent="0.25">
      <c r="E773" s="36"/>
      <c r="F773" s="36"/>
      <c r="G773" s="36"/>
      <c r="H773" s="36"/>
      <c r="I773" s="36"/>
      <c r="J773" s="36"/>
      <c r="K773" s="36"/>
      <c r="L773" s="36"/>
    </row>
    <row r="774" spans="5:12" x14ac:dyDescent="0.25">
      <c r="E774" s="36"/>
      <c r="F774" s="36"/>
      <c r="G774" s="36"/>
      <c r="H774" s="36"/>
      <c r="I774" s="36"/>
      <c r="J774" s="36"/>
      <c r="K774" s="36"/>
      <c r="L774" s="36"/>
    </row>
    <row r="775" spans="5:12" x14ac:dyDescent="0.25">
      <c r="E775" s="36"/>
      <c r="F775" s="36"/>
      <c r="G775" s="36"/>
      <c r="H775" s="36"/>
      <c r="I775" s="36"/>
      <c r="J775" s="36"/>
      <c r="K775" s="36"/>
      <c r="L775" s="36"/>
    </row>
    <row r="776" spans="5:12" x14ac:dyDescent="0.25">
      <c r="E776" s="36"/>
      <c r="F776" s="36"/>
      <c r="G776" s="36"/>
      <c r="H776" s="36"/>
      <c r="I776" s="36"/>
      <c r="J776" s="36"/>
      <c r="K776" s="36"/>
      <c r="L776" s="36"/>
    </row>
    <row r="777" spans="5:12" x14ac:dyDescent="0.25">
      <c r="E777" s="36"/>
      <c r="F777" s="36"/>
      <c r="G777" s="36"/>
      <c r="H777" s="36"/>
      <c r="I777" s="36"/>
      <c r="J777" s="36"/>
      <c r="K777" s="36"/>
      <c r="L777" s="36"/>
    </row>
    <row r="778" spans="5:12" x14ac:dyDescent="0.25">
      <c r="E778" s="36"/>
      <c r="F778" s="36"/>
      <c r="G778" s="36"/>
      <c r="H778" s="36"/>
      <c r="I778" s="36"/>
      <c r="J778" s="36"/>
      <c r="K778" s="36"/>
      <c r="L778" s="36"/>
    </row>
    <row r="779" spans="5:12" x14ac:dyDescent="0.25">
      <c r="E779" s="36"/>
      <c r="F779" s="36"/>
      <c r="G779" s="36"/>
      <c r="H779" s="36"/>
      <c r="I779" s="36"/>
      <c r="J779" s="36"/>
      <c r="K779" s="36"/>
      <c r="L779" s="36"/>
    </row>
    <row r="780" spans="5:12" x14ac:dyDescent="0.25">
      <c r="E780" s="36"/>
      <c r="F780" s="36"/>
      <c r="G780" s="36"/>
      <c r="H780" s="36"/>
      <c r="I780" s="36"/>
      <c r="J780" s="36"/>
      <c r="K780" s="36"/>
      <c r="L780" s="36"/>
    </row>
    <row r="781" spans="5:12" x14ac:dyDescent="0.25">
      <c r="E781" s="36"/>
      <c r="F781" s="36"/>
      <c r="G781" s="36"/>
      <c r="H781" s="36"/>
      <c r="I781" s="36"/>
      <c r="J781" s="36"/>
      <c r="K781" s="36"/>
      <c r="L781" s="36"/>
    </row>
    <row r="782" spans="5:12" x14ac:dyDescent="0.25">
      <c r="E782" s="36"/>
      <c r="F782" s="36"/>
      <c r="G782" s="36"/>
      <c r="H782" s="36"/>
      <c r="I782" s="36"/>
      <c r="J782" s="36"/>
      <c r="K782" s="36"/>
      <c r="L782" s="36"/>
    </row>
    <row r="783" spans="5:12" x14ac:dyDescent="0.25">
      <c r="E783" s="36"/>
      <c r="F783" s="36"/>
      <c r="G783" s="36"/>
      <c r="H783" s="36"/>
      <c r="I783" s="36"/>
      <c r="J783" s="36"/>
      <c r="K783" s="36"/>
      <c r="L783" s="36"/>
    </row>
    <row r="784" spans="5:12" x14ac:dyDescent="0.25">
      <c r="E784" s="36"/>
      <c r="F784" s="36"/>
      <c r="G784" s="36"/>
      <c r="H784" s="36"/>
      <c r="I784" s="36"/>
      <c r="J784" s="36"/>
      <c r="K784" s="36"/>
      <c r="L784" s="36"/>
    </row>
    <row r="785" spans="5:12" x14ac:dyDescent="0.25">
      <c r="E785" s="36"/>
      <c r="F785" s="36"/>
      <c r="G785" s="36"/>
      <c r="H785" s="36"/>
      <c r="I785" s="36"/>
      <c r="J785" s="36"/>
      <c r="K785" s="36"/>
      <c r="L785" s="36"/>
    </row>
    <row r="786" spans="5:12" x14ac:dyDescent="0.25">
      <c r="E786" s="36"/>
      <c r="F786" s="36"/>
      <c r="G786" s="36"/>
      <c r="H786" s="36"/>
      <c r="I786" s="36"/>
      <c r="J786" s="36"/>
      <c r="K786" s="36"/>
      <c r="L786" s="36"/>
    </row>
    <row r="787" spans="5:12" x14ac:dyDescent="0.25">
      <c r="E787" s="36"/>
      <c r="F787" s="36"/>
      <c r="G787" s="36"/>
      <c r="H787" s="36"/>
      <c r="I787" s="36"/>
      <c r="J787" s="36"/>
      <c r="K787" s="36"/>
      <c r="L787" s="36"/>
    </row>
    <row r="788" spans="5:12" x14ac:dyDescent="0.25">
      <c r="E788" s="36"/>
      <c r="F788" s="36"/>
      <c r="G788" s="36"/>
      <c r="H788" s="36"/>
      <c r="I788" s="36"/>
      <c r="J788" s="36"/>
      <c r="K788" s="36"/>
      <c r="L788" s="36"/>
    </row>
    <row r="789" spans="5:12" x14ac:dyDescent="0.25">
      <c r="E789" s="36"/>
      <c r="F789" s="36"/>
      <c r="G789" s="36"/>
      <c r="H789" s="36"/>
      <c r="I789" s="36"/>
      <c r="J789" s="36"/>
      <c r="K789" s="36"/>
      <c r="L789" s="36"/>
    </row>
    <row r="790" spans="5:12" x14ac:dyDescent="0.25">
      <c r="E790" s="36"/>
      <c r="F790" s="36"/>
      <c r="G790" s="36"/>
      <c r="H790" s="36"/>
      <c r="I790" s="36"/>
      <c r="J790" s="36"/>
      <c r="K790" s="36"/>
      <c r="L790" s="36"/>
    </row>
    <row r="791" spans="5:12" x14ac:dyDescent="0.25">
      <c r="E791" s="36"/>
      <c r="F791" s="36"/>
      <c r="G791" s="36"/>
      <c r="H791" s="36"/>
      <c r="I791" s="36"/>
      <c r="J791" s="36"/>
      <c r="K791" s="36"/>
      <c r="L791" s="36"/>
    </row>
    <row r="792" spans="5:12" x14ac:dyDescent="0.25">
      <c r="E792" s="36"/>
      <c r="F792" s="36"/>
      <c r="G792" s="36"/>
      <c r="H792" s="36"/>
      <c r="I792" s="36"/>
      <c r="J792" s="36"/>
      <c r="K792" s="36"/>
      <c r="L792" s="36"/>
    </row>
    <row r="793" spans="5:12" x14ac:dyDescent="0.25">
      <c r="E793" s="36"/>
      <c r="F793" s="36"/>
      <c r="G793" s="36"/>
      <c r="H793" s="36"/>
      <c r="I793" s="36"/>
      <c r="J793" s="36"/>
      <c r="K793" s="36"/>
      <c r="L793" s="36"/>
    </row>
    <row r="794" spans="5:12" x14ac:dyDescent="0.25">
      <c r="E794" s="36"/>
      <c r="F794" s="36"/>
      <c r="G794" s="36"/>
      <c r="H794" s="36"/>
      <c r="I794" s="36"/>
      <c r="J794" s="36"/>
      <c r="K794" s="36"/>
      <c r="L794" s="36"/>
    </row>
    <row r="795" spans="5:12" x14ac:dyDescent="0.25">
      <c r="E795" s="36"/>
      <c r="F795" s="36"/>
      <c r="G795" s="36"/>
      <c r="H795" s="36"/>
      <c r="I795" s="36"/>
      <c r="J795" s="36"/>
      <c r="K795" s="36"/>
      <c r="L795" s="36"/>
    </row>
    <row r="796" spans="5:12" x14ac:dyDescent="0.25">
      <c r="E796" s="36"/>
      <c r="F796" s="36"/>
      <c r="G796" s="36"/>
      <c r="H796" s="36"/>
      <c r="I796" s="36"/>
      <c r="J796" s="36"/>
      <c r="K796" s="36"/>
      <c r="L796" s="36"/>
    </row>
    <row r="797" spans="5:12" x14ac:dyDescent="0.25">
      <c r="E797" s="36"/>
      <c r="F797" s="36"/>
      <c r="G797" s="36"/>
      <c r="H797" s="36"/>
      <c r="I797" s="36"/>
      <c r="J797" s="36"/>
      <c r="K797" s="36"/>
      <c r="L797" s="36"/>
    </row>
    <row r="798" spans="5:12" x14ac:dyDescent="0.25">
      <c r="E798" s="36"/>
      <c r="F798" s="36"/>
      <c r="G798" s="36"/>
      <c r="H798" s="36"/>
      <c r="I798" s="36"/>
      <c r="J798" s="36"/>
      <c r="K798" s="36"/>
      <c r="L798" s="36"/>
    </row>
    <row r="799" spans="5:12" x14ac:dyDescent="0.25">
      <c r="E799" s="36"/>
      <c r="F799" s="36"/>
      <c r="G799" s="36"/>
      <c r="H799" s="36"/>
      <c r="I799" s="36"/>
      <c r="J799" s="36"/>
      <c r="K799" s="36"/>
      <c r="L799" s="36"/>
    </row>
    <row r="800" spans="5:12" x14ac:dyDescent="0.25">
      <c r="E800" s="36"/>
      <c r="F800" s="36"/>
      <c r="G800" s="36"/>
      <c r="H800" s="36"/>
      <c r="I800" s="36"/>
      <c r="J800" s="36"/>
      <c r="K800" s="36"/>
      <c r="L800" s="36"/>
    </row>
    <row r="801" spans="5:12" x14ac:dyDescent="0.25">
      <c r="E801" s="36"/>
      <c r="F801" s="36"/>
      <c r="G801" s="36"/>
      <c r="H801" s="36"/>
      <c r="I801" s="36"/>
      <c r="J801" s="36"/>
      <c r="K801" s="36"/>
      <c r="L801" s="36"/>
    </row>
    <row r="802" spans="5:12" x14ac:dyDescent="0.25">
      <c r="E802" s="36"/>
      <c r="F802" s="36"/>
      <c r="G802" s="36"/>
      <c r="H802" s="36"/>
      <c r="I802" s="36"/>
      <c r="J802" s="36"/>
      <c r="K802" s="36"/>
      <c r="L802" s="36"/>
    </row>
    <row r="803" spans="5:12" x14ac:dyDescent="0.25">
      <c r="E803" s="36"/>
      <c r="F803" s="36"/>
      <c r="G803" s="36"/>
      <c r="H803" s="36"/>
      <c r="I803" s="36"/>
      <c r="J803" s="36"/>
      <c r="K803" s="36"/>
      <c r="L803" s="36"/>
    </row>
    <row r="804" spans="5:12" x14ac:dyDescent="0.25">
      <c r="E804" s="36"/>
      <c r="F804" s="36"/>
      <c r="G804" s="36"/>
      <c r="H804" s="36"/>
      <c r="I804" s="36"/>
      <c r="J804" s="36"/>
      <c r="K804" s="36"/>
      <c r="L804" s="36"/>
    </row>
    <row r="805" spans="5:12" x14ac:dyDescent="0.25">
      <c r="E805" s="36"/>
      <c r="F805" s="36"/>
      <c r="G805" s="36"/>
      <c r="H805" s="36"/>
      <c r="I805" s="36"/>
      <c r="J805" s="36"/>
      <c r="K805" s="36"/>
      <c r="L805" s="36"/>
    </row>
    <row r="806" spans="5:12" x14ac:dyDescent="0.25">
      <c r="E806" s="36"/>
      <c r="F806" s="36"/>
      <c r="G806" s="36"/>
      <c r="H806" s="36"/>
      <c r="I806" s="36"/>
      <c r="J806" s="36"/>
      <c r="K806" s="36"/>
      <c r="L806" s="36"/>
    </row>
    <row r="807" spans="5:12" x14ac:dyDescent="0.25">
      <c r="E807" s="36"/>
      <c r="F807" s="36"/>
      <c r="G807" s="36"/>
      <c r="H807" s="36"/>
      <c r="I807" s="36"/>
      <c r="J807" s="36"/>
      <c r="K807" s="36"/>
      <c r="L807" s="36"/>
    </row>
    <row r="808" spans="5:12" x14ac:dyDescent="0.25">
      <c r="E808" s="36"/>
      <c r="F808" s="36"/>
      <c r="G808" s="36"/>
      <c r="H808" s="36"/>
      <c r="I808" s="36"/>
      <c r="J808" s="36"/>
      <c r="K808" s="36"/>
      <c r="L808" s="36"/>
    </row>
    <row r="809" spans="5:12" x14ac:dyDescent="0.25">
      <c r="E809" s="36"/>
      <c r="F809" s="36"/>
      <c r="G809" s="36"/>
      <c r="H809" s="36"/>
      <c r="I809" s="36"/>
      <c r="J809" s="36"/>
      <c r="K809" s="36"/>
      <c r="L809" s="36"/>
    </row>
    <row r="810" spans="5:12" x14ac:dyDescent="0.25">
      <c r="E810" s="36"/>
      <c r="F810" s="36"/>
      <c r="G810" s="36"/>
      <c r="H810" s="36"/>
      <c r="I810" s="36"/>
      <c r="J810" s="36"/>
      <c r="K810" s="36"/>
      <c r="L810" s="36"/>
    </row>
    <row r="811" spans="5:12" x14ac:dyDescent="0.25">
      <c r="E811" s="36"/>
      <c r="F811" s="36"/>
      <c r="G811" s="36"/>
      <c r="H811" s="36"/>
      <c r="I811" s="36"/>
      <c r="J811" s="36"/>
      <c r="K811" s="36"/>
      <c r="L811" s="36"/>
    </row>
    <row r="812" spans="5:12" x14ac:dyDescent="0.25">
      <c r="E812" s="36"/>
      <c r="F812" s="36"/>
      <c r="G812" s="36"/>
      <c r="H812" s="36"/>
      <c r="I812" s="36"/>
      <c r="J812" s="36"/>
      <c r="K812" s="36"/>
      <c r="L812" s="36"/>
    </row>
    <row r="813" spans="5:12" x14ac:dyDescent="0.25">
      <c r="E813" s="36"/>
      <c r="F813" s="36"/>
      <c r="G813" s="36"/>
      <c r="H813" s="36"/>
      <c r="I813" s="36"/>
      <c r="J813" s="36"/>
      <c r="K813" s="36"/>
      <c r="L813" s="36"/>
    </row>
    <row r="814" spans="5:12" x14ac:dyDescent="0.25">
      <c r="E814" s="36"/>
      <c r="F814" s="36"/>
      <c r="G814" s="36"/>
      <c r="H814" s="36"/>
      <c r="I814" s="36"/>
      <c r="J814" s="36"/>
      <c r="K814" s="36"/>
      <c r="L814" s="36"/>
    </row>
    <row r="815" spans="5:12" x14ac:dyDescent="0.25">
      <c r="E815" s="36"/>
      <c r="F815" s="36"/>
      <c r="G815" s="36"/>
      <c r="H815" s="36"/>
      <c r="I815" s="36"/>
      <c r="J815" s="36"/>
      <c r="K815" s="36"/>
      <c r="L815" s="36"/>
    </row>
    <row r="816" spans="5:12" x14ac:dyDescent="0.25">
      <c r="E816" s="36"/>
      <c r="F816" s="36"/>
      <c r="G816" s="36"/>
      <c r="H816" s="36"/>
      <c r="I816" s="36"/>
      <c r="J816" s="36"/>
      <c r="K816" s="36"/>
      <c r="L816" s="36"/>
    </row>
    <row r="817" spans="5:12" x14ac:dyDescent="0.25">
      <c r="E817" s="36"/>
      <c r="F817" s="36"/>
      <c r="G817" s="36"/>
      <c r="H817" s="36"/>
      <c r="I817" s="36"/>
      <c r="J817" s="36"/>
      <c r="K817" s="36"/>
      <c r="L817" s="36"/>
    </row>
    <row r="818" spans="5:12" x14ac:dyDescent="0.25">
      <c r="E818" s="36"/>
      <c r="F818" s="36"/>
      <c r="G818" s="36"/>
      <c r="H818" s="36"/>
      <c r="I818" s="36"/>
      <c r="J818" s="36"/>
      <c r="K818" s="36"/>
      <c r="L818" s="36"/>
    </row>
    <row r="819" spans="5:12" x14ac:dyDescent="0.25">
      <c r="E819" s="36"/>
      <c r="F819" s="36"/>
      <c r="G819" s="36"/>
      <c r="H819" s="36"/>
      <c r="I819" s="36"/>
      <c r="J819" s="36"/>
      <c r="K819" s="36"/>
      <c r="L819" s="36"/>
    </row>
    <row r="820" spans="5:12" x14ac:dyDescent="0.25">
      <c r="E820" s="36"/>
      <c r="F820" s="36"/>
      <c r="G820" s="36"/>
      <c r="H820" s="36"/>
      <c r="I820" s="36"/>
      <c r="J820" s="36"/>
      <c r="K820" s="36"/>
      <c r="L820" s="36"/>
    </row>
    <row r="821" spans="5:12" x14ac:dyDescent="0.25">
      <c r="E821" s="36"/>
      <c r="F821" s="36"/>
      <c r="G821" s="36"/>
      <c r="H821" s="36"/>
      <c r="I821" s="36"/>
      <c r="J821" s="36"/>
      <c r="K821" s="36"/>
      <c r="L821" s="36"/>
    </row>
    <row r="822" spans="5:12" x14ac:dyDescent="0.25">
      <c r="E822" s="36"/>
      <c r="F822" s="36"/>
      <c r="G822" s="36"/>
      <c r="H822" s="36"/>
      <c r="I822" s="36"/>
      <c r="J822" s="36"/>
      <c r="K822" s="36"/>
      <c r="L822" s="36"/>
    </row>
    <row r="823" spans="5:12" x14ac:dyDescent="0.25">
      <c r="E823" s="36"/>
      <c r="F823" s="36"/>
      <c r="G823" s="36"/>
      <c r="H823" s="36"/>
      <c r="I823" s="36"/>
      <c r="J823" s="36"/>
      <c r="K823" s="36"/>
      <c r="L823" s="36"/>
    </row>
    <row r="824" spans="5:12" x14ac:dyDescent="0.25">
      <c r="E824" s="36"/>
      <c r="F824" s="36"/>
      <c r="G824" s="36"/>
      <c r="H824" s="36"/>
      <c r="I824" s="36"/>
      <c r="J824" s="36"/>
      <c r="K824" s="36"/>
      <c r="L824" s="36"/>
    </row>
    <row r="825" spans="5:12" x14ac:dyDescent="0.25">
      <c r="E825" s="36"/>
      <c r="F825" s="36"/>
      <c r="G825" s="36"/>
      <c r="H825" s="36"/>
      <c r="I825" s="36"/>
      <c r="J825" s="36"/>
      <c r="K825" s="36"/>
      <c r="L825" s="36"/>
    </row>
    <row r="826" spans="5:12" x14ac:dyDescent="0.25">
      <c r="E826" s="36"/>
      <c r="F826" s="36"/>
      <c r="G826" s="36"/>
      <c r="H826" s="36"/>
      <c r="I826" s="36"/>
      <c r="J826" s="36"/>
      <c r="K826" s="36"/>
      <c r="L826" s="36"/>
    </row>
    <row r="827" spans="5:12" x14ac:dyDescent="0.25">
      <c r="E827" s="36"/>
      <c r="F827" s="36"/>
      <c r="G827" s="36"/>
      <c r="H827" s="36"/>
      <c r="I827" s="36"/>
      <c r="J827" s="36"/>
      <c r="K827" s="36"/>
      <c r="L827" s="36"/>
    </row>
    <row r="828" spans="5:12" x14ac:dyDescent="0.25">
      <c r="E828" s="36"/>
      <c r="F828" s="36"/>
      <c r="G828" s="36"/>
      <c r="H828" s="36"/>
      <c r="I828" s="36"/>
      <c r="J828" s="36"/>
      <c r="K828" s="36"/>
      <c r="L828" s="36"/>
    </row>
    <row r="829" spans="5:12" x14ac:dyDescent="0.25">
      <c r="E829" s="36"/>
      <c r="F829" s="36"/>
      <c r="G829" s="36"/>
      <c r="H829" s="36"/>
      <c r="I829" s="36"/>
      <c r="J829" s="36"/>
      <c r="K829" s="36"/>
      <c r="L829" s="36"/>
    </row>
    <row r="830" spans="5:12" x14ac:dyDescent="0.25">
      <c r="E830" s="36"/>
      <c r="F830" s="36"/>
      <c r="G830" s="36"/>
      <c r="H830" s="36"/>
      <c r="I830" s="36"/>
      <c r="J830" s="36"/>
      <c r="K830" s="36"/>
      <c r="L830" s="36"/>
    </row>
    <row r="831" spans="5:12" x14ac:dyDescent="0.25">
      <c r="E831" s="36"/>
      <c r="F831" s="36"/>
      <c r="G831" s="36"/>
      <c r="H831" s="36"/>
      <c r="I831" s="36"/>
      <c r="J831" s="36"/>
      <c r="K831" s="36"/>
      <c r="L831" s="36"/>
    </row>
    <row r="832" spans="5:12" x14ac:dyDescent="0.25">
      <c r="E832" s="36"/>
      <c r="F832" s="36"/>
      <c r="G832" s="36"/>
      <c r="H832" s="36"/>
      <c r="I832" s="36"/>
      <c r="J832" s="36"/>
      <c r="K832" s="36"/>
      <c r="L832" s="36"/>
    </row>
    <row r="833" spans="5:12" x14ac:dyDescent="0.25">
      <c r="E833" s="36"/>
      <c r="F833" s="36"/>
      <c r="G833" s="36"/>
      <c r="H833" s="36"/>
      <c r="I833" s="36"/>
      <c r="J833" s="36"/>
      <c r="K833" s="36"/>
      <c r="L833" s="36"/>
    </row>
    <row r="834" spans="5:12" x14ac:dyDescent="0.25">
      <c r="E834" s="36"/>
      <c r="F834" s="36"/>
      <c r="G834" s="36"/>
      <c r="H834" s="36"/>
      <c r="I834" s="36"/>
      <c r="J834" s="36"/>
      <c r="K834" s="36"/>
      <c r="L834" s="36"/>
    </row>
    <row r="835" spans="5:12" x14ac:dyDescent="0.25">
      <c r="E835" s="36"/>
      <c r="F835" s="36"/>
      <c r="G835" s="36"/>
      <c r="H835" s="36"/>
      <c r="I835" s="36"/>
      <c r="J835" s="36"/>
      <c r="K835" s="36"/>
      <c r="L835" s="36"/>
    </row>
    <row r="836" spans="5:12" x14ac:dyDescent="0.25">
      <c r="E836" s="36"/>
      <c r="F836" s="36"/>
      <c r="G836" s="36"/>
      <c r="H836" s="36"/>
      <c r="I836" s="36"/>
      <c r="J836" s="36"/>
      <c r="K836" s="36"/>
      <c r="L836" s="36"/>
    </row>
    <row r="837" spans="5:12" x14ac:dyDescent="0.25">
      <c r="E837" s="36"/>
      <c r="F837" s="36"/>
      <c r="G837" s="36"/>
      <c r="H837" s="36"/>
      <c r="I837" s="36"/>
      <c r="J837" s="36"/>
      <c r="K837" s="36"/>
      <c r="L837" s="36"/>
    </row>
    <row r="838" spans="5:12" x14ac:dyDescent="0.25">
      <c r="E838" s="36"/>
      <c r="F838" s="36"/>
      <c r="G838" s="36"/>
      <c r="H838" s="36"/>
      <c r="I838" s="36"/>
      <c r="J838" s="36"/>
      <c r="K838" s="36"/>
      <c r="L838" s="36"/>
    </row>
    <row r="839" spans="5:12" x14ac:dyDescent="0.25">
      <c r="E839" s="36"/>
      <c r="F839" s="36"/>
      <c r="G839" s="36"/>
      <c r="H839" s="36"/>
      <c r="I839" s="36"/>
      <c r="J839" s="36"/>
      <c r="K839" s="36"/>
      <c r="L839" s="36"/>
    </row>
    <row r="840" spans="5:12" x14ac:dyDescent="0.25">
      <c r="E840" s="36"/>
      <c r="F840" s="36"/>
      <c r="G840" s="36"/>
      <c r="H840" s="36"/>
      <c r="I840" s="36"/>
      <c r="J840" s="36"/>
      <c r="K840" s="36"/>
      <c r="L840" s="36"/>
    </row>
    <row r="841" spans="5:12" x14ac:dyDescent="0.25">
      <c r="E841" s="36"/>
      <c r="F841" s="36"/>
      <c r="G841" s="36"/>
      <c r="H841" s="36"/>
      <c r="I841" s="36"/>
      <c r="J841" s="36"/>
      <c r="K841" s="36"/>
      <c r="L841" s="36"/>
    </row>
    <row r="842" spans="5:12" x14ac:dyDescent="0.25">
      <c r="E842" s="36"/>
      <c r="F842" s="36"/>
      <c r="G842" s="36"/>
      <c r="H842" s="36"/>
      <c r="I842" s="36"/>
      <c r="J842" s="36"/>
      <c r="K842" s="36"/>
      <c r="L842" s="36"/>
    </row>
    <row r="843" spans="5:12" x14ac:dyDescent="0.25">
      <c r="E843" s="36"/>
      <c r="F843" s="36"/>
      <c r="G843" s="36"/>
      <c r="H843" s="36"/>
      <c r="I843" s="36"/>
      <c r="J843" s="36"/>
      <c r="K843" s="36"/>
      <c r="L843" s="36"/>
    </row>
    <row r="844" spans="5:12" x14ac:dyDescent="0.25">
      <c r="E844" s="36"/>
      <c r="F844" s="36"/>
      <c r="G844" s="36"/>
      <c r="H844" s="36"/>
      <c r="I844" s="36"/>
      <c r="J844" s="36"/>
      <c r="K844" s="36"/>
      <c r="L844" s="36"/>
    </row>
    <row r="845" spans="5:12" x14ac:dyDescent="0.25">
      <c r="E845" s="36"/>
      <c r="F845" s="36"/>
      <c r="G845" s="36"/>
      <c r="H845" s="36"/>
      <c r="I845" s="36"/>
      <c r="J845" s="36"/>
      <c r="K845" s="36"/>
      <c r="L845" s="36"/>
    </row>
    <row r="846" spans="5:12" x14ac:dyDescent="0.25">
      <c r="E846" s="36"/>
      <c r="F846" s="36"/>
      <c r="G846" s="36"/>
      <c r="H846" s="36"/>
      <c r="I846" s="36"/>
      <c r="J846" s="36"/>
      <c r="K846" s="36"/>
      <c r="L846" s="36"/>
    </row>
    <row r="847" spans="5:12" x14ac:dyDescent="0.25">
      <c r="E847" s="36"/>
      <c r="F847" s="36"/>
      <c r="G847" s="36"/>
      <c r="H847" s="36"/>
      <c r="I847" s="36"/>
      <c r="J847" s="36"/>
      <c r="K847" s="36"/>
      <c r="L847" s="36"/>
    </row>
    <row r="848" spans="5:12" x14ac:dyDescent="0.25">
      <c r="E848" s="36"/>
      <c r="F848" s="36"/>
      <c r="G848" s="36"/>
      <c r="H848" s="36"/>
      <c r="I848" s="36"/>
      <c r="J848" s="36"/>
      <c r="K848" s="36"/>
      <c r="L848" s="36"/>
    </row>
  </sheetData>
  <mergeCells count="6">
    <mergeCell ref="H24:I24"/>
    <mergeCell ref="B3:F3"/>
    <mergeCell ref="F5:G5"/>
    <mergeCell ref="E12:F12"/>
    <mergeCell ref="H14:I14"/>
    <mergeCell ref="H23:I23"/>
  </mergeCells>
  <pageMargins left="0.70833333333333304" right="0.70833333333333304" top="0.74791666666666701" bottom="0.74791666666666701" header="0.511811023622047" footer="0.511811023622047"/>
  <pageSetup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837"/>
  <sheetViews>
    <sheetView view="pageBreakPreview" zoomScale="85" zoomScaleNormal="100" zoomScalePageLayoutView="85" workbookViewId="0">
      <selection activeCell="G29" sqref="G29"/>
    </sheetView>
  </sheetViews>
  <sheetFormatPr defaultColWidth="9.109375" defaultRowHeight="13.2" x14ac:dyDescent="0.25"/>
  <cols>
    <col min="1" max="1" width="3.44140625" customWidth="1"/>
    <col min="2" max="2" width="12.44140625" style="64" customWidth="1"/>
    <col min="3" max="3" width="11.33203125" customWidth="1"/>
    <col min="4" max="4" width="29.44140625" customWidth="1"/>
    <col min="5" max="5" width="28.5546875" customWidth="1"/>
    <col min="6" max="6" width="19.6640625" customWidth="1"/>
    <col min="7" max="8" width="19.5546875" customWidth="1"/>
    <col min="9" max="9" width="17.44140625" customWidth="1"/>
    <col min="10" max="10" width="4.6640625" customWidth="1"/>
    <col min="11" max="11" width="10.6640625" customWidth="1"/>
    <col min="12" max="13" width="11.33203125" customWidth="1"/>
  </cols>
  <sheetData>
    <row r="1" spans="1:27" ht="29.25" customHeight="1" x14ac:dyDescent="0.65">
      <c r="B1" s="65" t="s">
        <v>0</v>
      </c>
    </row>
    <row r="2" spans="1:27" ht="13.5" customHeight="1" x14ac:dyDescent="0.65">
      <c r="B2" s="65"/>
    </row>
    <row r="3" spans="1:27" ht="15" customHeight="1" x14ac:dyDescent="0.3">
      <c r="B3" s="66" t="s">
        <v>9</v>
      </c>
    </row>
    <row r="4" spans="1:27" ht="10.5" customHeight="1" x14ac:dyDescent="0.25">
      <c r="H4" s="67"/>
    </row>
    <row r="5" spans="1:27" ht="17.25" customHeight="1" x14ac:dyDescent="0.3">
      <c r="B5" s="64" t="s">
        <v>2</v>
      </c>
      <c r="H5" s="68" t="s">
        <v>195</v>
      </c>
      <c r="I5" s="69">
        <v>2026</v>
      </c>
    </row>
    <row r="6" spans="1:27" ht="12.75" customHeight="1" x14ac:dyDescent="0.25"/>
    <row r="7" spans="1:27" x14ac:dyDescent="0.25">
      <c r="G7" s="70" t="s">
        <v>3</v>
      </c>
      <c r="H7" s="71"/>
      <c r="I7" s="72"/>
    </row>
    <row r="8" spans="1:27" x14ac:dyDescent="0.25">
      <c r="G8" s="73" t="s">
        <v>4</v>
      </c>
      <c r="H8" s="74">
        <v>63.25</v>
      </c>
      <c r="I8" s="75"/>
    </row>
    <row r="9" spans="1:27" x14ac:dyDescent="0.25">
      <c r="G9" s="76" t="s">
        <v>5</v>
      </c>
      <c r="H9" s="77">
        <v>3.5</v>
      </c>
      <c r="I9" s="78"/>
    </row>
    <row r="12" spans="1:27" x14ac:dyDescent="0.25">
      <c r="A12" s="737" t="s">
        <v>26</v>
      </c>
      <c r="B12" s="738" t="s">
        <v>27</v>
      </c>
      <c r="C12" s="737" t="s">
        <v>28</v>
      </c>
      <c r="D12" s="737" t="s">
        <v>29</v>
      </c>
      <c r="E12" s="737" t="s">
        <v>30</v>
      </c>
      <c r="F12" s="737" t="s">
        <v>31</v>
      </c>
      <c r="G12" s="737" t="s">
        <v>32</v>
      </c>
      <c r="H12" s="737" t="s">
        <v>90</v>
      </c>
      <c r="I12" s="737" t="s">
        <v>33</v>
      </c>
      <c r="J12" s="79"/>
      <c r="K12" s="80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</row>
    <row r="13" spans="1:27" x14ac:dyDescent="0.25">
      <c r="A13" s="737"/>
      <c r="B13" s="738"/>
      <c r="C13" s="737"/>
      <c r="D13" s="737"/>
      <c r="E13" s="737"/>
      <c r="F13" s="737"/>
      <c r="G13" s="737"/>
      <c r="H13" s="737"/>
      <c r="I13" s="737"/>
      <c r="J13" s="79"/>
      <c r="K13" s="80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</row>
    <row r="14" spans="1:27" x14ac:dyDescent="0.25">
      <c r="A14" s="737"/>
      <c r="B14" s="738"/>
      <c r="C14" s="737"/>
      <c r="D14" s="737"/>
      <c r="E14" s="737"/>
      <c r="F14" s="737"/>
      <c r="G14" s="737"/>
      <c r="H14" s="737"/>
      <c r="I14" s="737"/>
      <c r="J14" s="79"/>
      <c r="K14" s="82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</row>
    <row r="15" spans="1:27" ht="15" customHeight="1" x14ac:dyDescent="0.25">
      <c r="A15" s="83">
        <v>1</v>
      </c>
      <c r="B15" s="84"/>
      <c r="C15" s="263"/>
      <c r="D15" s="264"/>
      <c r="E15" s="264"/>
      <c r="F15" s="86"/>
      <c r="G15" s="87"/>
      <c r="H15" s="87"/>
      <c r="I15" s="87"/>
      <c r="J15" s="88"/>
      <c r="K15" s="88"/>
      <c r="M15" s="89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</row>
    <row r="16" spans="1:27" s="93" customFormat="1" ht="15" customHeight="1" x14ac:dyDescent="0.25">
      <c r="A16" s="83">
        <v>2</v>
      </c>
      <c r="B16" s="90"/>
      <c r="C16" s="85"/>
      <c r="D16" s="86"/>
      <c r="E16" s="86"/>
      <c r="F16" s="86"/>
      <c r="G16" s="87">
        <f>I16-H16</f>
        <v>0</v>
      </c>
      <c r="H16" s="87">
        <f>I16/1.17*0.17</f>
        <v>0</v>
      </c>
      <c r="I16" s="91"/>
      <c r="J16" s="92"/>
      <c r="K16" s="92"/>
      <c r="M16" s="94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</row>
    <row r="17" spans="1:27" ht="15" customHeight="1" x14ac:dyDescent="0.25">
      <c r="A17" s="83">
        <v>3</v>
      </c>
      <c r="B17" s="90"/>
      <c r="C17" s="85"/>
      <c r="D17" s="86"/>
      <c r="E17" s="86"/>
      <c r="F17" s="86"/>
      <c r="G17" s="87">
        <f>I17-H17</f>
        <v>0</v>
      </c>
      <c r="H17" s="87">
        <f>I17/1.17*0.17</f>
        <v>0</v>
      </c>
      <c r="I17" s="87"/>
      <c r="J17" s="88"/>
      <c r="K17" s="88"/>
      <c r="M17" s="96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</row>
    <row r="18" spans="1:27" ht="15" customHeight="1" x14ac:dyDescent="0.25">
      <c r="A18" s="83">
        <v>4</v>
      </c>
      <c r="B18" s="97"/>
      <c r="C18" s="98"/>
      <c r="D18" s="86"/>
      <c r="E18" s="99"/>
      <c r="F18" s="99"/>
      <c r="G18" s="87"/>
      <c r="H18" s="87">
        <f>I18/1.17*0.17</f>
        <v>0</v>
      </c>
      <c r="I18" s="87"/>
      <c r="J18" s="88"/>
      <c r="K18" s="88"/>
      <c r="M18" s="96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</row>
    <row r="19" spans="1:27" ht="15" customHeight="1" x14ac:dyDescent="0.25">
      <c r="B19" s="100"/>
      <c r="C19" s="101"/>
      <c r="D19" s="79"/>
      <c r="E19" s="79"/>
      <c r="F19" s="102" t="s">
        <v>34</v>
      </c>
      <c r="G19" s="103">
        <f>SUM(G15:G18)</f>
        <v>0</v>
      </c>
      <c r="H19" s="103">
        <f>SUM(H15:H18)</f>
        <v>0</v>
      </c>
      <c r="I19" s="103">
        <f>SUM(I15:I18)</f>
        <v>0</v>
      </c>
      <c r="J19" s="104"/>
      <c r="K19" s="104"/>
      <c r="L19" s="81"/>
      <c r="M19" s="96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</row>
    <row r="20" spans="1:27" ht="15" customHeight="1" x14ac:dyDescent="0.25">
      <c r="A20" s="79"/>
      <c r="B20" s="100"/>
      <c r="C20" s="101"/>
      <c r="D20" s="101"/>
      <c r="E20" s="101"/>
      <c r="F20" s="101"/>
      <c r="G20" s="105"/>
      <c r="H20" s="105"/>
      <c r="I20" s="105"/>
      <c r="J20" s="104"/>
      <c r="K20" s="104"/>
      <c r="L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</row>
    <row r="21" spans="1:27" x14ac:dyDescent="0.25">
      <c r="A21" s="81"/>
      <c r="B21" s="106"/>
      <c r="C21" s="107"/>
      <c r="D21" s="107"/>
      <c r="E21" s="107"/>
      <c r="F21" s="107"/>
      <c r="G21" s="96"/>
      <c r="H21" s="96"/>
      <c r="I21" s="96"/>
      <c r="J21" s="88"/>
      <c r="K21" s="88"/>
      <c r="L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</row>
    <row r="22" spans="1:27" x14ac:dyDescent="0.25">
      <c r="A22" s="79"/>
      <c r="B22" s="106"/>
      <c r="C22" s="107"/>
      <c r="D22" s="107"/>
      <c r="E22" s="107"/>
      <c r="F22" s="107"/>
      <c r="G22" s="88"/>
      <c r="H22" s="88"/>
      <c r="I22" s="88"/>
      <c r="J22" s="88"/>
      <c r="K22" s="88"/>
      <c r="L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</row>
    <row r="23" spans="1:27" x14ac:dyDescent="0.25">
      <c r="A23" s="81"/>
      <c r="B23" s="106"/>
      <c r="C23" s="107"/>
      <c r="D23" s="107"/>
      <c r="E23" s="107"/>
      <c r="F23" s="107"/>
      <c r="G23" s="88"/>
      <c r="H23" s="88"/>
      <c r="I23" s="88"/>
      <c r="J23" s="88"/>
      <c r="K23" s="88"/>
      <c r="L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</row>
    <row r="24" spans="1:27" x14ac:dyDescent="0.25">
      <c r="A24" s="81"/>
      <c r="B24" s="106"/>
      <c r="C24" s="107"/>
      <c r="D24" s="107"/>
      <c r="E24" s="107"/>
      <c r="F24" s="107"/>
      <c r="G24" s="88"/>
      <c r="H24" s="88"/>
      <c r="I24" s="88"/>
      <c r="J24" s="88"/>
      <c r="K24" s="88"/>
      <c r="L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</row>
    <row r="25" spans="1:27" x14ac:dyDescent="0.25">
      <c r="A25" s="81"/>
      <c r="B25" s="106"/>
      <c r="C25" s="107"/>
      <c r="D25" s="107"/>
      <c r="E25" s="107"/>
      <c r="F25" s="107"/>
      <c r="G25" s="88"/>
      <c r="H25" s="88"/>
      <c r="I25" s="88"/>
      <c r="J25" s="88"/>
      <c r="K25" s="88"/>
      <c r="L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</row>
    <row r="26" spans="1:27" x14ac:dyDescent="0.25">
      <c r="A26" s="81"/>
      <c r="B26" s="106"/>
      <c r="C26" s="107"/>
      <c r="D26" s="107"/>
      <c r="E26" s="107"/>
      <c r="F26" s="107"/>
      <c r="G26" s="88"/>
      <c r="H26" s="88"/>
      <c r="I26" s="88"/>
      <c r="J26" s="88"/>
      <c r="K26" s="88"/>
      <c r="L26" s="81"/>
      <c r="M26" s="96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</row>
    <row r="27" spans="1:27" x14ac:dyDescent="0.25">
      <c r="A27" s="81"/>
      <c r="B27" s="106"/>
      <c r="C27" s="107"/>
      <c r="D27" s="107"/>
      <c r="E27" s="107"/>
      <c r="F27" s="107"/>
      <c r="G27" s="88"/>
      <c r="H27" s="88"/>
      <c r="I27" s="88"/>
      <c r="J27" s="88"/>
      <c r="K27" s="88"/>
      <c r="L27" s="81"/>
      <c r="M27" s="96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</row>
    <row r="28" spans="1:27" x14ac:dyDescent="0.25">
      <c r="A28" s="81"/>
      <c r="B28" s="106"/>
      <c r="C28" s="107"/>
      <c r="D28" s="107"/>
      <c r="E28" s="107"/>
      <c r="F28" s="107"/>
      <c r="G28" s="88"/>
      <c r="H28" s="88"/>
      <c r="I28" s="88"/>
      <c r="J28" s="88"/>
      <c r="K28" s="88"/>
      <c r="L28" s="81"/>
      <c r="M28" s="96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</row>
    <row r="29" spans="1:27" x14ac:dyDescent="0.25">
      <c r="A29" s="81"/>
      <c r="B29" s="106"/>
      <c r="C29" s="107"/>
      <c r="D29" s="107"/>
      <c r="E29" s="107"/>
      <c r="F29" s="107"/>
      <c r="G29" s="88"/>
      <c r="H29" s="88"/>
      <c r="I29" s="88"/>
      <c r="J29" s="88"/>
      <c r="K29" s="88"/>
      <c r="L29" s="81"/>
      <c r="M29" s="96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</row>
    <row r="30" spans="1:27" x14ac:dyDescent="0.25">
      <c r="A30" s="81"/>
      <c r="B30" s="106"/>
      <c r="C30" s="107"/>
      <c r="D30" s="107"/>
      <c r="E30" s="107"/>
      <c r="F30" s="107"/>
      <c r="G30" s="88"/>
      <c r="H30" s="88"/>
      <c r="I30" s="88"/>
      <c r="J30" s="88"/>
      <c r="K30" s="88"/>
      <c r="L30" s="81"/>
      <c r="M30" s="96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</row>
    <row r="31" spans="1:27" x14ac:dyDescent="0.25">
      <c r="A31" s="81"/>
      <c r="B31" s="106"/>
      <c r="C31" s="107"/>
      <c r="D31" s="107"/>
      <c r="E31" s="107"/>
      <c r="F31" s="107"/>
      <c r="G31" s="88"/>
      <c r="H31" s="88"/>
      <c r="I31" s="88"/>
      <c r="J31" s="88"/>
      <c r="K31" s="88"/>
      <c r="L31" s="81"/>
      <c r="M31" s="96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  <row r="32" spans="1:27" x14ac:dyDescent="0.25">
      <c r="A32" s="81"/>
      <c r="B32" s="106"/>
      <c r="C32" s="107"/>
      <c r="D32" s="107"/>
      <c r="E32" s="107"/>
      <c r="F32" s="107"/>
      <c r="G32" s="88"/>
      <c r="H32" s="88"/>
      <c r="I32" s="88"/>
      <c r="J32" s="88"/>
      <c r="K32" s="88"/>
      <c r="L32" s="81"/>
      <c r="M32" s="96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</row>
    <row r="33" spans="1:27" x14ac:dyDescent="0.25">
      <c r="A33" s="81"/>
      <c r="B33" s="106"/>
      <c r="C33" s="107"/>
      <c r="D33" s="107"/>
      <c r="E33" s="107"/>
      <c r="F33" s="107"/>
      <c r="G33" s="88"/>
      <c r="I33" s="88"/>
      <c r="J33" s="88"/>
      <c r="K33" s="88"/>
      <c r="L33" s="81"/>
      <c r="M33" s="96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</row>
    <row r="34" spans="1:27" x14ac:dyDescent="0.25">
      <c r="M34" s="96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</row>
    <row r="35" spans="1:27" x14ac:dyDescent="0.25">
      <c r="M35" s="96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</row>
    <row r="36" spans="1:27" x14ac:dyDescent="0.25">
      <c r="M36" s="96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</row>
    <row r="37" spans="1:27" ht="3.75" customHeight="1" x14ac:dyDescent="0.25">
      <c r="M37" s="96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</row>
    <row r="38" spans="1:27" x14ac:dyDescent="0.25">
      <c r="M38" s="96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</row>
    <row r="39" spans="1:27" x14ac:dyDescent="0.25">
      <c r="H39" s="88"/>
      <c r="M39" s="96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</row>
    <row r="40" spans="1:27" ht="11.25" customHeight="1" x14ac:dyDescent="0.25">
      <c r="A40" s="81"/>
      <c r="B40" s="106"/>
      <c r="C40" s="107"/>
      <c r="D40" s="107"/>
      <c r="E40" s="107"/>
      <c r="F40" s="107"/>
      <c r="G40" s="88"/>
      <c r="H40" s="88"/>
      <c r="I40" s="88"/>
      <c r="J40" s="88"/>
      <c r="K40" s="88"/>
      <c r="L40" s="81"/>
      <c r="M40" s="96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</row>
    <row r="41" spans="1:27" x14ac:dyDescent="0.25">
      <c r="A41" s="81"/>
      <c r="B41" s="106"/>
      <c r="C41" s="107"/>
      <c r="D41" s="107"/>
      <c r="E41" s="107"/>
      <c r="F41" s="107"/>
      <c r="G41" s="88"/>
      <c r="H41" s="88"/>
      <c r="I41" s="88"/>
      <c r="J41" s="88"/>
      <c r="K41" s="88"/>
      <c r="L41" s="81"/>
      <c r="M41" s="96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 spans="1:27" x14ac:dyDescent="0.25">
      <c r="A42" s="81"/>
      <c r="B42" s="106"/>
      <c r="C42" s="107"/>
      <c r="D42" s="107"/>
      <c r="E42" s="107"/>
      <c r="F42" s="107"/>
      <c r="G42" s="88"/>
      <c r="H42" s="88"/>
      <c r="I42" s="88"/>
      <c r="J42" s="88"/>
      <c r="K42" s="88"/>
      <c r="L42" s="81"/>
      <c r="M42" s="96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</row>
    <row r="43" spans="1:27" x14ac:dyDescent="0.25">
      <c r="A43" s="81"/>
      <c r="B43" s="106"/>
      <c r="C43" s="107"/>
      <c r="D43" s="107"/>
      <c r="E43" s="107"/>
      <c r="F43" s="107"/>
      <c r="G43" s="88"/>
      <c r="H43" s="88"/>
      <c r="I43" s="88"/>
      <c r="J43" s="88"/>
      <c r="K43" s="88"/>
      <c r="L43" s="81"/>
      <c r="M43" s="96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</row>
    <row r="44" spans="1:27" x14ac:dyDescent="0.25">
      <c r="A44" s="81"/>
      <c r="B44" s="106"/>
      <c r="C44" s="107"/>
      <c r="D44" s="107"/>
      <c r="E44" s="107"/>
      <c r="F44" s="107"/>
      <c r="G44" s="88"/>
      <c r="H44" s="88"/>
      <c r="I44" s="88"/>
      <c r="J44" s="88"/>
      <c r="K44" s="88"/>
      <c r="L44" s="81"/>
      <c r="M44" s="96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</row>
    <row r="45" spans="1:27" x14ac:dyDescent="0.25">
      <c r="A45" s="81"/>
      <c r="B45" s="106"/>
      <c r="C45" s="107"/>
      <c r="D45" s="107"/>
      <c r="E45" s="107"/>
      <c r="F45" s="107"/>
      <c r="G45" s="88"/>
      <c r="H45" s="88"/>
      <c r="I45" s="88"/>
      <c r="J45" s="88"/>
      <c r="K45" s="88"/>
      <c r="L45" s="81"/>
      <c r="M45" s="96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</row>
    <row r="46" spans="1:27" x14ac:dyDescent="0.25">
      <c r="A46" s="81"/>
      <c r="B46" s="106"/>
      <c r="C46" s="107"/>
      <c r="D46" s="107"/>
      <c r="E46" s="107"/>
      <c r="F46" s="107"/>
      <c r="G46" s="88"/>
      <c r="H46" s="88"/>
      <c r="I46" s="88"/>
      <c r="J46" s="88"/>
      <c r="K46" s="88"/>
      <c r="L46" s="81"/>
      <c r="M46" s="96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</row>
    <row r="47" spans="1:27" x14ac:dyDescent="0.25">
      <c r="A47" s="81"/>
      <c r="B47" s="106"/>
      <c r="C47" s="107"/>
      <c r="D47" s="107"/>
      <c r="E47" s="107"/>
      <c r="F47" s="107"/>
      <c r="G47" s="88"/>
      <c r="H47" s="88"/>
      <c r="I47" s="88"/>
      <c r="J47" s="88"/>
      <c r="K47" s="88"/>
      <c r="M47" s="96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</row>
    <row r="48" spans="1:27" x14ac:dyDescent="0.25">
      <c r="A48" s="81"/>
      <c r="B48" s="106"/>
      <c r="C48" s="107"/>
      <c r="D48" s="107"/>
      <c r="E48" s="107"/>
      <c r="F48" s="107"/>
      <c r="G48" s="88"/>
      <c r="H48" s="88"/>
      <c r="I48" s="88"/>
      <c r="J48" s="88"/>
      <c r="K48" s="88"/>
      <c r="M48" s="96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</row>
    <row r="49" spans="1:27" x14ac:dyDescent="0.25">
      <c r="A49" s="81"/>
      <c r="B49" s="106"/>
      <c r="C49" s="107"/>
      <c r="D49" s="107"/>
      <c r="E49" s="107"/>
      <c r="F49" s="107"/>
      <c r="G49" s="88"/>
      <c r="H49" s="88"/>
      <c r="I49" s="88"/>
      <c r="J49" s="88"/>
      <c r="K49" s="88"/>
      <c r="M49" s="96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</row>
    <row r="50" spans="1:27" x14ac:dyDescent="0.25">
      <c r="A50" s="81"/>
      <c r="B50" s="106"/>
      <c r="C50" s="107"/>
      <c r="D50" s="107"/>
      <c r="E50" s="107"/>
      <c r="F50" s="107"/>
      <c r="G50" s="88"/>
      <c r="H50" s="88"/>
      <c r="I50" s="88"/>
      <c r="J50" s="88"/>
      <c r="K50" s="88"/>
      <c r="M50" s="96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81"/>
      <c r="B51" s="106"/>
      <c r="C51" s="107"/>
      <c r="D51" s="107"/>
      <c r="E51" s="107"/>
      <c r="F51" s="107"/>
      <c r="G51" s="88"/>
      <c r="H51" s="88"/>
      <c r="I51" s="88"/>
      <c r="J51" s="88"/>
      <c r="K51" s="88"/>
      <c r="M51" s="96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</row>
    <row r="52" spans="1:27" x14ac:dyDescent="0.25">
      <c r="A52" s="81"/>
      <c r="B52" s="106"/>
      <c r="C52" s="107"/>
      <c r="D52" s="107"/>
      <c r="E52" s="107"/>
      <c r="F52" s="107"/>
      <c r="G52" s="88"/>
      <c r="H52" s="88"/>
      <c r="I52" s="88"/>
      <c r="J52" s="88"/>
      <c r="K52" s="88"/>
      <c r="M52" s="96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 spans="1:27" x14ac:dyDescent="0.25">
      <c r="A53" s="81"/>
      <c r="B53" s="106"/>
      <c r="C53" s="107"/>
      <c r="D53" s="107"/>
      <c r="E53" s="107"/>
      <c r="F53" s="107"/>
      <c r="G53" s="88"/>
      <c r="H53" s="88"/>
      <c r="I53" s="88"/>
      <c r="J53" s="88"/>
      <c r="K53" s="88"/>
      <c r="M53" s="96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 spans="1:27" x14ac:dyDescent="0.25">
      <c r="A54" s="81"/>
      <c r="B54" s="106"/>
      <c r="C54" s="107"/>
      <c r="D54" s="107"/>
      <c r="E54" s="107"/>
      <c r="F54" s="107"/>
      <c r="G54" s="88"/>
      <c r="H54" s="88"/>
      <c r="I54" s="88"/>
      <c r="J54" s="88"/>
      <c r="K54" s="88"/>
      <c r="M54" s="96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</row>
    <row r="55" spans="1:27" x14ac:dyDescent="0.25">
      <c r="A55" s="81"/>
      <c r="B55" s="106"/>
      <c r="C55" s="107"/>
      <c r="D55" s="107"/>
      <c r="E55" s="107"/>
      <c r="F55" s="107"/>
      <c r="G55" s="88"/>
      <c r="H55" s="88"/>
      <c r="I55" s="88"/>
      <c r="J55" s="88"/>
      <c r="K55" s="88"/>
      <c r="M55" s="96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</row>
    <row r="56" spans="1:27" x14ac:dyDescent="0.25">
      <c r="A56" s="81"/>
      <c r="B56" s="106"/>
      <c r="C56" s="107"/>
      <c r="D56" s="107"/>
      <c r="E56" s="107"/>
      <c r="F56" s="107"/>
      <c r="G56" s="88"/>
      <c r="H56" s="88"/>
      <c r="I56" s="88"/>
      <c r="J56" s="88"/>
      <c r="K56" s="88"/>
      <c r="M56" s="96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</row>
    <row r="57" spans="1:27" x14ac:dyDescent="0.25">
      <c r="A57" s="81"/>
      <c r="B57" s="106"/>
      <c r="C57" s="81"/>
      <c r="D57" s="81"/>
      <c r="E57" s="81"/>
      <c r="F57" s="81"/>
      <c r="G57" s="88"/>
      <c r="H57" s="88"/>
      <c r="I57" s="88"/>
      <c r="J57" s="88"/>
      <c r="K57" s="88"/>
      <c r="M57" s="96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</row>
    <row r="58" spans="1:27" x14ac:dyDescent="0.25">
      <c r="A58" s="81"/>
      <c r="B58" s="106"/>
      <c r="C58" s="81"/>
      <c r="D58" s="81"/>
      <c r="E58" s="81"/>
      <c r="F58" s="81"/>
      <c r="G58" s="88"/>
      <c r="H58" s="88"/>
      <c r="I58" s="88"/>
      <c r="J58" s="88"/>
      <c r="K58" s="88"/>
      <c r="M58" s="96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</row>
    <row r="59" spans="1:27" x14ac:dyDescent="0.25">
      <c r="A59" s="81"/>
      <c r="B59" s="106"/>
      <c r="C59" s="81"/>
      <c r="D59" s="81"/>
      <c r="E59" s="81"/>
      <c r="F59" s="81"/>
      <c r="G59" s="88"/>
      <c r="H59" s="88"/>
      <c r="I59" s="88"/>
      <c r="J59" s="88"/>
      <c r="K59" s="88"/>
      <c r="M59" s="96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</row>
    <row r="60" spans="1:27" x14ac:dyDescent="0.25">
      <c r="A60" s="81"/>
      <c r="B60" s="106"/>
      <c r="C60" s="81"/>
      <c r="D60" s="81"/>
      <c r="E60" s="81"/>
      <c r="F60" s="81"/>
      <c r="G60" s="88"/>
      <c r="H60" s="88"/>
      <c r="I60" s="88"/>
      <c r="J60" s="88"/>
      <c r="K60" s="88"/>
      <c r="M60" s="96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</row>
    <row r="61" spans="1:27" x14ac:dyDescent="0.25">
      <c r="A61" s="81"/>
      <c r="B61" s="106"/>
      <c r="C61" s="81"/>
      <c r="D61" s="81"/>
      <c r="E61" s="81"/>
      <c r="F61" s="81"/>
      <c r="G61" s="88"/>
      <c r="H61" s="88"/>
      <c r="I61" s="88"/>
      <c r="J61" s="88"/>
      <c r="K61" s="88"/>
      <c r="M61" s="96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</row>
    <row r="62" spans="1:27" x14ac:dyDescent="0.25">
      <c r="A62" s="81"/>
      <c r="B62" s="106"/>
      <c r="C62" s="81"/>
      <c r="D62" s="81"/>
      <c r="E62" s="81"/>
      <c r="F62" s="81"/>
      <c r="G62" s="88"/>
      <c r="H62" s="88"/>
      <c r="I62" s="88"/>
      <c r="J62" s="88"/>
      <c r="K62" s="88"/>
      <c r="M62" s="96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</row>
    <row r="63" spans="1:27" x14ac:dyDescent="0.25">
      <c r="A63" s="81"/>
      <c r="B63" s="106"/>
      <c r="C63" s="81"/>
      <c r="D63" s="81"/>
      <c r="E63" s="81"/>
      <c r="F63" s="81"/>
      <c r="G63" s="88"/>
      <c r="H63" s="88"/>
      <c r="I63" s="88"/>
      <c r="J63" s="88"/>
      <c r="K63" s="88"/>
      <c r="M63" s="96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</row>
    <row r="64" spans="1:27" x14ac:dyDescent="0.25">
      <c r="A64" s="81"/>
      <c r="B64" s="106"/>
      <c r="C64" s="81"/>
      <c r="D64" s="81"/>
      <c r="E64" s="81"/>
      <c r="F64" s="81"/>
      <c r="G64" s="88"/>
      <c r="H64" s="88"/>
      <c r="I64" s="88"/>
      <c r="J64" s="88"/>
      <c r="K64" s="88"/>
      <c r="M64" s="96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</row>
    <row r="65" spans="1:27" x14ac:dyDescent="0.25">
      <c r="A65" s="81"/>
      <c r="B65" s="106"/>
      <c r="C65" s="81"/>
      <c r="D65" s="81"/>
      <c r="E65" s="81"/>
      <c r="F65" s="81"/>
      <c r="G65" s="88"/>
      <c r="H65" s="88"/>
      <c r="I65" s="88"/>
      <c r="J65" s="88"/>
      <c r="K65" s="88"/>
      <c r="M65" s="96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</row>
    <row r="66" spans="1:27" x14ac:dyDescent="0.25">
      <c r="A66" s="81"/>
      <c r="B66" s="106"/>
      <c r="C66" s="81"/>
      <c r="D66" s="81"/>
      <c r="E66" s="81"/>
      <c r="F66" s="81"/>
      <c r="G66" s="88"/>
      <c r="H66" s="88"/>
      <c r="I66" s="88"/>
      <c r="J66" s="88"/>
      <c r="K66" s="88"/>
      <c r="M66" s="96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</row>
    <row r="67" spans="1:27" x14ac:dyDescent="0.25">
      <c r="A67" s="81"/>
      <c r="B67" s="106"/>
      <c r="C67" s="81"/>
      <c r="D67" s="81"/>
      <c r="E67" s="81"/>
      <c r="F67" s="81"/>
      <c r="G67" s="88"/>
      <c r="H67" s="88"/>
      <c r="I67" s="88"/>
      <c r="J67" s="88"/>
      <c r="K67" s="88"/>
      <c r="M67" s="96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</row>
    <row r="68" spans="1:27" x14ac:dyDescent="0.25">
      <c r="A68" s="81"/>
      <c r="B68" s="106"/>
      <c r="C68" s="81"/>
      <c r="D68" s="81"/>
      <c r="E68" s="81"/>
      <c r="F68" s="81"/>
      <c r="G68" s="88"/>
      <c r="H68" s="88"/>
      <c r="I68" s="88"/>
      <c r="J68" s="88"/>
      <c r="K68" s="88"/>
      <c r="M68" s="96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</row>
    <row r="69" spans="1:27" x14ac:dyDescent="0.25">
      <c r="A69" s="81"/>
      <c r="B69" s="106"/>
      <c r="C69" s="81"/>
      <c r="D69" s="81"/>
      <c r="E69" s="81"/>
      <c r="F69" s="81"/>
      <c r="G69" s="88"/>
      <c r="H69" s="88"/>
      <c r="I69" s="88"/>
      <c r="J69" s="88"/>
      <c r="K69" s="88"/>
      <c r="M69" s="96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</row>
    <row r="70" spans="1:27" x14ac:dyDescent="0.25">
      <c r="A70" s="81"/>
      <c r="B70" s="106"/>
      <c r="C70" s="81"/>
      <c r="D70" s="81"/>
      <c r="E70" s="81"/>
      <c r="F70" s="81"/>
      <c r="G70" s="88"/>
      <c r="H70" s="88"/>
      <c r="I70" s="88"/>
      <c r="J70" s="88"/>
      <c r="K70" s="88"/>
      <c r="M70" s="96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</row>
    <row r="71" spans="1:27" x14ac:dyDescent="0.25">
      <c r="A71" s="81"/>
      <c r="B71" s="106"/>
      <c r="C71" s="81"/>
      <c r="D71" s="81"/>
      <c r="E71" s="81"/>
      <c r="F71" s="81"/>
      <c r="G71" s="88"/>
      <c r="H71" s="88"/>
      <c r="I71" s="88"/>
      <c r="J71" s="88"/>
      <c r="K71" s="88"/>
      <c r="M71" s="96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</row>
    <row r="72" spans="1:27" x14ac:dyDescent="0.25">
      <c r="A72" s="81"/>
      <c r="B72" s="106"/>
      <c r="C72" s="81"/>
      <c r="D72" s="81"/>
      <c r="E72" s="81"/>
      <c r="F72" s="81"/>
      <c r="G72" s="88"/>
      <c r="H72" s="88"/>
      <c r="I72" s="88"/>
      <c r="J72" s="88"/>
      <c r="K72" s="88"/>
      <c r="M72" s="96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</row>
    <row r="73" spans="1:27" x14ac:dyDescent="0.25">
      <c r="A73" s="81"/>
      <c r="B73" s="106"/>
      <c r="C73" s="81"/>
      <c r="D73" s="81"/>
      <c r="E73" s="81"/>
      <c r="F73" s="81"/>
      <c r="G73" s="88"/>
      <c r="H73" s="88"/>
      <c r="I73" s="88"/>
      <c r="J73" s="88"/>
      <c r="K73" s="88"/>
      <c r="M73" s="96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</row>
    <row r="74" spans="1:27" x14ac:dyDescent="0.25">
      <c r="A74" s="81"/>
      <c r="B74" s="106"/>
      <c r="C74" s="81"/>
      <c r="D74" s="81"/>
      <c r="E74" s="81"/>
      <c r="F74" s="81"/>
      <c r="G74" s="88"/>
      <c r="H74" s="88"/>
      <c r="I74" s="88"/>
      <c r="J74" s="88"/>
      <c r="K74" s="88"/>
      <c r="M74" s="96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</row>
    <row r="75" spans="1:27" x14ac:dyDescent="0.25">
      <c r="A75" s="81"/>
      <c r="B75" s="106"/>
      <c r="C75" s="81"/>
      <c r="D75" s="81"/>
      <c r="E75" s="81"/>
      <c r="F75" s="81"/>
      <c r="G75" s="88"/>
      <c r="H75" s="88"/>
      <c r="I75" s="88"/>
      <c r="J75" s="88"/>
      <c r="K75" s="88"/>
      <c r="M75" s="96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</row>
    <row r="76" spans="1:27" x14ac:dyDescent="0.25">
      <c r="A76" s="81"/>
      <c r="B76" s="106"/>
      <c r="C76" s="81"/>
      <c r="D76" s="81"/>
      <c r="E76" s="81"/>
      <c r="F76" s="81"/>
      <c r="G76" s="88"/>
      <c r="H76" s="88"/>
      <c r="I76" s="88"/>
      <c r="J76" s="88"/>
      <c r="K76" s="88"/>
      <c r="M76" s="96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</row>
    <row r="77" spans="1:27" x14ac:dyDescent="0.25">
      <c r="A77" s="81"/>
      <c r="B77" s="106"/>
      <c r="C77" s="81"/>
      <c r="D77" s="81"/>
      <c r="E77" s="81"/>
      <c r="F77" s="81"/>
      <c r="G77" s="88"/>
      <c r="H77" s="88"/>
      <c r="I77" s="88"/>
      <c r="J77" s="88"/>
      <c r="K77" s="88"/>
      <c r="M77" s="96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</row>
    <row r="78" spans="1:27" x14ac:dyDescent="0.25">
      <c r="A78" s="81"/>
      <c r="B78" s="106"/>
      <c r="C78" s="81"/>
      <c r="D78" s="81"/>
      <c r="E78" s="81"/>
      <c r="F78" s="81"/>
      <c r="G78" s="88"/>
      <c r="H78" s="88"/>
      <c r="I78" s="88"/>
      <c r="J78" s="88"/>
      <c r="K78" s="88"/>
      <c r="M78" s="96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</row>
    <row r="79" spans="1:27" x14ac:dyDescent="0.25">
      <c r="A79" s="81"/>
      <c r="B79" s="106"/>
      <c r="C79" s="81"/>
      <c r="D79" s="81"/>
      <c r="E79" s="81"/>
      <c r="F79" s="81"/>
      <c r="G79" s="88"/>
      <c r="H79" s="88"/>
      <c r="I79" s="88"/>
      <c r="J79" s="88"/>
      <c r="K79" s="88"/>
      <c r="M79" s="96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</row>
    <row r="80" spans="1:27" x14ac:dyDescent="0.25">
      <c r="A80" s="81"/>
      <c r="B80" s="106"/>
      <c r="C80" s="81"/>
      <c r="D80" s="81"/>
      <c r="E80" s="81"/>
      <c r="F80" s="81"/>
      <c r="G80" s="88"/>
      <c r="H80" s="88"/>
      <c r="I80" s="88"/>
      <c r="J80" s="88"/>
      <c r="K80" s="88"/>
      <c r="M80" s="96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</row>
    <row r="81" spans="1:27" x14ac:dyDescent="0.25">
      <c r="A81" s="81"/>
      <c r="B81" s="106"/>
      <c r="C81" s="81"/>
      <c r="D81" s="81"/>
      <c r="E81" s="81"/>
      <c r="F81" s="81"/>
      <c r="G81" s="88"/>
      <c r="H81" s="88"/>
      <c r="I81" s="88"/>
      <c r="J81" s="88"/>
      <c r="K81" s="88"/>
      <c r="M81" s="96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</row>
    <row r="82" spans="1:27" x14ac:dyDescent="0.25">
      <c r="A82" s="81"/>
      <c r="B82" s="106"/>
      <c r="C82" s="81"/>
      <c r="D82" s="81"/>
      <c r="E82" s="81"/>
      <c r="F82" s="81"/>
      <c r="G82" s="88"/>
      <c r="H82" s="88"/>
      <c r="I82" s="88"/>
      <c r="J82" s="88"/>
      <c r="K82" s="88"/>
      <c r="M82" s="96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</row>
    <row r="83" spans="1:27" x14ac:dyDescent="0.25">
      <c r="A83" s="81"/>
      <c r="B83" s="106"/>
      <c r="C83" s="81"/>
      <c r="D83" s="81"/>
      <c r="E83" s="81"/>
      <c r="F83" s="81"/>
      <c r="G83" s="88"/>
      <c r="H83" s="88"/>
      <c r="I83" s="88"/>
      <c r="J83" s="88"/>
      <c r="K83" s="88"/>
      <c r="M83" s="96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</row>
    <row r="84" spans="1:27" x14ac:dyDescent="0.25">
      <c r="A84" s="81"/>
      <c r="B84" s="106"/>
      <c r="C84" s="81"/>
      <c r="D84" s="81"/>
      <c r="E84" s="81"/>
      <c r="F84" s="81"/>
      <c r="G84" s="88"/>
      <c r="H84" s="88"/>
      <c r="I84" s="88"/>
      <c r="J84" s="88"/>
      <c r="K84" s="88"/>
      <c r="M84" s="96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</row>
    <row r="85" spans="1:27" x14ac:dyDescent="0.25">
      <c r="A85" s="81"/>
      <c r="B85" s="106"/>
      <c r="C85" s="81"/>
      <c r="D85" s="81"/>
      <c r="E85" s="81"/>
      <c r="F85" s="81"/>
      <c r="G85" s="88"/>
      <c r="H85" s="88"/>
      <c r="I85" s="88"/>
      <c r="J85" s="88"/>
      <c r="K85" s="88"/>
      <c r="M85" s="96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</row>
    <row r="86" spans="1:27" x14ac:dyDescent="0.25">
      <c r="A86" s="81"/>
      <c r="B86" s="106"/>
      <c r="C86" s="81"/>
      <c r="D86" s="81"/>
      <c r="E86" s="81"/>
      <c r="F86" s="81"/>
      <c r="G86" s="88"/>
      <c r="H86" s="88"/>
      <c r="I86" s="88"/>
      <c r="J86" s="88"/>
      <c r="K86" s="88"/>
      <c r="M86" s="96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</row>
    <row r="87" spans="1:27" x14ac:dyDescent="0.25">
      <c r="A87" s="81"/>
      <c r="B87" s="106"/>
      <c r="C87" s="81"/>
      <c r="D87" s="81"/>
      <c r="E87" s="81"/>
      <c r="F87" s="81"/>
      <c r="G87" s="88"/>
      <c r="H87" s="88"/>
      <c r="I87" s="88"/>
      <c r="J87" s="88"/>
      <c r="K87" s="88"/>
      <c r="M87" s="96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</row>
    <row r="88" spans="1:27" x14ac:dyDescent="0.25">
      <c r="A88" s="81"/>
      <c r="B88" s="106"/>
      <c r="C88" s="81"/>
      <c r="D88" s="81"/>
      <c r="E88" s="81"/>
      <c r="F88" s="81"/>
      <c r="G88" s="88"/>
      <c r="H88" s="88"/>
      <c r="I88" s="88"/>
      <c r="J88" s="88"/>
      <c r="K88" s="88"/>
      <c r="M88" s="96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</row>
    <row r="89" spans="1:27" x14ac:dyDescent="0.25">
      <c r="A89" s="81"/>
      <c r="B89" s="106"/>
      <c r="C89" s="81"/>
      <c r="D89" s="81"/>
      <c r="E89" s="81"/>
      <c r="F89" s="81"/>
      <c r="G89" s="88"/>
      <c r="H89" s="88"/>
      <c r="I89" s="88"/>
      <c r="J89" s="88"/>
      <c r="K89" s="88"/>
      <c r="M89" s="96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</row>
    <row r="90" spans="1:27" x14ac:dyDescent="0.25">
      <c r="A90" s="81"/>
      <c r="B90" s="106"/>
      <c r="C90" s="81"/>
      <c r="D90" s="81"/>
      <c r="E90" s="81"/>
      <c r="F90" s="81"/>
      <c r="G90" s="88"/>
      <c r="H90" s="88"/>
      <c r="I90" s="88"/>
      <c r="J90" s="88"/>
      <c r="K90" s="88"/>
      <c r="M90" s="96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</row>
    <row r="91" spans="1:27" x14ac:dyDescent="0.25">
      <c r="A91" s="81"/>
      <c r="B91" s="106"/>
      <c r="C91" s="81"/>
      <c r="D91" s="81"/>
      <c r="E91" s="81"/>
      <c r="F91" s="81"/>
      <c r="G91" s="88"/>
      <c r="H91" s="88"/>
      <c r="I91" s="88"/>
      <c r="J91" s="88"/>
      <c r="K91" s="88"/>
      <c r="M91" s="96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</row>
    <row r="92" spans="1:27" x14ac:dyDescent="0.25">
      <c r="A92" s="81"/>
      <c r="B92" s="106"/>
      <c r="C92" s="81"/>
      <c r="D92" s="81"/>
      <c r="E92" s="81"/>
      <c r="F92" s="81"/>
      <c r="G92" s="88"/>
      <c r="H92" s="88"/>
      <c r="I92" s="88"/>
      <c r="J92" s="88"/>
      <c r="K92" s="88"/>
      <c r="M92" s="96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</row>
    <row r="93" spans="1:27" x14ac:dyDescent="0.25">
      <c r="A93" s="81"/>
      <c r="B93" s="106"/>
      <c r="C93" s="81"/>
      <c r="D93" s="81"/>
      <c r="E93" s="81"/>
      <c r="F93" s="81"/>
      <c r="G93" s="88"/>
      <c r="H93" s="88"/>
      <c r="I93" s="88"/>
      <c r="J93" s="88"/>
      <c r="K93" s="88"/>
      <c r="M93" s="96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</row>
    <row r="94" spans="1:27" x14ac:dyDescent="0.25">
      <c r="A94" s="81"/>
      <c r="B94" s="106"/>
      <c r="C94" s="81"/>
      <c r="D94" s="81"/>
      <c r="E94" s="81"/>
      <c r="F94" s="81"/>
      <c r="G94" s="88"/>
      <c r="H94" s="88"/>
      <c r="I94" s="88"/>
      <c r="J94" s="88"/>
      <c r="K94" s="88"/>
      <c r="M94" s="96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</row>
    <row r="95" spans="1:27" x14ac:dyDescent="0.25">
      <c r="A95" s="81"/>
      <c r="B95" s="106"/>
      <c r="C95" s="81"/>
      <c r="D95" s="81"/>
      <c r="E95" s="81"/>
      <c r="F95" s="81"/>
      <c r="G95" s="88"/>
      <c r="H95" s="88"/>
      <c r="I95" s="88"/>
      <c r="J95" s="88"/>
      <c r="K95" s="88"/>
      <c r="M95" s="96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</row>
    <row r="96" spans="1:27" x14ac:dyDescent="0.25">
      <c r="A96" s="81"/>
      <c r="B96" s="106"/>
      <c r="C96" s="81"/>
      <c r="D96" s="81"/>
      <c r="E96" s="81"/>
      <c r="F96" s="81"/>
      <c r="G96" s="88"/>
      <c r="H96" s="88"/>
      <c r="I96" s="88"/>
      <c r="J96" s="88"/>
      <c r="K96" s="88"/>
      <c r="L96" s="88"/>
      <c r="M96" s="96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</row>
    <row r="97" spans="1:27" x14ac:dyDescent="0.25">
      <c r="A97" s="81"/>
      <c r="B97" s="106"/>
      <c r="C97" s="81"/>
      <c r="D97" s="81"/>
      <c r="E97" s="81"/>
      <c r="F97" s="81"/>
      <c r="G97" s="88"/>
      <c r="H97" s="88"/>
      <c r="I97" s="88"/>
      <c r="J97" s="88"/>
      <c r="K97" s="88"/>
      <c r="L97" s="88"/>
      <c r="M97" s="96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</row>
    <row r="98" spans="1:27" x14ac:dyDescent="0.25">
      <c r="A98" s="81"/>
      <c r="B98" s="106"/>
      <c r="C98" s="81"/>
      <c r="D98" s="81"/>
      <c r="E98" s="81"/>
      <c r="F98" s="81"/>
      <c r="G98" s="88"/>
      <c r="H98" s="88"/>
      <c r="I98" s="88"/>
      <c r="J98" s="88"/>
      <c r="K98" s="88"/>
      <c r="L98" s="88"/>
      <c r="M98" s="96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</row>
    <row r="99" spans="1:27" x14ac:dyDescent="0.25">
      <c r="A99" s="81"/>
      <c r="B99" s="106"/>
      <c r="C99" s="81"/>
      <c r="D99" s="81"/>
      <c r="E99" s="81"/>
      <c r="F99" s="81"/>
      <c r="G99" s="88"/>
      <c r="H99" s="88"/>
      <c r="I99" s="88"/>
      <c r="J99" s="88"/>
      <c r="K99" s="88"/>
      <c r="L99" s="88"/>
      <c r="M99" s="96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</row>
    <row r="100" spans="1:27" x14ac:dyDescent="0.25">
      <c r="A100" s="81"/>
      <c r="B100" s="106"/>
      <c r="C100" s="81"/>
      <c r="D100" s="81"/>
      <c r="E100" s="81"/>
      <c r="F100" s="81"/>
      <c r="G100" s="88"/>
      <c r="H100" s="88"/>
      <c r="I100" s="88"/>
      <c r="J100" s="88"/>
      <c r="K100" s="88"/>
      <c r="L100" s="88"/>
      <c r="M100" s="96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</row>
    <row r="101" spans="1:27" x14ac:dyDescent="0.25">
      <c r="A101" s="81"/>
      <c r="B101" s="106"/>
      <c r="C101" s="81"/>
      <c r="D101" s="81"/>
      <c r="E101" s="81"/>
      <c r="F101" s="81"/>
      <c r="G101" s="88"/>
      <c r="H101" s="88"/>
      <c r="I101" s="88"/>
      <c r="J101" s="88"/>
      <c r="K101" s="88"/>
      <c r="L101" s="88"/>
      <c r="M101" s="96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</row>
    <row r="102" spans="1:27" x14ac:dyDescent="0.25">
      <c r="A102" s="81"/>
      <c r="B102" s="106"/>
      <c r="C102" s="81"/>
      <c r="D102" s="81"/>
      <c r="E102" s="81"/>
      <c r="F102" s="81"/>
      <c r="G102" s="88"/>
      <c r="H102" s="88"/>
      <c r="I102" s="88"/>
      <c r="J102" s="88"/>
      <c r="K102" s="88"/>
      <c r="L102" s="88"/>
      <c r="M102" s="96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</row>
    <row r="103" spans="1:27" x14ac:dyDescent="0.25">
      <c r="A103" s="81"/>
      <c r="B103" s="106"/>
      <c r="C103" s="81"/>
      <c r="D103" s="81"/>
      <c r="E103" s="81"/>
      <c r="F103" s="81"/>
      <c r="G103" s="88"/>
      <c r="H103" s="88"/>
      <c r="I103" s="88"/>
      <c r="J103" s="88"/>
      <c r="K103" s="88"/>
      <c r="L103" s="88"/>
      <c r="M103" s="96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</row>
    <row r="104" spans="1:27" x14ac:dyDescent="0.25">
      <c r="A104" s="81"/>
      <c r="B104" s="106"/>
      <c r="C104" s="81"/>
      <c r="D104" s="81"/>
      <c r="E104" s="81"/>
      <c r="F104" s="81"/>
      <c r="G104" s="88"/>
      <c r="H104" s="88"/>
      <c r="I104" s="88"/>
      <c r="J104" s="88"/>
      <c r="K104" s="88"/>
      <c r="L104" s="88"/>
      <c r="M104" s="96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</row>
    <row r="105" spans="1:27" x14ac:dyDescent="0.25">
      <c r="A105" s="81"/>
      <c r="B105" s="106"/>
      <c r="C105" s="81"/>
      <c r="D105" s="81"/>
      <c r="E105" s="81"/>
      <c r="F105" s="81"/>
      <c r="G105" s="88"/>
      <c r="H105" s="88"/>
      <c r="I105" s="88"/>
      <c r="J105" s="88"/>
      <c r="K105" s="88"/>
      <c r="L105" s="88"/>
      <c r="M105" s="96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</row>
    <row r="106" spans="1:27" x14ac:dyDescent="0.25">
      <c r="A106" s="81"/>
      <c r="B106" s="106"/>
      <c r="C106" s="81"/>
      <c r="D106" s="81"/>
      <c r="E106" s="81"/>
      <c r="F106" s="81"/>
      <c r="G106" s="88"/>
      <c r="H106" s="88"/>
      <c r="I106" s="88"/>
      <c r="J106" s="88"/>
      <c r="K106" s="88"/>
      <c r="L106" s="88"/>
      <c r="M106" s="96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</row>
    <row r="107" spans="1:27" x14ac:dyDescent="0.25">
      <c r="A107" s="81"/>
      <c r="B107" s="106"/>
      <c r="C107" s="81"/>
      <c r="D107" s="81"/>
      <c r="E107" s="81"/>
      <c r="F107" s="81"/>
      <c r="G107" s="88"/>
      <c r="H107" s="88"/>
      <c r="I107" s="88"/>
      <c r="J107" s="88"/>
      <c r="K107" s="88"/>
      <c r="L107" s="88"/>
      <c r="M107" s="96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</row>
    <row r="108" spans="1:27" x14ac:dyDescent="0.25">
      <c r="A108" s="81"/>
      <c r="B108" s="106"/>
      <c r="C108" s="81"/>
      <c r="D108" s="81"/>
      <c r="E108" s="81"/>
      <c r="F108" s="81"/>
      <c r="G108" s="88"/>
      <c r="H108" s="88"/>
      <c r="I108" s="88"/>
      <c r="J108" s="88"/>
      <c r="K108" s="88"/>
      <c r="L108" s="88"/>
      <c r="M108" s="96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</row>
    <row r="109" spans="1:27" x14ac:dyDescent="0.25">
      <c r="A109" s="81"/>
      <c r="B109" s="106"/>
      <c r="C109" s="81"/>
      <c r="D109" s="81"/>
      <c r="E109" s="81"/>
      <c r="F109" s="81"/>
      <c r="G109" s="88"/>
      <c r="H109" s="88"/>
      <c r="I109" s="88"/>
      <c r="J109" s="88"/>
      <c r="K109" s="88"/>
      <c r="L109" s="88"/>
      <c r="M109" s="96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</row>
    <row r="110" spans="1:27" x14ac:dyDescent="0.25">
      <c r="A110" s="81"/>
      <c r="B110" s="106"/>
      <c r="C110" s="81"/>
      <c r="D110" s="81"/>
      <c r="E110" s="81"/>
      <c r="F110" s="81"/>
      <c r="G110" s="88"/>
      <c r="H110" s="88"/>
      <c r="I110" s="88"/>
      <c r="J110" s="88"/>
      <c r="K110" s="88"/>
      <c r="L110" s="88"/>
      <c r="M110" s="96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</row>
    <row r="111" spans="1:27" x14ac:dyDescent="0.25">
      <c r="A111" s="81"/>
      <c r="B111" s="106"/>
      <c r="C111" s="81"/>
      <c r="D111" s="81"/>
      <c r="E111" s="81"/>
      <c r="F111" s="81"/>
      <c r="G111" s="88"/>
      <c r="H111" s="88"/>
      <c r="I111" s="88"/>
      <c r="J111" s="88"/>
      <c r="K111" s="88"/>
      <c r="L111" s="88"/>
      <c r="M111" s="96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</row>
    <row r="112" spans="1:27" x14ac:dyDescent="0.25">
      <c r="A112" s="81"/>
      <c r="B112" s="106"/>
      <c r="C112" s="81"/>
      <c r="D112" s="81"/>
      <c r="E112" s="81"/>
      <c r="F112" s="81"/>
      <c r="G112" s="88"/>
      <c r="H112" s="88"/>
      <c r="I112" s="88"/>
      <c r="J112" s="88"/>
      <c r="K112" s="88"/>
      <c r="L112" s="88"/>
      <c r="M112" s="96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</row>
    <row r="113" spans="1:27" x14ac:dyDescent="0.25">
      <c r="A113" s="81"/>
      <c r="B113" s="106"/>
      <c r="C113" s="81"/>
      <c r="D113" s="81"/>
      <c r="E113" s="81"/>
      <c r="F113" s="81"/>
      <c r="G113" s="88"/>
      <c r="H113" s="88"/>
      <c r="I113" s="88"/>
      <c r="J113" s="88"/>
      <c r="K113" s="88"/>
      <c r="L113" s="88"/>
      <c r="M113" s="96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</row>
    <row r="114" spans="1:27" x14ac:dyDescent="0.25">
      <c r="A114" s="81"/>
      <c r="B114" s="106"/>
      <c r="C114" s="81"/>
      <c r="D114" s="81"/>
      <c r="E114" s="81"/>
      <c r="F114" s="81"/>
      <c r="G114" s="88"/>
      <c r="H114" s="88"/>
      <c r="I114" s="88"/>
      <c r="J114" s="88"/>
      <c r="K114" s="88"/>
      <c r="L114" s="88"/>
      <c r="M114" s="96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</row>
    <row r="115" spans="1:27" x14ac:dyDescent="0.25">
      <c r="A115" s="81"/>
      <c r="B115" s="106"/>
      <c r="C115" s="81"/>
      <c r="D115" s="81"/>
      <c r="E115" s="81"/>
      <c r="F115" s="81"/>
      <c r="G115" s="88"/>
      <c r="H115" s="88"/>
      <c r="I115" s="88"/>
      <c r="J115" s="88"/>
      <c r="K115" s="88"/>
      <c r="L115" s="88"/>
      <c r="M115" s="96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</row>
    <row r="116" spans="1:27" x14ac:dyDescent="0.25">
      <c r="A116" s="81"/>
      <c r="B116" s="106"/>
      <c r="C116" s="81"/>
      <c r="D116" s="81"/>
      <c r="E116" s="81"/>
      <c r="F116" s="81"/>
      <c r="G116" s="88"/>
      <c r="H116" s="88"/>
      <c r="I116" s="88"/>
      <c r="J116" s="88"/>
      <c r="K116" s="88"/>
      <c r="L116" s="88"/>
      <c r="M116" s="96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</row>
    <row r="117" spans="1:27" x14ac:dyDescent="0.25">
      <c r="A117" s="81"/>
      <c r="B117" s="106"/>
      <c r="C117" s="81"/>
      <c r="D117" s="81"/>
      <c r="E117" s="81"/>
      <c r="F117" s="81"/>
      <c r="G117" s="88"/>
      <c r="H117" s="88"/>
      <c r="I117" s="88"/>
      <c r="J117" s="88"/>
      <c r="K117" s="88"/>
      <c r="L117" s="88"/>
      <c r="M117" s="96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</row>
    <row r="118" spans="1:27" x14ac:dyDescent="0.25">
      <c r="A118" s="81"/>
      <c r="B118" s="106"/>
      <c r="C118" s="81"/>
      <c r="D118" s="81"/>
      <c r="E118" s="81"/>
      <c r="F118" s="81"/>
      <c r="G118" s="88"/>
      <c r="H118" s="88"/>
      <c r="I118" s="88"/>
      <c r="J118" s="88"/>
      <c r="K118" s="88"/>
      <c r="L118" s="88"/>
      <c r="M118" s="96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</row>
    <row r="119" spans="1:27" x14ac:dyDescent="0.25">
      <c r="A119" s="81"/>
      <c r="B119" s="106"/>
      <c r="C119" s="81"/>
      <c r="D119" s="81"/>
      <c r="E119" s="81"/>
      <c r="F119" s="81"/>
      <c r="G119" s="88"/>
      <c r="H119" s="88"/>
      <c r="I119" s="88"/>
      <c r="J119" s="88"/>
      <c r="K119" s="88"/>
      <c r="L119" s="88"/>
      <c r="M119" s="96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</row>
    <row r="120" spans="1:27" x14ac:dyDescent="0.25">
      <c r="A120" s="81"/>
      <c r="B120" s="106"/>
      <c r="C120" s="81"/>
      <c r="D120" s="81"/>
      <c r="E120" s="81"/>
      <c r="F120" s="81"/>
      <c r="G120" s="88"/>
      <c r="H120" s="88"/>
      <c r="I120" s="88"/>
      <c r="J120" s="88"/>
      <c r="K120" s="88"/>
      <c r="L120" s="88"/>
      <c r="M120" s="96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</row>
    <row r="121" spans="1:27" x14ac:dyDescent="0.25">
      <c r="A121" s="81"/>
      <c r="B121" s="106"/>
      <c r="C121" s="81"/>
      <c r="D121" s="81"/>
      <c r="E121" s="81"/>
      <c r="F121" s="81"/>
      <c r="G121" s="88"/>
      <c r="H121" s="88"/>
      <c r="I121" s="88"/>
      <c r="J121" s="88"/>
      <c r="K121" s="88"/>
      <c r="L121" s="88"/>
      <c r="M121" s="96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</row>
    <row r="122" spans="1:27" x14ac:dyDescent="0.25">
      <c r="A122" s="81"/>
      <c r="B122" s="106"/>
      <c r="C122" s="81"/>
      <c r="D122" s="81"/>
      <c r="E122" s="81"/>
      <c r="F122" s="81"/>
      <c r="G122" s="88"/>
      <c r="H122" s="88"/>
      <c r="I122" s="88"/>
      <c r="J122" s="88"/>
      <c r="K122" s="88"/>
      <c r="L122" s="88"/>
      <c r="M122" s="96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</row>
    <row r="123" spans="1:27" x14ac:dyDescent="0.25">
      <c r="A123" s="81"/>
      <c r="B123" s="106"/>
      <c r="C123" s="81"/>
      <c r="D123" s="81"/>
      <c r="E123" s="81"/>
      <c r="F123" s="81"/>
      <c r="G123" s="88"/>
      <c r="H123" s="88"/>
      <c r="I123" s="88"/>
      <c r="J123" s="88"/>
      <c r="K123" s="88"/>
      <c r="L123" s="88"/>
      <c r="M123" s="96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</row>
    <row r="124" spans="1:27" x14ac:dyDescent="0.25">
      <c r="A124" s="81"/>
      <c r="B124" s="106"/>
      <c r="C124" s="81"/>
      <c r="D124" s="81"/>
      <c r="E124" s="81"/>
      <c r="F124" s="81"/>
      <c r="G124" s="88"/>
      <c r="H124" s="88"/>
      <c r="I124" s="88"/>
      <c r="J124" s="88"/>
      <c r="K124" s="88"/>
      <c r="L124" s="88"/>
      <c r="M124" s="96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</row>
    <row r="125" spans="1:27" x14ac:dyDescent="0.25">
      <c r="A125" s="81"/>
      <c r="B125" s="106"/>
      <c r="C125" s="81"/>
      <c r="D125" s="81"/>
      <c r="E125" s="81"/>
      <c r="F125" s="81"/>
      <c r="G125" s="88"/>
      <c r="H125" s="88"/>
      <c r="I125" s="88"/>
      <c r="J125" s="88"/>
      <c r="K125" s="88"/>
      <c r="L125" s="88"/>
      <c r="M125" s="96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</row>
    <row r="126" spans="1:27" x14ac:dyDescent="0.25">
      <c r="A126" s="81"/>
      <c r="B126" s="106"/>
      <c r="C126" s="81"/>
      <c r="D126" s="81"/>
      <c r="E126" s="81"/>
      <c r="F126" s="81"/>
      <c r="G126" s="88"/>
      <c r="H126" s="88"/>
      <c r="I126" s="88"/>
      <c r="J126" s="88"/>
      <c r="K126" s="88"/>
      <c r="L126" s="88"/>
      <c r="M126" s="96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</row>
    <row r="127" spans="1:27" x14ac:dyDescent="0.25">
      <c r="A127" s="81"/>
      <c r="B127" s="106"/>
      <c r="C127" s="81"/>
      <c r="D127" s="81"/>
      <c r="E127" s="81"/>
      <c r="F127" s="81"/>
      <c r="G127" s="88"/>
      <c r="H127" s="88"/>
      <c r="I127" s="88"/>
      <c r="J127" s="88"/>
      <c r="K127" s="88"/>
      <c r="L127" s="88"/>
      <c r="M127" s="96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</row>
    <row r="128" spans="1:27" x14ac:dyDescent="0.25">
      <c r="A128" s="81"/>
      <c r="B128" s="106"/>
      <c r="C128" s="81"/>
      <c r="D128" s="81"/>
      <c r="E128" s="81"/>
      <c r="F128" s="81"/>
      <c r="G128" s="88"/>
      <c r="H128" s="88"/>
      <c r="I128" s="88"/>
      <c r="J128" s="88"/>
      <c r="K128" s="88"/>
      <c r="L128" s="88"/>
      <c r="M128" s="96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 spans="1:27" x14ac:dyDescent="0.25">
      <c r="A129" s="81"/>
      <c r="B129" s="106"/>
      <c r="C129" s="81"/>
      <c r="D129" s="81"/>
      <c r="E129" s="81"/>
      <c r="F129" s="81"/>
      <c r="G129" s="88"/>
      <c r="H129" s="88"/>
      <c r="I129" s="88"/>
      <c r="J129" s="88"/>
      <c r="K129" s="88"/>
      <c r="L129" s="88"/>
      <c r="M129" s="96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</row>
    <row r="130" spans="1:27" x14ac:dyDescent="0.25">
      <c r="A130" s="81"/>
      <c r="B130" s="106"/>
      <c r="C130" s="81"/>
      <c r="D130" s="81"/>
      <c r="E130" s="81"/>
      <c r="F130" s="81"/>
      <c r="G130" s="88"/>
      <c r="H130" s="88"/>
      <c r="I130" s="88"/>
      <c r="J130" s="88"/>
      <c r="K130" s="88"/>
      <c r="L130" s="88"/>
      <c r="M130" s="96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</row>
    <row r="131" spans="1:27" x14ac:dyDescent="0.25">
      <c r="A131" s="81"/>
      <c r="B131" s="106"/>
      <c r="C131" s="81"/>
      <c r="D131" s="81"/>
      <c r="E131" s="81"/>
      <c r="F131" s="81"/>
      <c r="G131" s="88"/>
      <c r="H131" s="88"/>
      <c r="I131" s="88"/>
      <c r="J131" s="88"/>
      <c r="K131" s="88"/>
      <c r="L131" s="88"/>
      <c r="M131" s="96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</row>
    <row r="132" spans="1:27" x14ac:dyDescent="0.25">
      <c r="A132" s="81"/>
      <c r="B132" s="106"/>
      <c r="C132" s="81"/>
      <c r="D132" s="81"/>
      <c r="E132" s="81"/>
      <c r="F132" s="81"/>
      <c r="G132" s="88"/>
      <c r="H132" s="88"/>
      <c r="I132" s="88"/>
      <c r="J132" s="88"/>
      <c r="K132" s="88"/>
      <c r="L132" s="88"/>
      <c r="M132" s="96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</row>
    <row r="133" spans="1:27" x14ac:dyDescent="0.25">
      <c r="A133" s="81"/>
      <c r="B133" s="106"/>
      <c r="C133" s="81"/>
      <c r="D133" s="81"/>
      <c r="E133" s="81"/>
      <c r="F133" s="81"/>
      <c r="G133" s="88"/>
      <c r="H133" s="88"/>
      <c r="I133" s="88"/>
      <c r="J133" s="88"/>
      <c r="K133" s="88"/>
      <c r="L133" s="88"/>
      <c r="M133" s="96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</row>
    <row r="134" spans="1:27" x14ac:dyDescent="0.25">
      <c r="A134" s="81"/>
      <c r="B134" s="106"/>
      <c r="C134" s="81"/>
      <c r="D134" s="81"/>
      <c r="E134" s="81"/>
      <c r="F134" s="81"/>
      <c r="G134" s="88"/>
      <c r="H134" s="88"/>
      <c r="I134" s="88"/>
      <c r="J134" s="88"/>
      <c r="K134" s="88"/>
      <c r="L134" s="88"/>
      <c r="M134" s="96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</row>
    <row r="135" spans="1:27" x14ac:dyDescent="0.25">
      <c r="A135" s="81"/>
      <c r="B135" s="106"/>
      <c r="C135" s="81"/>
      <c r="D135" s="81"/>
      <c r="E135" s="81"/>
      <c r="F135" s="81"/>
      <c r="G135" s="88"/>
      <c r="H135" s="88"/>
      <c r="I135" s="88"/>
      <c r="J135" s="88"/>
      <c r="K135" s="88"/>
      <c r="L135" s="88"/>
      <c r="M135" s="96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</row>
    <row r="136" spans="1:27" x14ac:dyDescent="0.25">
      <c r="A136" s="81"/>
      <c r="B136" s="106"/>
      <c r="C136" s="81"/>
      <c r="D136" s="81"/>
      <c r="E136" s="81"/>
      <c r="F136" s="81"/>
      <c r="G136" s="88"/>
      <c r="H136" s="88"/>
      <c r="I136" s="88"/>
      <c r="J136" s="88"/>
      <c r="K136" s="88"/>
      <c r="L136" s="88"/>
      <c r="M136" s="96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</row>
    <row r="137" spans="1:27" x14ac:dyDescent="0.25">
      <c r="A137" s="81"/>
      <c r="B137" s="106"/>
      <c r="C137" s="81"/>
      <c r="D137" s="81"/>
      <c r="E137" s="81"/>
      <c r="F137" s="81"/>
      <c r="G137" s="88"/>
      <c r="H137" s="88"/>
      <c r="I137" s="88"/>
      <c r="J137" s="88"/>
      <c r="K137" s="88"/>
      <c r="L137" s="88"/>
      <c r="M137" s="96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</row>
    <row r="138" spans="1:27" x14ac:dyDescent="0.25">
      <c r="A138" s="81"/>
      <c r="B138" s="106"/>
      <c r="C138" s="81"/>
      <c r="D138" s="81"/>
      <c r="E138" s="81"/>
      <c r="F138" s="81"/>
      <c r="G138" s="88"/>
      <c r="H138" s="88"/>
      <c r="I138" s="88"/>
      <c r="J138" s="88"/>
      <c r="K138" s="88"/>
      <c r="L138" s="88"/>
      <c r="M138" s="96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</row>
    <row r="139" spans="1:27" x14ac:dyDescent="0.25">
      <c r="A139" s="81"/>
      <c r="B139" s="106"/>
      <c r="C139" s="81"/>
      <c r="D139" s="81"/>
      <c r="E139" s="81"/>
      <c r="F139" s="81"/>
      <c r="G139" s="88"/>
      <c r="H139" s="88"/>
      <c r="I139" s="88"/>
      <c r="J139" s="88"/>
      <c r="K139" s="88"/>
      <c r="L139" s="88"/>
      <c r="M139" s="96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</row>
    <row r="140" spans="1:27" x14ac:dyDescent="0.25">
      <c r="A140" s="81"/>
      <c r="B140" s="106"/>
      <c r="C140" s="81"/>
      <c r="D140" s="81"/>
      <c r="E140" s="81"/>
      <c r="F140" s="81"/>
      <c r="G140" s="88"/>
      <c r="H140" s="88"/>
      <c r="I140" s="88"/>
      <c r="J140" s="88"/>
      <c r="K140" s="88"/>
      <c r="L140" s="88"/>
      <c r="M140" s="96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 spans="1:27" x14ac:dyDescent="0.25">
      <c r="A141" s="81"/>
      <c r="B141" s="106"/>
      <c r="C141" s="81"/>
      <c r="D141" s="81"/>
      <c r="E141" s="81"/>
      <c r="F141" s="81"/>
      <c r="G141" s="88"/>
      <c r="H141" s="88"/>
      <c r="I141" s="88"/>
      <c r="J141" s="88"/>
      <c r="K141" s="88"/>
      <c r="L141" s="88"/>
      <c r="M141" s="96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</row>
    <row r="142" spans="1:27" x14ac:dyDescent="0.25">
      <c r="A142" s="81"/>
      <c r="B142" s="106"/>
      <c r="C142" s="81"/>
      <c r="D142" s="81"/>
      <c r="E142" s="81"/>
      <c r="F142" s="81"/>
      <c r="G142" s="88"/>
      <c r="H142" s="88"/>
      <c r="I142" s="88"/>
      <c r="J142" s="88"/>
      <c r="K142" s="88"/>
      <c r="L142" s="88"/>
      <c r="M142" s="96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</row>
    <row r="143" spans="1:27" x14ac:dyDescent="0.25">
      <c r="A143" s="81"/>
      <c r="B143" s="106"/>
      <c r="C143" s="81"/>
      <c r="D143" s="81"/>
      <c r="E143" s="81"/>
      <c r="F143" s="81"/>
      <c r="G143" s="88"/>
      <c r="H143" s="88"/>
      <c r="I143" s="88"/>
      <c r="J143" s="88"/>
      <c r="K143" s="88"/>
      <c r="L143" s="88"/>
      <c r="M143" s="96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</row>
    <row r="144" spans="1:27" x14ac:dyDescent="0.25">
      <c r="A144" s="81"/>
      <c r="B144" s="106"/>
      <c r="C144" s="81"/>
      <c r="D144" s="81"/>
      <c r="E144" s="81"/>
      <c r="F144" s="81"/>
      <c r="G144" s="88"/>
      <c r="H144" s="88"/>
      <c r="I144" s="88"/>
      <c r="J144" s="88"/>
      <c r="K144" s="88"/>
      <c r="L144" s="88"/>
      <c r="M144" s="96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</row>
    <row r="145" spans="1:27" x14ac:dyDescent="0.25">
      <c r="A145" s="81"/>
      <c r="B145" s="106"/>
      <c r="C145" s="81"/>
      <c r="D145" s="81"/>
      <c r="E145" s="81"/>
      <c r="F145" s="81"/>
      <c r="G145" s="88"/>
      <c r="H145" s="88"/>
      <c r="I145" s="88"/>
      <c r="J145" s="88"/>
      <c r="K145" s="88"/>
      <c r="L145" s="88"/>
      <c r="M145" s="96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</row>
    <row r="146" spans="1:27" x14ac:dyDescent="0.25">
      <c r="A146" s="81"/>
      <c r="B146" s="106"/>
      <c r="C146" s="81"/>
      <c r="D146" s="81"/>
      <c r="E146" s="81"/>
      <c r="F146" s="81"/>
      <c r="G146" s="88"/>
      <c r="H146" s="88"/>
      <c r="I146" s="88"/>
      <c r="J146" s="88"/>
      <c r="K146" s="88"/>
      <c r="L146" s="88"/>
      <c r="M146" s="96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</row>
    <row r="147" spans="1:27" x14ac:dyDescent="0.25">
      <c r="A147" s="81"/>
      <c r="B147" s="106"/>
      <c r="C147" s="81"/>
      <c r="D147" s="81"/>
      <c r="E147" s="81"/>
      <c r="F147" s="81"/>
      <c r="G147" s="88"/>
      <c r="H147" s="88"/>
      <c r="I147" s="88"/>
      <c r="J147" s="88"/>
      <c r="K147" s="88"/>
      <c r="L147" s="88"/>
      <c r="M147" s="96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</row>
    <row r="148" spans="1:27" x14ac:dyDescent="0.25">
      <c r="A148" s="81"/>
      <c r="B148" s="106"/>
      <c r="C148" s="81"/>
      <c r="D148" s="81"/>
      <c r="E148" s="81"/>
      <c r="F148" s="81"/>
      <c r="G148" s="88"/>
      <c r="H148" s="88"/>
      <c r="I148" s="88"/>
      <c r="J148" s="88"/>
      <c r="K148" s="88"/>
      <c r="L148" s="88"/>
      <c r="M148" s="96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</row>
    <row r="149" spans="1:27" x14ac:dyDescent="0.25">
      <c r="A149" s="81"/>
      <c r="B149" s="106"/>
      <c r="C149" s="81"/>
      <c r="D149" s="81"/>
      <c r="E149" s="81"/>
      <c r="F149" s="81"/>
      <c r="G149" s="88"/>
      <c r="H149" s="88"/>
      <c r="I149" s="88"/>
      <c r="J149" s="88"/>
      <c r="K149" s="88"/>
      <c r="L149" s="88"/>
      <c r="M149" s="96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</row>
    <row r="150" spans="1:27" x14ac:dyDescent="0.25">
      <c r="A150" s="81"/>
      <c r="B150" s="106"/>
      <c r="C150" s="81"/>
      <c r="D150" s="81"/>
      <c r="E150" s="81"/>
      <c r="F150" s="81"/>
      <c r="G150" s="88"/>
      <c r="H150" s="88"/>
      <c r="I150" s="88"/>
      <c r="J150" s="88"/>
      <c r="K150" s="88"/>
      <c r="L150" s="88"/>
      <c r="M150" s="96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</row>
    <row r="151" spans="1:27" x14ac:dyDescent="0.25">
      <c r="A151" s="81"/>
      <c r="B151" s="106"/>
      <c r="C151" s="81"/>
      <c r="D151" s="81"/>
      <c r="E151" s="81"/>
      <c r="F151" s="81"/>
      <c r="G151" s="88"/>
      <c r="H151" s="88"/>
      <c r="I151" s="88"/>
      <c r="J151" s="88"/>
      <c r="K151" s="88"/>
      <c r="L151" s="88"/>
      <c r="M151" s="96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</row>
    <row r="152" spans="1:27" x14ac:dyDescent="0.25">
      <c r="A152" s="81"/>
      <c r="B152" s="106"/>
      <c r="C152" s="81"/>
      <c r="D152" s="81"/>
      <c r="E152" s="81"/>
      <c r="F152" s="81"/>
      <c r="G152" s="88"/>
      <c r="H152" s="88"/>
      <c r="I152" s="88"/>
      <c r="J152" s="88"/>
      <c r="K152" s="88"/>
      <c r="L152" s="88"/>
      <c r="M152" s="96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</row>
    <row r="153" spans="1:27" x14ac:dyDescent="0.25">
      <c r="A153" s="81"/>
      <c r="B153" s="106"/>
      <c r="C153" s="81"/>
      <c r="D153" s="81"/>
      <c r="E153" s="81"/>
      <c r="F153" s="81"/>
      <c r="G153" s="88"/>
      <c r="H153" s="88"/>
      <c r="I153" s="88"/>
      <c r="J153" s="88"/>
      <c r="K153" s="88"/>
      <c r="L153" s="88"/>
      <c r="M153" s="96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</row>
    <row r="154" spans="1:27" x14ac:dyDescent="0.25">
      <c r="A154" s="81"/>
      <c r="B154" s="106"/>
      <c r="C154" s="81"/>
      <c r="D154" s="81"/>
      <c r="E154" s="81"/>
      <c r="F154" s="81"/>
      <c r="G154" s="88"/>
      <c r="H154" s="88"/>
      <c r="I154" s="88"/>
      <c r="J154" s="88"/>
      <c r="K154" s="88"/>
      <c r="L154" s="88"/>
      <c r="M154" s="96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</row>
    <row r="155" spans="1:27" x14ac:dyDescent="0.25">
      <c r="A155" s="81"/>
      <c r="B155" s="106"/>
      <c r="C155" s="81"/>
      <c r="D155" s="81"/>
      <c r="E155" s="81"/>
      <c r="F155" s="81"/>
      <c r="G155" s="88"/>
      <c r="H155" s="88"/>
      <c r="I155" s="88"/>
      <c r="J155" s="88"/>
      <c r="K155" s="88"/>
      <c r="L155" s="88"/>
      <c r="M155" s="96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</row>
    <row r="156" spans="1:27" x14ac:dyDescent="0.25">
      <c r="A156" s="81"/>
      <c r="B156" s="106"/>
      <c r="C156" s="81"/>
      <c r="D156" s="81"/>
      <c r="E156" s="81"/>
      <c r="F156" s="81"/>
      <c r="G156" s="88"/>
      <c r="H156" s="88"/>
      <c r="I156" s="88"/>
      <c r="J156" s="88"/>
      <c r="K156" s="88"/>
      <c r="L156" s="88"/>
      <c r="M156" s="96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</row>
    <row r="157" spans="1:27" x14ac:dyDescent="0.25">
      <c r="A157" s="81"/>
      <c r="B157" s="106"/>
      <c r="C157" s="81"/>
      <c r="D157" s="81"/>
      <c r="E157" s="81"/>
      <c r="F157" s="81"/>
      <c r="G157" s="88"/>
      <c r="H157" s="88"/>
      <c r="I157" s="88"/>
      <c r="J157" s="88"/>
      <c r="K157" s="88"/>
      <c r="L157" s="88"/>
      <c r="M157" s="96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</row>
    <row r="158" spans="1:27" x14ac:dyDescent="0.25">
      <c r="A158" s="81"/>
      <c r="B158" s="106"/>
      <c r="C158" s="81"/>
      <c r="D158" s="81"/>
      <c r="E158" s="81"/>
      <c r="F158" s="81"/>
      <c r="G158" s="88"/>
      <c r="H158" s="88"/>
      <c r="I158" s="88"/>
      <c r="J158" s="88"/>
      <c r="K158" s="88"/>
      <c r="L158" s="88"/>
      <c r="M158" s="96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</row>
    <row r="159" spans="1:27" x14ac:dyDescent="0.25">
      <c r="A159" s="81"/>
      <c r="B159" s="106"/>
      <c r="C159" s="81"/>
      <c r="D159" s="81"/>
      <c r="E159" s="81"/>
      <c r="F159" s="81"/>
      <c r="G159" s="88"/>
      <c r="H159" s="88"/>
      <c r="I159" s="88"/>
      <c r="J159" s="88"/>
      <c r="K159" s="88"/>
      <c r="L159" s="88"/>
      <c r="M159" s="96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</row>
    <row r="160" spans="1:27" x14ac:dyDescent="0.25">
      <c r="A160" s="81"/>
      <c r="B160" s="106"/>
      <c r="C160" s="81"/>
      <c r="D160" s="81"/>
      <c r="E160" s="81"/>
      <c r="F160" s="81"/>
      <c r="G160" s="88"/>
      <c r="H160" s="88"/>
      <c r="I160" s="88"/>
      <c r="J160" s="88"/>
      <c r="K160" s="88"/>
      <c r="L160" s="88"/>
      <c r="M160" s="96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</row>
    <row r="161" spans="1:27" x14ac:dyDescent="0.25">
      <c r="A161" s="81"/>
      <c r="B161" s="106"/>
      <c r="C161" s="81"/>
      <c r="D161" s="81"/>
      <c r="E161" s="81"/>
      <c r="F161" s="81"/>
      <c r="G161" s="88"/>
      <c r="H161" s="88"/>
      <c r="I161" s="88"/>
      <c r="J161" s="88"/>
      <c r="K161" s="88"/>
      <c r="L161" s="88"/>
      <c r="M161" s="96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</row>
    <row r="162" spans="1:27" x14ac:dyDescent="0.25">
      <c r="A162" s="81"/>
      <c r="B162" s="106"/>
      <c r="C162" s="81"/>
      <c r="D162" s="81"/>
      <c r="E162" s="81"/>
      <c r="F162" s="81"/>
      <c r="G162" s="88"/>
      <c r="H162" s="88"/>
      <c r="I162" s="88"/>
      <c r="J162" s="88"/>
      <c r="K162" s="88"/>
      <c r="L162" s="88"/>
      <c r="M162" s="96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</row>
    <row r="163" spans="1:27" x14ac:dyDescent="0.25">
      <c r="A163" s="81"/>
      <c r="B163" s="106"/>
      <c r="C163" s="81"/>
      <c r="D163" s="81"/>
      <c r="E163" s="81"/>
      <c r="F163" s="81"/>
      <c r="G163" s="88"/>
      <c r="H163" s="88"/>
      <c r="I163" s="88"/>
      <c r="J163" s="88"/>
      <c r="K163" s="88"/>
      <c r="L163" s="88"/>
      <c r="M163" s="96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</row>
    <row r="164" spans="1:27" x14ac:dyDescent="0.25">
      <c r="A164" s="81"/>
      <c r="B164" s="106"/>
      <c r="C164" s="81"/>
      <c r="D164" s="81"/>
      <c r="E164" s="81"/>
      <c r="F164" s="81"/>
      <c r="G164" s="88"/>
      <c r="H164" s="88"/>
      <c r="I164" s="88"/>
      <c r="J164" s="88"/>
      <c r="K164" s="88"/>
      <c r="L164" s="88"/>
      <c r="M164" s="96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 spans="1:27" x14ac:dyDescent="0.25">
      <c r="A165" s="81"/>
      <c r="B165" s="106"/>
      <c r="C165" s="81"/>
      <c r="D165" s="81"/>
      <c r="E165" s="81"/>
      <c r="F165" s="81"/>
      <c r="G165" s="88"/>
      <c r="H165" s="88"/>
      <c r="I165" s="88"/>
      <c r="J165" s="88"/>
      <c r="K165" s="88"/>
      <c r="L165" s="88"/>
      <c r="M165" s="96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</row>
    <row r="166" spans="1:27" x14ac:dyDescent="0.25">
      <c r="A166" s="81"/>
      <c r="B166" s="106"/>
      <c r="C166" s="81"/>
      <c r="D166" s="81"/>
      <c r="E166" s="81"/>
      <c r="F166" s="81"/>
      <c r="G166" s="88"/>
      <c r="H166" s="88"/>
      <c r="I166" s="88"/>
      <c r="J166" s="88"/>
      <c r="K166" s="88"/>
      <c r="L166" s="88"/>
      <c r="M166" s="96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</row>
    <row r="167" spans="1:27" x14ac:dyDescent="0.25">
      <c r="A167" s="81"/>
      <c r="B167" s="106"/>
      <c r="C167" s="81"/>
      <c r="D167" s="81"/>
      <c r="E167" s="81"/>
      <c r="F167" s="81"/>
      <c r="G167" s="88"/>
      <c r="H167" s="88"/>
      <c r="I167" s="88"/>
      <c r="J167" s="88"/>
      <c r="K167" s="88"/>
      <c r="L167" s="88"/>
      <c r="M167" s="96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</row>
    <row r="168" spans="1:27" x14ac:dyDescent="0.25">
      <c r="A168" s="81"/>
      <c r="B168" s="106"/>
      <c r="C168" s="81"/>
      <c r="D168" s="81"/>
      <c r="E168" s="81"/>
      <c r="F168" s="81"/>
      <c r="G168" s="88"/>
      <c r="H168" s="88"/>
      <c r="I168" s="88"/>
      <c r="J168" s="88"/>
      <c r="K168" s="88"/>
      <c r="L168" s="88"/>
      <c r="M168" s="96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</row>
    <row r="169" spans="1:27" x14ac:dyDescent="0.25">
      <c r="A169" s="81"/>
      <c r="B169" s="106"/>
      <c r="C169" s="81"/>
      <c r="D169" s="81"/>
      <c r="E169" s="81"/>
      <c r="F169" s="81"/>
      <c r="G169" s="88"/>
      <c r="H169" s="88"/>
      <c r="I169" s="88"/>
      <c r="J169" s="88"/>
      <c r="K169" s="88"/>
      <c r="L169" s="88"/>
      <c r="M169" s="96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</row>
    <row r="170" spans="1:27" x14ac:dyDescent="0.25">
      <c r="A170" s="81"/>
      <c r="B170" s="106"/>
      <c r="C170" s="81"/>
      <c r="D170" s="81"/>
      <c r="E170" s="81"/>
      <c r="F170" s="81"/>
      <c r="G170" s="88"/>
      <c r="H170" s="88"/>
      <c r="I170" s="88"/>
      <c r="J170" s="88"/>
      <c r="K170" s="88"/>
      <c r="L170" s="88"/>
      <c r="M170" s="96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</row>
    <row r="171" spans="1:27" x14ac:dyDescent="0.25">
      <c r="A171" s="81"/>
      <c r="B171" s="106"/>
      <c r="C171" s="81"/>
      <c r="D171" s="81"/>
      <c r="E171" s="81"/>
      <c r="F171" s="81"/>
      <c r="G171" s="88"/>
      <c r="H171" s="88"/>
      <c r="I171" s="88"/>
      <c r="J171" s="88"/>
      <c r="K171" s="88"/>
      <c r="L171" s="88"/>
      <c r="M171" s="96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</row>
    <row r="172" spans="1:27" x14ac:dyDescent="0.25">
      <c r="A172" s="81"/>
      <c r="B172" s="106"/>
      <c r="C172" s="81"/>
      <c r="D172" s="81"/>
      <c r="E172" s="81"/>
      <c r="F172" s="81"/>
      <c r="G172" s="88"/>
      <c r="H172" s="88"/>
      <c r="I172" s="88"/>
      <c r="J172" s="88"/>
      <c r="K172" s="88"/>
      <c r="L172" s="88"/>
      <c r="M172" s="96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</row>
    <row r="173" spans="1:27" x14ac:dyDescent="0.25">
      <c r="A173" s="81"/>
      <c r="B173" s="106"/>
      <c r="C173" s="81"/>
      <c r="D173" s="81"/>
      <c r="E173" s="81"/>
      <c r="F173" s="81"/>
      <c r="G173" s="88"/>
      <c r="H173" s="88"/>
      <c r="I173" s="88"/>
      <c r="J173" s="88"/>
      <c r="K173" s="88"/>
      <c r="L173" s="88"/>
      <c r="M173" s="96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</row>
    <row r="174" spans="1:27" x14ac:dyDescent="0.25">
      <c r="A174" s="81"/>
      <c r="B174" s="106"/>
      <c r="C174" s="81"/>
      <c r="D174" s="81"/>
      <c r="E174" s="81"/>
      <c r="F174" s="81"/>
      <c r="G174" s="88"/>
      <c r="H174" s="88"/>
      <c r="I174" s="88"/>
      <c r="J174" s="88"/>
      <c r="K174" s="88"/>
      <c r="L174" s="88"/>
      <c r="M174" s="96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</row>
    <row r="175" spans="1:27" x14ac:dyDescent="0.25">
      <c r="A175" s="81"/>
      <c r="B175" s="106"/>
      <c r="C175" s="81"/>
      <c r="D175" s="81"/>
      <c r="E175" s="81"/>
      <c r="F175" s="81"/>
      <c r="G175" s="88"/>
      <c r="H175" s="88"/>
      <c r="I175" s="88"/>
      <c r="J175" s="88"/>
      <c r="K175" s="88"/>
      <c r="L175" s="88"/>
      <c r="M175" s="96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</row>
    <row r="176" spans="1:27" x14ac:dyDescent="0.25">
      <c r="A176" s="81"/>
      <c r="B176" s="106"/>
      <c r="C176" s="81"/>
      <c r="D176" s="81"/>
      <c r="E176" s="81"/>
      <c r="F176" s="81"/>
      <c r="G176" s="88"/>
      <c r="H176" s="88"/>
      <c r="I176" s="88"/>
      <c r="J176" s="88"/>
      <c r="K176" s="88"/>
      <c r="L176" s="88"/>
      <c r="M176" s="96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 spans="1:27" x14ac:dyDescent="0.25">
      <c r="A177" s="81"/>
      <c r="B177" s="106"/>
      <c r="C177" s="81"/>
      <c r="D177" s="81"/>
      <c r="E177" s="81"/>
      <c r="F177" s="81"/>
      <c r="G177" s="88"/>
      <c r="H177" s="88"/>
      <c r="I177" s="88"/>
      <c r="J177" s="88"/>
      <c r="K177" s="88"/>
      <c r="L177" s="88"/>
      <c r="M177" s="96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</row>
    <row r="178" spans="1:27" x14ac:dyDescent="0.25">
      <c r="A178" s="81"/>
      <c r="B178" s="106"/>
      <c r="C178" s="81"/>
      <c r="D178" s="81"/>
      <c r="E178" s="81"/>
      <c r="F178" s="81"/>
      <c r="G178" s="88"/>
      <c r="H178" s="88"/>
      <c r="I178" s="88"/>
      <c r="J178" s="88"/>
      <c r="K178" s="88"/>
      <c r="L178" s="88"/>
      <c r="M178" s="96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</row>
    <row r="179" spans="1:27" x14ac:dyDescent="0.25">
      <c r="A179" s="81"/>
      <c r="B179" s="106"/>
      <c r="C179" s="81"/>
      <c r="D179" s="81"/>
      <c r="E179" s="81"/>
      <c r="F179" s="81"/>
      <c r="G179" s="88"/>
      <c r="H179" s="88"/>
      <c r="I179" s="88"/>
      <c r="J179" s="88"/>
      <c r="K179" s="88"/>
      <c r="L179" s="88"/>
      <c r="M179" s="96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</row>
    <row r="180" spans="1:27" x14ac:dyDescent="0.25">
      <c r="A180" s="81"/>
      <c r="B180" s="106"/>
      <c r="C180" s="81"/>
      <c r="D180" s="81"/>
      <c r="E180" s="81"/>
      <c r="F180" s="81"/>
      <c r="G180" s="88"/>
      <c r="H180" s="88"/>
      <c r="I180" s="88"/>
      <c r="J180" s="88"/>
      <c r="K180" s="88"/>
      <c r="L180" s="88"/>
      <c r="M180" s="96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</row>
    <row r="181" spans="1:27" x14ac:dyDescent="0.25">
      <c r="A181" s="81"/>
      <c r="B181" s="106"/>
      <c r="C181" s="81"/>
      <c r="D181" s="81"/>
      <c r="E181" s="81"/>
      <c r="F181" s="81"/>
      <c r="G181" s="88"/>
      <c r="H181" s="88"/>
      <c r="I181" s="88"/>
      <c r="J181" s="88"/>
      <c r="K181" s="88"/>
      <c r="L181" s="88"/>
      <c r="M181" s="96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</row>
    <row r="182" spans="1:27" x14ac:dyDescent="0.25">
      <c r="A182" s="81"/>
      <c r="B182" s="106"/>
      <c r="C182" s="81"/>
      <c r="D182" s="81"/>
      <c r="E182" s="81"/>
      <c r="F182" s="81"/>
      <c r="G182" s="88"/>
      <c r="H182" s="88"/>
      <c r="I182" s="88"/>
      <c r="J182" s="88"/>
      <c r="K182" s="88"/>
      <c r="L182" s="88"/>
      <c r="M182" s="96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</row>
    <row r="183" spans="1:27" x14ac:dyDescent="0.25">
      <c r="A183" s="81"/>
      <c r="B183" s="106"/>
      <c r="C183" s="81"/>
      <c r="D183" s="81"/>
      <c r="E183" s="81"/>
      <c r="F183" s="81"/>
      <c r="G183" s="88"/>
      <c r="H183" s="88"/>
      <c r="I183" s="88"/>
      <c r="J183" s="88"/>
      <c r="K183" s="88"/>
      <c r="L183" s="88"/>
      <c r="M183" s="96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</row>
    <row r="184" spans="1:27" x14ac:dyDescent="0.25">
      <c r="A184" s="81"/>
      <c r="B184" s="106"/>
      <c r="C184" s="81"/>
      <c r="D184" s="81"/>
      <c r="E184" s="81"/>
      <c r="F184" s="81"/>
      <c r="G184" s="88"/>
      <c r="H184" s="88"/>
      <c r="I184" s="88"/>
      <c r="J184" s="88"/>
      <c r="K184" s="88"/>
      <c r="L184" s="88"/>
      <c r="M184" s="96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</row>
    <row r="185" spans="1:27" x14ac:dyDescent="0.25">
      <c r="A185" s="81"/>
      <c r="B185" s="106"/>
      <c r="C185" s="81"/>
      <c r="D185" s="81"/>
      <c r="E185" s="81"/>
      <c r="F185" s="81"/>
      <c r="G185" s="88"/>
      <c r="H185" s="88"/>
      <c r="I185" s="88"/>
      <c r="J185" s="88"/>
      <c r="K185" s="88"/>
      <c r="L185" s="88"/>
      <c r="M185" s="96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</row>
    <row r="186" spans="1:27" x14ac:dyDescent="0.25">
      <c r="A186" s="81"/>
      <c r="B186" s="106"/>
      <c r="C186" s="81"/>
      <c r="D186" s="81"/>
      <c r="E186" s="81"/>
      <c r="F186" s="81"/>
      <c r="G186" s="88"/>
      <c r="H186" s="88"/>
      <c r="I186" s="88"/>
      <c r="J186" s="88"/>
      <c r="K186" s="88"/>
      <c r="L186" s="88"/>
      <c r="M186" s="96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</row>
    <row r="187" spans="1:27" x14ac:dyDescent="0.25">
      <c r="A187" s="81"/>
      <c r="B187" s="106"/>
      <c r="C187" s="81"/>
      <c r="D187" s="81"/>
      <c r="E187" s="81"/>
      <c r="F187" s="81"/>
      <c r="G187" s="88"/>
      <c r="H187" s="88"/>
      <c r="I187" s="88"/>
      <c r="J187" s="88"/>
      <c r="K187" s="88"/>
      <c r="L187" s="88"/>
      <c r="M187" s="96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</row>
    <row r="188" spans="1:27" x14ac:dyDescent="0.25">
      <c r="A188" s="81"/>
      <c r="B188" s="106"/>
      <c r="C188" s="81"/>
      <c r="D188" s="81"/>
      <c r="E188" s="81"/>
      <c r="F188" s="81"/>
      <c r="G188" s="88"/>
      <c r="H188" s="88"/>
      <c r="I188" s="88"/>
      <c r="J188" s="88"/>
      <c r="K188" s="88"/>
      <c r="L188" s="88"/>
      <c r="M188" s="96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</row>
    <row r="189" spans="1:27" x14ac:dyDescent="0.25">
      <c r="A189" s="81"/>
      <c r="B189" s="106"/>
      <c r="C189" s="81"/>
      <c r="D189" s="81"/>
      <c r="E189" s="81"/>
      <c r="F189" s="81"/>
      <c r="G189" s="88"/>
      <c r="H189" s="88"/>
      <c r="I189" s="88"/>
      <c r="J189" s="88"/>
      <c r="K189" s="88"/>
      <c r="L189" s="88"/>
      <c r="M189" s="96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</row>
    <row r="190" spans="1:27" x14ac:dyDescent="0.25">
      <c r="A190" s="81"/>
      <c r="B190" s="106"/>
      <c r="C190" s="81"/>
      <c r="D190" s="81"/>
      <c r="E190" s="81"/>
      <c r="F190" s="81"/>
      <c r="G190" s="88"/>
      <c r="H190" s="88"/>
      <c r="I190" s="88"/>
      <c r="J190" s="88"/>
      <c r="K190" s="88"/>
      <c r="L190" s="88"/>
      <c r="M190" s="96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</row>
    <row r="191" spans="1:27" x14ac:dyDescent="0.25">
      <c r="A191" s="81"/>
      <c r="B191" s="106"/>
      <c r="C191" s="81"/>
      <c r="D191" s="81"/>
      <c r="E191" s="81"/>
      <c r="F191" s="81"/>
      <c r="G191" s="88"/>
      <c r="H191" s="88"/>
      <c r="I191" s="88"/>
      <c r="J191" s="88"/>
      <c r="K191" s="88"/>
      <c r="L191" s="88"/>
      <c r="M191" s="96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</row>
    <row r="192" spans="1:27" x14ac:dyDescent="0.25">
      <c r="A192" s="81"/>
      <c r="B192" s="106"/>
      <c r="C192" s="81"/>
      <c r="D192" s="81"/>
      <c r="E192" s="81"/>
      <c r="F192" s="81"/>
      <c r="G192" s="88"/>
      <c r="H192" s="88"/>
      <c r="I192" s="88"/>
      <c r="J192" s="88"/>
      <c r="K192" s="88"/>
      <c r="L192" s="88"/>
      <c r="M192" s="96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</row>
    <row r="193" spans="1:27" x14ac:dyDescent="0.25">
      <c r="A193" s="81"/>
      <c r="B193" s="106"/>
      <c r="C193" s="81"/>
      <c r="D193" s="81"/>
      <c r="E193" s="81"/>
      <c r="F193" s="81"/>
      <c r="G193" s="88"/>
      <c r="H193" s="88"/>
      <c r="I193" s="88"/>
      <c r="J193" s="88"/>
      <c r="K193" s="88"/>
      <c r="L193" s="88"/>
      <c r="M193" s="96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</row>
    <row r="194" spans="1:27" x14ac:dyDescent="0.25">
      <c r="A194" s="81"/>
      <c r="B194" s="106"/>
      <c r="C194" s="81"/>
      <c r="D194" s="81"/>
      <c r="E194" s="81"/>
      <c r="F194" s="81"/>
      <c r="G194" s="88"/>
      <c r="H194" s="88"/>
      <c r="I194" s="88"/>
      <c r="J194" s="88"/>
      <c r="K194" s="88"/>
      <c r="L194" s="88"/>
      <c r="M194" s="96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</row>
    <row r="195" spans="1:27" x14ac:dyDescent="0.25">
      <c r="A195" s="81"/>
      <c r="B195" s="106"/>
      <c r="C195" s="81"/>
      <c r="D195" s="81"/>
      <c r="E195" s="81"/>
      <c r="F195" s="81"/>
      <c r="G195" s="88"/>
      <c r="H195" s="88"/>
      <c r="I195" s="88"/>
      <c r="J195" s="88"/>
      <c r="K195" s="88"/>
      <c r="L195" s="88"/>
      <c r="M195" s="96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</row>
    <row r="196" spans="1:27" x14ac:dyDescent="0.25">
      <c r="A196" s="81"/>
      <c r="B196" s="106"/>
      <c r="C196" s="81"/>
      <c r="D196" s="81"/>
      <c r="E196" s="81"/>
      <c r="F196" s="81"/>
      <c r="G196" s="88"/>
      <c r="H196" s="88"/>
      <c r="I196" s="88"/>
      <c r="J196" s="88"/>
      <c r="K196" s="88"/>
      <c r="L196" s="88"/>
      <c r="M196" s="96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</row>
    <row r="197" spans="1:27" x14ac:dyDescent="0.25">
      <c r="A197" s="81"/>
      <c r="B197" s="106"/>
      <c r="C197" s="81"/>
      <c r="D197" s="81"/>
      <c r="E197" s="81"/>
      <c r="F197" s="81"/>
      <c r="G197" s="88"/>
      <c r="H197" s="88"/>
      <c r="I197" s="88"/>
      <c r="J197" s="88"/>
      <c r="K197" s="88"/>
      <c r="L197" s="88"/>
      <c r="M197" s="96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</row>
    <row r="198" spans="1:27" x14ac:dyDescent="0.25">
      <c r="A198" s="81"/>
      <c r="B198" s="106"/>
      <c r="C198" s="81"/>
      <c r="D198" s="81"/>
      <c r="E198" s="81"/>
      <c r="F198" s="81"/>
      <c r="G198" s="88"/>
      <c r="H198" s="88"/>
      <c r="I198" s="88"/>
      <c r="J198" s="88"/>
      <c r="K198" s="88"/>
      <c r="L198" s="88"/>
      <c r="M198" s="96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</row>
    <row r="199" spans="1:27" x14ac:dyDescent="0.25">
      <c r="A199" s="81"/>
      <c r="B199" s="106"/>
      <c r="C199" s="81"/>
      <c r="D199" s="81"/>
      <c r="E199" s="81"/>
      <c r="F199" s="81"/>
      <c r="G199" s="88"/>
      <c r="H199" s="88"/>
      <c r="I199" s="88"/>
      <c r="J199" s="88"/>
      <c r="K199" s="88"/>
      <c r="L199" s="88"/>
      <c r="M199" s="96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</row>
    <row r="200" spans="1:27" x14ac:dyDescent="0.25">
      <c r="A200" s="81"/>
      <c r="B200" s="106"/>
      <c r="C200" s="81"/>
      <c r="D200" s="81"/>
      <c r="E200" s="81"/>
      <c r="F200" s="81"/>
      <c r="G200" s="88"/>
      <c r="H200" s="88"/>
      <c r="I200" s="88"/>
      <c r="J200" s="88"/>
      <c r="K200" s="88"/>
      <c r="L200" s="88"/>
      <c r="M200" s="96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 spans="1:27" x14ac:dyDescent="0.25">
      <c r="A201" s="81"/>
      <c r="B201" s="106"/>
      <c r="C201" s="81"/>
      <c r="D201" s="81"/>
      <c r="E201" s="81"/>
      <c r="F201" s="81"/>
      <c r="G201" s="88"/>
      <c r="H201" s="88"/>
      <c r="I201" s="88"/>
      <c r="J201" s="88"/>
      <c r="K201" s="88"/>
      <c r="L201" s="88"/>
      <c r="M201" s="96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</row>
    <row r="202" spans="1:27" x14ac:dyDescent="0.25">
      <c r="A202" s="81"/>
      <c r="B202" s="106"/>
      <c r="C202" s="81"/>
      <c r="D202" s="81"/>
      <c r="E202" s="81"/>
      <c r="F202" s="81"/>
      <c r="G202" s="88"/>
      <c r="H202" s="88"/>
      <c r="I202" s="88"/>
      <c r="J202" s="88"/>
      <c r="K202" s="88"/>
      <c r="L202" s="88"/>
      <c r="M202" s="96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</row>
    <row r="203" spans="1:27" x14ac:dyDescent="0.25">
      <c r="A203" s="81"/>
      <c r="B203" s="106"/>
      <c r="C203" s="81"/>
      <c r="D203" s="81"/>
      <c r="E203" s="81"/>
      <c r="F203" s="81"/>
      <c r="G203" s="88"/>
      <c r="H203" s="88"/>
      <c r="I203" s="88"/>
      <c r="J203" s="88"/>
      <c r="K203" s="88"/>
      <c r="L203" s="88"/>
      <c r="M203" s="96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</row>
    <row r="204" spans="1:27" x14ac:dyDescent="0.25">
      <c r="A204" s="81"/>
      <c r="B204" s="106"/>
      <c r="C204" s="81"/>
      <c r="D204" s="81"/>
      <c r="E204" s="81"/>
      <c r="F204" s="81"/>
      <c r="G204" s="88"/>
      <c r="H204" s="88"/>
      <c r="I204" s="88"/>
      <c r="J204" s="88"/>
      <c r="K204" s="88"/>
      <c r="L204" s="88"/>
      <c r="M204" s="96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</row>
    <row r="205" spans="1:27" x14ac:dyDescent="0.25">
      <c r="A205" s="81"/>
      <c r="B205" s="106"/>
      <c r="C205" s="81"/>
      <c r="D205" s="81"/>
      <c r="E205" s="81"/>
      <c r="F205" s="81"/>
      <c r="G205" s="88"/>
      <c r="H205" s="88"/>
      <c r="I205" s="88"/>
      <c r="J205" s="88"/>
      <c r="K205" s="88"/>
      <c r="L205" s="88"/>
      <c r="M205" s="96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</row>
    <row r="206" spans="1:27" x14ac:dyDescent="0.25">
      <c r="A206" s="81"/>
      <c r="B206" s="106"/>
      <c r="C206" s="81"/>
      <c r="D206" s="81"/>
      <c r="E206" s="81"/>
      <c r="F206" s="81"/>
      <c r="G206" s="88"/>
      <c r="H206" s="88"/>
      <c r="I206" s="88"/>
      <c r="J206" s="88"/>
      <c r="K206" s="88"/>
      <c r="L206" s="88"/>
      <c r="M206" s="96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</row>
    <row r="207" spans="1:27" x14ac:dyDescent="0.25">
      <c r="A207" s="81"/>
      <c r="B207" s="106"/>
      <c r="C207" s="81"/>
      <c r="D207" s="81"/>
      <c r="E207" s="81"/>
      <c r="F207" s="81"/>
      <c r="G207" s="88"/>
      <c r="H207" s="88"/>
      <c r="I207" s="88"/>
      <c r="J207" s="88"/>
      <c r="K207" s="88"/>
      <c r="L207" s="88"/>
      <c r="M207" s="96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</row>
    <row r="208" spans="1:27" x14ac:dyDescent="0.25">
      <c r="A208" s="81"/>
      <c r="B208" s="106"/>
      <c r="C208" s="81"/>
      <c r="D208" s="81"/>
      <c r="E208" s="81"/>
      <c r="F208" s="81"/>
      <c r="G208" s="88"/>
      <c r="H208" s="88"/>
      <c r="I208" s="88"/>
      <c r="J208" s="88"/>
      <c r="K208" s="88"/>
      <c r="L208" s="88"/>
      <c r="M208" s="96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</row>
    <row r="209" spans="1:27" x14ac:dyDescent="0.25">
      <c r="A209" s="81"/>
      <c r="B209" s="106"/>
      <c r="C209" s="81"/>
      <c r="D209" s="81"/>
      <c r="E209" s="81"/>
      <c r="F209" s="81"/>
      <c r="G209" s="88"/>
      <c r="H209" s="88"/>
      <c r="I209" s="88"/>
      <c r="J209" s="88"/>
      <c r="K209" s="88"/>
      <c r="L209" s="88"/>
      <c r="M209" s="96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</row>
    <row r="210" spans="1:27" x14ac:dyDescent="0.25">
      <c r="A210" s="81"/>
      <c r="B210" s="106"/>
      <c r="C210" s="81"/>
      <c r="D210" s="81"/>
      <c r="E210" s="81"/>
      <c r="F210" s="81"/>
      <c r="G210" s="88"/>
      <c r="H210" s="88"/>
      <c r="I210" s="88"/>
      <c r="J210" s="88"/>
      <c r="K210" s="88"/>
      <c r="L210" s="88"/>
      <c r="M210" s="96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</row>
    <row r="211" spans="1:27" x14ac:dyDescent="0.25">
      <c r="A211" s="81"/>
      <c r="B211" s="106"/>
      <c r="C211" s="81"/>
      <c r="D211" s="81"/>
      <c r="E211" s="81"/>
      <c r="F211" s="81"/>
      <c r="G211" s="88"/>
      <c r="H211" s="88"/>
      <c r="I211" s="88"/>
      <c r="J211" s="88"/>
      <c r="K211" s="88"/>
      <c r="L211" s="88"/>
      <c r="M211" s="96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  <row r="212" spans="1:27" x14ac:dyDescent="0.25">
      <c r="A212" s="81"/>
      <c r="B212" s="106"/>
      <c r="C212" s="81"/>
      <c r="D212" s="81"/>
      <c r="E212" s="81"/>
      <c r="F212" s="81"/>
      <c r="G212" s="88"/>
      <c r="H212" s="88"/>
      <c r="I212" s="88"/>
      <c r="J212" s="88"/>
      <c r="K212" s="88"/>
      <c r="L212" s="88"/>
      <c r="M212" s="96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 spans="1:27" x14ac:dyDescent="0.25">
      <c r="A213" s="81"/>
      <c r="B213" s="106"/>
      <c r="C213" s="81"/>
      <c r="D213" s="81"/>
      <c r="E213" s="81"/>
      <c r="F213" s="81"/>
      <c r="G213" s="88"/>
      <c r="H213" s="88"/>
      <c r="I213" s="88"/>
      <c r="J213" s="88"/>
      <c r="K213" s="88"/>
      <c r="L213" s="88"/>
      <c r="M213" s="96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</row>
    <row r="214" spans="1:27" x14ac:dyDescent="0.25">
      <c r="A214" s="81"/>
      <c r="B214" s="106"/>
      <c r="C214" s="81"/>
      <c r="D214" s="81"/>
      <c r="E214" s="81"/>
      <c r="F214" s="81"/>
      <c r="G214" s="88"/>
      <c r="H214" s="88"/>
      <c r="I214" s="88"/>
      <c r="J214" s="88"/>
      <c r="K214" s="88"/>
      <c r="L214" s="88"/>
      <c r="M214" s="96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</row>
    <row r="215" spans="1:27" x14ac:dyDescent="0.25">
      <c r="A215" s="81"/>
      <c r="B215" s="106"/>
      <c r="C215" s="81"/>
      <c r="D215" s="81"/>
      <c r="E215" s="81"/>
      <c r="F215" s="81"/>
      <c r="G215" s="88"/>
      <c r="H215" s="88"/>
      <c r="I215" s="88"/>
      <c r="J215" s="88"/>
      <c r="K215" s="88"/>
      <c r="L215" s="88"/>
      <c r="M215" s="96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</row>
    <row r="216" spans="1:27" x14ac:dyDescent="0.25">
      <c r="A216" s="81"/>
      <c r="B216" s="106"/>
      <c r="C216" s="81"/>
      <c r="D216" s="81"/>
      <c r="E216" s="81"/>
      <c r="F216" s="81"/>
      <c r="G216" s="88"/>
      <c r="H216" s="88"/>
      <c r="I216" s="88"/>
      <c r="J216" s="88"/>
      <c r="K216" s="88"/>
      <c r="L216" s="88"/>
      <c r="M216" s="96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</row>
    <row r="217" spans="1:27" x14ac:dyDescent="0.25">
      <c r="A217" s="81"/>
      <c r="B217" s="106"/>
      <c r="C217" s="81"/>
      <c r="D217" s="81"/>
      <c r="E217" s="81"/>
      <c r="F217" s="81"/>
      <c r="G217" s="88"/>
      <c r="H217" s="88"/>
      <c r="I217" s="88"/>
      <c r="J217" s="88"/>
      <c r="K217" s="88"/>
      <c r="L217" s="88"/>
      <c r="M217" s="96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</row>
    <row r="218" spans="1:27" x14ac:dyDescent="0.25">
      <c r="A218" s="81"/>
      <c r="B218" s="106"/>
      <c r="C218" s="81"/>
      <c r="D218" s="81"/>
      <c r="E218" s="81"/>
      <c r="F218" s="81"/>
      <c r="G218" s="88"/>
      <c r="H218" s="88"/>
      <c r="I218" s="88"/>
      <c r="J218" s="88"/>
      <c r="K218" s="88"/>
      <c r="L218" s="88"/>
      <c r="M218" s="96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</row>
    <row r="219" spans="1:27" x14ac:dyDescent="0.25">
      <c r="A219" s="81"/>
      <c r="B219" s="106"/>
      <c r="C219" s="81"/>
      <c r="D219" s="81"/>
      <c r="E219" s="81"/>
      <c r="F219" s="81"/>
      <c r="G219" s="88"/>
      <c r="H219" s="88"/>
      <c r="I219" s="88"/>
      <c r="J219" s="88"/>
      <c r="K219" s="88"/>
      <c r="L219" s="88"/>
      <c r="M219" s="96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</row>
    <row r="220" spans="1:27" x14ac:dyDescent="0.25">
      <c r="A220" s="81"/>
      <c r="B220" s="106"/>
      <c r="C220" s="81"/>
      <c r="D220" s="81"/>
      <c r="E220" s="81"/>
      <c r="F220" s="81"/>
      <c r="G220" s="88"/>
      <c r="H220" s="88"/>
      <c r="I220" s="88"/>
      <c r="J220" s="88"/>
      <c r="K220" s="88"/>
      <c r="L220" s="88"/>
      <c r="M220" s="96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</row>
    <row r="221" spans="1:27" x14ac:dyDescent="0.25">
      <c r="A221" s="81"/>
      <c r="B221" s="106"/>
      <c r="C221" s="81"/>
      <c r="D221" s="81"/>
      <c r="E221" s="81"/>
      <c r="F221" s="81"/>
      <c r="G221" s="88"/>
      <c r="H221" s="88"/>
      <c r="I221" s="88"/>
      <c r="J221" s="88"/>
      <c r="K221" s="88"/>
      <c r="L221" s="88"/>
      <c r="M221" s="96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</row>
    <row r="222" spans="1:27" x14ac:dyDescent="0.25">
      <c r="A222" s="81"/>
      <c r="B222" s="106"/>
      <c r="C222" s="81"/>
      <c r="D222" s="81"/>
      <c r="E222" s="81"/>
      <c r="F222" s="81"/>
      <c r="G222" s="88"/>
      <c r="H222" s="88"/>
      <c r="I222" s="88"/>
      <c r="J222" s="88"/>
      <c r="K222" s="88"/>
      <c r="L222" s="88"/>
      <c r="M222" s="96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</row>
    <row r="223" spans="1:27" x14ac:dyDescent="0.25">
      <c r="A223" s="81"/>
      <c r="B223" s="106"/>
      <c r="C223" s="81"/>
      <c r="D223" s="81"/>
      <c r="E223" s="81"/>
      <c r="F223" s="81"/>
      <c r="G223" s="88"/>
      <c r="H223" s="88"/>
      <c r="I223" s="88"/>
      <c r="J223" s="88"/>
      <c r="K223" s="88"/>
      <c r="L223" s="88"/>
      <c r="M223" s="96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</row>
    <row r="224" spans="1:27" x14ac:dyDescent="0.25">
      <c r="A224" s="81"/>
      <c r="B224" s="106"/>
      <c r="C224" s="81"/>
      <c r="D224" s="81"/>
      <c r="E224" s="81"/>
      <c r="F224" s="81"/>
      <c r="G224" s="88"/>
      <c r="H224" s="88"/>
      <c r="I224" s="88"/>
      <c r="J224" s="88"/>
      <c r="K224" s="88"/>
      <c r="L224" s="88"/>
      <c r="M224" s="96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 spans="1:27" x14ac:dyDescent="0.25">
      <c r="A225" s="81"/>
      <c r="B225" s="106"/>
      <c r="C225" s="81"/>
      <c r="D225" s="81"/>
      <c r="E225" s="81"/>
      <c r="F225" s="81"/>
      <c r="G225" s="88"/>
      <c r="H225" s="88"/>
      <c r="I225" s="88"/>
      <c r="J225" s="88"/>
      <c r="K225" s="88"/>
      <c r="L225" s="88"/>
      <c r="M225" s="96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</row>
    <row r="226" spans="1:27" x14ac:dyDescent="0.25">
      <c r="A226" s="81"/>
      <c r="B226" s="106"/>
      <c r="C226" s="81"/>
      <c r="D226" s="81"/>
      <c r="E226" s="81"/>
      <c r="F226" s="81"/>
      <c r="G226" s="88"/>
      <c r="H226" s="88"/>
      <c r="I226" s="88"/>
      <c r="J226" s="88"/>
      <c r="K226" s="88"/>
      <c r="L226" s="88"/>
      <c r="M226" s="96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</row>
    <row r="227" spans="1:27" x14ac:dyDescent="0.25">
      <c r="A227" s="81"/>
      <c r="B227" s="106"/>
      <c r="C227" s="81"/>
      <c r="D227" s="81"/>
      <c r="E227" s="81"/>
      <c r="F227" s="81"/>
      <c r="G227" s="88"/>
      <c r="H227" s="88"/>
      <c r="I227" s="88"/>
      <c r="J227" s="88"/>
      <c r="K227" s="88"/>
      <c r="L227" s="88"/>
      <c r="M227" s="96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</row>
    <row r="228" spans="1:27" x14ac:dyDescent="0.25">
      <c r="A228" s="81"/>
      <c r="B228" s="106"/>
      <c r="C228" s="81"/>
      <c r="D228" s="81"/>
      <c r="E228" s="81"/>
      <c r="F228" s="81"/>
      <c r="G228" s="88"/>
      <c r="H228" s="88"/>
      <c r="I228" s="88"/>
      <c r="J228" s="88"/>
      <c r="K228" s="88"/>
      <c r="L228" s="88"/>
      <c r="M228" s="96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</row>
    <row r="229" spans="1:27" x14ac:dyDescent="0.25">
      <c r="A229" s="81"/>
      <c r="B229" s="106"/>
      <c r="C229" s="81"/>
      <c r="D229" s="81"/>
      <c r="E229" s="81"/>
      <c r="F229" s="81"/>
      <c r="G229" s="88"/>
      <c r="H229" s="88"/>
      <c r="I229" s="88"/>
      <c r="J229" s="88"/>
      <c r="K229" s="88"/>
      <c r="L229" s="88"/>
      <c r="M229" s="96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</row>
    <row r="230" spans="1:27" x14ac:dyDescent="0.25">
      <c r="A230" s="81"/>
      <c r="B230" s="106"/>
      <c r="C230" s="81"/>
      <c r="D230" s="81"/>
      <c r="E230" s="81"/>
      <c r="F230" s="81"/>
      <c r="G230" s="88"/>
      <c r="H230" s="88"/>
      <c r="I230" s="88"/>
      <c r="J230" s="88"/>
      <c r="K230" s="88"/>
      <c r="L230" s="88"/>
      <c r="M230" s="96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</row>
    <row r="231" spans="1:27" x14ac:dyDescent="0.25">
      <c r="A231" s="81"/>
      <c r="B231" s="106"/>
      <c r="C231" s="81"/>
      <c r="D231" s="81"/>
      <c r="E231" s="81"/>
      <c r="F231" s="81"/>
      <c r="G231" s="88"/>
      <c r="H231" s="88"/>
      <c r="I231" s="88"/>
      <c r="J231" s="88"/>
      <c r="K231" s="88"/>
      <c r="L231" s="88"/>
      <c r="M231" s="96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</row>
    <row r="232" spans="1:27" x14ac:dyDescent="0.25">
      <c r="A232" s="81"/>
      <c r="B232" s="106"/>
      <c r="C232" s="81"/>
      <c r="D232" s="81"/>
      <c r="E232" s="81"/>
      <c r="F232" s="81"/>
      <c r="G232" s="88"/>
      <c r="H232" s="88"/>
      <c r="I232" s="88"/>
      <c r="J232" s="88"/>
      <c r="K232" s="88"/>
      <c r="L232" s="88"/>
      <c r="M232" s="96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</row>
    <row r="233" spans="1:27" x14ac:dyDescent="0.25">
      <c r="A233" s="81"/>
      <c r="B233" s="106"/>
      <c r="C233" s="81"/>
      <c r="D233" s="81"/>
      <c r="E233" s="81"/>
      <c r="F233" s="81"/>
      <c r="G233" s="88"/>
      <c r="H233" s="88"/>
      <c r="I233" s="88"/>
      <c r="J233" s="88"/>
      <c r="K233" s="88"/>
      <c r="L233" s="88"/>
      <c r="M233" s="96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</row>
    <row r="234" spans="1:27" x14ac:dyDescent="0.25">
      <c r="A234" s="81"/>
      <c r="B234" s="106"/>
      <c r="C234" s="81"/>
      <c r="D234" s="81"/>
      <c r="E234" s="81"/>
      <c r="F234" s="81"/>
      <c r="G234" s="88"/>
      <c r="H234" s="88"/>
      <c r="I234" s="88"/>
      <c r="J234" s="88"/>
      <c r="K234" s="88"/>
      <c r="L234" s="88"/>
      <c r="M234" s="96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</row>
    <row r="235" spans="1:27" x14ac:dyDescent="0.25">
      <c r="A235" s="81"/>
      <c r="B235" s="106"/>
      <c r="C235" s="81"/>
      <c r="D235" s="81"/>
      <c r="E235" s="81"/>
      <c r="F235" s="81"/>
      <c r="G235" s="88"/>
      <c r="H235" s="88"/>
      <c r="I235" s="88"/>
      <c r="J235" s="88"/>
      <c r="K235" s="88"/>
      <c r="L235" s="88"/>
      <c r="M235" s="96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</row>
    <row r="236" spans="1:27" x14ac:dyDescent="0.25">
      <c r="A236" s="81"/>
      <c r="B236" s="106"/>
      <c r="C236" s="81"/>
      <c r="D236" s="81"/>
      <c r="E236" s="81"/>
      <c r="F236" s="81"/>
      <c r="G236" s="88"/>
      <c r="H236" s="88"/>
      <c r="I236" s="88"/>
      <c r="J236" s="88"/>
      <c r="K236" s="88"/>
      <c r="L236" s="88"/>
      <c r="M236" s="96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 spans="1:27" x14ac:dyDescent="0.25">
      <c r="A237" s="81"/>
      <c r="B237" s="106"/>
      <c r="C237" s="81"/>
      <c r="D237" s="81"/>
      <c r="E237" s="81"/>
      <c r="F237" s="81"/>
      <c r="G237" s="88"/>
      <c r="H237" s="88"/>
      <c r="I237" s="88"/>
      <c r="J237" s="88"/>
      <c r="K237" s="88"/>
      <c r="L237" s="88"/>
      <c r="M237" s="96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</row>
    <row r="238" spans="1:27" x14ac:dyDescent="0.25">
      <c r="A238" s="81"/>
      <c r="B238" s="106"/>
      <c r="C238" s="81"/>
      <c r="D238" s="81"/>
      <c r="E238" s="81"/>
      <c r="F238" s="81"/>
      <c r="G238" s="88"/>
      <c r="H238" s="88"/>
      <c r="I238" s="88"/>
      <c r="J238" s="88"/>
      <c r="K238" s="88"/>
      <c r="L238" s="88"/>
      <c r="M238" s="96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</row>
    <row r="239" spans="1:27" x14ac:dyDescent="0.25">
      <c r="A239" s="81"/>
      <c r="B239" s="106"/>
      <c r="C239" s="81"/>
      <c r="D239" s="81"/>
      <c r="E239" s="81"/>
      <c r="F239" s="81"/>
      <c r="G239" s="88"/>
      <c r="H239" s="88"/>
      <c r="I239" s="88"/>
      <c r="J239" s="88"/>
      <c r="K239" s="88"/>
      <c r="L239" s="88"/>
      <c r="M239" s="96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</row>
    <row r="240" spans="1:27" x14ac:dyDescent="0.25">
      <c r="A240" s="81"/>
      <c r="B240" s="106"/>
      <c r="C240" s="81"/>
      <c r="D240" s="81"/>
      <c r="E240" s="81"/>
      <c r="F240" s="81"/>
      <c r="G240" s="88"/>
      <c r="H240" s="88"/>
      <c r="I240" s="88"/>
      <c r="J240" s="88"/>
      <c r="K240" s="88"/>
      <c r="L240" s="88"/>
      <c r="M240" s="96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</row>
    <row r="241" spans="1:27" x14ac:dyDescent="0.25">
      <c r="A241" s="81"/>
      <c r="B241" s="106"/>
      <c r="C241" s="81"/>
      <c r="D241" s="81"/>
      <c r="E241" s="81"/>
      <c r="F241" s="81"/>
      <c r="G241" s="88"/>
      <c r="H241" s="88"/>
      <c r="I241" s="88"/>
      <c r="J241" s="88"/>
      <c r="K241" s="88"/>
      <c r="L241" s="88"/>
      <c r="M241" s="96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</row>
    <row r="242" spans="1:27" x14ac:dyDescent="0.25">
      <c r="A242" s="81"/>
      <c r="B242" s="106"/>
      <c r="C242" s="81"/>
      <c r="D242" s="81"/>
      <c r="E242" s="81"/>
      <c r="F242" s="81"/>
      <c r="G242" s="88"/>
      <c r="H242" s="88"/>
      <c r="I242" s="88"/>
      <c r="J242" s="88"/>
      <c r="K242" s="88"/>
      <c r="L242" s="88"/>
      <c r="M242" s="96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</row>
    <row r="243" spans="1:27" x14ac:dyDescent="0.25">
      <c r="A243" s="81"/>
      <c r="B243" s="106"/>
      <c r="C243" s="81"/>
      <c r="D243" s="81"/>
      <c r="E243" s="81"/>
      <c r="F243" s="81"/>
      <c r="G243" s="88"/>
      <c r="H243" s="88"/>
      <c r="I243" s="88"/>
      <c r="J243" s="88"/>
      <c r="K243" s="88"/>
      <c r="L243" s="88"/>
      <c r="M243" s="96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</row>
    <row r="244" spans="1:27" x14ac:dyDescent="0.25">
      <c r="A244" s="81"/>
      <c r="B244" s="106"/>
      <c r="C244" s="81"/>
      <c r="D244" s="81"/>
      <c r="E244" s="81"/>
      <c r="F244" s="81"/>
      <c r="G244" s="88"/>
      <c r="H244" s="88"/>
      <c r="I244" s="88"/>
      <c r="J244" s="88"/>
      <c r="K244" s="88"/>
      <c r="L244" s="88"/>
      <c r="M244" s="96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</row>
    <row r="245" spans="1:27" x14ac:dyDescent="0.25">
      <c r="A245" s="81"/>
      <c r="B245" s="106"/>
      <c r="C245" s="81"/>
      <c r="D245" s="81"/>
      <c r="E245" s="81"/>
      <c r="F245" s="81"/>
      <c r="G245" s="88"/>
      <c r="H245" s="88"/>
      <c r="I245" s="88"/>
      <c r="J245" s="88"/>
      <c r="K245" s="88"/>
      <c r="L245" s="88"/>
      <c r="M245" s="96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</row>
    <row r="246" spans="1:27" x14ac:dyDescent="0.25">
      <c r="A246" s="81"/>
      <c r="B246" s="106"/>
      <c r="C246" s="81"/>
      <c r="D246" s="81"/>
      <c r="E246" s="81"/>
      <c r="F246" s="81"/>
      <c r="G246" s="88"/>
      <c r="H246" s="88"/>
      <c r="I246" s="88"/>
      <c r="J246" s="88"/>
      <c r="K246" s="88"/>
      <c r="L246" s="88"/>
      <c r="M246" s="96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</row>
    <row r="247" spans="1:27" x14ac:dyDescent="0.25">
      <c r="A247" s="81"/>
      <c r="B247" s="106"/>
      <c r="C247" s="81"/>
      <c r="D247" s="81"/>
      <c r="E247" s="81"/>
      <c r="F247" s="81"/>
      <c r="G247" s="88"/>
      <c r="H247" s="88"/>
      <c r="I247" s="88"/>
      <c r="J247" s="88"/>
      <c r="K247" s="88"/>
      <c r="L247" s="88"/>
      <c r="M247" s="96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</row>
    <row r="248" spans="1:27" x14ac:dyDescent="0.25">
      <c r="A248" s="81"/>
      <c r="B248" s="106"/>
      <c r="C248" s="81"/>
      <c r="D248" s="81"/>
      <c r="E248" s="81"/>
      <c r="F248" s="81"/>
      <c r="G248" s="88"/>
      <c r="H248" s="88"/>
      <c r="I248" s="88"/>
      <c r="J248" s="88"/>
      <c r="K248" s="88"/>
      <c r="L248" s="88"/>
      <c r="M248" s="96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</row>
    <row r="249" spans="1:27" x14ac:dyDescent="0.25">
      <c r="A249" s="81"/>
      <c r="B249" s="106"/>
      <c r="C249" s="81"/>
      <c r="D249" s="81"/>
      <c r="E249" s="81"/>
      <c r="F249" s="81"/>
      <c r="G249" s="88"/>
      <c r="H249" s="88"/>
      <c r="I249" s="88"/>
      <c r="J249" s="88"/>
      <c r="K249" s="88"/>
      <c r="L249" s="88"/>
      <c r="M249" s="96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</row>
    <row r="250" spans="1:27" x14ac:dyDescent="0.25">
      <c r="A250" s="81"/>
      <c r="B250" s="106"/>
      <c r="C250" s="81"/>
      <c r="D250" s="81"/>
      <c r="E250" s="81"/>
      <c r="F250" s="81"/>
      <c r="G250" s="88"/>
      <c r="H250" s="88"/>
      <c r="I250" s="88"/>
      <c r="J250" s="88"/>
      <c r="K250" s="88"/>
      <c r="L250" s="88"/>
      <c r="M250" s="96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</row>
    <row r="251" spans="1:27" x14ac:dyDescent="0.25">
      <c r="A251" s="81"/>
      <c r="B251" s="106"/>
      <c r="C251" s="81"/>
      <c r="D251" s="81"/>
      <c r="E251" s="81"/>
      <c r="F251" s="81"/>
      <c r="G251" s="88"/>
      <c r="H251" s="88"/>
      <c r="I251" s="88"/>
      <c r="J251" s="88"/>
      <c r="K251" s="88"/>
      <c r="L251" s="88"/>
      <c r="M251" s="96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</row>
    <row r="252" spans="1:27" x14ac:dyDescent="0.25">
      <c r="A252" s="81"/>
      <c r="B252" s="106"/>
      <c r="C252" s="81"/>
      <c r="D252" s="81"/>
      <c r="E252" s="81"/>
      <c r="F252" s="81"/>
      <c r="G252" s="88"/>
      <c r="H252" s="88"/>
      <c r="I252" s="88"/>
      <c r="J252" s="88"/>
      <c r="K252" s="88"/>
      <c r="L252" s="88"/>
      <c r="M252" s="96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</row>
    <row r="253" spans="1:27" x14ac:dyDescent="0.25">
      <c r="A253" s="81"/>
      <c r="B253" s="106"/>
      <c r="C253" s="81"/>
      <c r="D253" s="81"/>
      <c r="E253" s="81"/>
      <c r="F253" s="81"/>
      <c r="G253" s="88"/>
      <c r="H253" s="88"/>
      <c r="I253" s="88"/>
      <c r="J253" s="88"/>
      <c r="K253" s="88"/>
      <c r="L253" s="88"/>
      <c r="M253" s="96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</row>
    <row r="254" spans="1:27" x14ac:dyDescent="0.25">
      <c r="A254" s="81"/>
      <c r="B254" s="106"/>
      <c r="C254" s="81"/>
      <c r="D254" s="81"/>
      <c r="E254" s="81"/>
      <c r="F254" s="81"/>
      <c r="G254" s="88"/>
      <c r="H254" s="88"/>
      <c r="I254" s="88"/>
      <c r="J254" s="88"/>
      <c r="K254" s="88"/>
      <c r="L254" s="88"/>
      <c r="M254" s="96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</row>
    <row r="255" spans="1:27" x14ac:dyDescent="0.25">
      <c r="A255" s="81"/>
      <c r="B255" s="106"/>
      <c r="C255" s="81"/>
      <c r="D255" s="81"/>
      <c r="E255" s="81"/>
      <c r="F255" s="81"/>
      <c r="G255" s="88"/>
      <c r="H255" s="88"/>
      <c r="I255" s="88"/>
      <c r="J255" s="88"/>
      <c r="K255" s="88"/>
      <c r="L255" s="88"/>
      <c r="M255" s="96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</row>
    <row r="256" spans="1:27" x14ac:dyDescent="0.25">
      <c r="A256" s="81"/>
      <c r="B256" s="106"/>
      <c r="C256" s="81"/>
      <c r="D256" s="81"/>
      <c r="E256" s="81"/>
      <c r="F256" s="81"/>
      <c r="G256" s="88"/>
      <c r="H256" s="88"/>
      <c r="I256" s="88"/>
      <c r="J256" s="88"/>
      <c r="K256" s="88"/>
      <c r="L256" s="88"/>
      <c r="M256" s="96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</row>
    <row r="257" spans="1:27" x14ac:dyDescent="0.25">
      <c r="A257" s="81"/>
      <c r="B257" s="106"/>
      <c r="C257" s="81"/>
      <c r="D257" s="81"/>
      <c r="E257" s="81"/>
      <c r="F257" s="81"/>
      <c r="G257" s="88"/>
      <c r="H257" s="88"/>
      <c r="I257" s="88"/>
      <c r="J257" s="88"/>
      <c r="K257" s="88"/>
      <c r="L257" s="88"/>
      <c r="M257" s="96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</row>
    <row r="258" spans="1:27" x14ac:dyDescent="0.25">
      <c r="A258" s="81"/>
      <c r="B258" s="106"/>
      <c r="C258" s="81"/>
      <c r="D258" s="81"/>
      <c r="E258" s="81"/>
      <c r="F258" s="81"/>
      <c r="G258" s="88"/>
      <c r="H258" s="88"/>
      <c r="I258" s="88"/>
      <c r="J258" s="88"/>
      <c r="K258" s="88"/>
      <c r="L258" s="88"/>
      <c r="M258" s="96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</row>
    <row r="259" spans="1:27" x14ac:dyDescent="0.25">
      <c r="A259" s="81"/>
      <c r="B259" s="106"/>
      <c r="C259" s="81"/>
      <c r="D259" s="81"/>
      <c r="E259" s="81"/>
      <c r="F259" s="81"/>
      <c r="G259" s="88"/>
      <c r="H259" s="88"/>
      <c r="I259" s="88"/>
      <c r="J259" s="88"/>
      <c r="K259" s="88"/>
      <c r="L259" s="88"/>
      <c r="M259" s="96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</row>
    <row r="260" spans="1:27" x14ac:dyDescent="0.25">
      <c r="A260" s="81"/>
      <c r="B260" s="106"/>
      <c r="C260" s="81"/>
      <c r="D260" s="81"/>
      <c r="E260" s="81"/>
      <c r="F260" s="81"/>
      <c r="G260" s="88"/>
      <c r="H260" s="88"/>
      <c r="I260" s="88"/>
      <c r="J260" s="88"/>
      <c r="K260" s="88"/>
      <c r="L260" s="88"/>
      <c r="M260" s="96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</row>
    <row r="261" spans="1:27" x14ac:dyDescent="0.25">
      <c r="A261" s="81"/>
      <c r="B261" s="106"/>
      <c r="C261" s="81"/>
      <c r="D261" s="81"/>
      <c r="E261" s="81"/>
      <c r="F261" s="81"/>
      <c r="G261" s="88"/>
      <c r="H261" s="88"/>
      <c r="I261" s="88"/>
      <c r="J261" s="88"/>
      <c r="K261" s="88"/>
      <c r="L261" s="88"/>
      <c r="M261" s="96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</row>
    <row r="262" spans="1:27" x14ac:dyDescent="0.25">
      <c r="A262" s="81"/>
      <c r="B262" s="106"/>
      <c r="C262" s="81"/>
      <c r="D262" s="81"/>
      <c r="E262" s="81"/>
      <c r="F262" s="81"/>
      <c r="G262" s="88"/>
      <c r="H262" s="88"/>
      <c r="I262" s="88"/>
      <c r="J262" s="88"/>
      <c r="K262" s="88"/>
      <c r="L262" s="88"/>
      <c r="M262" s="96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</row>
    <row r="263" spans="1:27" x14ac:dyDescent="0.25">
      <c r="A263" s="81"/>
      <c r="B263" s="106"/>
      <c r="C263" s="81"/>
      <c r="D263" s="81"/>
      <c r="E263" s="81"/>
      <c r="F263" s="81"/>
      <c r="G263" s="88"/>
      <c r="H263" s="88"/>
      <c r="I263" s="88"/>
      <c r="J263" s="88"/>
      <c r="K263" s="88"/>
      <c r="L263" s="88"/>
      <c r="M263" s="96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</row>
    <row r="264" spans="1:27" x14ac:dyDescent="0.25">
      <c r="A264" s="81"/>
      <c r="B264" s="106"/>
      <c r="C264" s="81"/>
      <c r="D264" s="81"/>
      <c r="E264" s="81"/>
      <c r="F264" s="81"/>
      <c r="G264" s="88"/>
      <c r="H264" s="88"/>
      <c r="I264" s="88"/>
      <c r="J264" s="88"/>
      <c r="K264" s="88"/>
      <c r="L264" s="88"/>
      <c r="M264" s="96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</row>
    <row r="265" spans="1:27" x14ac:dyDescent="0.25">
      <c r="A265" s="81"/>
      <c r="B265" s="106"/>
      <c r="C265" s="81"/>
      <c r="D265" s="81"/>
      <c r="E265" s="81"/>
      <c r="F265" s="81"/>
      <c r="G265" s="88"/>
      <c r="H265" s="88"/>
      <c r="I265" s="88"/>
      <c r="J265" s="88"/>
      <c r="K265" s="88"/>
      <c r="L265" s="88"/>
      <c r="M265" s="96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</row>
    <row r="266" spans="1:27" x14ac:dyDescent="0.25">
      <c r="A266" s="81"/>
      <c r="B266" s="106"/>
      <c r="C266" s="81"/>
      <c r="D266" s="81"/>
      <c r="E266" s="81"/>
      <c r="F266" s="81"/>
      <c r="G266" s="88"/>
      <c r="H266" s="88"/>
      <c r="I266" s="88"/>
      <c r="J266" s="88"/>
      <c r="K266" s="88"/>
      <c r="L266" s="88"/>
      <c r="M266" s="96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</row>
    <row r="267" spans="1:27" x14ac:dyDescent="0.25">
      <c r="A267" s="81"/>
      <c r="B267" s="106"/>
      <c r="C267" s="81"/>
      <c r="D267" s="81"/>
      <c r="E267" s="81"/>
      <c r="F267" s="81"/>
      <c r="G267" s="88"/>
      <c r="H267" s="88"/>
      <c r="I267" s="88"/>
      <c r="J267" s="88"/>
      <c r="K267" s="88"/>
      <c r="L267" s="88"/>
      <c r="M267" s="96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</row>
    <row r="268" spans="1:27" x14ac:dyDescent="0.25">
      <c r="A268" s="81"/>
      <c r="B268" s="106"/>
      <c r="C268" s="81"/>
      <c r="D268" s="81"/>
      <c r="E268" s="81"/>
      <c r="F268" s="81"/>
      <c r="G268" s="88"/>
      <c r="H268" s="88"/>
      <c r="I268" s="88"/>
      <c r="J268" s="88"/>
      <c r="K268" s="88"/>
      <c r="L268" s="88"/>
      <c r="M268" s="96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</row>
    <row r="269" spans="1:27" x14ac:dyDescent="0.25">
      <c r="A269" s="81"/>
      <c r="B269" s="106"/>
      <c r="C269" s="81"/>
      <c r="D269" s="81"/>
      <c r="E269" s="81"/>
      <c r="F269" s="81"/>
      <c r="G269" s="88"/>
      <c r="H269" s="88"/>
      <c r="I269" s="88"/>
      <c r="J269" s="88"/>
      <c r="K269" s="88"/>
      <c r="L269" s="88"/>
      <c r="M269" s="96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</row>
    <row r="270" spans="1:27" x14ac:dyDescent="0.25">
      <c r="A270" s="81"/>
      <c r="B270" s="106"/>
      <c r="C270" s="81"/>
      <c r="D270" s="81"/>
      <c r="E270" s="81"/>
      <c r="F270" s="81"/>
      <c r="G270" s="88"/>
      <c r="H270" s="88"/>
      <c r="I270" s="88"/>
      <c r="J270" s="88"/>
      <c r="K270" s="88"/>
      <c r="L270" s="88"/>
      <c r="M270" s="96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</row>
    <row r="271" spans="1:27" x14ac:dyDescent="0.25">
      <c r="A271" s="81"/>
      <c r="B271" s="106"/>
      <c r="C271" s="81"/>
      <c r="D271" s="81"/>
      <c r="E271" s="81"/>
      <c r="F271" s="81"/>
      <c r="G271" s="88"/>
      <c r="H271" s="88"/>
      <c r="I271" s="88"/>
      <c r="J271" s="88"/>
      <c r="K271" s="88"/>
      <c r="L271" s="88"/>
      <c r="M271" s="96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</row>
    <row r="272" spans="1:27" x14ac:dyDescent="0.25">
      <c r="A272" s="81"/>
      <c r="B272" s="106"/>
      <c r="C272" s="81"/>
      <c r="D272" s="81"/>
      <c r="E272" s="81"/>
      <c r="F272" s="81"/>
      <c r="G272" s="88"/>
      <c r="H272" s="88"/>
      <c r="I272" s="88"/>
      <c r="J272" s="88"/>
      <c r="K272" s="88"/>
      <c r="L272" s="88"/>
      <c r="M272" s="96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</row>
    <row r="273" spans="1:27" x14ac:dyDescent="0.25">
      <c r="A273" s="81"/>
      <c r="B273" s="106"/>
      <c r="C273" s="81"/>
      <c r="D273" s="81"/>
      <c r="E273" s="81"/>
      <c r="F273" s="81"/>
      <c r="G273" s="88"/>
      <c r="H273" s="88"/>
      <c r="I273" s="88"/>
      <c r="J273" s="88"/>
      <c r="K273" s="88"/>
      <c r="L273" s="88"/>
      <c r="M273" s="96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</row>
    <row r="274" spans="1:27" x14ac:dyDescent="0.25">
      <c r="A274" s="81"/>
      <c r="B274" s="106"/>
      <c r="C274" s="81"/>
      <c r="D274" s="81"/>
      <c r="E274" s="81"/>
      <c r="F274" s="81"/>
      <c r="G274" s="88"/>
      <c r="H274" s="88"/>
      <c r="I274" s="88"/>
      <c r="J274" s="88"/>
      <c r="K274" s="88"/>
      <c r="L274" s="88"/>
      <c r="M274" s="96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</row>
    <row r="275" spans="1:27" x14ac:dyDescent="0.25">
      <c r="A275" s="81"/>
      <c r="B275" s="106"/>
      <c r="C275" s="81"/>
      <c r="D275" s="81"/>
      <c r="E275" s="81"/>
      <c r="F275" s="81"/>
      <c r="G275" s="88"/>
      <c r="H275" s="88"/>
      <c r="I275" s="88"/>
      <c r="J275" s="88"/>
      <c r="K275" s="88"/>
      <c r="L275" s="88"/>
      <c r="M275" s="96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</row>
    <row r="276" spans="1:27" x14ac:dyDescent="0.25">
      <c r="A276" s="81"/>
      <c r="B276" s="106"/>
      <c r="C276" s="81"/>
      <c r="D276" s="81"/>
      <c r="E276" s="81"/>
      <c r="F276" s="81"/>
      <c r="G276" s="88"/>
      <c r="H276" s="88"/>
      <c r="I276" s="88"/>
      <c r="J276" s="88"/>
      <c r="K276" s="88"/>
      <c r="L276" s="88"/>
      <c r="M276" s="96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</row>
    <row r="277" spans="1:27" x14ac:dyDescent="0.25">
      <c r="A277" s="81"/>
      <c r="B277" s="106"/>
      <c r="C277" s="81"/>
      <c r="D277" s="81"/>
      <c r="E277" s="81"/>
      <c r="F277" s="81"/>
      <c r="G277" s="88"/>
      <c r="H277" s="88"/>
      <c r="I277" s="88"/>
      <c r="J277" s="88"/>
      <c r="K277" s="88"/>
      <c r="L277" s="88"/>
      <c r="M277" s="96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</row>
    <row r="278" spans="1:27" x14ac:dyDescent="0.25">
      <c r="A278" s="81"/>
      <c r="B278" s="106"/>
      <c r="C278" s="81"/>
      <c r="D278" s="81"/>
      <c r="E278" s="81"/>
      <c r="F278" s="81"/>
      <c r="G278" s="88"/>
      <c r="H278" s="88"/>
      <c r="I278" s="88"/>
      <c r="J278" s="88"/>
      <c r="K278" s="88"/>
      <c r="L278" s="88"/>
      <c r="M278" s="96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</row>
    <row r="279" spans="1:27" x14ac:dyDescent="0.25">
      <c r="A279" s="81"/>
      <c r="B279" s="106"/>
      <c r="C279" s="81"/>
      <c r="D279" s="81"/>
      <c r="E279" s="81"/>
      <c r="F279" s="81"/>
      <c r="G279" s="88"/>
      <c r="H279" s="88"/>
      <c r="I279" s="88"/>
      <c r="J279" s="88"/>
      <c r="K279" s="88"/>
      <c r="L279" s="88"/>
      <c r="M279" s="96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</row>
    <row r="280" spans="1:27" x14ac:dyDescent="0.25">
      <c r="A280" s="81"/>
      <c r="B280" s="106"/>
      <c r="C280" s="81"/>
      <c r="D280" s="81"/>
      <c r="E280" s="81"/>
      <c r="F280" s="81"/>
      <c r="G280" s="88"/>
      <c r="H280" s="88"/>
      <c r="I280" s="88"/>
      <c r="J280" s="88"/>
      <c r="K280" s="88"/>
      <c r="L280" s="88"/>
      <c r="M280" s="96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</row>
    <row r="281" spans="1:27" x14ac:dyDescent="0.25">
      <c r="A281" s="81"/>
      <c r="B281" s="106"/>
      <c r="C281" s="81"/>
      <c r="D281" s="81"/>
      <c r="E281" s="81"/>
      <c r="F281" s="81"/>
      <c r="G281" s="88"/>
      <c r="H281" s="88"/>
      <c r="I281" s="88"/>
      <c r="J281" s="88"/>
      <c r="K281" s="88"/>
      <c r="L281" s="88"/>
      <c r="M281" s="96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</row>
    <row r="282" spans="1:27" x14ac:dyDescent="0.25">
      <c r="A282" s="81"/>
      <c r="B282" s="106"/>
      <c r="C282" s="81"/>
      <c r="D282" s="81"/>
      <c r="E282" s="81"/>
      <c r="F282" s="81"/>
      <c r="G282" s="88"/>
      <c r="H282" s="88"/>
      <c r="I282" s="88"/>
      <c r="J282" s="88"/>
      <c r="K282" s="88"/>
      <c r="L282" s="88"/>
      <c r="M282" s="96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</row>
    <row r="283" spans="1:27" x14ac:dyDescent="0.25">
      <c r="A283" s="81"/>
      <c r="B283" s="106"/>
      <c r="C283" s="81"/>
      <c r="D283" s="81"/>
      <c r="E283" s="81"/>
      <c r="F283" s="81"/>
      <c r="G283" s="88"/>
      <c r="H283" s="88"/>
      <c r="I283" s="88"/>
      <c r="J283" s="88"/>
      <c r="K283" s="88"/>
      <c r="L283" s="88"/>
      <c r="M283" s="96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</row>
    <row r="284" spans="1:27" x14ac:dyDescent="0.25">
      <c r="A284" s="81"/>
      <c r="B284" s="106"/>
      <c r="C284" s="81"/>
      <c r="D284" s="81"/>
      <c r="E284" s="81"/>
      <c r="F284" s="81"/>
      <c r="G284" s="88"/>
      <c r="H284" s="88"/>
      <c r="I284" s="88"/>
      <c r="J284" s="88"/>
      <c r="K284" s="88"/>
      <c r="L284" s="88"/>
      <c r="M284" s="96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</row>
    <row r="285" spans="1:27" x14ac:dyDescent="0.25">
      <c r="A285" s="81"/>
      <c r="B285" s="106"/>
      <c r="C285" s="81"/>
      <c r="D285" s="81"/>
      <c r="E285" s="81"/>
      <c r="F285" s="81"/>
      <c r="G285" s="88"/>
      <c r="H285" s="88"/>
      <c r="I285" s="88"/>
      <c r="J285" s="88"/>
      <c r="K285" s="88"/>
      <c r="L285" s="88"/>
      <c r="M285" s="96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</row>
    <row r="286" spans="1:27" x14ac:dyDescent="0.25">
      <c r="A286" s="81"/>
      <c r="B286" s="106"/>
      <c r="C286" s="81"/>
      <c r="D286" s="81"/>
      <c r="E286" s="81"/>
      <c r="F286" s="81"/>
      <c r="G286" s="88"/>
      <c r="H286" s="88"/>
      <c r="I286" s="88"/>
      <c r="J286" s="88"/>
      <c r="K286" s="88"/>
      <c r="L286" s="88"/>
      <c r="M286" s="96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</row>
    <row r="287" spans="1:27" x14ac:dyDescent="0.25">
      <c r="A287" s="81"/>
      <c r="B287" s="106"/>
      <c r="C287" s="81"/>
      <c r="D287" s="81"/>
      <c r="E287" s="81"/>
      <c r="F287" s="81"/>
      <c r="G287" s="88"/>
      <c r="H287" s="88"/>
      <c r="I287" s="88"/>
      <c r="J287" s="88"/>
      <c r="K287" s="88"/>
      <c r="L287" s="88"/>
      <c r="M287" s="96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</row>
    <row r="288" spans="1:27" x14ac:dyDescent="0.25">
      <c r="A288" s="81"/>
      <c r="B288" s="106"/>
      <c r="C288" s="81"/>
      <c r="D288" s="81"/>
      <c r="E288" s="81"/>
      <c r="F288" s="81"/>
      <c r="G288" s="88"/>
      <c r="H288" s="88"/>
      <c r="I288" s="88"/>
      <c r="J288" s="88"/>
      <c r="K288" s="88"/>
      <c r="L288" s="88"/>
      <c r="M288" s="96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</row>
    <row r="289" spans="1:27" x14ac:dyDescent="0.25">
      <c r="A289" s="81"/>
      <c r="B289" s="106"/>
      <c r="C289" s="81"/>
      <c r="D289" s="81"/>
      <c r="E289" s="81"/>
      <c r="F289" s="81"/>
      <c r="G289" s="88"/>
      <c r="H289" s="88"/>
      <c r="I289" s="88"/>
      <c r="J289" s="88"/>
      <c r="K289" s="88"/>
      <c r="L289" s="88"/>
      <c r="M289" s="96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</row>
    <row r="290" spans="1:27" x14ac:dyDescent="0.25">
      <c r="A290" s="81"/>
      <c r="B290" s="106"/>
      <c r="C290" s="81"/>
      <c r="D290" s="81"/>
      <c r="E290" s="81"/>
      <c r="F290" s="81"/>
      <c r="G290" s="88"/>
      <c r="H290" s="88"/>
      <c r="I290" s="88"/>
      <c r="J290" s="88"/>
      <c r="K290" s="88"/>
      <c r="L290" s="88"/>
      <c r="M290" s="96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</row>
    <row r="291" spans="1:27" x14ac:dyDescent="0.25">
      <c r="A291" s="81"/>
      <c r="B291" s="106"/>
      <c r="C291" s="81"/>
      <c r="D291" s="81"/>
      <c r="E291" s="81"/>
      <c r="F291" s="81"/>
      <c r="G291" s="88"/>
      <c r="H291" s="88"/>
      <c r="I291" s="88"/>
      <c r="J291" s="88"/>
      <c r="K291" s="88"/>
      <c r="L291" s="88"/>
      <c r="M291" s="96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</row>
    <row r="292" spans="1:27" x14ac:dyDescent="0.25">
      <c r="A292" s="81"/>
      <c r="B292" s="106"/>
      <c r="C292" s="81"/>
      <c r="D292" s="81"/>
      <c r="E292" s="81"/>
      <c r="F292" s="81"/>
      <c r="G292" s="88"/>
      <c r="H292" s="88"/>
      <c r="I292" s="88"/>
      <c r="J292" s="88"/>
      <c r="K292" s="88"/>
      <c r="L292" s="88"/>
      <c r="M292" s="96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</row>
    <row r="293" spans="1:27" x14ac:dyDescent="0.25">
      <c r="A293" s="81"/>
      <c r="B293" s="106"/>
      <c r="C293" s="81"/>
      <c r="D293" s="81"/>
      <c r="E293" s="81"/>
      <c r="F293" s="81"/>
      <c r="G293" s="88"/>
      <c r="H293" s="88"/>
      <c r="I293" s="88"/>
      <c r="J293" s="88"/>
      <c r="K293" s="88"/>
      <c r="L293" s="88"/>
      <c r="M293" s="96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</row>
    <row r="294" spans="1:27" x14ac:dyDescent="0.25">
      <c r="A294" s="81"/>
      <c r="B294" s="106"/>
      <c r="C294" s="81"/>
      <c r="D294" s="81"/>
      <c r="E294" s="81"/>
      <c r="F294" s="81"/>
      <c r="G294" s="88"/>
      <c r="H294" s="88"/>
      <c r="I294" s="88"/>
      <c r="J294" s="88"/>
      <c r="K294" s="88"/>
      <c r="L294" s="88"/>
      <c r="M294" s="96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</row>
    <row r="295" spans="1:27" x14ac:dyDescent="0.25">
      <c r="A295" s="81"/>
      <c r="B295" s="106"/>
      <c r="C295" s="81"/>
      <c r="D295" s="81"/>
      <c r="E295" s="81"/>
      <c r="F295" s="81"/>
      <c r="G295" s="88"/>
      <c r="H295" s="88"/>
      <c r="I295" s="88"/>
      <c r="J295" s="88"/>
      <c r="K295" s="88"/>
      <c r="L295" s="88"/>
      <c r="M295" s="96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</row>
    <row r="296" spans="1:27" x14ac:dyDescent="0.25">
      <c r="A296" s="81"/>
      <c r="B296" s="106"/>
      <c r="C296" s="81"/>
      <c r="D296" s="81"/>
      <c r="E296" s="81"/>
      <c r="F296" s="81"/>
      <c r="G296" s="88"/>
      <c r="H296" s="88"/>
      <c r="I296" s="88"/>
      <c r="J296" s="88"/>
      <c r="K296" s="88"/>
      <c r="L296" s="88"/>
      <c r="M296" s="96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</row>
    <row r="297" spans="1:27" x14ac:dyDescent="0.25">
      <c r="A297" s="81"/>
      <c r="B297" s="106"/>
      <c r="C297" s="81"/>
      <c r="D297" s="81"/>
      <c r="E297" s="81"/>
      <c r="F297" s="81"/>
      <c r="G297" s="88"/>
      <c r="H297" s="88"/>
      <c r="I297" s="88"/>
      <c r="J297" s="88"/>
      <c r="K297" s="88"/>
      <c r="L297" s="88"/>
      <c r="M297" s="96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</row>
    <row r="298" spans="1:27" x14ac:dyDescent="0.25">
      <c r="A298" s="81"/>
      <c r="B298" s="106"/>
      <c r="C298" s="81"/>
      <c r="D298" s="81"/>
      <c r="E298" s="81"/>
      <c r="F298" s="81"/>
      <c r="G298" s="88"/>
      <c r="H298" s="88"/>
      <c r="I298" s="88"/>
      <c r="J298" s="88"/>
      <c r="K298" s="88"/>
      <c r="L298" s="88"/>
      <c r="M298" s="96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</row>
    <row r="299" spans="1:27" x14ac:dyDescent="0.25">
      <c r="A299" s="81"/>
      <c r="B299" s="106"/>
      <c r="C299" s="81"/>
      <c r="D299" s="81"/>
      <c r="E299" s="81"/>
      <c r="F299" s="81"/>
      <c r="G299" s="88"/>
      <c r="H299" s="88"/>
      <c r="I299" s="88"/>
      <c r="J299" s="88"/>
      <c r="K299" s="88"/>
      <c r="L299" s="88"/>
      <c r="M299" s="96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</row>
    <row r="300" spans="1:27" x14ac:dyDescent="0.25">
      <c r="A300" s="81"/>
      <c r="B300" s="106"/>
      <c r="C300" s="81"/>
      <c r="D300" s="81"/>
      <c r="E300" s="81"/>
      <c r="F300" s="81"/>
      <c r="G300" s="88"/>
      <c r="H300" s="88"/>
      <c r="I300" s="88"/>
      <c r="J300" s="88"/>
      <c r="K300" s="88"/>
      <c r="L300" s="88"/>
      <c r="M300" s="96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</row>
    <row r="301" spans="1:27" x14ac:dyDescent="0.25">
      <c r="A301" s="81"/>
      <c r="B301" s="106"/>
      <c r="C301" s="81"/>
      <c r="D301" s="81"/>
      <c r="E301" s="81"/>
      <c r="F301" s="81"/>
      <c r="G301" s="88"/>
      <c r="H301" s="88"/>
      <c r="I301" s="88"/>
      <c r="J301" s="88"/>
      <c r="K301" s="88"/>
      <c r="L301" s="88"/>
      <c r="M301" s="96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</row>
    <row r="302" spans="1:27" x14ac:dyDescent="0.25">
      <c r="A302" s="81"/>
      <c r="B302" s="106"/>
      <c r="C302" s="81"/>
      <c r="D302" s="81"/>
      <c r="E302" s="81"/>
      <c r="F302" s="81"/>
      <c r="G302" s="88"/>
      <c r="H302" s="88"/>
      <c r="I302" s="88"/>
      <c r="J302" s="88"/>
      <c r="K302" s="88"/>
      <c r="L302" s="88"/>
      <c r="M302" s="96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</row>
    <row r="303" spans="1:27" x14ac:dyDescent="0.25">
      <c r="A303" s="81"/>
      <c r="B303" s="106"/>
      <c r="C303" s="81"/>
      <c r="D303" s="81"/>
      <c r="E303" s="81"/>
      <c r="F303" s="81"/>
      <c r="G303" s="88"/>
      <c r="H303" s="88"/>
      <c r="I303" s="88"/>
      <c r="J303" s="88"/>
      <c r="K303" s="88"/>
      <c r="L303" s="88"/>
      <c r="M303" s="96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</row>
    <row r="304" spans="1:27" x14ac:dyDescent="0.25">
      <c r="A304" s="81"/>
      <c r="B304" s="106"/>
      <c r="C304" s="81"/>
      <c r="D304" s="81"/>
      <c r="E304" s="81"/>
      <c r="F304" s="81"/>
      <c r="G304" s="88"/>
      <c r="H304" s="88"/>
      <c r="I304" s="88"/>
      <c r="J304" s="88"/>
      <c r="K304" s="88"/>
      <c r="L304" s="88"/>
      <c r="M304" s="96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</row>
    <row r="305" spans="1:27" x14ac:dyDescent="0.25">
      <c r="A305" s="81"/>
      <c r="B305" s="106"/>
      <c r="C305" s="81"/>
      <c r="D305" s="81"/>
      <c r="E305" s="81"/>
      <c r="F305" s="81"/>
      <c r="G305" s="88"/>
      <c r="H305" s="88"/>
      <c r="I305" s="88"/>
      <c r="J305" s="88"/>
      <c r="K305" s="88"/>
      <c r="L305" s="88"/>
      <c r="M305" s="96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</row>
    <row r="306" spans="1:27" x14ac:dyDescent="0.25">
      <c r="A306" s="81"/>
      <c r="B306" s="106"/>
      <c r="C306" s="81"/>
      <c r="D306" s="81"/>
      <c r="E306" s="81"/>
      <c r="F306" s="81"/>
      <c r="G306" s="88"/>
      <c r="H306" s="88"/>
      <c r="I306" s="88"/>
      <c r="J306" s="88"/>
      <c r="K306" s="88"/>
      <c r="L306" s="88"/>
      <c r="M306" s="96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</row>
    <row r="307" spans="1:27" x14ac:dyDescent="0.25">
      <c r="A307" s="81"/>
      <c r="B307" s="106"/>
      <c r="C307" s="81"/>
      <c r="D307" s="81"/>
      <c r="E307" s="81"/>
      <c r="F307" s="81"/>
      <c r="G307" s="88"/>
      <c r="H307" s="88"/>
      <c r="I307" s="88"/>
      <c r="J307" s="88"/>
      <c r="K307" s="88"/>
      <c r="L307" s="88"/>
      <c r="M307" s="96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</row>
    <row r="308" spans="1:27" x14ac:dyDescent="0.25">
      <c r="A308" s="81"/>
      <c r="B308" s="106"/>
      <c r="C308" s="81"/>
      <c r="D308" s="81"/>
      <c r="E308" s="81"/>
      <c r="F308" s="81"/>
      <c r="G308" s="88"/>
      <c r="H308" s="88"/>
      <c r="I308" s="88"/>
      <c r="J308" s="88"/>
      <c r="K308" s="88"/>
      <c r="L308" s="88"/>
      <c r="M308" s="96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</row>
    <row r="309" spans="1:27" x14ac:dyDescent="0.25">
      <c r="A309" s="81"/>
      <c r="B309" s="106"/>
      <c r="C309" s="81"/>
      <c r="D309" s="81"/>
      <c r="E309" s="81"/>
      <c r="F309" s="81"/>
      <c r="G309" s="88"/>
      <c r="H309" s="88"/>
      <c r="I309" s="88"/>
      <c r="J309" s="88"/>
      <c r="K309" s="88"/>
      <c r="L309" s="88"/>
      <c r="M309" s="96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</row>
    <row r="310" spans="1:27" x14ac:dyDescent="0.25">
      <c r="A310" s="81"/>
      <c r="B310" s="106"/>
      <c r="C310" s="81"/>
      <c r="D310" s="81"/>
      <c r="E310" s="81"/>
      <c r="F310" s="81"/>
      <c r="G310" s="88"/>
      <c r="H310" s="88"/>
      <c r="I310" s="88"/>
      <c r="J310" s="88"/>
      <c r="K310" s="88"/>
      <c r="L310" s="88"/>
      <c r="M310" s="96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</row>
    <row r="311" spans="1:27" x14ac:dyDescent="0.25">
      <c r="A311" s="81"/>
      <c r="B311" s="106"/>
      <c r="C311" s="81"/>
      <c r="D311" s="81"/>
      <c r="E311" s="81"/>
      <c r="F311" s="81"/>
      <c r="G311" s="88"/>
      <c r="H311" s="88"/>
      <c r="I311" s="88"/>
      <c r="J311" s="88"/>
      <c r="K311" s="88"/>
      <c r="L311" s="88"/>
      <c r="M311" s="96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</row>
    <row r="312" spans="1:27" x14ac:dyDescent="0.25">
      <c r="A312" s="81"/>
      <c r="B312" s="106"/>
      <c r="C312" s="81"/>
      <c r="D312" s="81"/>
      <c r="E312" s="81"/>
      <c r="F312" s="81"/>
      <c r="G312" s="88"/>
      <c r="H312" s="88"/>
      <c r="I312" s="88"/>
      <c r="J312" s="88"/>
      <c r="K312" s="88"/>
      <c r="L312" s="88"/>
      <c r="M312" s="96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</row>
    <row r="313" spans="1:27" x14ac:dyDescent="0.25">
      <c r="A313" s="81"/>
      <c r="B313" s="106"/>
      <c r="C313" s="81"/>
      <c r="D313" s="81"/>
      <c r="E313" s="81"/>
      <c r="F313" s="81"/>
      <c r="G313" s="88"/>
      <c r="H313" s="88"/>
      <c r="I313" s="88"/>
      <c r="J313" s="88"/>
      <c r="K313" s="88"/>
      <c r="L313" s="88"/>
      <c r="M313" s="96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</row>
    <row r="314" spans="1:27" x14ac:dyDescent="0.25">
      <c r="A314" s="81"/>
      <c r="B314" s="106"/>
      <c r="C314" s="81"/>
      <c r="D314" s="81"/>
      <c r="E314" s="81"/>
      <c r="F314" s="81"/>
      <c r="G314" s="88"/>
      <c r="H314" s="88"/>
      <c r="I314" s="88"/>
      <c r="J314" s="88"/>
      <c r="K314" s="88"/>
      <c r="L314" s="88"/>
      <c r="M314" s="96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</row>
    <row r="315" spans="1:27" x14ac:dyDescent="0.25">
      <c r="A315" s="81"/>
      <c r="B315" s="106"/>
      <c r="C315" s="81"/>
      <c r="D315" s="81"/>
      <c r="E315" s="81"/>
      <c r="F315" s="81"/>
      <c r="G315" s="88"/>
      <c r="H315" s="88"/>
      <c r="I315" s="88"/>
      <c r="J315" s="88"/>
      <c r="K315" s="88"/>
      <c r="L315" s="88"/>
      <c r="M315" s="96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</row>
    <row r="316" spans="1:27" x14ac:dyDescent="0.25">
      <c r="A316" s="81"/>
      <c r="B316" s="106"/>
      <c r="C316" s="81"/>
      <c r="D316" s="81"/>
      <c r="E316" s="81"/>
      <c r="F316" s="81"/>
      <c r="G316" s="88"/>
      <c r="H316" s="88"/>
      <c r="I316" s="88"/>
      <c r="J316" s="88"/>
      <c r="K316" s="88"/>
      <c r="L316" s="88"/>
      <c r="M316" s="96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</row>
    <row r="317" spans="1:27" x14ac:dyDescent="0.25">
      <c r="A317" s="81"/>
      <c r="B317" s="106"/>
      <c r="C317" s="81"/>
      <c r="D317" s="81"/>
      <c r="E317" s="81"/>
      <c r="F317" s="81"/>
      <c r="G317" s="88"/>
      <c r="H317" s="88"/>
      <c r="I317" s="88"/>
      <c r="J317" s="88"/>
      <c r="K317" s="88"/>
      <c r="L317" s="88"/>
      <c r="M317" s="96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</row>
    <row r="318" spans="1:27" x14ac:dyDescent="0.25">
      <c r="A318" s="81"/>
      <c r="B318" s="106"/>
      <c r="C318" s="81"/>
      <c r="D318" s="81"/>
      <c r="E318" s="81"/>
      <c r="F318" s="81"/>
      <c r="G318" s="88"/>
      <c r="H318" s="88"/>
      <c r="I318" s="88"/>
      <c r="J318" s="88"/>
      <c r="K318" s="88"/>
      <c r="L318" s="88"/>
      <c r="M318" s="96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</row>
    <row r="319" spans="1:27" x14ac:dyDescent="0.25">
      <c r="A319" s="81"/>
      <c r="B319" s="106"/>
      <c r="C319" s="81"/>
      <c r="D319" s="81"/>
      <c r="E319" s="81"/>
      <c r="F319" s="81"/>
      <c r="G319" s="88"/>
      <c r="H319" s="88"/>
      <c r="I319" s="88"/>
      <c r="J319" s="88"/>
      <c r="K319" s="88"/>
      <c r="L319" s="88"/>
      <c r="M319" s="96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</row>
    <row r="320" spans="1:27" x14ac:dyDescent="0.25">
      <c r="A320" s="81"/>
      <c r="B320" s="106"/>
      <c r="C320" s="81"/>
      <c r="D320" s="81"/>
      <c r="E320" s="81"/>
      <c r="F320" s="81"/>
      <c r="G320" s="88"/>
      <c r="H320" s="88"/>
      <c r="I320" s="88"/>
      <c r="J320" s="88"/>
      <c r="K320" s="88"/>
      <c r="L320" s="88"/>
      <c r="M320" s="96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</row>
    <row r="321" spans="1:27" x14ac:dyDescent="0.25">
      <c r="A321" s="81"/>
      <c r="B321" s="106"/>
      <c r="C321" s="81"/>
      <c r="D321" s="81"/>
      <c r="E321" s="81"/>
      <c r="F321" s="81"/>
      <c r="G321" s="88"/>
      <c r="H321" s="88"/>
      <c r="I321" s="88"/>
      <c r="J321" s="88"/>
      <c r="K321" s="88"/>
      <c r="L321" s="88"/>
      <c r="M321" s="96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</row>
    <row r="322" spans="1:27" x14ac:dyDescent="0.25">
      <c r="A322" s="81"/>
      <c r="B322" s="106"/>
      <c r="C322" s="81"/>
      <c r="D322" s="81"/>
      <c r="E322" s="81"/>
      <c r="F322" s="81"/>
      <c r="G322" s="88"/>
      <c r="H322" s="88"/>
      <c r="I322" s="88"/>
      <c r="J322" s="88"/>
      <c r="K322" s="88"/>
      <c r="L322" s="88"/>
      <c r="M322" s="96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</row>
    <row r="323" spans="1:27" x14ac:dyDescent="0.25">
      <c r="A323" s="81"/>
      <c r="B323" s="106"/>
      <c r="C323" s="81"/>
      <c r="D323" s="81"/>
      <c r="E323" s="81"/>
      <c r="F323" s="81"/>
      <c r="G323" s="88"/>
      <c r="H323" s="88"/>
      <c r="I323" s="88"/>
      <c r="J323" s="88"/>
      <c r="K323" s="88"/>
      <c r="L323" s="88"/>
      <c r="M323" s="96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</row>
    <row r="324" spans="1:27" x14ac:dyDescent="0.25">
      <c r="A324" s="81"/>
      <c r="B324" s="106"/>
      <c r="C324" s="81"/>
      <c r="D324" s="81"/>
      <c r="E324" s="81"/>
      <c r="F324" s="81"/>
      <c r="G324" s="88"/>
      <c r="H324" s="88"/>
      <c r="I324" s="88"/>
      <c r="J324" s="88"/>
      <c r="K324" s="88"/>
      <c r="L324" s="88"/>
      <c r="M324" s="96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</row>
    <row r="325" spans="1:27" x14ac:dyDescent="0.25">
      <c r="A325" s="81"/>
      <c r="B325" s="106"/>
      <c r="C325" s="81"/>
      <c r="D325" s="81"/>
      <c r="E325" s="81"/>
      <c r="F325" s="81"/>
      <c r="G325" s="88"/>
      <c r="H325" s="88"/>
      <c r="I325" s="88"/>
      <c r="J325" s="88"/>
      <c r="K325" s="88"/>
      <c r="L325" s="88"/>
      <c r="M325" s="96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</row>
    <row r="326" spans="1:27" x14ac:dyDescent="0.25">
      <c r="A326" s="81"/>
      <c r="B326" s="106"/>
      <c r="C326" s="81"/>
      <c r="D326" s="81"/>
      <c r="E326" s="81"/>
      <c r="F326" s="81"/>
      <c r="G326" s="88"/>
      <c r="H326" s="88"/>
      <c r="I326" s="88"/>
      <c r="J326" s="88"/>
      <c r="K326" s="88"/>
      <c r="L326" s="88"/>
      <c r="M326" s="96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</row>
    <row r="327" spans="1:27" x14ac:dyDescent="0.25">
      <c r="A327" s="81"/>
      <c r="B327" s="106"/>
      <c r="C327" s="81"/>
      <c r="D327" s="81"/>
      <c r="E327" s="81"/>
      <c r="F327" s="81"/>
      <c r="G327" s="88"/>
      <c r="H327" s="88"/>
      <c r="I327" s="88"/>
      <c r="J327" s="88"/>
      <c r="K327" s="88"/>
      <c r="L327" s="88"/>
      <c r="M327" s="96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</row>
    <row r="328" spans="1:27" x14ac:dyDescent="0.25">
      <c r="A328" s="81"/>
      <c r="B328" s="106"/>
      <c r="C328" s="81"/>
      <c r="D328" s="81"/>
      <c r="E328" s="81"/>
      <c r="F328" s="81"/>
      <c r="G328" s="88"/>
      <c r="H328" s="88"/>
      <c r="I328" s="88"/>
      <c r="J328" s="88"/>
      <c r="K328" s="88"/>
      <c r="L328" s="88"/>
      <c r="M328" s="96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</row>
    <row r="329" spans="1:27" x14ac:dyDescent="0.25">
      <c r="A329" s="81"/>
      <c r="B329" s="106"/>
      <c r="C329" s="81"/>
      <c r="D329" s="81"/>
      <c r="E329" s="81"/>
      <c r="F329" s="81"/>
      <c r="G329" s="88"/>
      <c r="H329" s="88"/>
      <c r="I329" s="88"/>
      <c r="J329" s="88"/>
      <c r="K329" s="88"/>
      <c r="L329" s="88"/>
      <c r="M329" s="96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</row>
    <row r="330" spans="1:27" x14ac:dyDescent="0.25">
      <c r="A330" s="81"/>
      <c r="B330" s="106"/>
      <c r="C330" s="81"/>
      <c r="D330" s="81"/>
      <c r="E330" s="81"/>
      <c r="F330" s="81"/>
      <c r="G330" s="88"/>
      <c r="H330" s="88"/>
      <c r="I330" s="88"/>
      <c r="J330" s="88"/>
      <c r="K330" s="88"/>
      <c r="L330" s="88"/>
      <c r="M330" s="96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</row>
    <row r="331" spans="1:27" x14ac:dyDescent="0.25">
      <c r="A331" s="81"/>
      <c r="B331" s="106"/>
      <c r="C331" s="81"/>
      <c r="D331" s="81"/>
      <c r="E331" s="81"/>
      <c r="F331" s="81"/>
      <c r="G331" s="88"/>
      <c r="H331" s="88"/>
      <c r="I331" s="88"/>
      <c r="J331" s="88"/>
      <c r="K331" s="88"/>
      <c r="L331" s="88"/>
      <c r="M331" s="96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</row>
    <row r="332" spans="1:27" x14ac:dyDescent="0.25">
      <c r="A332" s="81"/>
      <c r="B332" s="106"/>
      <c r="C332" s="81"/>
      <c r="D332" s="81"/>
      <c r="E332" s="81"/>
      <c r="F332" s="81"/>
      <c r="G332" s="88"/>
      <c r="H332" s="88"/>
      <c r="I332" s="88"/>
      <c r="J332" s="88"/>
      <c r="K332" s="88"/>
      <c r="L332" s="88"/>
      <c r="M332" s="96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</row>
    <row r="333" spans="1:27" x14ac:dyDescent="0.25">
      <c r="A333" s="81"/>
      <c r="B333" s="106"/>
      <c r="C333" s="81"/>
      <c r="D333" s="81"/>
      <c r="E333" s="81"/>
      <c r="F333" s="81"/>
      <c r="G333" s="88"/>
      <c r="H333" s="88"/>
      <c r="I333" s="88"/>
      <c r="J333" s="88"/>
      <c r="K333" s="88"/>
      <c r="L333" s="88"/>
      <c r="M333" s="96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</row>
    <row r="334" spans="1:27" x14ac:dyDescent="0.25">
      <c r="A334" s="81"/>
      <c r="B334" s="106"/>
      <c r="C334" s="81"/>
      <c r="D334" s="81"/>
      <c r="E334" s="81"/>
      <c r="F334" s="81"/>
      <c r="G334" s="88"/>
      <c r="H334" s="88"/>
      <c r="I334" s="88"/>
      <c r="J334" s="88"/>
      <c r="K334" s="88"/>
      <c r="L334" s="88"/>
      <c r="M334" s="96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</row>
    <row r="335" spans="1:27" x14ac:dyDescent="0.25">
      <c r="A335" s="81"/>
      <c r="B335" s="106"/>
      <c r="C335" s="81"/>
      <c r="D335" s="81"/>
      <c r="E335" s="81"/>
      <c r="F335" s="81"/>
      <c r="G335" s="88"/>
      <c r="H335" s="88"/>
      <c r="I335" s="88"/>
      <c r="J335" s="88"/>
      <c r="K335" s="88"/>
      <c r="L335" s="88"/>
      <c r="M335" s="96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</row>
    <row r="336" spans="1:27" x14ac:dyDescent="0.25">
      <c r="A336" s="81"/>
      <c r="B336" s="106"/>
      <c r="C336" s="81"/>
      <c r="D336" s="81"/>
      <c r="E336" s="81"/>
      <c r="F336" s="81"/>
      <c r="G336" s="88"/>
      <c r="H336" s="88"/>
      <c r="I336" s="88"/>
      <c r="J336" s="88"/>
      <c r="K336" s="88"/>
      <c r="L336" s="88"/>
      <c r="M336" s="96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</row>
    <row r="337" spans="1:27" x14ac:dyDescent="0.25">
      <c r="A337" s="81"/>
      <c r="B337" s="106"/>
      <c r="C337" s="81"/>
      <c r="D337" s="81"/>
      <c r="E337" s="81"/>
      <c r="F337" s="81"/>
      <c r="G337" s="88"/>
      <c r="H337" s="88"/>
      <c r="I337" s="88"/>
      <c r="J337" s="88"/>
      <c r="K337" s="88"/>
      <c r="L337" s="88"/>
      <c r="M337" s="96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</row>
    <row r="338" spans="1:27" x14ac:dyDescent="0.25">
      <c r="A338" s="81"/>
      <c r="B338" s="106"/>
      <c r="C338" s="81"/>
      <c r="D338" s="81"/>
      <c r="E338" s="81"/>
      <c r="F338" s="81"/>
      <c r="G338" s="88"/>
      <c r="H338" s="88"/>
      <c r="I338" s="88"/>
      <c r="J338" s="88"/>
      <c r="K338" s="88"/>
      <c r="L338" s="88"/>
      <c r="M338" s="96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</row>
    <row r="339" spans="1:27" x14ac:dyDescent="0.25">
      <c r="A339" s="81"/>
      <c r="B339" s="106"/>
      <c r="C339" s="81"/>
      <c r="D339" s="81"/>
      <c r="E339" s="81"/>
      <c r="F339" s="81"/>
      <c r="G339" s="88"/>
      <c r="H339" s="88"/>
      <c r="I339" s="88"/>
      <c r="J339" s="88"/>
      <c r="K339" s="88"/>
      <c r="L339" s="88"/>
      <c r="M339" s="96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</row>
    <row r="340" spans="1:27" x14ac:dyDescent="0.25">
      <c r="A340" s="81"/>
      <c r="B340" s="106"/>
      <c r="C340" s="81"/>
      <c r="D340" s="81"/>
      <c r="E340" s="81"/>
      <c r="F340" s="81"/>
      <c r="G340" s="88"/>
      <c r="H340" s="88"/>
      <c r="I340" s="88"/>
      <c r="J340" s="88"/>
      <c r="K340" s="88"/>
      <c r="L340" s="88"/>
      <c r="M340" s="96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</row>
    <row r="341" spans="1:27" x14ac:dyDescent="0.25">
      <c r="A341" s="81"/>
      <c r="B341" s="106"/>
      <c r="C341" s="81"/>
      <c r="D341" s="81"/>
      <c r="E341" s="81"/>
      <c r="F341" s="81"/>
      <c r="G341" s="88"/>
      <c r="H341" s="88"/>
      <c r="I341" s="88"/>
      <c r="J341" s="88"/>
      <c r="K341" s="88"/>
      <c r="L341" s="88"/>
      <c r="M341" s="96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</row>
    <row r="342" spans="1:27" x14ac:dyDescent="0.25">
      <c r="A342" s="81"/>
      <c r="B342" s="106"/>
      <c r="C342" s="81"/>
      <c r="D342" s="81"/>
      <c r="E342" s="81"/>
      <c r="F342" s="81"/>
      <c r="G342" s="88"/>
      <c r="H342" s="88"/>
      <c r="I342" s="88"/>
      <c r="J342" s="88"/>
      <c r="K342" s="88"/>
      <c r="L342" s="88"/>
      <c r="M342" s="96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</row>
    <row r="343" spans="1:27" x14ac:dyDescent="0.25">
      <c r="A343" s="81"/>
      <c r="B343" s="106"/>
      <c r="C343" s="81"/>
      <c r="D343" s="81"/>
      <c r="E343" s="81"/>
      <c r="F343" s="81"/>
      <c r="G343" s="88"/>
      <c r="H343" s="88"/>
      <c r="I343" s="88"/>
      <c r="J343" s="88"/>
      <c r="K343" s="88"/>
      <c r="L343" s="88"/>
      <c r="M343" s="96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</row>
    <row r="344" spans="1:27" x14ac:dyDescent="0.25">
      <c r="A344" s="81"/>
      <c r="B344" s="106"/>
      <c r="C344" s="81"/>
      <c r="D344" s="81"/>
      <c r="E344" s="81"/>
      <c r="F344" s="81"/>
      <c r="G344" s="88"/>
      <c r="H344" s="88"/>
      <c r="I344" s="88"/>
      <c r="J344" s="88"/>
      <c r="K344" s="88"/>
      <c r="L344" s="88"/>
      <c r="M344" s="96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</row>
    <row r="345" spans="1:27" x14ac:dyDescent="0.25">
      <c r="A345" s="81"/>
      <c r="B345" s="106"/>
      <c r="C345" s="81"/>
      <c r="D345" s="81"/>
      <c r="E345" s="81"/>
      <c r="F345" s="81"/>
      <c r="G345" s="88"/>
      <c r="H345" s="88"/>
      <c r="I345" s="88"/>
      <c r="J345" s="88"/>
      <c r="K345" s="88"/>
      <c r="L345" s="88"/>
      <c r="M345" s="96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</row>
    <row r="346" spans="1:27" x14ac:dyDescent="0.25">
      <c r="A346" s="81"/>
      <c r="B346" s="106"/>
      <c r="C346" s="81"/>
      <c r="D346" s="81"/>
      <c r="E346" s="81"/>
      <c r="F346" s="81"/>
      <c r="G346" s="88"/>
      <c r="H346" s="88"/>
      <c r="I346" s="88"/>
      <c r="J346" s="88"/>
      <c r="K346" s="88"/>
      <c r="L346" s="88"/>
      <c r="M346" s="96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</row>
    <row r="347" spans="1:27" x14ac:dyDescent="0.25">
      <c r="A347" s="81"/>
      <c r="B347" s="106"/>
      <c r="C347" s="81"/>
      <c r="D347" s="81"/>
      <c r="E347" s="81"/>
      <c r="F347" s="81"/>
      <c r="G347" s="88"/>
      <c r="H347" s="88"/>
      <c r="I347" s="88"/>
      <c r="J347" s="88"/>
      <c r="K347" s="88"/>
      <c r="L347" s="88"/>
      <c r="M347" s="96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</row>
    <row r="348" spans="1:27" x14ac:dyDescent="0.25">
      <c r="A348" s="81"/>
      <c r="B348" s="106"/>
      <c r="C348" s="81"/>
      <c r="D348" s="81"/>
      <c r="E348" s="81"/>
      <c r="F348" s="81"/>
      <c r="G348" s="88"/>
      <c r="H348" s="88"/>
      <c r="I348" s="88"/>
      <c r="J348" s="88"/>
      <c r="K348" s="88"/>
      <c r="L348" s="88"/>
      <c r="M348" s="96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</row>
    <row r="349" spans="1:27" x14ac:dyDescent="0.25">
      <c r="A349" s="81"/>
      <c r="B349" s="106"/>
      <c r="C349" s="81"/>
      <c r="D349" s="81"/>
      <c r="E349" s="81"/>
      <c r="F349" s="81"/>
      <c r="G349" s="88"/>
      <c r="H349" s="88"/>
      <c r="I349" s="88"/>
      <c r="J349" s="88"/>
      <c r="K349" s="88"/>
      <c r="L349" s="88"/>
      <c r="M349" s="96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</row>
    <row r="350" spans="1:27" x14ac:dyDescent="0.25">
      <c r="A350" s="81"/>
      <c r="B350" s="106"/>
      <c r="C350" s="81"/>
      <c r="D350" s="81"/>
      <c r="E350" s="81"/>
      <c r="F350" s="81"/>
      <c r="G350" s="88"/>
      <c r="H350" s="88"/>
      <c r="I350" s="88"/>
      <c r="J350" s="88"/>
      <c r="K350" s="88"/>
      <c r="L350" s="88"/>
      <c r="M350" s="96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</row>
    <row r="351" spans="1:27" x14ac:dyDescent="0.25">
      <c r="A351" s="81"/>
      <c r="B351" s="106"/>
      <c r="C351" s="81"/>
      <c r="D351" s="81"/>
      <c r="E351" s="81"/>
      <c r="F351" s="81"/>
      <c r="G351" s="88"/>
      <c r="H351" s="88"/>
      <c r="I351" s="88"/>
      <c r="J351" s="88"/>
      <c r="K351" s="88"/>
      <c r="L351" s="88"/>
      <c r="M351" s="96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</row>
    <row r="352" spans="1:27" x14ac:dyDescent="0.25">
      <c r="A352" s="81"/>
      <c r="B352" s="106"/>
      <c r="C352" s="81"/>
      <c r="D352" s="81"/>
      <c r="E352" s="81"/>
      <c r="F352" s="81"/>
      <c r="G352" s="88"/>
      <c r="H352" s="88"/>
      <c r="I352" s="88"/>
      <c r="J352" s="88"/>
      <c r="K352" s="88"/>
      <c r="L352" s="88"/>
      <c r="M352" s="96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</row>
    <row r="353" spans="1:27" x14ac:dyDescent="0.25">
      <c r="A353" s="81"/>
      <c r="B353" s="106"/>
      <c r="C353" s="81"/>
      <c r="D353" s="81"/>
      <c r="E353" s="81"/>
      <c r="F353" s="81"/>
      <c r="G353" s="88"/>
      <c r="H353" s="88"/>
      <c r="I353" s="88"/>
      <c r="J353" s="88"/>
      <c r="K353" s="88"/>
      <c r="L353" s="88"/>
      <c r="M353" s="96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</row>
    <row r="354" spans="1:27" x14ac:dyDescent="0.25">
      <c r="A354" s="81"/>
      <c r="B354" s="106"/>
      <c r="C354" s="81"/>
      <c r="D354" s="81"/>
      <c r="E354" s="81"/>
      <c r="F354" s="81"/>
      <c r="G354" s="88"/>
      <c r="H354" s="88"/>
      <c r="I354" s="88"/>
      <c r="J354" s="88"/>
      <c r="K354" s="88"/>
      <c r="L354" s="88"/>
      <c r="M354" s="96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</row>
    <row r="355" spans="1:27" x14ac:dyDescent="0.25">
      <c r="A355" s="81"/>
      <c r="B355" s="106"/>
      <c r="C355" s="81"/>
      <c r="D355" s="81"/>
      <c r="E355" s="81"/>
      <c r="F355" s="81"/>
      <c r="G355" s="88"/>
      <c r="H355" s="88"/>
      <c r="I355" s="88"/>
      <c r="J355" s="88"/>
      <c r="K355" s="88"/>
      <c r="L355" s="88"/>
      <c r="M355" s="96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</row>
    <row r="356" spans="1:27" x14ac:dyDescent="0.25">
      <c r="A356" s="81"/>
      <c r="B356" s="106"/>
      <c r="C356" s="81"/>
      <c r="D356" s="81"/>
      <c r="E356" s="81"/>
      <c r="F356" s="81"/>
      <c r="G356" s="88"/>
      <c r="H356" s="88"/>
      <c r="I356" s="88"/>
      <c r="J356" s="88"/>
      <c r="K356" s="88"/>
      <c r="L356" s="88"/>
      <c r="M356" s="96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</row>
    <row r="357" spans="1:27" x14ac:dyDescent="0.25">
      <c r="A357" s="81"/>
      <c r="B357" s="106"/>
      <c r="C357" s="81"/>
      <c r="D357" s="81"/>
      <c r="E357" s="81"/>
      <c r="F357" s="81"/>
      <c r="G357" s="88"/>
      <c r="H357" s="88"/>
      <c r="I357" s="88"/>
      <c r="J357" s="88"/>
      <c r="K357" s="88"/>
      <c r="L357" s="88"/>
      <c r="M357" s="96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</row>
    <row r="358" spans="1:27" x14ac:dyDescent="0.25">
      <c r="A358" s="81"/>
      <c r="B358" s="106"/>
      <c r="C358" s="81"/>
      <c r="D358" s="81"/>
      <c r="E358" s="81"/>
      <c r="F358" s="81"/>
      <c r="G358" s="88"/>
      <c r="H358" s="88"/>
      <c r="I358" s="88"/>
      <c r="J358" s="88"/>
      <c r="K358" s="88"/>
      <c r="L358" s="88"/>
      <c r="M358" s="96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</row>
    <row r="359" spans="1:27" x14ac:dyDescent="0.25">
      <c r="A359" s="81"/>
      <c r="B359" s="106"/>
      <c r="C359" s="81"/>
      <c r="D359" s="81"/>
      <c r="E359" s="81"/>
      <c r="F359" s="81"/>
      <c r="G359" s="88"/>
      <c r="H359" s="88"/>
      <c r="I359" s="88"/>
      <c r="J359" s="88"/>
      <c r="K359" s="88"/>
      <c r="L359" s="88"/>
      <c r="M359" s="96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</row>
    <row r="360" spans="1:27" x14ac:dyDescent="0.25">
      <c r="A360" s="81"/>
      <c r="B360" s="106"/>
      <c r="C360" s="81"/>
      <c r="D360" s="81"/>
      <c r="E360" s="81"/>
      <c r="F360" s="81"/>
      <c r="G360" s="88"/>
      <c r="H360" s="88"/>
      <c r="I360" s="88"/>
      <c r="J360" s="88"/>
      <c r="K360" s="88"/>
      <c r="L360" s="88"/>
      <c r="M360" s="96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</row>
    <row r="361" spans="1:27" x14ac:dyDescent="0.25">
      <c r="A361" s="81"/>
      <c r="B361" s="106"/>
      <c r="C361" s="81"/>
      <c r="D361" s="81"/>
      <c r="E361" s="81"/>
      <c r="F361" s="81"/>
      <c r="G361" s="88"/>
      <c r="H361" s="88"/>
      <c r="I361" s="88"/>
      <c r="J361" s="88"/>
      <c r="K361" s="88"/>
      <c r="L361" s="88"/>
      <c r="M361" s="96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</row>
    <row r="362" spans="1:27" x14ac:dyDescent="0.25">
      <c r="A362" s="81"/>
      <c r="B362" s="106"/>
      <c r="C362" s="81"/>
      <c r="D362" s="81"/>
      <c r="E362" s="81"/>
      <c r="F362" s="81"/>
      <c r="G362" s="88"/>
      <c r="H362" s="88"/>
      <c r="I362" s="88"/>
      <c r="J362" s="88"/>
      <c r="K362" s="88"/>
      <c r="L362" s="88"/>
      <c r="M362" s="96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</row>
    <row r="363" spans="1:27" x14ac:dyDescent="0.25">
      <c r="A363" s="81"/>
      <c r="B363" s="106"/>
      <c r="C363" s="81"/>
      <c r="D363" s="81"/>
      <c r="E363" s="81"/>
      <c r="F363" s="81"/>
      <c r="G363" s="88"/>
      <c r="H363" s="88"/>
      <c r="I363" s="88"/>
      <c r="J363" s="88"/>
      <c r="K363" s="88"/>
      <c r="L363" s="88"/>
      <c r="M363" s="96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</row>
    <row r="364" spans="1:27" x14ac:dyDescent="0.25">
      <c r="A364" s="81"/>
      <c r="B364" s="106"/>
      <c r="C364" s="81"/>
      <c r="D364" s="81"/>
      <c r="E364" s="81"/>
      <c r="F364" s="81"/>
      <c r="G364" s="88"/>
      <c r="H364" s="88"/>
      <c r="I364" s="88"/>
      <c r="J364" s="88"/>
      <c r="K364" s="88"/>
      <c r="L364" s="88"/>
      <c r="M364" s="96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</row>
    <row r="365" spans="1:27" x14ac:dyDescent="0.25">
      <c r="A365" s="81"/>
      <c r="B365" s="106"/>
      <c r="C365" s="81"/>
      <c r="D365" s="81"/>
      <c r="E365" s="81"/>
      <c r="F365" s="81"/>
      <c r="G365" s="88"/>
      <c r="H365" s="88"/>
      <c r="I365" s="88"/>
      <c r="J365" s="88"/>
      <c r="K365" s="88"/>
      <c r="L365" s="88"/>
      <c r="M365" s="96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</row>
    <row r="366" spans="1:27" x14ac:dyDescent="0.25">
      <c r="A366" s="81"/>
      <c r="B366" s="106"/>
      <c r="C366" s="81"/>
      <c r="D366" s="81"/>
      <c r="E366" s="81"/>
      <c r="F366" s="81"/>
      <c r="G366" s="88"/>
      <c r="H366" s="88"/>
      <c r="I366" s="88"/>
      <c r="J366" s="88"/>
      <c r="K366" s="88"/>
      <c r="L366" s="88"/>
      <c r="M366" s="96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</row>
    <row r="367" spans="1:27" x14ac:dyDescent="0.25">
      <c r="A367" s="81"/>
      <c r="B367" s="106"/>
      <c r="C367" s="81"/>
      <c r="D367" s="81"/>
      <c r="E367" s="81"/>
      <c r="F367" s="81"/>
      <c r="G367" s="88"/>
      <c r="H367" s="88"/>
      <c r="I367" s="88"/>
      <c r="J367" s="88"/>
      <c r="K367" s="88"/>
      <c r="L367" s="88"/>
      <c r="M367" s="96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</row>
    <row r="368" spans="1:27" x14ac:dyDescent="0.25">
      <c r="A368" s="81"/>
      <c r="B368" s="106"/>
      <c r="C368" s="81"/>
      <c r="D368" s="81"/>
      <c r="E368" s="81"/>
      <c r="F368" s="81"/>
      <c r="G368" s="88"/>
      <c r="H368" s="88"/>
      <c r="I368" s="88"/>
      <c r="J368" s="88"/>
      <c r="K368" s="88"/>
      <c r="L368" s="88"/>
      <c r="M368" s="96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</row>
    <row r="369" spans="1:27" x14ac:dyDescent="0.25">
      <c r="A369" s="81"/>
      <c r="B369" s="106"/>
      <c r="C369" s="81"/>
      <c r="D369" s="81"/>
      <c r="E369" s="81"/>
      <c r="F369" s="81"/>
      <c r="G369" s="88"/>
      <c r="H369" s="88"/>
      <c r="I369" s="88"/>
      <c r="J369" s="88"/>
      <c r="K369" s="88"/>
      <c r="L369" s="88"/>
      <c r="M369" s="96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</row>
    <row r="370" spans="1:27" x14ac:dyDescent="0.25">
      <c r="A370" s="81"/>
      <c r="B370" s="106"/>
      <c r="C370" s="81"/>
      <c r="D370" s="81"/>
      <c r="E370" s="81"/>
      <c r="F370" s="81"/>
      <c r="G370" s="88"/>
      <c r="H370" s="88"/>
      <c r="I370" s="88"/>
      <c r="J370" s="88"/>
      <c r="K370" s="88"/>
      <c r="L370" s="88"/>
      <c r="M370" s="96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</row>
    <row r="371" spans="1:27" x14ac:dyDescent="0.25">
      <c r="A371" s="81"/>
      <c r="B371" s="106"/>
      <c r="C371" s="81"/>
      <c r="D371" s="81"/>
      <c r="E371" s="81"/>
      <c r="F371" s="81"/>
      <c r="G371" s="88"/>
      <c r="H371" s="88"/>
      <c r="I371" s="88"/>
      <c r="J371" s="88"/>
      <c r="K371" s="88"/>
      <c r="L371" s="88"/>
      <c r="M371" s="96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</row>
    <row r="372" spans="1:27" x14ac:dyDescent="0.25">
      <c r="A372" s="81"/>
      <c r="B372" s="106"/>
      <c r="C372" s="81"/>
      <c r="D372" s="81"/>
      <c r="E372" s="81"/>
      <c r="F372" s="81"/>
      <c r="G372" s="88"/>
      <c r="H372" s="88"/>
      <c r="I372" s="88"/>
      <c r="J372" s="88"/>
      <c r="K372" s="88"/>
      <c r="L372" s="88"/>
      <c r="M372" s="96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</row>
    <row r="373" spans="1:27" x14ac:dyDescent="0.25">
      <c r="A373" s="81"/>
      <c r="B373" s="106"/>
      <c r="C373" s="81"/>
      <c r="D373" s="81"/>
      <c r="E373" s="81"/>
      <c r="F373" s="81"/>
      <c r="G373" s="88"/>
      <c r="H373" s="88"/>
      <c r="I373" s="88"/>
      <c r="J373" s="88"/>
      <c r="K373" s="88"/>
      <c r="L373" s="88"/>
      <c r="M373" s="96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</row>
    <row r="374" spans="1:27" x14ac:dyDescent="0.25">
      <c r="A374" s="81"/>
      <c r="B374" s="106"/>
      <c r="C374" s="81"/>
      <c r="D374" s="81"/>
      <c r="E374" s="81"/>
      <c r="F374" s="81"/>
      <c r="G374" s="88"/>
      <c r="H374" s="88"/>
      <c r="I374" s="88"/>
      <c r="J374" s="88"/>
      <c r="K374" s="88"/>
      <c r="L374" s="88"/>
      <c r="M374" s="96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</row>
    <row r="375" spans="1:27" x14ac:dyDescent="0.25">
      <c r="A375" s="81"/>
      <c r="B375" s="106"/>
      <c r="C375" s="81"/>
      <c r="D375" s="81"/>
      <c r="E375" s="81"/>
      <c r="F375" s="81"/>
      <c r="G375" s="88"/>
      <c r="H375" s="88"/>
      <c r="I375" s="88"/>
      <c r="J375" s="88"/>
      <c r="K375" s="88"/>
      <c r="L375" s="88"/>
      <c r="M375" s="96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</row>
    <row r="376" spans="1:27" x14ac:dyDescent="0.25">
      <c r="A376" s="81"/>
      <c r="B376" s="106"/>
      <c r="C376" s="81"/>
      <c r="D376" s="81"/>
      <c r="E376" s="81"/>
      <c r="F376" s="81"/>
      <c r="G376" s="88"/>
      <c r="H376" s="88"/>
      <c r="I376" s="88"/>
      <c r="J376" s="88"/>
      <c r="K376" s="88"/>
      <c r="L376" s="88"/>
      <c r="M376" s="96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</row>
    <row r="377" spans="1:27" x14ac:dyDescent="0.25">
      <c r="A377" s="81"/>
      <c r="B377" s="106"/>
      <c r="C377" s="81"/>
      <c r="D377" s="81"/>
      <c r="E377" s="81"/>
      <c r="F377" s="81"/>
      <c r="G377" s="88"/>
      <c r="H377" s="88"/>
      <c r="I377" s="88"/>
      <c r="J377" s="88"/>
      <c r="K377" s="88"/>
      <c r="L377" s="88"/>
      <c r="M377" s="96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</row>
    <row r="378" spans="1:27" x14ac:dyDescent="0.25">
      <c r="A378" s="81"/>
      <c r="B378" s="106"/>
      <c r="C378" s="81"/>
      <c r="D378" s="81"/>
      <c r="E378" s="81"/>
      <c r="F378" s="81"/>
      <c r="G378" s="88"/>
      <c r="H378" s="88"/>
      <c r="I378" s="88"/>
      <c r="J378" s="88"/>
      <c r="K378" s="88"/>
      <c r="L378" s="88"/>
      <c r="M378" s="96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</row>
    <row r="379" spans="1:27" x14ac:dyDescent="0.25">
      <c r="A379" s="81"/>
      <c r="B379" s="106"/>
      <c r="C379" s="81"/>
      <c r="D379" s="81"/>
      <c r="E379" s="81"/>
      <c r="F379" s="81"/>
      <c r="G379" s="88"/>
      <c r="H379" s="88"/>
      <c r="I379" s="88"/>
      <c r="J379" s="88"/>
      <c r="K379" s="88"/>
      <c r="L379" s="88"/>
      <c r="M379" s="96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</row>
    <row r="380" spans="1:27" x14ac:dyDescent="0.25">
      <c r="A380" s="81"/>
      <c r="B380" s="106"/>
      <c r="C380" s="81"/>
      <c r="D380" s="81"/>
      <c r="E380" s="81"/>
      <c r="F380" s="81"/>
      <c r="G380" s="88"/>
      <c r="H380" s="88"/>
      <c r="I380" s="88"/>
      <c r="J380" s="88"/>
      <c r="K380" s="88"/>
      <c r="L380" s="88"/>
      <c r="M380" s="96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</row>
    <row r="381" spans="1:27" x14ac:dyDescent="0.25">
      <c r="A381" s="81"/>
      <c r="B381" s="106"/>
      <c r="C381" s="81"/>
      <c r="D381" s="81"/>
      <c r="E381" s="81"/>
      <c r="F381" s="81"/>
      <c r="G381" s="88"/>
      <c r="H381" s="88"/>
      <c r="I381" s="88"/>
      <c r="J381" s="88"/>
      <c r="K381" s="88"/>
      <c r="L381" s="88"/>
      <c r="M381" s="96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</row>
    <row r="382" spans="1:27" x14ac:dyDescent="0.25">
      <c r="A382" s="81"/>
      <c r="B382" s="106"/>
      <c r="C382" s="81"/>
      <c r="D382" s="81"/>
      <c r="E382" s="81"/>
      <c r="F382" s="81"/>
      <c r="G382" s="88"/>
      <c r="H382" s="88"/>
      <c r="I382" s="88"/>
      <c r="J382" s="88"/>
      <c r="K382" s="88"/>
      <c r="L382" s="88"/>
      <c r="M382" s="96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</row>
    <row r="383" spans="1:27" x14ac:dyDescent="0.25">
      <c r="A383" s="81"/>
      <c r="B383" s="106"/>
      <c r="C383" s="81"/>
      <c r="D383" s="81"/>
      <c r="E383" s="81"/>
      <c r="F383" s="81"/>
      <c r="G383" s="88"/>
      <c r="H383" s="88"/>
      <c r="I383" s="88"/>
      <c r="J383" s="88"/>
      <c r="K383" s="88"/>
      <c r="L383" s="88"/>
      <c r="M383" s="96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</row>
    <row r="384" spans="1:27" x14ac:dyDescent="0.25">
      <c r="A384" s="81"/>
      <c r="B384" s="106"/>
      <c r="C384" s="81"/>
      <c r="D384" s="81"/>
      <c r="E384" s="81"/>
      <c r="F384" s="81"/>
      <c r="G384" s="88"/>
      <c r="H384" s="88"/>
      <c r="I384" s="88"/>
      <c r="J384" s="88"/>
      <c r="K384" s="88"/>
      <c r="L384" s="88"/>
      <c r="M384" s="96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</row>
    <row r="385" spans="1:27" x14ac:dyDescent="0.25">
      <c r="A385" s="81"/>
      <c r="B385" s="106"/>
      <c r="C385" s="81"/>
      <c r="D385" s="81"/>
      <c r="E385" s="81"/>
      <c r="F385" s="81"/>
      <c r="G385" s="88"/>
      <c r="H385" s="88"/>
      <c r="I385" s="88"/>
      <c r="J385" s="88"/>
      <c r="K385" s="88"/>
      <c r="L385" s="88"/>
      <c r="M385" s="96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</row>
    <row r="386" spans="1:27" x14ac:dyDescent="0.25">
      <c r="A386" s="81"/>
      <c r="B386" s="106"/>
      <c r="C386" s="81"/>
      <c r="D386" s="81"/>
      <c r="E386" s="81"/>
      <c r="F386" s="81"/>
      <c r="G386" s="88"/>
      <c r="H386" s="88"/>
      <c r="I386" s="88"/>
      <c r="J386" s="88"/>
      <c r="K386" s="88"/>
      <c r="L386" s="88"/>
      <c r="M386" s="96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</row>
    <row r="387" spans="1:27" x14ac:dyDescent="0.25">
      <c r="A387" s="81"/>
      <c r="B387" s="106"/>
      <c r="C387" s="81"/>
      <c r="D387" s="81"/>
      <c r="E387" s="81"/>
      <c r="F387" s="81"/>
      <c r="G387" s="88"/>
      <c r="H387" s="88"/>
      <c r="I387" s="88"/>
      <c r="J387" s="88"/>
      <c r="K387" s="88"/>
      <c r="L387" s="88"/>
      <c r="M387" s="96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</row>
    <row r="388" spans="1:27" x14ac:dyDescent="0.25">
      <c r="A388" s="81"/>
      <c r="B388" s="106"/>
      <c r="C388" s="81"/>
      <c r="D388" s="81"/>
      <c r="E388" s="81"/>
      <c r="F388" s="81"/>
      <c r="G388" s="88"/>
      <c r="H388" s="88"/>
      <c r="I388" s="88"/>
      <c r="J388" s="88"/>
      <c r="K388" s="88"/>
      <c r="L388" s="88"/>
      <c r="M388" s="96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</row>
    <row r="389" spans="1:27" x14ac:dyDescent="0.25">
      <c r="A389" s="81"/>
      <c r="B389" s="106"/>
      <c r="C389" s="81"/>
      <c r="D389" s="81"/>
      <c r="E389" s="81"/>
      <c r="F389" s="81"/>
      <c r="G389" s="88"/>
      <c r="H389" s="88"/>
      <c r="I389" s="88"/>
      <c r="J389" s="88"/>
      <c r="K389" s="88"/>
      <c r="L389" s="88"/>
      <c r="M389" s="96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</row>
    <row r="390" spans="1:27" x14ac:dyDescent="0.25">
      <c r="A390" s="81"/>
      <c r="B390" s="106"/>
      <c r="C390" s="81"/>
      <c r="D390" s="81"/>
      <c r="E390" s="81"/>
      <c r="F390" s="81"/>
      <c r="G390" s="88"/>
      <c r="H390" s="88"/>
      <c r="I390" s="88"/>
      <c r="J390" s="88"/>
      <c r="K390" s="88"/>
      <c r="L390" s="88"/>
      <c r="M390" s="96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</row>
    <row r="391" spans="1:27" x14ac:dyDescent="0.25">
      <c r="A391" s="81"/>
      <c r="B391" s="106"/>
      <c r="C391" s="81"/>
      <c r="D391" s="81"/>
      <c r="E391" s="81"/>
      <c r="F391" s="81"/>
      <c r="G391" s="88"/>
      <c r="H391" s="88"/>
      <c r="I391" s="88"/>
      <c r="J391" s="88"/>
      <c r="K391" s="88"/>
      <c r="L391" s="88"/>
      <c r="M391" s="96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</row>
    <row r="392" spans="1:27" x14ac:dyDescent="0.25">
      <c r="A392" s="81"/>
      <c r="B392" s="106"/>
      <c r="C392" s="81"/>
      <c r="D392" s="81"/>
      <c r="E392" s="81"/>
      <c r="F392" s="81"/>
      <c r="G392" s="88"/>
      <c r="H392" s="88"/>
      <c r="I392" s="88"/>
      <c r="J392" s="88"/>
      <c r="K392" s="88"/>
      <c r="L392" s="88"/>
      <c r="M392" s="96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</row>
    <row r="393" spans="1:27" x14ac:dyDescent="0.25">
      <c r="A393" s="81"/>
      <c r="B393" s="106"/>
      <c r="C393" s="81"/>
      <c r="D393" s="81"/>
      <c r="E393" s="81"/>
      <c r="F393" s="81"/>
      <c r="G393" s="88"/>
      <c r="H393" s="88"/>
      <c r="I393" s="88"/>
      <c r="J393" s="88"/>
      <c r="K393" s="88"/>
      <c r="L393" s="88"/>
      <c r="M393" s="96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</row>
    <row r="394" spans="1:27" x14ac:dyDescent="0.25">
      <c r="A394" s="81"/>
      <c r="B394" s="106"/>
      <c r="C394" s="81"/>
      <c r="D394" s="81"/>
      <c r="E394" s="81"/>
      <c r="F394" s="81"/>
      <c r="G394" s="88"/>
      <c r="H394" s="88"/>
      <c r="I394" s="88"/>
      <c r="J394" s="88"/>
      <c r="K394" s="88"/>
      <c r="L394" s="88"/>
      <c r="M394" s="96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</row>
    <row r="395" spans="1:27" x14ac:dyDescent="0.25">
      <c r="A395" s="81"/>
      <c r="B395" s="106"/>
      <c r="C395" s="81"/>
      <c r="D395" s="81"/>
      <c r="E395" s="81"/>
      <c r="F395" s="81"/>
      <c r="G395" s="88"/>
      <c r="H395" s="88"/>
      <c r="I395" s="88"/>
      <c r="J395" s="88"/>
      <c r="K395" s="88"/>
      <c r="L395" s="88"/>
      <c r="M395" s="96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</row>
    <row r="396" spans="1:27" x14ac:dyDescent="0.25">
      <c r="A396" s="81"/>
      <c r="B396" s="106"/>
      <c r="C396" s="81"/>
      <c r="D396" s="81"/>
      <c r="E396" s="81"/>
      <c r="F396" s="81"/>
      <c r="G396" s="88"/>
      <c r="H396" s="88"/>
      <c r="I396" s="88"/>
      <c r="J396" s="88"/>
      <c r="K396" s="88"/>
      <c r="L396" s="88"/>
      <c r="M396" s="96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</row>
    <row r="397" spans="1:27" x14ac:dyDescent="0.25">
      <c r="A397" s="81"/>
      <c r="B397" s="106"/>
      <c r="C397" s="81"/>
      <c r="D397" s="81"/>
      <c r="E397" s="81"/>
      <c r="F397" s="81"/>
      <c r="G397" s="88"/>
      <c r="H397" s="88"/>
      <c r="I397" s="88"/>
      <c r="J397" s="88"/>
      <c r="K397" s="88"/>
      <c r="L397" s="88"/>
      <c r="M397" s="96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</row>
    <row r="398" spans="1:27" x14ac:dyDescent="0.25">
      <c r="A398" s="81"/>
      <c r="B398" s="106"/>
      <c r="C398" s="81"/>
      <c r="D398" s="81"/>
      <c r="E398" s="81"/>
      <c r="F398" s="81"/>
      <c r="G398" s="88"/>
      <c r="H398" s="88"/>
      <c r="I398" s="88"/>
      <c r="J398" s="88"/>
      <c r="K398" s="88"/>
      <c r="L398" s="88"/>
      <c r="M398" s="96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</row>
    <row r="399" spans="1:27" x14ac:dyDescent="0.25">
      <c r="A399" s="81"/>
      <c r="B399" s="106"/>
      <c r="C399" s="81"/>
      <c r="D399" s="81"/>
      <c r="E399" s="81"/>
      <c r="F399" s="81"/>
      <c r="G399" s="88"/>
      <c r="H399" s="88"/>
      <c r="I399" s="88"/>
      <c r="J399" s="88"/>
      <c r="K399" s="88"/>
      <c r="L399" s="88"/>
      <c r="M399" s="96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</row>
    <row r="400" spans="1:27" x14ac:dyDescent="0.25">
      <c r="A400" s="81"/>
      <c r="B400" s="106"/>
      <c r="C400" s="81"/>
      <c r="D400" s="81"/>
      <c r="E400" s="81"/>
      <c r="F400" s="81"/>
      <c r="G400" s="88"/>
      <c r="H400" s="88"/>
      <c r="I400" s="88"/>
      <c r="J400" s="88"/>
      <c r="K400" s="88"/>
      <c r="L400" s="88"/>
      <c r="M400" s="96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</row>
    <row r="401" spans="1:27" x14ac:dyDescent="0.25">
      <c r="A401" s="81"/>
      <c r="B401" s="106"/>
      <c r="C401" s="81"/>
      <c r="D401" s="81"/>
      <c r="E401" s="81"/>
      <c r="F401" s="81"/>
      <c r="G401" s="88"/>
      <c r="H401" s="88"/>
      <c r="I401" s="88"/>
      <c r="J401" s="88"/>
      <c r="K401" s="88"/>
      <c r="L401" s="88"/>
      <c r="M401" s="96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</row>
    <row r="402" spans="1:27" x14ac:dyDescent="0.25">
      <c r="A402" s="81"/>
      <c r="B402" s="106"/>
      <c r="C402" s="81"/>
      <c r="D402" s="81"/>
      <c r="E402" s="81"/>
      <c r="F402" s="81"/>
      <c r="G402" s="88"/>
      <c r="H402" s="88"/>
      <c r="I402" s="88"/>
      <c r="J402" s="88"/>
      <c r="K402" s="88"/>
      <c r="L402" s="88"/>
      <c r="M402" s="96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</row>
    <row r="403" spans="1:27" x14ac:dyDescent="0.25">
      <c r="A403" s="81"/>
      <c r="B403" s="106"/>
      <c r="C403" s="81"/>
      <c r="D403" s="81"/>
      <c r="E403" s="81"/>
      <c r="F403" s="81"/>
      <c r="G403" s="88"/>
      <c r="H403" s="88"/>
      <c r="I403" s="88"/>
      <c r="J403" s="88"/>
      <c r="K403" s="88"/>
      <c r="L403" s="88"/>
      <c r="M403" s="96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</row>
    <row r="404" spans="1:27" x14ac:dyDescent="0.25">
      <c r="A404" s="81"/>
      <c r="B404" s="106"/>
      <c r="C404" s="81"/>
      <c r="D404" s="81"/>
      <c r="E404" s="81"/>
      <c r="F404" s="81"/>
      <c r="G404" s="88"/>
      <c r="H404" s="88"/>
      <c r="I404" s="88"/>
      <c r="J404" s="88"/>
      <c r="K404" s="88"/>
      <c r="L404" s="88"/>
      <c r="M404" s="96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</row>
    <row r="405" spans="1:27" x14ac:dyDescent="0.25">
      <c r="A405" s="81"/>
      <c r="B405" s="106"/>
      <c r="C405" s="81"/>
      <c r="D405" s="81"/>
      <c r="E405" s="81"/>
      <c r="F405" s="81"/>
      <c r="G405" s="88"/>
      <c r="H405" s="88"/>
      <c r="I405" s="88"/>
      <c r="J405" s="88"/>
      <c r="K405" s="88"/>
      <c r="L405" s="88"/>
      <c r="M405" s="96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</row>
    <row r="406" spans="1:27" x14ac:dyDescent="0.25">
      <c r="A406" s="81"/>
      <c r="B406" s="106"/>
      <c r="C406" s="81"/>
      <c r="D406" s="81"/>
      <c r="E406" s="81"/>
      <c r="F406" s="81"/>
      <c r="G406" s="88"/>
      <c r="H406" s="88"/>
      <c r="I406" s="88"/>
      <c r="J406" s="88"/>
      <c r="K406" s="88"/>
      <c r="L406" s="88"/>
      <c r="M406" s="96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</row>
    <row r="407" spans="1:27" x14ac:dyDescent="0.25">
      <c r="A407" s="81"/>
      <c r="B407" s="106"/>
      <c r="C407" s="81"/>
      <c r="D407" s="81"/>
      <c r="E407" s="81"/>
      <c r="F407" s="81"/>
      <c r="G407" s="88"/>
      <c r="H407" s="88"/>
      <c r="I407" s="88"/>
      <c r="J407" s="88"/>
      <c r="K407" s="88"/>
      <c r="L407" s="88"/>
      <c r="M407" s="96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</row>
    <row r="408" spans="1:27" x14ac:dyDescent="0.25">
      <c r="A408" s="81"/>
      <c r="B408" s="106"/>
      <c r="C408" s="81"/>
      <c r="D408" s="81"/>
      <c r="E408" s="81"/>
      <c r="F408" s="81"/>
      <c r="G408" s="88"/>
      <c r="H408" s="88"/>
      <c r="I408" s="88"/>
      <c r="J408" s="88"/>
      <c r="K408" s="88"/>
      <c r="L408" s="88"/>
      <c r="M408" s="96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</row>
    <row r="409" spans="1:27" x14ac:dyDescent="0.25">
      <c r="A409" s="81"/>
      <c r="B409" s="106"/>
      <c r="C409" s="81"/>
      <c r="D409" s="81"/>
      <c r="E409" s="81"/>
      <c r="F409" s="81"/>
      <c r="G409" s="88"/>
      <c r="H409" s="88"/>
      <c r="I409" s="88"/>
      <c r="J409" s="88"/>
      <c r="K409" s="88"/>
      <c r="L409" s="88"/>
      <c r="M409" s="96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</row>
    <row r="410" spans="1:27" x14ac:dyDescent="0.25">
      <c r="A410" s="81"/>
      <c r="B410" s="106"/>
      <c r="C410" s="81"/>
      <c r="D410" s="81"/>
      <c r="E410" s="81"/>
      <c r="F410" s="81"/>
      <c r="G410" s="88"/>
      <c r="H410" s="88"/>
      <c r="I410" s="88"/>
      <c r="J410" s="88"/>
      <c r="K410" s="88"/>
      <c r="L410" s="88"/>
      <c r="M410" s="96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</row>
    <row r="411" spans="1:27" x14ac:dyDescent="0.25">
      <c r="A411" s="81"/>
      <c r="B411" s="106"/>
      <c r="C411" s="81"/>
      <c r="D411" s="81"/>
      <c r="E411" s="81"/>
      <c r="F411" s="81"/>
      <c r="G411" s="88"/>
      <c r="H411" s="88"/>
      <c r="I411" s="88"/>
      <c r="J411" s="88"/>
      <c r="K411" s="88"/>
      <c r="L411" s="88"/>
      <c r="M411" s="96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</row>
    <row r="412" spans="1:27" x14ac:dyDescent="0.25">
      <c r="A412" s="81"/>
      <c r="B412" s="106"/>
      <c r="C412" s="81"/>
      <c r="D412" s="81"/>
      <c r="E412" s="81"/>
      <c r="F412" s="81"/>
      <c r="G412" s="88"/>
      <c r="H412" s="88"/>
      <c r="I412" s="88"/>
      <c r="J412" s="88"/>
      <c r="K412" s="88"/>
      <c r="L412" s="88"/>
      <c r="M412" s="96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</row>
    <row r="413" spans="1:27" x14ac:dyDescent="0.25">
      <c r="A413" s="81"/>
      <c r="B413" s="106"/>
      <c r="C413" s="81"/>
      <c r="D413" s="81"/>
      <c r="E413" s="81"/>
      <c r="F413" s="81"/>
      <c r="G413" s="88"/>
      <c r="H413" s="88"/>
      <c r="I413" s="88"/>
      <c r="J413" s="88"/>
      <c r="K413" s="88"/>
      <c r="L413" s="88"/>
      <c r="M413" s="96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</row>
    <row r="414" spans="1:27" x14ac:dyDescent="0.25">
      <c r="A414" s="81"/>
      <c r="B414" s="106"/>
      <c r="C414" s="81"/>
      <c r="D414" s="81"/>
      <c r="E414" s="81"/>
      <c r="F414" s="81"/>
      <c r="G414" s="88"/>
      <c r="H414" s="88"/>
      <c r="I414" s="88"/>
      <c r="J414" s="88"/>
      <c r="K414" s="88"/>
      <c r="L414" s="88"/>
      <c r="M414" s="96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</row>
    <row r="415" spans="1:27" x14ac:dyDescent="0.25">
      <c r="A415" s="81"/>
      <c r="B415" s="106"/>
      <c r="C415" s="81"/>
      <c r="D415" s="81"/>
      <c r="E415" s="81"/>
      <c r="F415" s="81"/>
      <c r="G415" s="88"/>
      <c r="H415" s="88"/>
      <c r="I415" s="88"/>
      <c r="J415" s="88"/>
      <c r="K415" s="88"/>
      <c r="L415" s="88"/>
      <c r="M415" s="96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</row>
    <row r="416" spans="1:27" x14ac:dyDescent="0.25">
      <c r="A416" s="81"/>
      <c r="B416" s="106"/>
      <c r="C416" s="81"/>
      <c r="D416" s="81"/>
      <c r="E416" s="81"/>
      <c r="F416" s="81"/>
      <c r="G416" s="88"/>
      <c r="H416" s="88"/>
      <c r="I416" s="88"/>
      <c r="J416" s="88"/>
      <c r="K416" s="88"/>
      <c r="L416" s="88"/>
      <c r="M416" s="96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</row>
    <row r="417" spans="1:27" x14ac:dyDescent="0.25">
      <c r="A417" s="81"/>
      <c r="B417" s="106"/>
      <c r="C417" s="81"/>
      <c r="D417" s="81"/>
      <c r="E417" s="81"/>
      <c r="F417" s="81"/>
      <c r="G417" s="88"/>
      <c r="H417" s="88"/>
      <c r="I417" s="88"/>
      <c r="J417" s="88"/>
      <c r="K417" s="88"/>
      <c r="L417" s="88"/>
      <c r="M417" s="96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</row>
    <row r="418" spans="1:27" x14ac:dyDescent="0.25">
      <c r="A418" s="81"/>
      <c r="B418" s="106"/>
      <c r="C418" s="81"/>
      <c r="D418" s="81"/>
      <c r="E418" s="81"/>
      <c r="F418" s="81"/>
      <c r="G418" s="88"/>
      <c r="H418" s="88"/>
      <c r="I418" s="88"/>
      <c r="J418" s="88"/>
      <c r="K418" s="88"/>
      <c r="L418" s="88"/>
      <c r="M418" s="96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</row>
    <row r="419" spans="1:27" x14ac:dyDescent="0.25">
      <c r="A419" s="81"/>
      <c r="B419" s="106"/>
      <c r="C419" s="81"/>
      <c r="D419" s="81"/>
      <c r="E419" s="81"/>
      <c r="F419" s="81"/>
      <c r="G419" s="88"/>
      <c r="H419" s="88"/>
      <c r="I419" s="88"/>
      <c r="J419" s="88"/>
      <c r="K419" s="88"/>
      <c r="L419" s="88"/>
      <c r="M419" s="96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</row>
    <row r="420" spans="1:27" x14ac:dyDescent="0.25">
      <c r="A420" s="81"/>
      <c r="B420" s="106"/>
      <c r="C420" s="81"/>
      <c r="D420" s="81"/>
      <c r="E420" s="81"/>
      <c r="F420" s="81"/>
      <c r="G420" s="88"/>
      <c r="H420" s="88"/>
      <c r="I420" s="88"/>
      <c r="J420" s="88"/>
      <c r="K420" s="88"/>
      <c r="L420" s="88"/>
      <c r="M420" s="96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</row>
    <row r="421" spans="1:27" x14ac:dyDescent="0.25">
      <c r="A421" s="81"/>
      <c r="B421" s="106"/>
      <c r="C421" s="81"/>
      <c r="D421" s="81"/>
      <c r="E421" s="81"/>
      <c r="F421" s="81"/>
      <c r="G421" s="88"/>
      <c r="H421" s="88"/>
      <c r="I421" s="88"/>
      <c r="J421" s="88"/>
      <c r="K421" s="88"/>
      <c r="L421" s="88"/>
      <c r="M421" s="96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</row>
    <row r="422" spans="1:27" x14ac:dyDescent="0.25">
      <c r="A422" s="81"/>
      <c r="B422" s="106"/>
      <c r="C422" s="81"/>
      <c r="D422" s="81"/>
      <c r="E422" s="81"/>
      <c r="F422" s="81"/>
      <c r="G422" s="88"/>
      <c r="H422" s="88"/>
      <c r="I422" s="88"/>
      <c r="J422" s="88"/>
      <c r="K422" s="88"/>
      <c r="L422" s="88"/>
      <c r="M422" s="96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</row>
    <row r="423" spans="1:27" x14ac:dyDescent="0.25">
      <c r="A423" s="81"/>
      <c r="B423" s="106"/>
      <c r="C423" s="81"/>
      <c r="D423" s="81"/>
      <c r="E423" s="81"/>
      <c r="F423" s="81"/>
      <c r="G423" s="88"/>
      <c r="H423" s="88"/>
      <c r="I423" s="88"/>
      <c r="J423" s="88"/>
      <c r="K423" s="88"/>
      <c r="L423" s="88"/>
      <c r="M423" s="96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</row>
    <row r="424" spans="1:27" x14ac:dyDescent="0.25">
      <c r="A424" s="81"/>
      <c r="B424" s="106"/>
      <c r="C424" s="81"/>
      <c r="D424" s="81"/>
      <c r="E424" s="81"/>
      <c r="F424" s="81"/>
      <c r="G424" s="88"/>
      <c r="H424" s="88"/>
      <c r="I424" s="88"/>
      <c r="J424" s="88"/>
      <c r="K424" s="88"/>
      <c r="L424" s="88"/>
      <c r="M424" s="96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</row>
    <row r="425" spans="1:27" x14ac:dyDescent="0.25">
      <c r="A425" s="81"/>
      <c r="B425" s="106"/>
      <c r="C425" s="81"/>
      <c r="D425" s="81"/>
      <c r="E425" s="81"/>
      <c r="F425" s="81"/>
      <c r="G425" s="88"/>
      <c r="H425" s="88"/>
      <c r="I425" s="88"/>
      <c r="J425" s="88"/>
      <c r="K425" s="88"/>
      <c r="L425" s="88"/>
      <c r="M425" s="96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</row>
    <row r="426" spans="1:27" x14ac:dyDescent="0.25">
      <c r="A426" s="81"/>
      <c r="B426" s="106"/>
      <c r="C426" s="81"/>
      <c r="D426" s="81"/>
      <c r="E426" s="81"/>
      <c r="F426" s="81"/>
      <c r="G426" s="88"/>
      <c r="H426" s="88"/>
      <c r="I426" s="88"/>
      <c r="J426" s="88"/>
      <c r="K426" s="88"/>
      <c r="L426" s="88"/>
      <c r="M426" s="96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</row>
    <row r="427" spans="1:27" x14ac:dyDescent="0.25">
      <c r="A427" s="81"/>
      <c r="B427" s="106"/>
      <c r="C427" s="81"/>
      <c r="D427" s="81"/>
      <c r="E427" s="81"/>
      <c r="F427" s="81"/>
      <c r="G427" s="88"/>
      <c r="H427" s="88"/>
      <c r="I427" s="88"/>
      <c r="J427" s="88"/>
      <c r="K427" s="88"/>
      <c r="L427" s="88"/>
      <c r="M427" s="96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</row>
    <row r="428" spans="1:27" x14ac:dyDescent="0.25">
      <c r="A428" s="81"/>
      <c r="B428" s="106"/>
      <c r="C428" s="81"/>
      <c r="D428" s="81"/>
      <c r="E428" s="81"/>
      <c r="F428" s="81"/>
      <c r="G428" s="88"/>
      <c r="H428" s="88"/>
      <c r="I428" s="88"/>
      <c r="J428" s="88"/>
      <c r="K428" s="88"/>
      <c r="L428" s="88"/>
      <c r="M428" s="96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</row>
    <row r="429" spans="1:27" x14ac:dyDescent="0.25">
      <c r="A429" s="81"/>
      <c r="B429" s="106"/>
      <c r="C429" s="81"/>
      <c r="D429" s="81"/>
      <c r="E429" s="81"/>
      <c r="F429" s="81"/>
      <c r="G429" s="88"/>
      <c r="H429" s="88"/>
      <c r="I429" s="88"/>
      <c r="J429" s="88"/>
      <c r="K429" s="88"/>
      <c r="L429" s="88"/>
      <c r="M429" s="96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</row>
    <row r="430" spans="1:27" x14ac:dyDescent="0.25">
      <c r="A430" s="81"/>
      <c r="B430" s="106"/>
      <c r="C430" s="81"/>
      <c r="D430" s="81"/>
      <c r="E430" s="81"/>
      <c r="F430" s="81"/>
      <c r="G430" s="88"/>
      <c r="H430" s="88"/>
      <c r="I430" s="88"/>
      <c r="J430" s="88"/>
      <c r="K430" s="88"/>
      <c r="L430" s="88"/>
      <c r="M430" s="96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</row>
    <row r="431" spans="1:27" x14ac:dyDescent="0.25">
      <c r="A431" s="81"/>
      <c r="B431" s="106"/>
      <c r="C431" s="81"/>
      <c r="D431" s="81"/>
      <c r="E431" s="81"/>
      <c r="F431" s="81"/>
      <c r="G431" s="88"/>
      <c r="H431" s="88"/>
      <c r="I431" s="88"/>
      <c r="J431" s="88"/>
      <c r="K431" s="88"/>
      <c r="L431" s="88"/>
      <c r="M431" s="96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</row>
    <row r="432" spans="1:27" x14ac:dyDescent="0.25">
      <c r="A432" s="81"/>
      <c r="B432" s="106"/>
      <c r="C432" s="81"/>
      <c r="D432" s="81"/>
      <c r="E432" s="81"/>
      <c r="F432" s="81"/>
      <c r="G432" s="88"/>
      <c r="H432" s="88"/>
      <c r="I432" s="88"/>
      <c r="J432" s="88"/>
      <c r="K432" s="88"/>
      <c r="L432" s="88"/>
      <c r="M432" s="96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</row>
    <row r="433" spans="1:27" x14ac:dyDescent="0.25">
      <c r="A433" s="81"/>
      <c r="B433" s="106"/>
      <c r="C433" s="81"/>
      <c r="D433" s="81"/>
      <c r="E433" s="81"/>
      <c r="F433" s="81"/>
      <c r="G433" s="88"/>
      <c r="H433" s="88"/>
      <c r="I433" s="88"/>
      <c r="J433" s="88"/>
      <c r="K433" s="88"/>
      <c r="L433" s="88"/>
      <c r="M433" s="96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</row>
    <row r="434" spans="1:27" x14ac:dyDescent="0.25">
      <c r="A434" s="81"/>
      <c r="B434" s="106"/>
      <c r="C434" s="81"/>
      <c r="D434" s="81"/>
      <c r="E434" s="81"/>
      <c r="F434" s="81"/>
      <c r="G434" s="88"/>
      <c r="H434" s="88"/>
      <c r="I434" s="88"/>
      <c r="J434" s="88"/>
      <c r="K434" s="88"/>
      <c r="L434" s="88"/>
      <c r="M434" s="96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</row>
    <row r="435" spans="1:27" x14ac:dyDescent="0.25">
      <c r="A435" s="81"/>
      <c r="B435" s="106"/>
      <c r="C435" s="81"/>
      <c r="D435" s="81"/>
      <c r="E435" s="81"/>
      <c r="F435" s="81"/>
      <c r="G435" s="88"/>
      <c r="H435" s="88"/>
      <c r="I435" s="88"/>
      <c r="J435" s="88"/>
      <c r="K435" s="88"/>
      <c r="L435" s="88"/>
      <c r="M435" s="96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</row>
    <row r="436" spans="1:27" x14ac:dyDescent="0.25">
      <c r="A436" s="81"/>
      <c r="B436" s="106"/>
      <c r="C436" s="81"/>
      <c r="D436" s="81"/>
      <c r="E436" s="81"/>
      <c r="F436" s="81"/>
      <c r="G436" s="88"/>
      <c r="H436" s="88"/>
      <c r="I436" s="88"/>
      <c r="J436" s="88"/>
      <c r="K436" s="88"/>
      <c r="L436" s="88"/>
      <c r="M436" s="96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</row>
    <row r="437" spans="1:27" x14ac:dyDescent="0.25">
      <c r="A437" s="81"/>
      <c r="B437" s="106"/>
      <c r="C437" s="81"/>
      <c r="D437" s="81"/>
      <c r="E437" s="81"/>
      <c r="F437" s="81"/>
      <c r="G437" s="88"/>
      <c r="H437" s="88"/>
      <c r="I437" s="88"/>
      <c r="J437" s="88"/>
      <c r="K437" s="88"/>
      <c r="L437" s="88"/>
      <c r="M437" s="96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</row>
    <row r="438" spans="1:27" x14ac:dyDescent="0.25">
      <c r="A438" s="81"/>
      <c r="B438" s="106"/>
      <c r="C438" s="81"/>
      <c r="D438" s="81"/>
      <c r="E438" s="81"/>
      <c r="F438" s="81"/>
      <c r="G438" s="88"/>
      <c r="H438" s="88"/>
      <c r="I438" s="88"/>
      <c r="J438" s="88"/>
      <c r="K438" s="88"/>
      <c r="L438" s="88"/>
      <c r="M438" s="96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</row>
    <row r="439" spans="1:27" x14ac:dyDescent="0.25">
      <c r="A439" s="81"/>
      <c r="B439" s="106"/>
      <c r="C439" s="81"/>
      <c r="D439" s="81"/>
      <c r="E439" s="81"/>
      <c r="F439" s="81"/>
      <c r="G439" s="88"/>
      <c r="H439" s="88"/>
      <c r="I439" s="88"/>
      <c r="J439" s="88"/>
      <c r="K439" s="88"/>
      <c r="L439" s="88"/>
      <c r="M439" s="96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</row>
    <row r="440" spans="1:27" x14ac:dyDescent="0.25">
      <c r="A440" s="81"/>
      <c r="B440" s="106"/>
      <c r="C440" s="81"/>
      <c r="D440" s="81"/>
      <c r="E440" s="81"/>
      <c r="F440" s="81"/>
      <c r="G440" s="88"/>
      <c r="H440" s="88"/>
      <c r="I440" s="88"/>
      <c r="J440" s="88"/>
      <c r="K440" s="88"/>
      <c r="L440" s="88"/>
      <c r="M440" s="96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</row>
    <row r="441" spans="1:27" x14ac:dyDescent="0.25">
      <c r="A441" s="81"/>
      <c r="B441" s="106"/>
      <c r="C441" s="81"/>
      <c r="D441" s="81"/>
      <c r="E441" s="81"/>
      <c r="F441" s="81"/>
      <c r="G441" s="88"/>
      <c r="H441" s="88"/>
      <c r="I441" s="88"/>
      <c r="J441" s="88"/>
      <c r="K441" s="88"/>
      <c r="L441" s="88"/>
      <c r="M441" s="96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</row>
    <row r="442" spans="1:27" x14ac:dyDescent="0.25">
      <c r="A442" s="81"/>
      <c r="B442" s="106"/>
      <c r="C442" s="81"/>
      <c r="D442" s="81"/>
      <c r="E442" s="81"/>
      <c r="F442" s="81"/>
      <c r="G442" s="88"/>
      <c r="H442" s="88"/>
      <c r="I442" s="88"/>
      <c r="J442" s="88"/>
      <c r="K442" s="88"/>
      <c r="L442" s="88"/>
      <c r="M442" s="96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</row>
    <row r="443" spans="1:27" x14ac:dyDescent="0.25">
      <c r="A443" s="81"/>
      <c r="B443" s="106"/>
      <c r="C443" s="81"/>
      <c r="D443" s="81"/>
      <c r="E443" s="81"/>
      <c r="F443" s="81"/>
      <c r="G443" s="88"/>
      <c r="H443" s="88"/>
      <c r="I443" s="88"/>
      <c r="J443" s="88"/>
      <c r="K443" s="88"/>
      <c r="L443" s="88"/>
      <c r="M443" s="96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</row>
    <row r="444" spans="1:27" x14ac:dyDescent="0.25">
      <c r="A444" s="81"/>
      <c r="B444" s="106"/>
      <c r="C444" s="81"/>
      <c r="D444" s="81"/>
      <c r="E444" s="81"/>
      <c r="F444" s="81"/>
      <c r="G444" s="88"/>
      <c r="H444" s="88"/>
      <c r="I444" s="88"/>
      <c r="J444" s="88"/>
      <c r="K444" s="88"/>
      <c r="L444" s="88"/>
      <c r="M444" s="96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</row>
    <row r="445" spans="1:27" x14ac:dyDescent="0.25">
      <c r="A445" s="81"/>
      <c r="B445" s="106"/>
      <c r="C445" s="81"/>
      <c r="D445" s="81"/>
      <c r="E445" s="81"/>
      <c r="F445" s="81"/>
      <c r="G445" s="88"/>
      <c r="H445" s="88"/>
      <c r="I445" s="88"/>
      <c r="J445" s="88"/>
      <c r="K445" s="88"/>
      <c r="L445" s="88"/>
      <c r="M445" s="96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</row>
    <row r="446" spans="1:27" x14ac:dyDescent="0.25">
      <c r="A446" s="81"/>
      <c r="B446" s="106"/>
      <c r="C446" s="81"/>
      <c r="D446" s="81"/>
      <c r="E446" s="81"/>
      <c r="F446" s="81"/>
      <c r="G446" s="88"/>
      <c r="H446" s="88"/>
      <c r="I446" s="88"/>
      <c r="J446" s="88"/>
      <c r="K446" s="88"/>
      <c r="L446" s="88"/>
      <c r="M446" s="96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</row>
    <row r="447" spans="1:27" x14ac:dyDescent="0.25">
      <c r="A447" s="81"/>
      <c r="B447" s="106"/>
      <c r="C447" s="81"/>
      <c r="D447" s="81"/>
      <c r="E447" s="81"/>
      <c r="F447" s="81"/>
      <c r="G447" s="88"/>
      <c r="H447" s="88"/>
      <c r="I447" s="88"/>
      <c r="J447" s="88"/>
      <c r="K447" s="88"/>
      <c r="L447" s="88"/>
      <c r="M447" s="96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</row>
    <row r="448" spans="1:27" x14ac:dyDescent="0.25">
      <c r="A448" s="81"/>
      <c r="B448" s="106"/>
      <c r="C448" s="81"/>
      <c r="D448" s="81"/>
      <c r="E448" s="81"/>
      <c r="F448" s="81"/>
      <c r="G448" s="88"/>
      <c r="H448" s="88"/>
      <c r="I448" s="88"/>
      <c r="J448" s="88"/>
      <c r="K448" s="88"/>
      <c r="L448" s="88"/>
      <c r="M448" s="96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</row>
    <row r="449" spans="1:27" x14ac:dyDescent="0.25">
      <c r="A449" s="81"/>
      <c r="B449" s="106"/>
      <c r="C449" s="81"/>
      <c r="D449" s="81"/>
      <c r="E449" s="81"/>
      <c r="F449" s="81"/>
      <c r="G449" s="88"/>
      <c r="H449" s="88"/>
      <c r="I449" s="88"/>
      <c r="J449" s="88"/>
      <c r="K449" s="88"/>
      <c r="L449" s="88"/>
      <c r="M449" s="96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</row>
    <row r="450" spans="1:27" x14ac:dyDescent="0.25">
      <c r="A450" s="81"/>
      <c r="B450" s="106"/>
      <c r="C450" s="81"/>
      <c r="D450" s="81"/>
      <c r="E450" s="81"/>
      <c r="F450" s="81"/>
      <c r="G450" s="88"/>
      <c r="H450" s="88"/>
      <c r="I450" s="88"/>
      <c r="J450" s="88"/>
      <c r="K450" s="88"/>
      <c r="L450" s="88"/>
      <c r="M450" s="96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</row>
    <row r="451" spans="1:27" x14ac:dyDescent="0.25">
      <c r="A451" s="81"/>
      <c r="B451" s="106"/>
      <c r="C451" s="81"/>
      <c r="D451" s="81"/>
      <c r="E451" s="81"/>
      <c r="F451" s="81"/>
      <c r="G451" s="88"/>
      <c r="H451" s="88"/>
      <c r="I451" s="88"/>
      <c r="J451" s="88"/>
      <c r="K451" s="88"/>
      <c r="L451" s="88"/>
      <c r="M451" s="96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</row>
    <row r="452" spans="1:27" x14ac:dyDescent="0.25">
      <c r="A452" s="81"/>
      <c r="B452" s="106"/>
      <c r="C452" s="81"/>
      <c r="D452" s="81"/>
      <c r="E452" s="81"/>
      <c r="F452" s="81"/>
      <c r="G452" s="88"/>
      <c r="H452" s="88"/>
      <c r="I452" s="88"/>
      <c r="J452" s="88"/>
      <c r="K452" s="88"/>
      <c r="L452" s="88"/>
      <c r="M452" s="96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</row>
    <row r="453" spans="1:27" x14ac:dyDescent="0.25">
      <c r="A453" s="81"/>
      <c r="B453" s="106"/>
      <c r="C453" s="81"/>
      <c r="D453" s="81"/>
      <c r="E453" s="81"/>
      <c r="F453" s="81"/>
      <c r="G453" s="88"/>
      <c r="H453" s="88"/>
      <c r="I453" s="88"/>
      <c r="J453" s="88"/>
      <c r="K453" s="88"/>
      <c r="L453" s="88"/>
      <c r="M453" s="96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</row>
    <row r="454" spans="1:27" x14ac:dyDescent="0.25">
      <c r="A454" s="81"/>
      <c r="B454" s="106"/>
      <c r="C454" s="81"/>
      <c r="D454" s="81"/>
      <c r="E454" s="81"/>
      <c r="F454" s="81"/>
      <c r="G454" s="88"/>
      <c r="H454" s="88"/>
      <c r="I454" s="88"/>
      <c r="J454" s="88"/>
      <c r="K454" s="88"/>
      <c r="L454" s="88"/>
      <c r="M454" s="96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</row>
    <row r="455" spans="1:27" x14ac:dyDescent="0.25">
      <c r="A455" s="81"/>
      <c r="B455" s="106"/>
      <c r="C455" s="81"/>
      <c r="D455" s="81"/>
      <c r="E455" s="81"/>
      <c r="F455" s="81"/>
      <c r="G455" s="88"/>
      <c r="H455" s="96"/>
      <c r="I455" s="88"/>
      <c r="J455" s="88"/>
      <c r="K455" s="88"/>
      <c r="L455" s="88"/>
      <c r="M455" s="96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</row>
    <row r="456" spans="1:27" x14ac:dyDescent="0.25">
      <c r="A456" s="81"/>
      <c r="B456" s="106"/>
      <c r="C456" s="81"/>
      <c r="D456" s="81"/>
      <c r="E456" s="81"/>
      <c r="F456" s="81"/>
      <c r="G456" s="96"/>
      <c r="H456" s="96"/>
      <c r="I456" s="96"/>
      <c r="J456" s="96"/>
      <c r="K456" s="96"/>
      <c r="L456" s="96"/>
      <c r="M456" s="96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</row>
    <row r="457" spans="1:27" x14ac:dyDescent="0.25">
      <c r="A457" s="81"/>
      <c r="B457" s="106"/>
      <c r="C457" s="81"/>
      <c r="D457" s="81"/>
      <c r="E457" s="81"/>
      <c r="F457" s="81"/>
      <c r="G457" s="96"/>
      <c r="H457" s="96"/>
      <c r="I457" s="96"/>
      <c r="J457" s="96"/>
      <c r="K457" s="96"/>
      <c r="L457" s="96"/>
      <c r="M457" s="96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</row>
    <row r="458" spans="1:27" x14ac:dyDescent="0.25">
      <c r="A458" s="81"/>
      <c r="B458" s="106"/>
      <c r="C458" s="81"/>
      <c r="D458" s="81"/>
      <c r="E458" s="81"/>
      <c r="F458" s="81"/>
      <c r="G458" s="96"/>
      <c r="H458" s="96"/>
      <c r="I458" s="96"/>
      <c r="J458" s="96"/>
      <c r="K458" s="96"/>
      <c r="L458" s="96"/>
      <c r="M458" s="96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</row>
    <row r="459" spans="1:27" x14ac:dyDescent="0.25">
      <c r="A459" s="81"/>
      <c r="B459" s="106"/>
      <c r="C459" s="81"/>
      <c r="D459" s="81"/>
      <c r="E459" s="81"/>
      <c r="F459" s="81"/>
      <c r="G459" s="96"/>
      <c r="H459" s="96"/>
      <c r="I459" s="96"/>
      <c r="J459" s="96"/>
      <c r="K459" s="96"/>
      <c r="L459" s="96"/>
      <c r="M459" s="96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</row>
    <row r="460" spans="1:27" x14ac:dyDescent="0.25">
      <c r="A460" s="81"/>
      <c r="B460" s="106"/>
      <c r="C460" s="81"/>
      <c r="D460" s="81"/>
      <c r="E460" s="81"/>
      <c r="F460" s="81"/>
      <c r="G460" s="96"/>
      <c r="H460" s="96"/>
      <c r="I460" s="96"/>
      <c r="J460" s="96"/>
      <c r="K460" s="96"/>
      <c r="L460" s="96"/>
      <c r="M460" s="96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</row>
    <row r="461" spans="1:27" x14ac:dyDescent="0.25">
      <c r="A461" s="81"/>
      <c r="B461" s="106"/>
      <c r="C461" s="81"/>
      <c r="D461" s="81"/>
      <c r="E461" s="81"/>
      <c r="F461" s="81"/>
      <c r="G461" s="96"/>
      <c r="H461" s="96"/>
      <c r="I461" s="96"/>
      <c r="J461" s="96"/>
      <c r="K461" s="96"/>
      <c r="L461" s="96"/>
      <c r="M461" s="96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</row>
    <row r="462" spans="1:27" x14ac:dyDescent="0.25">
      <c r="A462" s="81"/>
      <c r="B462" s="106"/>
      <c r="C462" s="81"/>
      <c r="D462" s="81"/>
      <c r="E462" s="81"/>
      <c r="F462" s="81"/>
      <c r="G462" s="96"/>
      <c r="H462" s="96"/>
      <c r="I462" s="96"/>
      <c r="J462" s="96"/>
      <c r="K462" s="96"/>
      <c r="L462" s="96"/>
      <c r="M462" s="96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</row>
    <row r="463" spans="1:27" x14ac:dyDescent="0.25">
      <c r="A463" s="81"/>
      <c r="B463" s="106"/>
      <c r="C463" s="81"/>
      <c r="D463" s="81"/>
      <c r="E463" s="81"/>
      <c r="F463" s="81"/>
      <c r="G463" s="96"/>
      <c r="H463" s="96"/>
      <c r="I463" s="96"/>
      <c r="J463" s="96"/>
      <c r="K463" s="96"/>
      <c r="L463" s="96"/>
      <c r="M463" s="96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</row>
    <row r="464" spans="1:27" x14ac:dyDescent="0.25">
      <c r="A464" s="81"/>
      <c r="B464" s="106"/>
      <c r="C464" s="81"/>
      <c r="D464" s="81"/>
      <c r="E464" s="81"/>
      <c r="F464" s="81"/>
      <c r="G464" s="96"/>
      <c r="H464" s="96"/>
      <c r="I464" s="96"/>
      <c r="J464" s="96"/>
      <c r="K464" s="96"/>
      <c r="L464" s="96"/>
      <c r="M464" s="96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</row>
    <row r="465" spans="1:27" x14ac:dyDescent="0.25">
      <c r="A465" s="81"/>
      <c r="B465" s="106"/>
      <c r="C465" s="81"/>
      <c r="D465" s="81"/>
      <c r="E465" s="81"/>
      <c r="F465" s="81"/>
      <c r="G465" s="96"/>
      <c r="H465" s="96"/>
      <c r="I465" s="96"/>
      <c r="J465" s="96"/>
      <c r="K465" s="96"/>
      <c r="L465" s="96"/>
      <c r="M465" s="96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</row>
    <row r="466" spans="1:27" x14ac:dyDescent="0.25">
      <c r="A466" s="81"/>
      <c r="B466" s="106"/>
      <c r="C466" s="81"/>
      <c r="D466" s="81"/>
      <c r="E466" s="81"/>
      <c r="F466" s="81"/>
      <c r="G466" s="96"/>
      <c r="H466" s="96"/>
      <c r="I466" s="96"/>
      <c r="J466" s="96"/>
      <c r="K466" s="96"/>
      <c r="L466" s="96"/>
      <c r="M466" s="96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</row>
    <row r="467" spans="1:27" x14ac:dyDescent="0.25">
      <c r="A467" s="81"/>
      <c r="B467" s="106"/>
      <c r="C467" s="81"/>
      <c r="D467" s="81"/>
      <c r="E467" s="81"/>
      <c r="F467" s="81"/>
      <c r="G467" s="96"/>
      <c r="H467" s="96"/>
      <c r="I467" s="96"/>
      <c r="J467" s="96"/>
      <c r="K467" s="96"/>
      <c r="L467" s="96"/>
      <c r="M467" s="96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</row>
    <row r="468" spans="1:27" x14ac:dyDescent="0.25">
      <c r="A468" s="81"/>
      <c r="B468" s="106"/>
      <c r="C468" s="81"/>
      <c r="D468" s="81"/>
      <c r="E468" s="81"/>
      <c r="F468" s="81"/>
      <c r="G468" s="96"/>
      <c r="H468" s="96"/>
      <c r="I468" s="96"/>
      <c r="J468" s="96"/>
      <c r="K468" s="96"/>
      <c r="L468" s="96"/>
      <c r="M468" s="96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</row>
    <row r="469" spans="1:27" x14ac:dyDescent="0.25">
      <c r="A469" s="81"/>
      <c r="B469" s="106"/>
      <c r="C469" s="81"/>
      <c r="D469" s="81"/>
      <c r="E469" s="81"/>
      <c r="F469" s="81"/>
      <c r="G469" s="96"/>
      <c r="H469" s="96"/>
      <c r="I469" s="96"/>
      <c r="J469" s="96"/>
      <c r="K469" s="96"/>
      <c r="L469" s="96"/>
      <c r="M469" s="96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</row>
    <row r="470" spans="1:27" x14ac:dyDescent="0.25">
      <c r="A470" s="81"/>
      <c r="B470" s="106"/>
      <c r="C470" s="81"/>
      <c r="D470" s="81"/>
      <c r="E470" s="81"/>
      <c r="F470" s="81"/>
      <c r="G470" s="96"/>
      <c r="H470" s="96"/>
      <c r="I470" s="96"/>
      <c r="J470" s="96"/>
      <c r="K470" s="96"/>
      <c r="L470" s="96"/>
      <c r="M470" s="96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</row>
    <row r="471" spans="1:27" x14ac:dyDescent="0.25">
      <c r="A471" s="81"/>
      <c r="B471" s="106"/>
      <c r="C471" s="81"/>
      <c r="D471" s="81"/>
      <c r="E471" s="81"/>
      <c r="F471" s="81"/>
      <c r="G471" s="96"/>
      <c r="H471" s="96"/>
      <c r="I471" s="96"/>
      <c r="J471" s="96"/>
      <c r="K471" s="96"/>
      <c r="L471" s="96"/>
      <c r="M471" s="96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</row>
    <row r="472" spans="1:27" x14ac:dyDescent="0.25">
      <c r="A472" s="81"/>
      <c r="B472" s="106"/>
      <c r="C472" s="81"/>
      <c r="D472" s="81"/>
      <c r="E472" s="81"/>
      <c r="F472" s="81"/>
      <c r="G472" s="96"/>
      <c r="H472" s="96"/>
      <c r="I472" s="96"/>
      <c r="J472" s="96"/>
      <c r="K472" s="96"/>
      <c r="L472" s="96"/>
      <c r="M472" s="96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</row>
    <row r="473" spans="1:27" x14ac:dyDescent="0.25">
      <c r="A473" s="81"/>
      <c r="B473" s="106"/>
      <c r="C473" s="81"/>
      <c r="D473" s="81"/>
      <c r="E473" s="81"/>
      <c r="F473" s="81"/>
      <c r="G473" s="96"/>
      <c r="H473" s="96"/>
      <c r="I473" s="96"/>
      <c r="J473" s="96"/>
      <c r="K473" s="96"/>
      <c r="L473" s="96"/>
      <c r="M473" s="96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</row>
    <row r="474" spans="1:27" x14ac:dyDescent="0.25">
      <c r="A474" s="81"/>
      <c r="B474" s="106"/>
      <c r="C474" s="81"/>
      <c r="D474" s="81"/>
      <c r="E474" s="81"/>
      <c r="F474" s="81"/>
      <c r="G474" s="96"/>
      <c r="H474" s="96"/>
      <c r="I474" s="96"/>
      <c r="J474" s="96"/>
      <c r="K474" s="96"/>
      <c r="L474" s="96"/>
      <c r="M474" s="96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</row>
    <row r="475" spans="1:27" x14ac:dyDescent="0.25">
      <c r="A475" s="81"/>
      <c r="B475" s="106"/>
      <c r="C475" s="81"/>
      <c r="D475" s="81"/>
      <c r="E475" s="81"/>
      <c r="F475" s="81"/>
      <c r="G475" s="96"/>
      <c r="H475" s="96"/>
      <c r="I475" s="96"/>
      <c r="J475" s="96"/>
      <c r="K475" s="96"/>
      <c r="L475" s="96"/>
      <c r="M475" s="96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</row>
    <row r="476" spans="1:27" x14ac:dyDescent="0.25">
      <c r="A476" s="81"/>
      <c r="B476" s="106"/>
      <c r="C476" s="81"/>
      <c r="D476" s="81"/>
      <c r="E476" s="81"/>
      <c r="F476" s="81"/>
      <c r="G476" s="96"/>
      <c r="H476" s="96"/>
      <c r="I476" s="96"/>
      <c r="J476" s="96"/>
      <c r="K476" s="96"/>
      <c r="L476" s="96"/>
      <c r="M476" s="96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</row>
    <row r="477" spans="1:27" x14ac:dyDescent="0.25">
      <c r="A477" s="81"/>
      <c r="B477" s="106"/>
      <c r="C477" s="81"/>
      <c r="D477" s="81"/>
      <c r="E477" s="81"/>
      <c r="F477" s="81"/>
      <c r="G477" s="96"/>
      <c r="H477" s="96"/>
      <c r="I477" s="96"/>
      <c r="J477" s="96"/>
      <c r="K477" s="96"/>
      <c r="L477" s="96"/>
      <c r="M477" s="96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</row>
    <row r="478" spans="1:27" x14ac:dyDescent="0.25">
      <c r="A478" s="81"/>
      <c r="B478" s="106"/>
      <c r="C478" s="81"/>
      <c r="D478" s="81"/>
      <c r="E478" s="81"/>
      <c r="F478" s="81"/>
      <c r="G478" s="96"/>
      <c r="H478" s="96"/>
      <c r="I478" s="96"/>
      <c r="J478" s="96"/>
      <c r="K478" s="96"/>
      <c r="L478" s="96"/>
      <c r="M478" s="96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</row>
    <row r="479" spans="1:27" x14ac:dyDescent="0.25">
      <c r="A479" s="81"/>
      <c r="B479" s="106"/>
      <c r="C479" s="81"/>
      <c r="D479" s="81"/>
      <c r="E479" s="81"/>
      <c r="F479" s="81"/>
      <c r="G479" s="96"/>
      <c r="H479" s="96"/>
      <c r="I479" s="96"/>
      <c r="J479" s="96"/>
      <c r="K479" s="96"/>
      <c r="L479" s="96"/>
      <c r="M479" s="96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</row>
    <row r="480" spans="1:27" x14ac:dyDescent="0.25">
      <c r="A480" s="81"/>
      <c r="B480" s="106"/>
      <c r="C480" s="81"/>
      <c r="D480" s="81"/>
      <c r="E480" s="81"/>
      <c r="F480" s="81"/>
      <c r="G480" s="96"/>
      <c r="H480" s="96"/>
      <c r="I480" s="96"/>
      <c r="J480" s="96"/>
      <c r="K480" s="96"/>
      <c r="L480" s="96"/>
      <c r="M480" s="96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</row>
    <row r="481" spans="1:27" x14ac:dyDescent="0.25">
      <c r="A481" s="81"/>
      <c r="B481" s="106"/>
      <c r="C481" s="81"/>
      <c r="D481" s="81"/>
      <c r="E481" s="81"/>
      <c r="F481" s="81"/>
      <c r="G481" s="96"/>
      <c r="H481" s="96"/>
      <c r="I481" s="96"/>
      <c r="J481" s="96"/>
      <c r="K481" s="96"/>
      <c r="L481" s="96"/>
      <c r="M481" s="96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</row>
    <row r="482" spans="1:27" x14ac:dyDescent="0.25">
      <c r="A482" s="81"/>
      <c r="B482" s="106"/>
      <c r="C482" s="81"/>
      <c r="D482" s="81"/>
      <c r="E482" s="81"/>
      <c r="F482" s="81"/>
      <c r="G482" s="96"/>
      <c r="H482" s="96"/>
      <c r="I482" s="96"/>
      <c r="J482" s="96"/>
      <c r="K482" s="96"/>
      <c r="L482" s="96"/>
      <c r="M482" s="96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</row>
    <row r="483" spans="1:27" x14ac:dyDescent="0.25">
      <c r="A483" s="81"/>
      <c r="B483" s="106"/>
      <c r="C483" s="81"/>
      <c r="D483" s="81"/>
      <c r="E483" s="81"/>
      <c r="F483" s="81"/>
      <c r="G483" s="96"/>
      <c r="H483" s="96"/>
      <c r="I483" s="96"/>
      <c r="J483" s="96"/>
      <c r="K483" s="96"/>
      <c r="L483" s="96"/>
      <c r="M483" s="96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</row>
    <row r="484" spans="1:27" x14ac:dyDescent="0.25">
      <c r="A484" s="81"/>
      <c r="B484" s="106"/>
      <c r="C484" s="81"/>
      <c r="D484" s="81"/>
      <c r="E484" s="81"/>
      <c r="F484" s="81"/>
      <c r="G484" s="96"/>
      <c r="H484" s="96"/>
      <c r="I484" s="96"/>
      <c r="J484" s="96"/>
      <c r="K484" s="96"/>
      <c r="L484" s="96"/>
      <c r="M484" s="96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</row>
    <row r="485" spans="1:27" x14ac:dyDescent="0.25">
      <c r="A485" s="81"/>
      <c r="B485" s="106"/>
      <c r="C485" s="81"/>
      <c r="D485" s="81"/>
      <c r="E485" s="81"/>
      <c r="F485" s="81"/>
      <c r="G485" s="96"/>
      <c r="H485" s="96"/>
      <c r="I485" s="96"/>
      <c r="J485" s="96"/>
      <c r="K485" s="96"/>
      <c r="L485" s="96"/>
      <c r="M485" s="96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</row>
    <row r="486" spans="1:27" x14ac:dyDescent="0.25">
      <c r="A486" s="81"/>
      <c r="B486" s="106"/>
      <c r="C486" s="81"/>
      <c r="D486" s="81"/>
      <c r="E486" s="81"/>
      <c r="F486" s="81"/>
      <c r="G486" s="96"/>
      <c r="H486" s="96"/>
      <c r="I486" s="96"/>
      <c r="J486" s="96"/>
      <c r="K486" s="96"/>
      <c r="L486" s="96"/>
      <c r="M486" s="96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</row>
    <row r="487" spans="1:27" x14ac:dyDescent="0.25">
      <c r="A487" s="81"/>
      <c r="B487" s="106"/>
      <c r="C487" s="81"/>
      <c r="D487" s="81"/>
      <c r="E487" s="81"/>
      <c r="F487" s="81"/>
      <c r="G487" s="96"/>
      <c r="H487" s="96"/>
      <c r="I487" s="96"/>
      <c r="J487" s="96"/>
      <c r="K487" s="96"/>
      <c r="L487" s="96"/>
      <c r="M487" s="96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</row>
    <row r="488" spans="1:27" x14ac:dyDescent="0.25">
      <c r="A488" s="81"/>
      <c r="B488" s="106"/>
      <c r="C488" s="81"/>
      <c r="D488" s="81"/>
      <c r="E488" s="81"/>
      <c r="F488" s="81"/>
      <c r="G488" s="96"/>
      <c r="H488" s="96"/>
      <c r="I488" s="96"/>
      <c r="J488" s="96"/>
      <c r="K488" s="96"/>
      <c r="L488" s="96"/>
      <c r="M488" s="96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</row>
    <row r="489" spans="1:27" x14ac:dyDescent="0.25">
      <c r="A489" s="81"/>
      <c r="B489" s="106"/>
      <c r="C489" s="81"/>
      <c r="D489" s="81"/>
      <c r="E489" s="81"/>
      <c r="F489" s="81"/>
      <c r="G489" s="96"/>
      <c r="H489" s="96"/>
      <c r="I489" s="96"/>
      <c r="J489" s="96"/>
      <c r="K489" s="96"/>
      <c r="L489" s="96"/>
      <c r="M489" s="96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</row>
    <row r="490" spans="1:27" x14ac:dyDescent="0.25">
      <c r="A490" s="81"/>
      <c r="B490" s="106"/>
      <c r="C490" s="81"/>
      <c r="D490" s="81"/>
      <c r="E490" s="81"/>
      <c r="F490" s="81"/>
      <c r="G490" s="96"/>
      <c r="H490" s="96"/>
      <c r="I490" s="96"/>
      <c r="J490" s="96"/>
      <c r="K490" s="96"/>
      <c r="L490" s="96"/>
      <c r="M490" s="96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</row>
    <row r="491" spans="1:27" x14ac:dyDescent="0.25">
      <c r="A491" s="81"/>
      <c r="B491" s="106"/>
      <c r="C491" s="81"/>
      <c r="D491" s="81"/>
      <c r="E491" s="81"/>
      <c r="F491" s="81"/>
      <c r="G491" s="96"/>
      <c r="H491" s="96"/>
      <c r="I491" s="96"/>
      <c r="J491" s="96"/>
      <c r="K491" s="96"/>
      <c r="L491" s="96"/>
      <c r="M491" s="96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</row>
    <row r="492" spans="1:27" x14ac:dyDescent="0.25">
      <c r="A492" s="81"/>
      <c r="B492" s="106"/>
      <c r="C492" s="81"/>
      <c r="D492" s="81"/>
      <c r="E492" s="81"/>
      <c r="F492" s="81"/>
      <c r="G492" s="96"/>
      <c r="H492" s="96"/>
      <c r="I492" s="96"/>
      <c r="J492" s="96"/>
      <c r="K492" s="96"/>
      <c r="L492" s="96"/>
      <c r="M492" s="96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</row>
    <row r="493" spans="1:27" x14ac:dyDescent="0.25">
      <c r="A493" s="81"/>
      <c r="B493" s="106"/>
      <c r="C493" s="81"/>
      <c r="D493" s="81"/>
      <c r="E493" s="81"/>
      <c r="F493" s="81"/>
      <c r="G493" s="96"/>
      <c r="H493" s="96"/>
      <c r="I493" s="96"/>
      <c r="J493" s="96"/>
      <c r="K493" s="96"/>
      <c r="L493" s="96"/>
      <c r="M493" s="96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</row>
    <row r="494" spans="1:27" x14ac:dyDescent="0.25">
      <c r="A494" s="81"/>
      <c r="B494" s="106"/>
      <c r="C494" s="81"/>
      <c r="D494" s="81"/>
      <c r="E494" s="81"/>
      <c r="F494" s="81"/>
      <c r="G494" s="96"/>
      <c r="H494" s="96"/>
      <c r="I494" s="96"/>
      <c r="J494" s="96"/>
      <c r="K494" s="96"/>
      <c r="L494" s="96"/>
      <c r="M494" s="96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</row>
    <row r="495" spans="1:27" x14ac:dyDescent="0.25">
      <c r="A495" s="81"/>
      <c r="B495" s="106"/>
      <c r="C495" s="81"/>
      <c r="D495" s="81"/>
      <c r="E495" s="81"/>
      <c r="F495" s="81"/>
      <c r="G495" s="96"/>
      <c r="H495" s="96"/>
      <c r="I495" s="96"/>
      <c r="J495" s="96"/>
      <c r="K495" s="96"/>
      <c r="L495" s="96"/>
      <c r="M495" s="96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</row>
    <row r="496" spans="1:27" x14ac:dyDescent="0.25">
      <c r="A496" s="81"/>
      <c r="B496" s="106"/>
      <c r="C496" s="81"/>
      <c r="D496" s="81"/>
      <c r="E496" s="81"/>
      <c r="F496" s="81"/>
      <c r="G496" s="96"/>
      <c r="H496" s="96"/>
      <c r="I496" s="96"/>
      <c r="J496" s="96"/>
      <c r="K496" s="96"/>
      <c r="L496" s="96"/>
      <c r="M496" s="96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</row>
    <row r="497" spans="1:27" x14ac:dyDescent="0.25">
      <c r="A497" s="81"/>
      <c r="B497" s="106"/>
      <c r="C497" s="81"/>
      <c r="D497" s="81"/>
      <c r="E497" s="81"/>
      <c r="F497" s="81"/>
      <c r="G497" s="96"/>
      <c r="H497" s="96"/>
      <c r="I497" s="96"/>
      <c r="J497" s="96"/>
      <c r="K497" s="96"/>
      <c r="L497" s="96"/>
      <c r="M497" s="96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</row>
    <row r="498" spans="1:27" x14ac:dyDescent="0.25">
      <c r="A498" s="81"/>
      <c r="B498" s="106"/>
      <c r="C498" s="81"/>
      <c r="D498" s="81"/>
      <c r="E498" s="81"/>
      <c r="F498" s="81"/>
      <c r="G498" s="96"/>
      <c r="H498" s="96"/>
      <c r="I498" s="96"/>
      <c r="J498" s="96"/>
      <c r="K498" s="96"/>
      <c r="L498" s="96"/>
      <c r="M498" s="96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</row>
    <row r="499" spans="1:27" x14ac:dyDescent="0.25">
      <c r="A499" s="81"/>
      <c r="B499" s="106"/>
      <c r="C499" s="81"/>
      <c r="D499" s="81"/>
      <c r="E499" s="81"/>
      <c r="F499" s="81"/>
      <c r="G499" s="96"/>
      <c r="H499" s="96"/>
      <c r="I499" s="96"/>
      <c r="J499" s="96"/>
      <c r="K499" s="96"/>
      <c r="L499" s="96"/>
      <c r="M499" s="96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</row>
    <row r="500" spans="1:27" x14ac:dyDescent="0.25">
      <c r="A500" s="81"/>
      <c r="B500" s="106"/>
      <c r="C500" s="81"/>
      <c r="D500" s="81"/>
      <c r="E500" s="81"/>
      <c r="F500" s="81"/>
      <c r="G500" s="96"/>
      <c r="H500" s="96"/>
      <c r="I500" s="96"/>
      <c r="J500" s="96"/>
      <c r="K500" s="96"/>
      <c r="L500" s="96"/>
      <c r="M500" s="96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</row>
    <row r="501" spans="1:27" x14ac:dyDescent="0.25">
      <c r="A501" s="81"/>
      <c r="B501" s="106"/>
      <c r="C501" s="81"/>
      <c r="D501" s="81"/>
      <c r="E501" s="81"/>
      <c r="F501" s="81"/>
      <c r="G501" s="96"/>
      <c r="H501" s="96"/>
      <c r="I501" s="96"/>
      <c r="J501" s="96"/>
      <c r="K501" s="96"/>
      <c r="L501" s="96"/>
      <c r="M501" s="96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</row>
    <row r="502" spans="1:27" x14ac:dyDescent="0.25">
      <c r="A502" s="81"/>
      <c r="B502" s="106"/>
      <c r="C502" s="81"/>
      <c r="D502" s="81"/>
      <c r="E502" s="81"/>
      <c r="F502" s="81"/>
      <c r="G502" s="96"/>
      <c r="H502" s="96"/>
      <c r="I502" s="96"/>
      <c r="J502" s="96"/>
      <c r="K502" s="96"/>
      <c r="L502" s="96"/>
      <c r="M502" s="96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</row>
    <row r="503" spans="1:27" x14ac:dyDescent="0.25">
      <c r="A503" s="81"/>
      <c r="B503" s="106"/>
      <c r="C503" s="81"/>
      <c r="D503" s="81"/>
      <c r="E503" s="81"/>
      <c r="F503" s="81"/>
      <c r="G503" s="96"/>
      <c r="H503" s="96"/>
      <c r="I503" s="96"/>
      <c r="J503" s="96"/>
      <c r="K503" s="96"/>
      <c r="L503" s="96"/>
      <c r="M503" s="96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</row>
    <row r="504" spans="1:27" x14ac:dyDescent="0.25">
      <c r="A504" s="81"/>
      <c r="B504" s="106"/>
      <c r="C504" s="81"/>
      <c r="D504" s="81"/>
      <c r="E504" s="81"/>
      <c r="F504" s="81"/>
      <c r="G504" s="96"/>
      <c r="H504" s="96"/>
      <c r="I504" s="96"/>
      <c r="J504" s="96"/>
      <c r="K504" s="96"/>
      <c r="L504" s="96"/>
      <c r="M504" s="96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</row>
    <row r="505" spans="1:27" x14ac:dyDescent="0.25">
      <c r="A505" s="81"/>
      <c r="B505" s="106"/>
      <c r="C505" s="81"/>
      <c r="D505" s="81"/>
      <c r="E505" s="81"/>
      <c r="F505" s="81"/>
      <c r="G505" s="96"/>
      <c r="H505" s="96"/>
      <c r="I505" s="96"/>
      <c r="J505" s="96"/>
      <c r="K505" s="96"/>
      <c r="L505" s="96"/>
      <c r="M505" s="96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</row>
    <row r="506" spans="1:27" x14ac:dyDescent="0.25">
      <c r="A506" s="81"/>
      <c r="B506" s="106"/>
      <c r="C506" s="81"/>
      <c r="D506" s="81"/>
      <c r="E506" s="81"/>
      <c r="F506" s="81"/>
      <c r="G506" s="96"/>
      <c r="H506" s="96"/>
      <c r="I506" s="96"/>
      <c r="J506" s="96"/>
      <c r="K506" s="96"/>
      <c r="L506" s="96"/>
      <c r="M506" s="96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</row>
    <row r="507" spans="1:27" x14ac:dyDescent="0.25">
      <c r="A507" s="81"/>
      <c r="B507" s="106"/>
      <c r="C507" s="81"/>
      <c r="D507" s="81"/>
      <c r="E507" s="81"/>
      <c r="F507" s="81"/>
      <c r="G507" s="96"/>
      <c r="H507" s="96"/>
      <c r="I507" s="96"/>
      <c r="J507" s="96"/>
      <c r="K507" s="96"/>
      <c r="L507" s="96"/>
      <c r="M507" s="96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</row>
    <row r="508" spans="1:27" x14ac:dyDescent="0.25">
      <c r="A508" s="81"/>
      <c r="B508" s="106"/>
      <c r="C508" s="81"/>
      <c r="D508" s="81"/>
      <c r="E508" s="81"/>
      <c r="F508" s="81"/>
      <c r="G508" s="96"/>
      <c r="H508" s="96"/>
      <c r="I508" s="96"/>
      <c r="J508" s="96"/>
      <c r="K508" s="96"/>
      <c r="L508" s="96"/>
      <c r="M508" s="96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</row>
    <row r="509" spans="1:27" x14ac:dyDescent="0.25">
      <c r="A509" s="81"/>
      <c r="B509" s="106"/>
      <c r="C509" s="81"/>
      <c r="D509" s="81"/>
      <c r="E509" s="81"/>
      <c r="F509" s="81"/>
      <c r="G509" s="96"/>
      <c r="H509" s="96"/>
      <c r="I509" s="96"/>
      <c r="J509" s="96"/>
      <c r="K509" s="96"/>
      <c r="L509" s="96"/>
      <c r="M509" s="96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</row>
    <row r="510" spans="1:27" x14ac:dyDescent="0.25">
      <c r="A510" s="81"/>
      <c r="B510" s="106"/>
      <c r="C510" s="81"/>
      <c r="D510" s="81"/>
      <c r="E510" s="81"/>
      <c r="F510" s="81"/>
      <c r="G510" s="96"/>
      <c r="H510" s="96"/>
      <c r="I510" s="96"/>
      <c r="J510" s="96"/>
      <c r="K510" s="96"/>
      <c r="L510" s="96"/>
      <c r="M510" s="96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</row>
    <row r="511" spans="1:27" x14ac:dyDescent="0.25">
      <c r="A511" s="81"/>
      <c r="B511" s="106"/>
      <c r="C511" s="81"/>
      <c r="D511" s="81"/>
      <c r="E511" s="81"/>
      <c r="F511" s="81"/>
      <c r="G511" s="96"/>
      <c r="H511" s="96"/>
      <c r="I511" s="96"/>
      <c r="J511" s="96"/>
      <c r="K511" s="96"/>
      <c r="L511" s="96"/>
      <c r="M511" s="96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</row>
    <row r="512" spans="1:27" x14ac:dyDescent="0.25">
      <c r="A512" s="81"/>
      <c r="B512" s="106"/>
      <c r="C512" s="81"/>
      <c r="D512" s="81"/>
      <c r="E512" s="81"/>
      <c r="F512" s="81"/>
      <c r="G512" s="96"/>
      <c r="H512" s="96"/>
      <c r="I512" s="96"/>
      <c r="J512" s="96"/>
      <c r="K512" s="96"/>
      <c r="L512" s="96"/>
      <c r="M512" s="96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</row>
    <row r="513" spans="1:27" x14ac:dyDescent="0.25">
      <c r="A513" s="81"/>
      <c r="B513" s="106"/>
      <c r="C513" s="81"/>
      <c r="D513" s="81"/>
      <c r="E513" s="81"/>
      <c r="F513" s="81"/>
      <c r="G513" s="96"/>
      <c r="H513" s="96"/>
      <c r="I513" s="96"/>
      <c r="J513" s="96"/>
      <c r="K513" s="96"/>
      <c r="L513" s="96"/>
      <c r="M513" s="96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</row>
    <row r="514" spans="1:27" x14ac:dyDescent="0.25">
      <c r="A514" s="81"/>
      <c r="B514" s="106"/>
      <c r="C514" s="81"/>
      <c r="D514" s="81"/>
      <c r="E514" s="81"/>
      <c r="F514" s="81"/>
      <c r="G514" s="96"/>
      <c r="H514" s="96"/>
      <c r="I514" s="96"/>
      <c r="J514" s="96"/>
      <c r="K514" s="96"/>
      <c r="L514" s="96"/>
      <c r="M514" s="96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</row>
    <row r="515" spans="1:27" x14ac:dyDescent="0.25">
      <c r="A515" s="81"/>
      <c r="B515" s="106"/>
      <c r="C515" s="81"/>
      <c r="D515" s="81"/>
      <c r="E515" s="81"/>
      <c r="F515" s="81"/>
      <c r="G515" s="96"/>
      <c r="H515" s="96"/>
      <c r="I515" s="96"/>
      <c r="J515" s="96"/>
      <c r="K515" s="96"/>
      <c r="L515" s="96"/>
      <c r="M515" s="96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</row>
    <row r="516" spans="1:27" x14ac:dyDescent="0.25">
      <c r="A516" s="81"/>
      <c r="B516" s="106"/>
      <c r="C516" s="81"/>
      <c r="D516" s="81"/>
      <c r="E516" s="81"/>
      <c r="F516" s="81"/>
      <c r="G516" s="96"/>
      <c r="H516" s="96"/>
      <c r="I516" s="96"/>
      <c r="J516" s="96"/>
      <c r="K516" s="96"/>
      <c r="L516" s="96"/>
      <c r="M516" s="96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</row>
    <row r="517" spans="1:27" x14ac:dyDescent="0.25">
      <c r="A517" s="81"/>
      <c r="B517" s="106"/>
      <c r="C517" s="81"/>
      <c r="D517" s="81"/>
      <c r="E517" s="81"/>
      <c r="F517" s="81"/>
      <c r="G517" s="96"/>
      <c r="H517" s="96"/>
      <c r="I517" s="96"/>
      <c r="J517" s="96"/>
      <c r="K517" s="96"/>
      <c r="L517" s="96"/>
      <c r="M517" s="96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</row>
    <row r="518" spans="1:27" x14ac:dyDescent="0.25">
      <c r="A518" s="81"/>
      <c r="B518" s="106"/>
      <c r="C518" s="81"/>
      <c r="D518" s="81"/>
      <c r="E518" s="81"/>
      <c r="F518" s="81"/>
      <c r="G518" s="96"/>
      <c r="H518" s="96"/>
      <c r="I518" s="96"/>
      <c r="J518" s="96"/>
      <c r="K518" s="96"/>
      <c r="L518" s="96"/>
      <c r="M518" s="96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</row>
    <row r="519" spans="1:27" x14ac:dyDescent="0.25">
      <c r="A519" s="81"/>
      <c r="B519" s="106"/>
      <c r="C519" s="81"/>
      <c r="D519" s="81"/>
      <c r="E519" s="81"/>
      <c r="F519" s="81"/>
      <c r="G519" s="96"/>
      <c r="H519" s="96"/>
      <c r="I519" s="96"/>
      <c r="J519" s="96"/>
      <c r="K519" s="96"/>
      <c r="L519" s="96"/>
      <c r="M519" s="96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</row>
    <row r="520" spans="1:27" x14ac:dyDescent="0.25">
      <c r="A520" s="81"/>
      <c r="B520" s="106"/>
      <c r="C520" s="81"/>
      <c r="D520" s="81"/>
      <c r="E520" s="81"/>
      <c r="F520" s="81"/>
      <c r="G520" s="96"/>
      <c r="H520" s="96"/>
      <c r="I520" s="96"/>
      <c r="J520" s="96"/>
      <c r="K520" s="96"/>
      <c r="L520" s="96"/>
      <c r="M520" s="96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</row>
    <row r="521" spans="1:27" x14ac:dyDescent="0.25">
      <c r="A521" s="81"/>
      <c r="B521" s="106"/>
      <c r="C521" s="81"/>
      <c r="D521" s="81"/>
      <c r="E521" s="81"/>
      <c r="F521" s="81"/>
      <c r="G521" s="96"/>
      <c r="H521" s="96"/>
      <c r="I521" s="96"/>
      <c r="J521" s="96"/>
      <c r="K521" s="96"/>
      <c r="L521" s="96"/>
      <c r="M521" s="96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</row>
    <row r="522" spans="1:27" x14ac:dyDescent="0.25">
      <c r="A522" s="81"/>
      <c r="B522" s="106"/>
      <c r="C522" s="81"/>
      <c r="D522" s="81"/>
      <c r="E522" s="81"/>
      <c r="F522" s="81"/>
      <c r="G522" s="96"/>
      <c r="H522" s="96"/>
      <c r="I522" s="96"/>
      <c r="J522" s="96"/>
      <c r="K522" s="96"/>
      <c r="L522" s="96"/>
      <c r="M522" s="96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</row>
    <row r="523" spans="1:27" x14ac:dyDescent="0.25">
      <c r="A523" s="81"/>
      <c r="B523" s="106"/>
      <c r="C523" s="81"/>
      <c r="D523" s="81"/>
      <c r="E523" s="81"/>
      <c r="F523" s="81"/>
      <c r="G523" s="96"/>
      <c r="H523" s="96"/>
      <c r="I523" s="96"/>
      <c r="J523" s="96"/>
      <c r="K523" s="96"/>
      <c r="L523" s="96"/>
      <c r="M523" s="96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</row>
    <row r="524" spans="1:27" x14ac:dyDescent="0.25">
      <c r="A524" s="81"/>
      <c r="B524" s="106"/>
      <c r="C524" s="81"/>
      <c r="D524" s="81"/>
      <c r="E524" s="81"/>
      <c r="F524" s="81"/>
      <c r="G524" s="96"/>
      <c r="H524" s="96"/>
      <c r="I524" s="96"/>
      <c r="J524" s="96"/>
      <c r="K524" s="96"/>
      <c r="L524" s="96"/>
      <c r="M524" s="96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</row>
    <row r="525" spans="1:27" x14ac:dyDescent="0.25">
      <c r="A525" s="81"/>
      <c r="B525" s="106"/>
      <c r="C525" s="81"/>
      <c r="D525" s="81"/>
      <c r="E525" s="81"/>
      <c r="F525" s="81"/>
      <c r="G525" s="96"/>
      <c r="H525" s="96"/>
      <c r="I525" s="96"/>
      <c r="J525" s="96"/>
      <c r="K525" s="96"/>
      <c r="L525" s="96"/>
      <c r="M525" s="96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</row>
    <row r="526" spans="1:27" x14ac:dyDescent="0.25">
      <c r="A526" s="81"/>
      <c r="B526" s="106"/>
      <c r="C526" s="81"/>
      <c r="D526" s="81"/>
      <c r="E526" s="81"/>
      <c r="F526" s="81"/>
      <c r="G526" s="96"/>
      <c r="H526" s="96"/>
      <c r="I526" s="96"/>
      <c r="J526" s="96"/>
      <c r="K526" s="96"/>
      <c r="L526" s="96"/>
      <c r="M526" s="96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</row>
    <row r="527" spans="1:27" x14ac:dyDescent="0.25">
      <c r="A527" s="81"/>
      <c r="B527" s="106"/>
      <c r="C527" s="81"/>
      <c r="D527" s="81"/>
      <c r="E527" s="81"/>
      <c r="F527" s="81"/>
      <c r="G527" s="96"/>
      <c r="H527" s="96"/>
      <c r="I527" s="96"/>
      <c r="J527" s="96"/>
      <c r="K527" s="96"/>
      <c r="L527" s="96"/>
      <c r="M527" s="96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</row>
    <row r="528" spans="1:27" x14ac:dyDescent="0.25">
      <c r="A528" s="81"/>
      <c r="B528" s="106"/>
      <c r="C528" s="81"/>
      <c r="D528" s="81"/>
      <c r="E528" s="81"/>
      <c r="F528" s="81"/>
      <c r="G528" s="96"/>
      <c r="H528" s="96"/>
      <c r="I528" s="96"/>
      <c r="J528" s="96"/>
      <c r="K528" s="96"/>
      <c r="L528" s="96"/>
      <c r="M528" s="96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</row>
    <row r="529" spans="1:27" x14ac:dyDescent="0.25">
      <c r="A529" s="81"/>
      <c r="B529" s="106"/>
      <c r="C529" s="81"/>
      <c r="D529" s="81"/>
      <c r="E529" s="81"/>
      <c r="F529" s="81"/>
      <c r="G529" s="96"/>
      <c r="H529" s="96"/>
      <c r="I529" s="96"/>
      <c r="J529" s="96"/>
      <c r="K529" s="96"/>
      <c r="L529" s="96"/>
      <c r="M529" s="96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</row>
    <row r="530" spans="1:27" x14ac:dyDescent="0.25">
      <c r="A530" s="81"/>
      <c r="B530" s="106"/>
      <c r="C530" s="81"/>
      <c r="D530" s="81"/>
      <c r="E530" s="81"/>
      <c r="F530" s="81"/>
      <c r="G530" s="96"/>
      <c r="H530" s="96"/>
      <c r="I530" s="96"/>
      <c r="J530" s="96"/>
      <c r="K530" s="96"/>
      <c r="L530" s="96"/>
      <c r="M530" s="96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</row>
    <row r="531" spans="1:27" x14ac:dyDescent="0.25">
      <c r="A531" s="81"/>
      <c r="B531" s="106"/>
      <c r="C531" s="81"/>
      <c r="D531" s="81"/>
      <c r="E531" s="81"/>
      <c r="F531" s="81"/>
      <c r="G531" s="96"/>
      <c r="H531" s="96"/>
      <c r="I531" s="96"/>
      <c r="J531" s="96"/>
      <c r="K531" s="96"/>
      <c r="L531" s="96"/>
      <c r="M531" s="96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</row>
    <row r="532" spans="1:27" x14ac:dyDescent="0.25">
      <c r="A532" s="81"/>
      <c r="B532" s="106"/>
      <c r="C532" s="81"/>
      <c r="D532" s="81"/>
      <c r="E532" s="81"/>
      <c r="F532" s="81"/>
      <c r="G532" s="96"/>
      <c r="H532" s="96"/>
      <c r="I532" s="96"/>
      <c r="J532" s="96"/>
      <c r="K532" s="96"/>
      <c r="L532" s="96"/>
      <c r="M532" s="96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</row>
    <row r="533" spans="1:27" x14ac:dyDescent="0.25">
      <c r="A533" s="81"/>
      <c r="B533" s="106"/>
      <c r="C533" s="81"/>
      <c r="D533" s="81"/>
      <c r="E533" s="81"/>
      <c r="F533" s="81"/>
      <c r="G533" s="96"/>
      <c r="H533" s="96"/>
      <c r="I533" s="96"/>
      <c r="J533" s="96"/>
      <c r="K533" s="96"/>
      <c r="L533" s="96"/>
      <c r="M533" s="96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</row>
    <row r="534" spans="1:27" x14ac:dyDescent="0.25">
      <c r="A534" s="81"/>
      <c r="B534" s="106"/>
      <c r="C534" s="81"/>
      <c r="D534" s="81"/>
      <c r="E534" s="81"/>
      <c r="F534" s="81"/>
      <c r="G534" s="96"/>
      <c r="H534" s="96"/>
      <c r="I534" s="96"/>
      <c r="J534" s="96"/>
      <c r="K534" s="96"/>
      <c r="L534" s="96"/>
      <c r="M534" s="96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</row>
    <row r="535" spans="1:27" x14ac:dyDescent="0.25">
      <c r="A535" s="81"/>
      <c r="B535" s="106"/>
      <c r="C535" s="81"/>
      <c r="D535" s="81"/>
      <c r="E535" s="81"/>
      <c r="F535" s="81"/>
      <c r="G535" s="96"/>
      <c r="H535" s="96"/>
      <c r="I535" s="96"/>
      <c r="J535" s="96"/>
      <c r="K535" s="96"/>
      <c r="L535" s="96"/>
      <c r="M535" s="96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</row>
    <row r="536" spans="1:27" x14ac:dyDescent="0.25">
      <c r="A536" s="81"/>
      <c r="B536" s="106"/>
      <c r="C536" s="81"/>
      <c r="D536" s="81"/>
      <c r="E536" s="81"/>
      <c r="F536" s="81"/>
      <c r="G536" s="96"/>
      <c r="H536" s="96"/>
      <c r="I536" s="96"/>
      <c r="J536" s="96"/>
      <c r="K536" s="96"/>
      <c r="L536" s="96"/>
      <c r="M536" s="96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</row>
    <row r="537" spans="1:27" x14ac:dyDescent="0.25">
      <c r="A537" s="81"/>
      <c r="B537" s="106"/>
      <c r="C537" s="81"/>
      <c r="D537" s="81"/>
      <c r="E537" s="81"/>
      <c r="F537" s="81"/>
      <c r="G537" s="96"/>
      <c r="H537" s="96"/>
      <c r="I537" s="96"/>
      <c r="J537" s="96"/>
      <c r="K537" s="96"/>
      <c r="L537" s="96"/>
      <c r="M537" s="96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</row>
    <row r="538" spans="1:27" x14ac:dyDescent="0.25">
      <c r="A538" s="81"/>
      <c r="B538" s="106"/>
      <c r="C538" s="81"/>
      <c r="D538" s="81"/>
      <c r="E538" s="81"/>
      <c r="F538" s="81"/>
      <c r="G538" s="96"/>
      <c r="H538" s="96"/>
      <c r="I538" s="96"/>
      <c r="J538" s="96"/>
      <c r="K538" s="96"/>
      <c r="L538" s="96"/>
      <c r="M538" s="96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</row>
    <row r="539" spans="1:27" x14ac:dyDescent="0.25">
      <c r="A539" s="81"/>
      <c r="B539" s="106"/>
      <c r="C539" s="81"/>
      <c r="D539" s="81"/>
      <c r="E539" s="81"/>
      <c r="F539" s="81"/>
      <c r="G539" s="96"/>
      <c r="H539" s="96"/>
      <c r="I539" s="96"/>
      <c r="J539" s="96"/>
      <c r="K539" s="96"/>
      <c r="L539" s="96"/>
      <c r="M539" s="96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</row>
    <row r="540" spans="1:27" x14ac:dyDescent="0.25">
      <c r="A540" s="81"/>
      <c r="B540" s="106"/>
      <c r="C540" s="81"/>
      <c r="D540" s="81"/>
      <c r="E540" s="81"/>
      <c r="F540" s="81"/>
      <c r="G540" s="96"/>
      <c r="H540" s="96"/>
      <c r="I540" s="96"/>
      <c r="J540" s="96"/>
      <c r="K540" s="96"/>
      <c r="L540" s="96"/>
      <c r="M540" s="96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</row>
    <row r="541" spans="1:27" x14ac:dyDescent="0.25">
      <c r="A541" s="81"/>
      <c r="B541" s="106"/>
      <c r="C541" s="81"/>
      <c r="D541" s="81"/>
      <c r="E541" s="81"/>
      <c r="F541" s="81"/>
      <c r="G541" s="96"/>
      <c r="H541" s="96"/>
      <c r="I541" s="96"/>
      <c r="J541" s="96"/>
      <c r="K541" s="96"/>
      <c r="L541" s="96"/>
      <c r="M541" s="96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</row>
    <row r="542" spans="1:27" x14ac:dyDescent="0.25">
      <c r="A542" s="81"/>
      <c r="B542" s="106"/>
      <c r="C542" s="81"/>
      <c r="D542" s="81"/>
      <c r="E542" s="81"/>
      <c r="F542" s="81"/>
      <c r="G542" s="96"/>
      <c r="H542" s="96"/>
      <c r="I542" s="96"/>
      <c r="J542" s="96"/>
      <c r="K542" s="96"/>
      <c r="L542" s="96"/>
      <c r="M542" s="96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</row>
    <row r="543" spans="1:27" x14ac:dyDescent="0.25">
      <c r="A543" s="81"/>
      <c r="B543" s="106"/>
      <c r="C543" s="81"/>
      <c r="D543" s="81"/>
      <c r="E543" s="81"/>
      <c r="F543" s="81"/>
      <c r="G543" s="96"/>
      <c r="H543" s="96"/>
      <c r="I543" s="96"/>
      <c r="J543" s="96"/>
      <c r="K543" s="96"/>
      <c r="L543" s="96"/>
      <c r="M543" s="96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</row>
    <row r="544" spans="1:27" x14ac:dyDescent="0.25">
      <c r="A544" s="81"/>
      <c r="B544" s="106"/>
      <c r="C544" s="81"/>
      <c r="D544" s="81"/>
      <c r="E544" s="81"/>
      <c r="F544" s="81"/>
      <c r="G544" s="96"/>
      <c r="H544" s="96"/>
      <c r="I544" s="96"/>
      <c r="J544" s="96"/>
      <c r="K544" s="96"/>
      <c r="L544" s="96"/>
      <c r="M544" s="96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</row>
    <row r="545" spans="1:27" x14ac:dyDescent="0.25">
      <c r="A545" s="81"/>
      <c r="B545" s="106"/>
      <c r="C545" s="81"/>
      <c r="D545" s="81"/>
      <c r="E545" s="81"/>
      <c r="F545" s="81"/>
      <c r="G545" s="96"/>
      <c r="H545" s="96"/>
      <c r="I545" s="96"/>
      <c r="J545" s="96"/>
      <c r="K545" s="96"/>
      <c r="L545" s="96"/>
      <c r="M545" s="96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</row>
    <row r="546" spans="1:27" x14ac:dyDescent="0.25">
      <c r="A546" s="81"/>
      <c r="B546" s="106"/>
      <c r="C546" s="81"/>
      <c r="D546" s="81"/>
      <c r="E546" s="81"/>
      <c r="F546" s="81"/>
      <c r="G546" s="96"/>
      <c r="H546" s="96"/>
      <c r="I546" s="96"/>
      <c r="J546" s="96"/>
      <c r="K546" s="96"/>
      <c r="L546" s="96"/>
      <c r="M546" s="96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</row>
    <row r="547" spans="1:27" x14ac:dyDescent="0.25">
      <c r="A547" s="81"/>
      <c r="B547" s="106"/>
      <c r="C547" s="81"/>
      <c r="D547" s="81"/>
      <c r="E547" s="81"/>
      <c r="F547" s="81"/>
      <c r="G547" s="96"/>
      <c r="H547" s="96"/>
      <c r="I547" s="96"/>
      <c r="J547" s="96"/>
      <c r="K547" s="96"/>
      <c r="L547" s="96"/>
      <c r="M547" s="96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</row>
    <row r="548" spans="1:27" x14ac:dyDescent="0.25">
      <c r="A548" s="81"/>
      <c r="B548" s="106"/>
      <c r="C548" s="81"/>
      <c r="D548" s="81"/>
      <c r="E548" s="81"/>
      <c r="F548" s="81"/>
      <c r="G548" s="96"/>
      <c r="H548" s="96"/>
      <c r="I548" s="96"/>
      <c r="J548" s="96"/>
      <c r="K548" s="96"/>
      <c r="L548" s="96"/>
      <c r="M548" s="96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</row>
    <row r="549" spans="1:27" x14ac:dyDescent="0.25">
      <c r="A549" s="81"/>
      <c r="B549" s="106"/>
      <c r="C549" s="81"/>
      <c r="D549" s="81"/>
      <c r="E549" s="81"/>
      <c r="F549" s="81"/>
      <c r="G549" s="96"/>
      <c r="H549" s="96"/>
      <c r="I549" s="96"/>
      <c r="J549" s="96"/>
      <c r="K549" s="96"/>
      <c r="L549" s="96"/>
      <c r="M549" s="96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</row>
    <row r="550" spans="1:27" x14ac:dyDescent="0.25">
      <c r="A550" s="81"/>
      <c r="B550" s="106"/>
      <c r="C550" s="81"/>
      <c r="D550" s="81"/>
      <c r="E550" s="81"/>
      <c r="F550" s="81"/>
      <c r="G550" s="96"/>
      <c r="H550" s="96"/>
      <c r="I550" s="96"/>
      <c r="J550" s="96"/>
      <c r="K550" s="96"/>
      <c r="L550" s="96"/>
      <c r="M550" s="96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</row>
    <row r="551" spans="1:27" x14ac:dyDescent="0.25">
      <c r="A551" s="81"/>
      <c r="B551" s="106"/>
      <c r="C551" s="81"/>
      <c r="D551" s="81"/>
      <c r="E551" s="81"/>
      <c r="F551" s="81"/>
      <c r="G551" s="96"/>
      <c r="H551" s="96"/>
      <c r="I551" s="96"/>
      <c r="J551" s="96"/>
      <c r="K551" s="96"/>
      <c r="L551" s="96"/>
      <c r="M551" s="96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</row>
    <row r="552" spans="1:27" x14ac:dyDescent="0.25">
      <c r="A552" s="81"/>
      <c r="B552" s="106"/>
      <c r="C552" s="81"/>
      <c r="D552" s="81"/>
      <c r="E552" s="81"/>
      <c r="F552" s="81"/>
      <c r="G552" s="96"/>
      <c r="H552" s="96"/>
      <c r="I552" s="96"/>
      <c r="J552" s="96"/>
      <c r="K552" s="96"/>
      <c r="L552" s="96"/>
      <c r="M552" s="96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</row>
    <row r="553" spans="1:27" x14ac:dyDescent="0.25">
      <c r="A553" s="81"/>
      <c r="B553" s="106"/>
      <c r="C553" s="81"/>
      <c r="D553" s="81"/>
      <c r="E553" s="81"/>
      <c r="F553" s="81"/>
      <c r="G553" s="96"/>
      <c r="H553" s="96"/>
      <c r="I553" s="96"/>
      <c r="J553" s="96"/>
      <c r="K553" s="96"/>
      <c r="L553" s="96"/>
      <c r="M553" s="96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</row>
    <row r="554" spans="1:27" x14ac:dyDescent="0.25">
      <c r="A554" s="81"/>
      <c r="B554" s="106"/>
      <c r="C554" s="81"/>
      <c r="D554" s="81"/>
      <c r="E554" s="81"/>
      <c r="F554" s="81"/>
      <c r="G554" s="96"/>
      <c r="H554" s="96"/>
      <c r="I554" s="96"/>
      <c r="J554" s="96"/>
      <c r="K554" s="96"/>
      <c r="L554" s="96"/>
      <c r="M554" s="96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</row>
    <row r="555" spans="1:27" x14ac:dyDescent="0.25">
      <c r="A555" s="81"/>
      <c r="B555" s="106"/>
      <c r="C555" s="81"/>
      <c r="D555" s="81"/>
      <c r="E555" s="81"/>
      <c r="F555" s="81"/>
      <c r="G555" s="96"/>
      <c r="H555" s="96"/>
      <c r="I555" s="96"/>
      <c r="J555" s="96"/>
      <c r="K555" s="96"/>
      <c r="L555" s="96"/>
      <c r="M555" s="96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</row>
    <row r="556" spans="1:27" x14ac:dyDescent="0.25">
      <c r="A556" s="81"/>
      <c r="B556" s="106"/>
      <c r="C556" s="81"/>
      <c r="D556" s="81"/>
      <c r="E556" s="81"/>
      <c r="F556" s="81"/>
      <c r="G556" s="96"/>
      <c r="H556" s="96"/>
      <c r="I556" s="96"/>
      <c r="J556" s="96"/>
      <c r="K556" s="96"/>
      <c r="L556" s="96"/>
      <c r="M556" s="96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</row>
    <row r="557" spans="1:27" x14ac:dyDescent="0.25">
      <c r="A557" s="81"/>
      <c r="B557" s="106"/>
      <c r="C557" s="81"/>
      <c r="D557" s="81"/>
      <c r="E557" s="81"/>
      <c r="F557" s="81"/>
      <c r="G557" s="96"/>
      <c r="H557" s="96"/>
      <c r="I557" s="96"/>
      <c r="J557" s="96"/>
      <c r="K557" s="96"/>
      <c r="L557" s="96"/>
      <c r="M557" s="96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</row>
    <row r="558" spans="1:27" x14ac:dyDescent="0.25">
      <c r="A558" s="81"/>
      <c r="B558" s="106"/>
      <c r="C558" s="81"/>
      <c r="D558" s="81"/>
      <c r="E558" s="81"/>
      <c r="F558" s="81"/>
      <c r="G558" s="96"/>
      <c r="H558" s="96"/>
      <c r="I558" s="96"/>
      <c r="J558" s="96"/>
      <c r="K558" s="96"/>
      <c r="L558" s="96"/>
      <c r="M558" s="96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</row>
    <row r="559" spans="1:27" x14ac:dyDescent="0.25">
      <c r="A559" s="81"/>
      <c r="B559" s="106"/>
      <c r="C559" s="81"/>
      <c r="D559" s="81"/>
      <c r="E559" s="81"/>
      <c r="F559" s="81"/>
      <c r="G559" s="96"/>
      <c r="H559" s="96"/>
      <c r="I559" s="96"/>
      <c r="J559" s="96"/>
      <c r="K559" s="96"/>
      <c r="L559" s="96"/>
      <c r="M559" s="96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</row>
    <row r="560" spans="1:27" x14ac:dyDescent="0.25">
      <c r="A560" s="81"/>
      <c r="B560" s="106"/>
      <c r="C560" s="81"/>
      <c r="D560" s="81"/>
      <c r="E560" s="81"/>
      <c r="F560" s="81"/>
      <c r="G560" s="96"/>
      <c r="H560" s="96"/>
      <c r="I560" s="96"/>
      <c r="J560" s="96"/>
      <c r="K560" s="96"/>
      <c r="L560" s="96"/>
      <c r="M560" s="96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</row>
    <row r="561" spans="1:27" x14ac:dyDescent="0.25">
      <c r="A561" s="81"/>
      <c r="B561" s="106"/>
      <c r="C561" s="81"/>
      <c r="D561" s="81"/>
      <c r="E561" s="81"/>
      <c r="F561" s="81"/>
      <c r="G561" s="96"/>
      <c r="H561" s="96"/>
      <c r="I561" s="96"/>
      <c r="J561" s="96"/>
      <c r="K561" s="96"/>
      <c r="L561" s="96"/>
      <c r="M561" s="96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</row>
    <row r="562" spans="1:27" x14ac:dyDescent="0.25">
      <c r="A562" s="81"/>
      <c r="B562" s="106"/>
      <c r="C562" s="81"/>
      <c r="D562" s="81"/>
      <c r="E562" s="81"/>
      <c r="F562" s="81"/>
      <c r="G562" s="96"/>
      <c r="H562" s="96"/>
      <c r="I562" s="96"/>
      <c r="J562" s="96"/>
      <c r="K562" s="96"/>
      <c r="L562" s="96"/>
      <c r="M562" s="96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</row>
    <row r="563" spans="1:27" x14ac:dyDescent="0.25">
      <c r="A563" s="81"/>
      <c r="B563" s="106"/>
      <c r="C563" s="81"/>
      <c r="D563" s="81"/>
      <c r="E563" s="81"/>
      <c r="F563" s="81"/>
      <c r="G563" s="96"/>
      <c r="H563" s="96"/>
      <c r="I563" s="96"/>
      <c r="J563" s="96"/>
      <c r="K563" s="96"/>
      <c r="L563" s="96"/>
      <c r="M563" s="96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</row>
    <row r="564" spans="1:27" x14ac:dyDescent="0.25">
      <c r="A564" s="81"/>
      <c r="B564" s="106"/>
      <c r="C564" s="81"/>
      <c r="D564" s="81"/>
      <c r="E564" s="81"/>
      <c r="F564" s="81"/>
      <c r="G564" s="96"/>
      <c r="H564" s="96"/>
      <c r="I564" s="96"/>
      <c r="J564" s="96"/>
      <c r="K564" s="96"/>
      <c r="L564" s="96"/>
      <c r="M564" s="96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</row>
    <row r="565" spans="1:27" x14ac:dyDescent="0.25">
      <c r="A565" s="81"/>
      <c r="B565" s="106"/>
      <c r="C565" s="81"/>
      <c r="D565" s="81"/>
      <c r="E565" s="81"/>
      <c r="F565" s="81"/>
      <c r="G565" s="96"/>
      <c r="H565" s="96"/>
      <c r="I565" s="96"/>
      <c r="J565" s="96"/>
      <c r="K565" s="96"/>
      <c r="L565" s="96"/>
      <c r="M565" s="96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</row>
    <row r="566" spans="1:27" x14ac:dyDescent="0.25">
      <c r="A566" s="81"/>
      <c r="B566" s="106"/>
      <c r="C566" s="81"/>
      <c r="D566" s="81"/>
      <c r="E566" s="81"/>
      <c r="F566" s="81"/>
      <c r="G566" s="96"/>
      <c r="H566" s="96"/>
      <c r="I566" s="96"/>
      <c r="J566" s="96"/>
      <c r="K566" s="96"/>
      <c r="L566" s="96"/>
      <c r="M566" s="96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</row>
    <row r="567" spans="1:27" x14ac:dyDescent="0.25">
      <c r="A567" s="81"/>
      <c r="B567" s="106"/>
      <c r="C567" s="81"/>
      <c r="D567" s="81"/>
      <c r="E567" s="81"/>
      <c r="F567" s="81"/>
      <c r="G567" s="96"/>
      <c r="H567" s="96"/>
      <c r="I567" s="96"/>
      <c r="J567" s="96"/>
      <c r="K567" s="96"/>
      <c r="L567" s="96"/>
      <c r="M567" s="96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</row>
    <row r="568" spans="1:27" x14ac:dyDescent="0.25">
      <c r="A568" s="81"/>
      <c r="B568" s="106"/>
      <c r="C568" s="81"/>
      <c r="D568" s="81"/>
      <c r="E568" s="81"/>
      <c r="F568" s="81"/>
      <c r="G568" s="96"/>
      <c r="H568" s="96"/>
      <c r="I568" s="96"/>
      <c r="J568" s="96"/>
      <c r="K568" s="96"/>
      <c r="L568" s="96"/>
      <c r="M568" s="96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</row>
    <row r="569" spans="1:27" x14ac:dyDescent="0.25">
      <c r="A569" s="81"/>
      <c r="B569" s="106"/>
      <c r="C569" s="81"/>
      <c r="D569" s="81"/>
      <c r="E569" s="81"/>
      <c r="F569" s="81"/>
      <c r="G569" s="96"/>
      <c r="H569" s="96"/>
      <c r="I569" s="96"/>
      <c r="J569" s="96"/>
      <c r="K569" s="96"/>
      <c r="L569" s="96"/>
      <c r="M569" s="96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</row>
    <row r="570" spans="1:27" x14ac:dyDescent="0.25">
      <c r="A570" s="81"/>
      <c r="B570" s="106"/>
      <c r="C570" s="81"/>
      <c r="D570" s="81"/>
      <c r="E570" s="81"/>
      <c r="F570" s="81"/>
      <c r="G570" s="96"/>
      <c r="H570" s="96"/>
      <c r="I570" s="96"/>
      <c r="J570" s="96"/>
      <c r="K570" s="96"/>
      <c r="L570" s="96"/>
      <c r="M570" s="96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</row>
    <row r="571" spans="1:27" x14ac:dyDescent="0.25">
      <c r="A571" s="81"/>
      <c r="B571" s="106"/>
      <c r="C571" s="81"/>
      <c r="D571" s="81"/>
      <c r="E571" s="81"/>
      <c r="F571" s="81"/>
      <c r="G571" s="96"/>
      <c r="H571" s="96"/>
      <c r="I571" s="96"/>
      <c r="J571" s="96"/>
      <c r="K571" s="96"/>
      <c r="L571" s="96"/>
      <c r="M571" s="96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</row>
    <row r="572" spans="1:27" x14ac:dyDescent="0.25">
      <c r="A572" s="81"/>
      <c r="B572" s="106"/>
      <c r="C572" s="81"/>
      <c r="D572" s="81"/>
      <c r="E572" s="81"/>
      <c r="F572" s="81"/>
      <c r="G572" s="96"/>
      <c r="H572" s="96"/>
      <c r="I572" s="96"/>
      <c r="J572" s="96"/>
      <c r="K572" s="96"/>
      <c r="L572" s="96"/>
      <c r="M572" s="96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</row>
    <row r="573" spans="1:27" x14ac:dyDescent="0.25">
      <c r="A573" s="81"/>
      <c r="B573" s="106"/>
      <c r="C573" s="81"/>
      <c r="D573" s="81"/>
      <c r="E573" s="81"/>
      <c r="F573" s="81"/>
      <c r="G573" s="96"/>
      <c r="H573" s="96"/>
      <c r="I573" s="96"/>
      <c r="J573" s="96"/>
      <c r="K573" s="96"/>
      <c r="L573" s="96"/>
      <c r="M573" s="96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</row>
    <row r="574" spans="1:27" x14ac:dyDescent="0.25">
      <c r="A574" s="81"/>
      <c r="B574" s="106"/>
      <c r="C574" s="81"/>
      <c r="D574" s="81"/>
      <c r="E574" s="81"/>
      <c r="F574" s="81"/>
      <c r="G574" s="96"/>
      <c r="H574" s="96"/>
      <c r="I574" s="96"/>
      <c r="J574" s="96"/>
      <c r="K574" s="96"/>
      <c r="L574" s="96"/>
      <c r="M574" s="96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</row>
    <row r="575" spans="1:27" x14ac:dyDescent="0.25">
      <c r="A575" s="81"/>
      <c r="B575" s="106"/>
      <c r="C575" s="81"/>
      <c r="D575" s="81"/>
      <c r="E575" s="81"/>
      <c r="F575" s="81"/>
      <c r="G575" s="96"/>
      <c r="H575" s="96"/>
      <c r="I575" s="96"/>
      <c r="J575" s="96"/>
      <c r="K575" s="96"/>
      <c r="L575" s="96"/>
      <c r="M575" s="96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</row>
    <row r="576" spans="1:27" x14ac:dyDescent="0.25">
      <c r="A576" s="81"/>
      <c r="B576" s="106"/>
      <c r="C576" s="81"/>
      <c r="D576" s="81"/>
      <c r="E576" s="81"/>
      <c r="F576" s="81"/>
      <c r="G576" s="96"/>
      <c r="H576" s="96"/>
      <c r="I576" s="96"/>
      <c r="J576" s="96"/>
      <c r="K576" s="96"/>
      <c r="L576" s="96"/>
      <c r="M576" s="96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</row>
    <row r="577" spans="1:27" x14ac:dyDescent="0.25">
      <c r="A577" s="81"/>
      <c r="B577" s="106"/>
      <c r="C577" s="81"/>
      <c r="D577" s="81"/>
      <c r="E577" s="81"/>
      <c r="F577" s="81"/>
      <c r="G577" s="96"/>
      <c r="H577" s="96"/>
      <c r="I577" s="96"/>
      <c r="J577" s="96"/>
      <c r="K577" s="96"/>
      <c r="L577" s="96"/>
      <c r="M577" s="96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</row>
    <row r="578" spans="1:27" x14ac:dyDescent="0.25">
      <c r="A578" s="81"/>
      <c r="B578" s="106"/>
      <c r="C578" s="81"/>
      <c r="D578" s="81"/>
      <c r="E578" s="81"/>
      <c r="F578" s="81"/>
      <c r="G578" s="96"/>
      <c r="H578" s="96"/>
      <c r="I578" s="96"/>
      <c r="J578" s="96"/>
      <c r="K578" s="96"/>
      <c r="L578" s="96"/>
      <c r="M578" s="96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</row>
    <row r="579" spans="1:27" x14ac:dyDescent="0.25">
      <c r="A579" s="81"/>
      <c r="B579" s="106"/>
      <c r="C579" s="81"/>
      <c r="D579" s="81"/>
      <c r="E579" s="81"/>
      <c r="F579" s="81"/>
      <c r="G579" s="96"/>
      <c r="H579" s="96"/>
      <c r="I579" s="96"/>
      <c r="J579" s="96"/>
      <c r="K579" s="96"/>
      <c r="L579" s="96"/>
      <c r="M579" s="96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</row>
    <row r="580" spans="1:27" x14ac:dyDescent="0.25">
      <c r="A580" s="81"/>
      <c r="B580" s="106"/>
      <c r="C580" s="81"/>
      <c r="D580" s="81"/>
      <c r="E580" s="81"/>
      <c r="F580" s="81"/>
      <c r="G580" s="96"/>
      <c r="H580" s="96"/>
      <c r="I580" s="96"/>
      <c r="J580" s="96"/>
      <c r="K580" s="96"/>
      <c r="L580" s="96"/>
      <c r="M580" s="96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</row>
    <row r="581" spans="1:27" x14ac:dyDescent="0.25">
      <c r="A581" s="81"/>
      <c r="B581" s="106"/>
      <c r="C581" s="81"/>
      <c r="D581" s="81"/>
      <c r="E581" s="81"/>
      <c r="F581" s="81"/>
      <c r="G581" s="96"/>
      <c r="H581" s="96"/>
      <c r="I581" s="96"/>
      <c r="J581" s="96"/>
      <c r="K581" s="96"/>
      <c r="L581" s="96"/>
      <c r="M581" s="96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</row>
    <row r="582" spans="1:27" x14ac:dyDescent="0.25">
      <c r="A582" s="81"/>
      <c r="B582" s="106"/>
      <c r="C582" s="81"/>
      <c r="D582" s="81"/>
      <c r="E582" s="81"/>
      <c r="F582" s="81"/>
      <c r="G582" s="96"/>
      <c r="H582" s="96"/>
      <c r="I582" s="96"/>
      <c r="J582" s="96"/>
      <c r="K582" s="96"/>
      <c r="L582" s="96"/>
      <c r="M582" s="96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</row>
    <row r="583" spans="1:27" x14ac:dyDescent="0.25">
      <c r="A583" s="81"/>
      <c r="B583" s="106"/>
      <c r="C583" s="81"/>
      <c r="D583" s="81"/>
      <c r="E583" s="81"/>
      <c r="F583" s="81"/>
      <c r="G583" s="96"/>
      <c r="H583" s="96"/>
      <c r="I583" s="96"/>
      <c r="J583" s="96"/>
      <c r="K583" s="96"/>
      <c r="L583" s="96"/>
      <c r="M583" s="96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</row>
    <row r="584" spans="1:27" x14ac:dyDescent="0.25">
      <c r="A584" s="81"/>
      <c r="B584" s="106"/>
      <c r="C584" s="81"/>
      <c r="D584" s="81"/>
      <c r="E584" s="81"/>
      <c r="F584" s="81"/>
      <c r="G584" s="96"/>
      <c r="H584" s="96"/>
      <c r="I584" s="96"/>
      <c r="J584" s="96"/>
      <c r="K584" s="96"/>
      <c r="L584" s="96"/>
      <c r="M584" s="96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</row>
    <row r="585" spans="1:27" x14ac:dyDescent="0.25">
      <c r="A585" s="81"/>
      <c r="B585" s="106"/>
      <c r="C585" s="81"/>
      <c r="D585" s="81"/>
      <c r="E585" s="81"/>
      <c r="F585" s="81"/>
      <c r="G585" s="96"/>
      <c r="H585" s="96"/>
      <c r="I585" s="96"/>
      <c r="J585" s="96"/>
      <c r="K585" s="96"/>
      <c r="L585" s="96"/>
      <c r="M585" s="96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</row>
    <row r="586" spans="1:27" x14ac:dyDescent="0.25">
      <c r="A586" s="81"/>
      <c r="B586" s="106"/>
      <c r="C586" s="81"/>
      <c r="D586" s="81"/>
      <c r="E586" s="81"/>
      <c r="F586" s="81"/>
      <c r="G586" s="96"/>
      <c r="H586" s="96"/>
      <c r="I586" s="96"/>
      <c r="J586" s="96"/>
      <c r="K586" s="96"/>
      <c r="L586" s="96"/>
      <c r="M586" s="96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</row>
    <row r="587" spans="1:27" x14ac:dyDescent="0.25">
      <c r="A587" s="81"/>
      <c r="B587" s="106"/>
      <c r="C587" s="81"/>
      <c r="D587" s="81"/>
      <c r="E587" s="81"/>
      <c r="F587" s="81"/>
      <c r="G587" s="96"/>
      <c r="H587" s="96"/>
      <c r="I587" s="96"/>
      <c r="J587" s="96"/>
      <c r="K587" s="96"/>
      <c r="L587" s="96"/>
      <c r="M587" s="96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</row>
    <row r="588" spans="1:27" x14ac:dyDescent="0.25">
      <c r="A588" s="81"/>
      <c r="B588" s="106"/>
      <c r="C588" s="81"/>
      <c r="D588" s="81"/>
      <c r="E588" s="81"/>
      <c r="F588" s="81"/>
      <c r="G588" s="96"/>
      <c r="H588" s="96"/>
      <c r="I588" s="96"/>
      <c r="J588" s="96"/>
      <c r="K588" s="96"/>
      <c r="L588" s="96"/>
      <c r="M588" s="96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</row>
    <row r="589" spans="1:27" x14ac:dyDescent="0.25">
      <c r="A589" s="81"/>
      <c r="B589" s="106"/>
      <c r="C589" s="81"/>
      <c r="D589" s="81"/>
      <c r="E589" s="81"/>
      <c r="F589" s="81"/>
      <c r="G589" s="96"/>
      <c r="H589" s="96"/>
      <c r="I589" s="96"/>
      <c r="J589" s="96"/>
      <c r="K589" s="96"/>
      <c r="L589" s="96"/>
      <c r="M589" s="96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</row>
    <row r="590" spans="1:27" x14ac:dyDescent="0.25">
      <c r="A590" s="81"/>
      <c r="B590" s="106"/>
      <c r="C590" s="81"/>
      <c r="D590" s="81"/>
      <c r="E590" s="81"/>
      <c r="F590" s="81"/>
      <c r="G590" s="96"/>
      <c r="H590" s="96"/>
      <c r="I590" s="96"/>
      <c r="J590" s="96"/>
      <c r="K590" s="96"/>
      <c r="L590" s="96"/>
      <c r="M590" s="96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</row>
    <row r="591" spans="1:27" x14ac:dyDescent="0.25">
      <c r="A591" s="81"/>
      <c r="B591" s="106"/>
      <c r="C591" s="81"/>
      <c r="D591" s="81"/>
      <c r="E591" s="81"/>
      <c r="F591" s="81"/>
      <c r="G591" s="96"/>
      <c r="H591" s="96"/>
      <c r="I591" s="96"/>
      <c r="J591" s="96"/>
      <c r="K591" s="96"/>
      <c r="L591" s="96"/>
      <c r="M591" s="96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</row>
    <row r="592" spans="1:27" x14ac:dyDescent="0.25">
      <c r="A592" s="81"/>
      <c r="B592" s="106"/>
      <c r="C592" s="81"/>
      <c r="D592" s="81"/>
      <c r="E592" s="81"/>
      <c r="F592" s="81"/>
      <c r="G592" s="96"/>
      <c r="H592" s="96"/>
      <c r="I592" s="96"/>
      <c r="J592" s="96"/>
      <c r="K592" s="96"/>
      <c r="L592" s="96"/>
      <c r="M592" s="96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</row>
    <row r="593" spans="1:27" x14ac:dyDescent="0.25">
      <c r="A593" s="81"/>
      <c r="B593" s="106"/>
      <c r="C593" s="81"/>
      <c r="D593" s="81"/>
      <c r="E593" s="81"/>
      <c r="F593" s="81"/>
      <c r="G593" s="96"/>
      <c r="H593" s="96"/>
      <c r="I593" s="96"/>
      <c r="J593" s="96"/>
      <c r="K593" s="96"/>
      <c r="L593" s="96"/>
      <c r="M593" s="96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</row>
    <row r="594" spans="1:27" x14ac:dyDescent="0.25">
      <c r="A594" s="81"/>
      <c r="B594" s="106"/>
      <c r="C594" s="81"/>
      <c r="D594" s="81"/>
      <c r="E594" s="81"/>
      <c r="F594" s="81"/>
      <c r="G594" s="96"/>
      <c r="H594" s="96"/>
      <c r="I594" s="96"/>
      <c r="J594" s="96"/>
      <c r="K594" s="96"/>
      <c r="L594" s="96"/>
      <c r="M594" s="96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</row>
    <row r="595" spans="1:27" x14ac:dyDescent="0.25">
      <c r="A595" s="81"/>
      <c r="B595" s="106"/>
      <c r="C595" s="81"/>
      <c r="D595" s="81"/>
      <c r="E595" s="81"/>
      <c r="F595" s="81"/>
      <c r="G595" s="96"/>
      <c r="H595" s="96"/>
      <c r="I595" s="96"/>
      <c r="J595" s="96"/>
      <c r="K595" s="96"/>
      <c r="L595" s="96"/>
      <c r="M595" s="96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</row>
    <row r="596" spans="1:27" x14ac:dyDescent="0.25">
      <c r="A596" s="81"/>
      <c r="B596" s="106"/>
      <c r="C596" s="81"/>
      <c r="D596" s="81"/>
      <c r="E596" s="81"/>
      <c r="F596" s="81"/>
      <c r="G596" s="96"/>
      <c r="H596" s="96"/>
      <c r="I596" s="96"/>
      <c r="J596" s="96"/>
      <c r="K596" s="96"/>
      <c r="L596" s="96"/>
      <c r="M596" s="96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</row>
    <row r="597" spans="1:27" x14ac:dyDescent="0.25">
      <c r="A597" s="81"/>
      <c r="B597" s="106"/>
      <c r="C597" s="81"/>
      <c r="D597" s="81"/>
      <c r="E597" s="81"/>
      <c r="F597" s="81"/>
      <c r="G597" s="96"/>
      <c r="H597" s="96"/>
      <c r="I597" s="96"/>
      <c r="J597" s="96"/>
      <c r="K597" s="96"/>
      <c r="L597" s="96"/>
      <c r="M597" s="96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</row>
    <row r="598" spans="1:27" x14ac:dyDescent="0.25">
      <c r="A598" s="81"/>
      <c r="B598" s="106"/>
      <c r="C598" s="81"/>
      <c r="D598" s="81"/>
      <c r="E598" s="81"/>
      <c r="F598" s="81"/>
      <c r="G598" s="96"/>
      <c r="H598" s="96"/>
      <c r="I598" s="96"/>
      <c r="J598" s="96"/>
      <c r="K598" s="96"/>
      <c r="L598" s="96"/>
      <c r="M598" s="96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</row>
    <row r="599" spans="1:27" x14ac:dyDescent="0.25">
      <c r="A599" s="81"/>
      <c r="B599" s="106"/>
      <c r="C599" s="81"/>
      <c r="D599" s="81"/>
      <c r="E599" s="81"/>
      <c r="F599" s="81"/>
      <c r="G599" s="96"/>
      <c r="H599" s="96"/>
      <c r="I599" s="96"/>
      <c r="J599" s="96"/>
      <c r="K599" s="96"/>
      <c r="L599" s="96"/>
      <c r="M599" s="96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</row>
    <row r="600" spans="1:27" x14ac:dyDescent="0.25">
      <c r="A600" s="81"/>
      <c r="B600" s="106"/>
      <c r="C600" s="81"/>
      <c r="D600" s="81"/>
      <c r="E600" s="81"/>
      <c r="F600" s="81"/>
      <c r="G600" s="96"/>
      <c r="H600" s="96"/>
      <c r="I600" s="96"/>
      <c r="J600" s="96"/>
      <c r="K600" s="96"/>
      <c r="L600" s="96"/>
      <c r="M600" s="96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</row>
    <row r="601" spans="1:27" x14ac:dyDescent="0.25">
      <c r="A601" s="81"/>
      <c r="B601" s="106"/>
      <c r="C601" s="81"/>
      <c r="D601" s="81"/>
      <c r="E601" s="81"/>
      <c r="F601" s="81"/>
      <c r="G601" s="96"/>
      <c r="H601" s="96"/>
      <c r="I601" s="96"/>
      <c r="J601" s="96"/>
      <c r="K601" s="96"/>
      <c r="L601" s="96"/>
      <c r="M601" s="96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</row>
    <row r="602" spans="1:27" x14ac:dyDescent="0.25">
      <c r="A602" s="81"/>
      <c r="B602" s="106"/>
      <c r="C602" s="81"/>
      <c r="D602" s="81"/>
      <c r="E602" s="81"/>
      <c r="F602" s="81"/>
      <c r="G602" s="96"/>
      <c r="H602" s="96"/>
      <c r="I602" s="96"/>
      <c r="J602" s="96"/>
      <c r="K602" s="96"/>
      <c r="L602" s="96"/>
      <c r="M602" s="96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</row>
    <row r="603" spans="1:27" x14ac:dyDescent="0.25">
      <c r="A603" s="81"/>
      <c r="B603" s="106"/>
      <c r="C603" s="81"/>
      <c r="D603" s="81"/>
      <c r="E603" s="81"/>
      <c r="F603" s="81"/>
      <c r="G603" s="96"/>
      <c r="H603" s="96"/>
      <c r="I603" s="96"/>
      <c r="J603" s="96"/>
      <c r="K603" s="96"/>
      <c r="L603" s="96"/>
      <c r="M603" s="96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</row>
    <row r="604" spans="1:27" x14ac:dyDescent="0.25">
      <c r="A604" s="81"/>
      <c r="B604" s="106"/>
      <c r="C604" s="81"/>
      <c r="D604" s="81"/>
      <c r="E604" s="81"/>
      <c r="F604" s="81"/>
      <c r="G604" s="96"/>
      <c r="H604" s="96"/>
      <c r="I604" s="96"/>
      <c r="J604" s="96"/>
      <c r="K604" s="96"/>
      <c r="L604" s="96"/>
      <c r="M604" s="96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</row>
    <row r="605" spans="1:27" x14ac:dyDescent="0.25">
      <c r="A605" s="81"/>
      <c r="B605" s="106"/>
      <c r="C605" s="81"/>
      <c r="D605" s="81"/>
      <c r="E605" s="81"/>
      <c r="F605" s="81"/>
      <c r="G605" s="96"/>
      <c r="H605" s="96"/>
      <c r="I605" s="96"/>
      <c r="J605" s="96"/>
      <c r="K605" s="96"/>
      <c r="L605" s="96"/>
      <c r="M605" s="96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</row>
    <row r="606" spans="1:27" x14ac:dyDescent="0.25">
      <c r="A606" s="81"/>
      <c r="B606" s="106"/>
      <c r="C606" s="81"/>
      <c r="D606" s="81"/>
      <c r="E606" s="81"/>
      <c r="F606" s="81"/>
      <c r="G606" s="96"/>
      <c r="H606" s="96"/>
      <c r="I606" s="96"/>
      <c r="J606" s="96"/>
      <c r="K606" s="96"/>
      <c r="L606" s="96"/>
      <c r="M606" s="96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</row>
    <row r="607" spans="1:27" x14ac:dyDescent="0.25">
      <c r="A607" s="81"/>
      <c r="B607" s="106"/>
      <c r="C607" s="81"/>
      <c r="D607" s="81"/>
      <c r="E607" s="81"/>
      <c r="F607" s="81"/>
      <c r="G607" s="96"/>
      <c r="H607" s="96"/>
      <c r="I607" s="96"/>
      <c r="J607" s="96"/>
      <c r="K607" s="96"/>
      <c r="L607" s="96"/>
      <c r="M607" s="96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</row>
    <row r="608" spans="1:27" x14ac:dyDescent="0.25">
      <c r="A608" s="81"/>
      <c r="B608" s="106"/>
      <c r="C608" s="81"/>
      <c r="D608" s="81"/>
      <c r="E608" s="81"/>
      <c r="F608" s="81"/>
      <c r="G608" s="96"/>
      <c r="H608" s="96"/>
      <c r="I608" s="96"/>
      <c r="J608" s="96"/>
      <c r="K608" s="96"/>
      <c r="L608" s="96"/>
      <c r="M608" s="96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</row>
    <row r="609" spans="1:27" x14ac:dyDescent="0.25">
      <c r="A609" s="81"/>
      <c r="B609" s="106"/>
      <c r="C609" s="81"/>
      <c r="D609" s="81"/>
      <c r="E609" s="81"/>
      <c r="F609" s="81"/>
      <c r="G609" s="96"/>
      <c r="H609" s="96"/>
      <c r="I609" s="96"/>
      <c r="J609" s="96"/>
      <c r="K609" s="96"/>
      <c r="L609" s="96"/>
      <c r="M609" s="96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</row>
    <row r="610" spans="1:27" x14ac:dyDescent="0.25">
      <c r="A610" s="81"/>
      <c r="B610" s="106"/>
      <c r="C610" s="81"/>
      <c r="D610" s="81"/>
      <c r="E610" s="81"/>
      <c r="F610" s="81"/>
      <c r="G610" s="96"/>
      <c r="H610" s="96"/>
      <c r="I610" s="96"/>
      <c r="J610" s="96"/>
      <c r="K610" s="96"/>
      <c r="L610" s="96"/>
      <c r="M610" s="96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</row>
    <row r="611" spans="1:27" x14ac:dyDescent="0.25">
      <c r="A611" s="81"/>
      <c r="B611" s="106"/>
      <c r="C611" s="81"/>
      <c r="D611" s="81"/>
      <c r="E611" s="81"/>
      <c r="F611" s="81"/>
      <c r="G611" s="96"/>
      <c r="H611" s="96"/>
      <c r="I611" s="96"/>
      <c r="J611" s="96"/>
      <c r="K611" s="96"/>
      <c r="L611" s="96"/>
      <c r="M611" s="96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</row>
    <row r="612" spans="1:27" x14ac:dyDescent="0.25">
      <c r="A612" s="81"/>
      <c r="B612" s="106"/>
      <c r="C612" s="81"/>
      <c r="D612" s="81"/>
      <c r="E612" s="81"/>
      <c r="F612" s="81"/>
      <c r="G612" s="96"/>
      <c r="H612" s="96"/>
      <c r="I612" s="96"/>
      <c r="J612" s="96"/>
      <c r="K612" s="96"/>
      <c r="L612" s="96"/>
      <c r="M612" s="96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</row>
    <row r="613" spans="1:27" x14ac:dyDescent="0.25">
      <c r="A613" s="81"/>
      <c r="B613" s="106"/>
      <c r="C613" s="81"/>
      <c r="D613" s="81"/>
      <c r="E613" s="81"/>
      <c r="F613" s="81"/>
      <c r="G613" s="96"/>
      <c r="H613" s="96"/>
      <c r="I613" s="96"/>
      <c r="J613" s="96"/>
      <c r="K613" s="96"/>
      <c r="L613" s="96"/>
      <c r="M613" s="96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</row>
    <row r="614" spans="1:27" x14ac:dyDescent="0.25">
      <c r="A614" s="81"/>
      <c r="B614" s="106"/>
      <c r="C614" s="81"/>
      <c r="D614" s="81"/>
      <c r="E614" s="81"/>
      <c r="F614" s="81"/>
      <c r="G614" s="96"/>
      <c r="H614" s="96"/>
      <c r="I614" s="96"/>
      <c r="J614" s="96"/>
      <c r="K614" s="96"/>
      <c r="L614" s="96"/>
      <c r="M614" s="96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</row>
    <row r="615" spans="1:27" x14ac:dyDescent="0.25">
      <c r="A615" s="81"/>
      <c r="B615" s="106"/>
      <c r="C615" s="81"/>
      <c r="D615" s="81"/>
      <c r="E615" s="81"/>
      <c r="F615" s="81"/>
      <c r="G615" s="96"/>
      <c r="H615" s="96"/>
      <c r="I615" s="96"/>
      <c r="J615" s="96"/>
      <c r="K615" s="96"/>
      <c r="L615" s="96"/>
      <c r="M615" s="96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</row>
    <row r="616" spans="1:27" x14ac:dyDescent="0.25">
      <c r="A616" s="81"/>
      <c r="B616" s="106"/>
      <c r="C616" s="81"/>
      <c r="D616" s="81"/>
      <c r="E616" s="81"/>
      <c r="F616" s="81"/>
      <c r="G616" s="96"/>
      <c r="H616" s="96"/>
      <c r="I616" s="96"/>
      <c r="J616" s="96"/>
      <c r="K616" s="96"/>
      <c r="L616" s="96"/>
      <c r="M616" s="96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</row>
    <row r="617" spans="1:27" x14ac:dyDescent="0.25">
      <c r="A617" s="81"/>
      <c r="B617" s="106"/>
      <c r="C617" s="81"/>
      <c r="D617" s="81"/>
      <c r="E617" s="81"/>
      <c r="F617" s="81"/>
      <c r="G617" s="96"/>
      <c r="H617" s="96"/>
      <c r="I617" s="96"/>
      <c r="J617" s="96"/>
      <c r="K617" s="96"/>
      <c r="L617" s="96"/>
      <c r="M617" s="96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</row>
    <row r="618" spans="1:27" x14ac:dyDescent="0.25">
      <c r="A618" s="81"/>
      <c r="B618" s="106"/>
      <c r="C618" s="81"/>
      <c r="D618" s="81"/>
      <c r="E618" s="81"/>
      <c r="F618" s="81"/>
      <c r="G618" s="96"/>
      <c r="H618" s="96"/>
      <c r="I618" s="96"/>
      <c r="J618" s="96"/>
      <c r="K618" s="96"/>
      <c r="L618" s="96"/>
      <c r="M618" s="96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</row>
    <row r="619" spans="1:27" x14ac:dyDescent="0.25">
      <c r="A619" s="81"/>
      <c r="B619" s="106"/>
      <c r="C619" s="81"/>
      <c r="D619" s="81"/>
      <c r="E619" s="81"/>
      <c r="F619" s="81"/>
      <c r="G619" s="96"/>
      <c r="H619" s="96"/>
      <c r="I619" s="96"/>
      <c r="J619" s="96"/>
      <c r="K619" s="96"/>
      <c r="L619" s="96"/>
      <c r="M619" s="96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</row>
    <row r="620" spans="1:27" x14ac:dyDescent="0.25">
      <c r="A620" s="81"/>
      <c r="B620" s="106"/>
      <c r="C620" s="81"/>
      <c r="D620" s="81"/>
      <c r="E620" s="81"/>
      <c r="F620" s="81"/>
      <c r="G620" s="96"/>
      <c r="H620" s="96"/>
      <c r="I620" s="96"/>
      <c r="J620" s="96"/>
      <c r="K620" s="96"/>
      <c r="L620" s="96"/>
      <c r="M620" s="96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</row>
    <row r="621" spans="1:27" x14ac:dyDescent="0.25">
      <c r="A621" s="81"/>
      <c r="B621" s="106"/>
      <c r="C621" s="81"/>
      <c r="D621" s="81"/>
      <c r="E621" s="81"/>
      <c r="F621" s="81"/>
      <c r="G621" s="96"/>
      <c r="H621" s="89"/>
      <c r="I621" s="96"/>
      <c r="J621" s="96"/>
      <c r="K621" s="96"/>
      <c r="L621" s="96"/>
      <c r="M621" s="96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</row>
    <row r="622" spans="1:27" x14ac:dyDescent="0.25">
      <c r="G622" s="89"/>
      <c r="H622" s="89"/>
      <c r="I622" s="89"/>
      <c r="J622" s="89"/>
      <c r="K622" s="89"/>
      <c r="L622" s="89"/>
      <c r="M622" s="89"/>
    </row>
    <row r="623" spans="1:27" x14ac:dyDescent="0.25">
      <c r="G623" s="89"/>
      <c r="H623" s="89"/>
      <c r="I623" s="89"/>
      <c r="J623" s="89"/>
      <c r="K623" s="89"/>
      <c r="L623" s="89"/>
      <c r="M623" s="89"/>
    </row>
    <row r="624" spans="1:27" x14ac:dyDescent="0.25">
      <c r="G624" s="89"/>
      <c r="H624" s="89"/>
      <c r="I624" s="89"/>
      <c r="J624" s="89"/>
      <c r="K624" s="89"/>
      <c r="L624" s="89"/>
      <c r="M624" s="89"/>
    </row>
    <row r="625" spans="7:13" x14ac:dyDescent="0.25">
      <c r="G625" s="89"/>
      <c r="H625" s="89"/>
      <c r="I625" s="89"/>
      <c r="J625" s="89"/>
      <c r="K625" s="89"/>
      <c r="L625" s="89"/>
      <c r="M625" s="89"/>
    </row>
    <row r="626" spans="7:13" x14ac:dyDescent="0.25">
      <c r="G626" s="89"/>
      <c r="H626" s="89"/>
      <c r="I626" s="89"/>
      <c r="J626" s="89"/>
      <c r="K626" s="89"/>
      <c r="L626" s="89"/>
      <c r="M626" s="89"/>
    </row>
    <row r="627" spans="7:13" x14ac:dyDescent="0.25">
      <c r="G627" s="89"/>
      <c r="H627" s="89"/>
      <c r="I627" s="89"/>
      <c r="J627" s="89"/>
      <c r="K627" s="89"/>
      <c r="L627" s="89"/>
      <c r="M627" s="89"/>
    </row>
    <row r="628" spans="7:13" x14ac:dyDescent="0.25">
      <c r="G628" s="89"/>
      <c r="H628" s="89"/>
      <c r="I628" s="89"/>
      <c r="J628" s="89"/>
      <c r="K628" s="89"/>
      <c r="L628" s="89"/>
      <c r="M628" s="89"/>
    </row>
    <row r="629" spans="7:13" x14ac:dyDescent="0.25">
      <c r="G629" s="89"/>
      <c r="H629" s="89"/>
      <c r="I629" s="89"/>
      <c r="J629" s="89"/>
      <c r="K629" s="89"/>
      <c r="L629" s="89"/>
      <c r="M629" s="89"/>
    </row>
    <row r="630" spans="7:13" x14ac:dyDescent="0.25">
      <c r="G630" s="89"/>
      <c r="H630" s="89"/>
      <c r="I630" s="89"/>
      <c r="J630" s="89"/>
      <c r="K630" s="89"/>
      <c r="L630" s="89"/>
      <c r="M630" s="89"/>
    </row>
    <row r="631" spans="7:13" x14ac:dyDescent="0.25">
      <c r="G631" s="89"/>
      <c r="H631" s="89"/>
      <c r="I631" s="89"/>
      <c r="J631" s="89"/>
      <c r="K631" s="89"/>
      <c r="L631" s="89"/>
      <c r="M631" s="89"/>
    </row>
    <row r="632" spans="7:13" x14ac:dyDescent="0.25">
      <c r="G632" s="89"/>
      <c r="H632" s="89"/>
      <c r="I632" s="89"/>
      <c r="J632" s="89"/>
      <c r="K632" s="89"/>
      <c r="L632" s="89"/>
      <c r="M632" s="89"/>
    </row>
    <row r="633" spans="7:13" x14ac:dyDescent="0.25">
      <c r="G633" s="89"/>
      <c r="H633" s="89"/>
      <c r="I633" s="89"/>
      <c r="J633" s="89"/>
      <c r="K633" s="89"/>
      <c r="L633" s="89"/>
      <c r="M633" s="89"/>
    </row>
    <row r="634" spans="7:13" x14ac:dyDescent="0.25">
      <c r="G634" s="89"/>
      <c r="H634" s="89"/>
      <c r="I634" s="89"/>
      <c r="J634" s="89"/>
      <c r="K634" s="89"/>
      <c r="L634" s="89"/>
      <c r="M634" s="89"/>
    </row>
    <row r="635" spans="7:13" x14ac:dyDescent="0.25">
      <c r="G635" s="89"/>
      <c r="H635" s="89"/>
      <c r="I635" s="89"/>
      <c r="J635" s="89"/>
      <c r="K635" s="89"/>
      <c r="L635" s="89"/>
      <c r="M635" s="89"/>
    </row>
    <row r="636" spans="7:13" x14ac:dyDescent="0.25">
      <c r="G636" s="89"/>
      <c r="H636" s="89"/>
      <c r="I636" s="89"/>
      <c r="J636" s="89"/>
      <c r="K636" s="89"/>
      <c r="L636" s="89"/>
      <c r="M636" s="89"/>
    </row>
    <row r="637" spans="7:13" x14ac:dyDescent="0.25">
      <c r="G637" s="89"/>
      <c r="H637" s="89"/>
      <c r="I637" s="89"/>
      <c r="J637" s="89"/>
      <c r="K637" s="89"/>
      <c r="L637" s="89"/>
      <c r="M637" s="89"/>
    </row>
    <row r="638" spans="7:13" x14ac:dyDescent="0.25">
      <c r="G638" s="89"/>
      <c r="H638" s="89"/>
      <c r="I638" s="89"/>
      <c r="J638" s="89"/>
      <c r="K638" s="89"/>
      <c r="L638" s="89"/>
      <c r="M638" s="89"/>
    </row>
    <row r="639" spans="7:13" x14ac:dyDescent="0.25">
      <c r="G639" s="89"/>
      <c r="H639" s="89"/>
      <c r="I639" s="89"/>
      <c r="J639" s="89"/>
      <c r="K639" s="89"/>
      <c r="L639" s="89"/>
      <c r="M639" s="89"/>
    </row>
    <row r="640" spans="7:13" x14ac:dyDescent="0.25">
      <c r="G640" s="89"/>
      <c r="H640" s="89"/>
      <c r="I640" s="89"/>
      <c r="J640" s="89"/>
      <c r="K640" s="89"/>
      <c r="L640" s="89"/>
      <c r="M640" s="89"/>
    </row>
    <row r="641" spans="7:13" x14ac:dyDescent="0.25">
      <c r="G641" s="89"/>
      <c r="H641" s="89"/>
      <c r="I641" s="89"/>
      <c r="J641" s="89"/>
      <c r="K641" s="89"/>
      <c r="L641" s="89"/>
      <c r="M641" s="89"/>
    </row>
    <row r="642" spans="7:13" x14ac:dyDescent="0.25">
      <c r="G642" s="89"/>
      <c r="H642" s="89"/>
      <c r="I642" s="89"/>
      <c r="J642" s="89"/>
      <c r="K642" s="89"/>
      <c r="L642" s="89"/>
      <c r="M642" s="89"/>
    </row>
    <row r="643" spans="7:13" x14ac:dyDescent="0.25">
      <c r="G643" s="89"/>
      <c r="H643" s="89"/>
      <c r="I643" s="89"/>
      <c r="J643" s="89"/>
      <c r="K643" s="89"/>
      <c r="L643" s="89"/>
      <c r="M643" s="89"/>
    </row>
    <row r="644" spans="7:13" x14ac:dyDescent="0.25">
      <c r="G644" s="89"/>
      <c r="H644" s="89"/>
      <c r="I644" s="89"/>
      <c r="J644" s="89"/>
      <c r="K644" s="89"/>
      <c r="L644" s="89"/>
      <c r="M644" s="89"/>
    </row>
    <row r="645" spans="7:13" x14ac:dyDescent="0.25">
      <c r="G645" s="89"/>
      <c r="H645" s="89"/>
      <c r="I645" s="89"/>
      <c r="J645" s="89"/>
      <c r="K645" s="89"/>
      <c r="L645" s="89"/>
      <c r="M645" s="89"/>
    </row>
    <row r="646" spans="7:13" x14ac:dyDescent="0.25">
      <c r="G646" s="89"/>
      <c r="H646" s="89"/>
      <c r="I646" s="89"/>
      <c r="J646" s="89"/>
      <c r="K646" s="89"/>
      <c r="L646" s="89"/>
      <c r="M646" s="89"/>
    </row>
    <row r="647" spans="7:13" x14ac:dyDescent="0.25">
      <c r="G647" s="89"/>
      <c r="H647" s="89"/>
      <c r="I647" s="89"/>
      <c r="J647" s="89"/>
      <c r="K647" s="89"/>
      <c r="L647" s="89"/>
      <c r="M647" s="89"/>
    </row>
    <row r="648" spans="7:13" x14ac:dyDescent="0.25">
      <c r="G648" s="89"/>
      <c r="H648" s="89"/>
      <c r="I648" s="89"/>
      <c r="J648" s="89"/>
      <c r="K648" s="89"/>
      <c r="L648" s="89"/>
      <c r="M648" s="89"/>
    </row>
    <row r="649" spans="7:13" x14ac:dyDescent="0.25">
      <c r="G649" s="89"/>
      <c r="H649" s="89"/>
      <c r="I649" s="89"/>
      <c r="J649" s="89"/>
      <c r="K649" s="89"/>
      <c r="L649" s="89"/>
      <c r="M649" s="89"/>
    </row>
    <row r="650" spans="7:13" x14ac:dyDescent="0.25">
      <c r="G650" s="89"/>
      <c r="H650" s="89"/>
      <c r="I650" s="89"/>
      <c r="J650" s="89"/>
      <c r="K650" s="89"/>
      <c r="L650" s="89"/>
      <c r="M650" s="89"/>
    </row>
    <row r="651" spans="7:13" x14ac:dyDescent="0.25">
      <c r="G651" s="89"/>
      <c r="H651" s="89"/>
      <c r="I651" s="89"/>
      <c r="J651" s="89"/>
      <c r="K651" s="89"/>
      <c r="L651" s="89"/>
      <c r="M651" s="89"/>
    </row>
    <row r="652" spans="7:13" x14ac:dyDescent="0.25">
      <c r="G652" s="89"/>
      <c r="H652" s="89"/>
      <c r="I652" s="89"/>
      <c r="J652" s="89"/>
      <c r="K652" s="89"/>
      <c r="L652" s="89"/>
      <c r="M652" s="89"/>
    </row>
    <row r="653" spans="7:13" x14ac:dyDescent="0.25">
      <c r="G653" s="89"/>
      <c r="H653" s="89"/>
      <c r="I653" s="89"/>
      <c r="J653" s="89"/>
      <c r="K653" s="89"/>
      <c r="L653" s="89"/>
      <c r="M653" s="89"/>
    </row>
    <row r="654" spans="7:13" x14ac:dyDescent="0.25">
      <c r="G654" s="89"/>
      <c r="H654" s="89"/>
      <c r="I654" s="89"/>
      <c r="J654" s="89"/>
      <c r="K654" s="89"/>
      <c r="L654" s="89"/>
      <c r="M654" s="89"/>
    </row>
    <row r="655" spans="7:13" x14ac:dyDescent="0.25">
      <c r="G655" s="89"/>
      <c r="H655" s="89"/>
      <c r="I655" s="89"/>
      <c r="J655" s="89"/>
      <c r="K655" s="89"/>
      <c r="L655" s="89"/>
      <c r="M655" s="89"/>
    </row>
    <row r="656" spans="7:13" x14ac:dyDescent="0.25">
      <c r="G656" s="89"/>
      <c r="H656" s="89"/>
      <c r="I656" s="89"/>
      <c r="J656" s="89"/>
      <c r="K656" s="89"/>
      <c r="L656" s="89"/>
      <c r="M656" s="89"/>
    </row>
    <row r="657" spans="7:13" x14ac:dyDescent="0.25">
      <c r="G657" s="89"/>
      <c r="H657" s="89"/>
      <c r="I657" s="89"/>
      <c r="J657" s="89"/>
      <c r="K657" s="89"/>
      <c r="L657" s="89"/>
      <c r="M657" s="89"/>
    </row>
    <row r="658" spans="7:13" x14ac:dyDescent="0.25">
      <c r="G658" s="89"/>
      <c r="H658" s="89"/>
      <c r="I658" s="89"/>
      <c r="J658" s="89"/>
      <c r="K658" s="89"/>
      <c r="L658" s="89"/>
      <c r="M658" s="89"/>
    </row>
    <row r="659" spans="7:13" x14ac:dyDescent="0.25">
      <c r="G659" s="89"/>
      <c r="H659" s="89"/>
      <c r="I659" s="89"/>
      <c r="J659" s="89"/>
      <c r="K659" s="89"/>
      <c r="L659" s="89"/>
      <c r="M659" s="89"/>
    </row>
    <row r="660" spans="7:13" x14ac:dyDescent="0.25">
      <c r="G660" s="89"/>
      <c r="H660" s="89"/>
      <c r="I660" s="89"/>
      <c r="J660" s="89"/>
      <c r="K660" s="89"/>
      <c r="L660" s="89"/>
      <c r="M660" s="89"/>
    </row>
    <row r="661" spans="7:13" x14ac:dyDescent="0.25">
      <c r="G661" s="89"/>
      <c r="H661" s="89"/>
      <c r="I661" s="89"/>
      <c r="J661" s="89"/>
      <c r="K661" s="89"/>
      <c r="L661" s="89"/>
      <c r="M661" s="89"/>
    </row>
    <row r="662" spans="7:13" x14ac:dyDescent="0.25">
      <c r="G662" s="89"/>
      <c r="H662" s="89"/>
      <c r="I662" s="89"/>
      <c r="J662" s="89"/>
      <c r="K662" s="89"/>
      <c r="L662" s="89"/>
      <c r="M662" s="89"/>
    </row>
    <row r="663" spans="7:13" x14ac:dyDescent="0.25">
      <c r="G663" s="89"/>
      <c r="H663" s="89"/>
      <c r="I663" s="89"/>
      <c r="J663" s="89"/>
      <c r="K663" s="89"/>
      <c r="L663" s="89"/>
      <c r="M663" s="89"/>
    </row>
    <row r="664" spans="7:13" x14ac:dyDescent="0.25">
      <c r="G664" s="89"/>
      <c r="H664" s="89"/>
      <c r="I664" s="89"/>
      <c r="J664" s="89"/>
      <c r="K664" s="89"/>
      <c r="L664" s="89"/>
      <c r="M664" s="89"/>
    </row>
    <row r="665" spans="7:13" x14ac:dyDescent="0.25">
      <c r="G665" s="89"/>
      <c r="H665" s="89"/>
      <c r="I665" s="89"/>
      <c r="J665" s="89"/>
      <c r="K665" s="89"/>
      <c r="L665" s="89"/>
      <c r="M665" s="89"/>
    </row>
    <row r="666" spans="7:13" x14ac:dyDescent="0.25">
      <c r="G666" s="89"/>
      <c r="H666" s="89"/>
      <c r="I666" s="89"/>
      <c r="J666" s="89"/>
      <c r="K666" s="89"/>
      <c r="L666" s="89"/>
      <c r="M666" s="89"/>
    </row>
    <row r="667" spans="7:13" x14ac:dyDescent="0.25">
      <c r="G667" s="89"/>
      <c r="H667" s="89"/>
      <c r="I667" s="89"/>
      <c r="J667" s="89"/>
      <c r="K667" s="89"/>
      <c r="L667" s="89"/>
      <c r="M667" s="89"/>
    </row>
    <row r="668" spans="7:13" x14ac:dyDescent="0.25">
      <c r="G668" s="89"/>
      <c r="H668" s="89"/>
      <c r="I668" s="89"/>
      <c r="J668" s="89"/>
      <c r="K668" s="89"/>
      <c r="L668" s="89"/>
      <c r="M668" s="89"/>
    </row>
    <row r="669" spans="7:13" x14ac:dyDescent="0.25">
      <c r="G669" s="89"/>
      <c r="H669" s="89"/>
      <c r="I669" s="89"/>
      <c r="J669" s="89"/>
      <c r="K669" s="89"/>
      <c r="L669" s="89"/>
      <c r="M669" s="89"/>
    </row>
    <row r="670" spans="7:13" x14ac:dyDescent="0.25">
      <c r="G670" s="89"/>
      <c r="H670" s="89"/>
      <c r="I670" s="89"/>
      <c r="J670" s="89"/>
      <c r="K670" s="89"/>
      <c r="L670" s="89"/>
      <c r="M670" s="89"/>
    </row>
    <row r="671" spans="7:13" x14ac:dyDescent="0.25">
      <c r="G671" s="89"/>
      <c r="H671" s="89"/>
      <c r="I671" s="89"/>
      <c r="J671" s="89"/>
      <c r="K671" s="89"/>
      <c r="L671" s="89"/>
      <c r="M671" s="89"/>
    </row>
    <row r="672" spans="7:13" x14ac:dyDescent="0.25">
      <c r="G672" s="89"/>
      <c r="H672" s="89"/>
      <c r="I672" s="89"/>
      <c r="J672" s="89"/>
      <c r="K672" s="89"/>
      <c r="L672" s="89"/>
      <c r="M672" s="89"/>
    </row>
    <row r="673" spans="7:13" x14ac:dyDescent="0.25">
      <c r="G673" s="89"/>
      <c r="H673" s="89"/>
      <c r="I673" s="89"/>
      <c r="J673" s="89"/>
      <c r="K673" s="89"/>
      <c r="L673" s="89"/>
      <c r="M673" s="89"/>
    </row>
    <row r="674" spans="7:13" x14ac:dyDescent="0.25">
      <c r="G674" s="89"/>
      <c r="H674" s="89"/>
      <c r="I674" s="89"/>
      <c r="J674" s="89"/>
      <c r="K674" s="89"/>
      <c r="L674" s="89"/>
      <c r="M674" s="89"/>
    </row>
    <row r="675" spans="7:13" x14ac:dyDescent="0.25">
      <c r="G675" s="89"/>
      <c r="H675" s="89"/>
      <c r="I675" s="89"/>
      <c r="J675" s="89"/>
      <c r="K675" s="89"/>
      <c r="L675" s="89"/>
      <c r="M675" s="89"/>
    </row>
    <row r="676" spans="7:13" x14ac:dyDescent="0.25">
      <c r="G676" s="89"/>
      <c r="H676" s="89"/>
      <c r="I676" s="89"/>
      <c r="J676" s="89"/>
      <c r="K676" s="89"/>
      <c r="L676" s="89"/>
      <c r="M676" s="89"/>
    </row>
    <row r="677" spans="7:13" x14ac:dyDescent="0.25">
      <c r="G677" s="89"/>
      <c r="H677" s="89"/>
      <c r="I677" s="89"/>
      <c r="J677" s="89"/>
      <c r="K677" s="89"/>
      <c r="L677" s="89"/>
      <c r="M677" s="89"/>
    </row>
    <row r="678" spans="7:13" x14ac:dyDescent="0.25">
      <c r="G678" s="89"/>
      <c r="H678" s="89"/>
      <c r="I678" s="89"/>
      <c r="J678" s="89"/>
      <c r="K678" s="89"/>
      <c r="L678" s="89"/>
      <c r="M678" s="89"/>
    </row>
    <row r="679" spans="7:13" x14ac:dyDescent="0.25">
      <c r="G679" s="89"/>
      <c r="H679" s="89"/>
      <c r="I679" s="89"/>
      <c r="J679" s="89"/>
      <c r="K679" s="89"/>
      <c r="L679" s="89"/>
      <c r="M679" s="89"/>
    </row>
    <row r="680" spans="7:13" x14ac:dyDescent="0.25">
      <c r="G680" s="89"/>
      <c r="H680" s="89"/>
      <c r="I680" s="89"/>
      <c r="J680" s="89"/>
      <c r="K680" s="89"/>
      <c r="L680" s="89"/>
      <c r="M680" s="89"/>
    </row>
    <row r="681" spans="7:13" x14ac:dyDescent="0.25">
      <c r="G681" s="89"/>
      <c r="H681" s="89"/>
      <c r="I681" s="89"/>
      <c r="J681" s="89"/>
      <c r="K681" s="89"/>
      <c r="L681" s="89"/>
      <c r="M681" s="89"/>
    </row>
    <row r="682" spans="7:13" x14ac:dyDescent="0.25">
      <c r="G682" s="89"/>
      <c r="H682" s="89"/>
      <c r="I682" s="89"/>
      <c r="J682" s="89"/>
      <c r="K682" s="89"/>
      <c r="L682" s="89"/>
      <c r="M682" s="89"/>
    </row>
    <row r="683" spans="7:13" x14ac:dyDescent="0.25">
      <c r="G683" s="89"/>
      <c r="H683" s="89"/>
      <c r="I683" s="89"/>
      <c r="J683" s="89"/>
      <c r="K683" s="89"/>
      <c r="L683" s="89"/>
      <c r="M683" s="89"/>
    </row>
    <row r="684" spans="7:13" x14ac:dyDescent="0.25">
      <c r="G684" s="89"/>
      <c r="H684" s="89"/>
      <c r="I684" s="89"/>
      <c r="J684" s="89"/>
      <c r="K684" s="89"/>
      <c r="L684" s="89"/>
      <c r="M684" s="89"/>
    </row>
    <row r="685" spans="7:13" x14ac:dyDescent="0.25">
      <c r="G685" s="89"/>
      <c r="H685" s="89"/>
      <c r="I685" s="89"/>
      <c r="J685" s="89"/>
      <c r="K685" s="89"/>
      <c r="L685" s="89"/>
      <c r="M685" s="89"/>
    </row>
    <row r="686" spans="7:13" x14ac:dyDescent="0.25">
      <c r="G686" s="89"/>
      <c r="H686" s="89"/>
      <c r="I686" s="89"/>
      <c r="J686" s="89"/>
      <c r="K686" s="89"/>
      <c r="L686" s="89"/>
      <c r="M686" s="89"/>
    </row>
    <row r="687" spans="7:13" x14ac:dyDescent="0.25">
      <c r="G687" s="89"/>
      <c r="H687" s="89"/>
      <c r="I687" s="89"/>
      <c r="J687" s="89"/>
      <c r="K687" s="89"/>
      <c r="L687" s="89"/>
      <c r="M687" s="89"/>
    </row>
    <row r="688" spans="7:13" x14ac:dyDescent="0.25">
      <c r="G688" s="89"/>
      <c r="H688" s="89"/>
      <c r="I688" s="89"/>
      <c r="J688" s="89"/>
      <c r="K688" s="89"/>
      <c r="L688" s="89"/>
      <c r="M688" s="89"/>
    </row>
    <row r="689" spans="7:13" x14ac:dyDescent="0.25">
      <c r="G689" s="89"/>
      <c r="H689" s="89"/>
      <c r="I689" s="89"/>
      <c r="J689" s="89"/>
      <c r="K689" s="89"/>
      <c r="L689" s="89"/>
      <c r="M689" s="89"/>
    </row>
    <row r="690" spans="7:13" x14ac:dyDescent="0.25">
      <c r="G690" s="89"/>
      <c r="H690" s="89"/>
      <c r="I690" s="89"/>
      <c r="J690" s="89"/>
      <c r="K690" s="89"/>
      <c r="L690" s="89"/>
      <c r="M690" s="89"/>
    </row>
    <row r="691" spans="7:13" x14ac:dyDescent="0.25">
      <c r="G691" s="89"/>
      <c r="H691" s="89"/>
      <c r="I691" s="89"/>
      <c r="J691" s="89"/>
      <c r="K691" s="89"/>
      <c r="L691" s="89"/>
      <c r="M691" s="89"/>
    </row>
    <row r="692" spans="7:13" x14ac:dyDescent="0.25">
      <c r="G692" s="89"/>
      <c r="H692" s="89"/>
      <c r="I692" s="89"/>
      <c r="J692" s="89"/>
      <c r="K692" s="89"/>
      <c r="L692" s="89"/>
      <c r="M692" s="89"/>
    </row>
    <row r="693" spans="7:13" x14ac:dyDescent="0.25">
      <c r="G693" s="89"/>
      <c r="H693" s="89"/>
      <c r="I693" s="89"/>
      <c r="J693" s="89"/>
      <c r="K693" s="89"/>
      <c r="L693" s="89"/>
      <c r="M693" s="89"/>
    </row>
    <row r="694" spans="7:13" x14ac:dyDescent="0.25">
      <c r="G694" s="89"/>
      <c r="H694" s="89"/>
      <c r="I694" s="89"/>
      <c r="J694" s="89"/>
      <c r="K694" s="89"/>
      <c r="L694" s="89"/>
      <c r="M694" s="89"/>
    </row>
    <row r="695" spans="7:13" x14ac:dyDescent="0.25">
      <c r="G695" s="89"/>
      <c r="H695" s="89"/>
      <c r="I695" s="89"/>
      <c r="J695" s="89"/>
      <c r="K695" s="89"/>
      <c r="L695" s="89"/>
      <c r="M695" s="89"/>
    </row>
    <row r="696" spans="7:13" x14ac:dyDescent="0.25">
      <c r="G696" s="89"/>
      <c r="H696" s="89"/>
      <c r="I696" s="89"/>
      <c r="J696" s="89"/>
      <c r="K696" s="89"/>
      <c r="L696" s="89"/>
      <c r="M696" s="89"/>
    </row>
    <row r="697" spans="7:13" x14ac:dyDescent="0.25">
      <c r="G697" s="89"/>
      <c r="H697" s="89"/>
      <c r="I697" s="89"/>
      <c r="J697" s="89"/>
      <c r="K697" s="89"/>
      <c r="L697" s="89"/>
      <c r="M697" s="89"/>
    </row>
    <row r="698" spans="7:13" x14ac:dyDescent="0.25">
      <c r="G698" s="89"/>
      <c r="H698" s="89"/>
      <c r="I698" s="89"/>
      <c r="J698" s="89"/>
      <c r="K698" s="89"/>
      <c r="L698" s="89"/>
      <c r="M698" s="89"/>
    </row>
    <row r="699" spans="7:13" x14ac:dyDescent="0.25">
      <c r="G699" s="89"/>
      <c r="H699" s="89"/>
      <c r="I699" s="89"/>
      <c r="J699" s="89"/>
      <c r="K699" s="89"/>
      <c r="L699" s="89"/>
      <c r="M699" s="89"/>
    </row>
    <row r="700" spans="7:13" x14ac:dyDescent="0.25">
      <c r="G700" s="89"/>
      <c r="H700" s="89"/>
      <c r="I700" s="89"/>
      <c r="J700" s="89"/>
      <c r="K700" s="89"/>
      <c r="L700" s="89"/>
      <c r="M700" s="89"/>
    </row>
    <row r="701" spans="7:13" x14ac:dyDescent="0.25">
      <c r="G701" s="89"/>
      <c r="H701" s="89"/>
      <c r="I701" s="89"/>
      <c r="J701" s="89"/>
      <c r="K701" s="89"/>
      <c r="L701" s="89"/>
      <c r="M701" s="89"/>
    </row>
    <row r="702" spans="7:13" x14ac:dyDescent="0.25">
      <c r="G702" s="89"/>
      <c r="H702" s="89"/>
      <c r="I702" s="89"/>
      <c r="J702" s="89"/>
      <c r="K702" s="89"/>
      <c r="L702" s="89"/>
      <c r="M702" s="89"/>
    </row>
    <row r="703" spans="7:13" x14ac:dyDescent="0.25">
      <c r="G703" s="89"/>
      <c r="H703" s="89"/>
      <c r="I703" s="89"/>
      <c r="J703" s="89"/>
      <c r="K703" s="89"/>
      <c r="L703" s="89"/>
      <c r="M703" s="89"/>
    </row>
    <row r="704" spans="7:13" x14ac:dyDescent="0.25">
      <c r="G704" s="89"/>
      <c r="H704" s="89"/>
      <c r="I704" s="89"/>
      <c r="J704" s="89"/>
      <c r="K704" s="89"/>
      <c r="L704" s="89"/>
      <c r="M704" s="89"/>
    </row>
    <row r="705" spans="7:13" x14ac:dyDescent="0.25">
      <c r="G705" s="89"/>
      <c r="H705" s="89"/>
      <c r="I705" s="89"/>
      <c r="J705" s="89"/>
      <c r="K705" s="89"/>
      <c r="L705" s="89"/>
      <c r="M705" s="89"/>
    </row>
    <row r="706" spans="7:13" x14ac:dyDescent="0.25">
      <c r="G706" s="89"/>
      <c r="H706" s="89"/>
      <c r="I706" s="89"/>
      <c r="J706" s="89"/>
      <c r="K706" s="89"/>
      <c r="L706" s="89"/>
      <c r="M706" s="89"/>
    </row>
    <row r="707" spans="7:13" x14ac:dyDescent="0.25">
      <c r="G707" s="89"/>
      <c r="H707" s="89"/>
      <c r="I707" s="89"/>
      <c r="J707" s="89"/>
      <c r="K707" s="89"/>
      <c r="L707" s="89"/>
      <c r="M707" s="89"/>
    </row>
    <row r="708" spans="7:13" x14ac:dyDescent="0.25">
      <c r="G708" s="89"/>
      <c r="H708" s="89"/>
      <c r="I708" s="89"/>
      <c r="J708" s="89"/>
      <c r="K708" s="89"/>
      <c r="L708" s="89"/>
      <c r="M708" s="89"/>
    </row>
    <row r="709" spans="7:13" x14ac:dyDescent="0.25">
      <c r="G709" s="89"/>
      <c r="H709" s="89"/>
      <c r="I709" s="89"/>
      <c r="J709" s="89"/>
      <c r="K709" s="89"/>
      <c r="L709" s="89"/>
      <c r="M709" s="89"/>
    </row>
    <row r="710" spans="7:13" x14ac:dyDescent="0.25">
      <c r="G710" s="89"/>
      <c r="H710" s="89"/>
      <c r="I710" s="89"/>
      <c r="J710" s="89"/>
      <c r="K710" s="89"/>
      <c r="L710" s="89"/>
      <c r="M710" s="89"/>
    </row>
    <row r="711" spans="7:13" x14ac:dyDescent="0.25">
      <c r="G711" s="89"/>
      <c r="H711" s="89"/>
      <c r="I711" s="89"/>
      <c r="J711" s="89"/>
      <c r="K711" s="89"/>
      <c r="L711" s="89"/>
      <c r="M711" s="89"/>
    </row>
    <row r="712" spans="7:13" x14ac:dyDescent="0.25">
      <c r="G712" s="89"/>
      <c r="H712" s="89"/>
      <c r="I712" s="89"/>
      <c r="J712" s="89"/>
      <c r="K712" s="89"/>
      <c r="L712" s="89"/>
      <c r="M712" s="89"/>
    </row>
    <row r="713" spans="7:13" x14ac:dyDescent="0.25">
      <c r="G713" s="89"/>
      <c r="H713" s="89"/>
      <c r="I713" s="89"/>
      <c r="J713" s="89"/>
      <c r="K713" s="89"/>
      <c r="L713" s="89"/>
      <c r="M713" s="89"/>
    </row>
    <row r="714" spans="7:13" x14ac:dyDescent="0.25">
      <c r="G714" s="89"/>
      <c r="H714" s="89"/>
      <c r="I714" s="89"/>
      <c r="J714" s="89"/>
      <c r="K714" s="89"/>
      <c r="L714" s="89"/>
      <c r="M714" s="89"/>
    </row>
    <row r="715" spans="7:13" x14ac:dyDescent="0.25">
      <c r="G715" s="89"/>
      <c r="H715" s="89"/>
      <c r="I715" s="89"/>
      <c r="J715" s="89"/>
      <c r="K715" s="89"/>
      <c r="L715" s="89"/>
      <c r="M715" s="89"/>
    </row>
    <row r="716" spans="7:13" x14ac:dyDescent="0.25">
      <c r="G716" s="89"/>
      <c r="H716" s="89"/>
      <c r="I716" s="89"/>
      <c r="J716" s="89"/>
      <c r="K716" s="89"/>
      <c r="L716" s="89"/>
      <c r="M716" s="89"/>
    </row>
    <row r="717" spans="7:13" x14ac:dyDescent="0.25">
      <c r="G717" s="89"/>
      <c r="H717" s="89"/>
      <c r="I717" s="89"/>
      <c r="J717" s="89"/>
      <c r="K717" s="89"/>
      <c r="L717" s="89"/>
      <c r="M717" s="89"/>
    </row>
    <row r="718" spans="7:13" x14ac:dyDescent="0.25">
      <c r="G718" s="89"/>
      <c r="H718" s="89"/>
      <c r="I718" s="89"/>
      <c r="J718" s="89"/>
      <c r="K718" s="89"/>
      <c r="L718" s="89"/>
      <c r="M718" s="89"/>
    </row>
    <row r="719" spans="7:13" x14ac:dyDescent="0.25">
      <c r="G719" s="89"/>
      <c r="H719" s="89"/>
      <c r="I719" s="89"/>
      <c r="J719" s="89"/>
      <c r="K719" s="89"/>
      <c r="L719" s="89"/>
      <c r="M719" s="89"/>
    </row>
    <row r="720" spans="7:13" x14ac:dyDescent="0.25">
      <c r="G720" s="89"/>
      <c r="H720" s="89"/>
      <c r="I720" s="89"/>
      <c r="J720" s="89"/>
      <c r="K720" s="89"/>
      <c r="L720" s="89"/>
      <c r="M720" s="89"/>
    </row>
    <row r="721" spans="7:13" x14ac:dyDescent="0.25">
      <c r="G721" s="89"/>
      <c r="H721" s="89"/>
      <c r="I721" s="89"/>
      <c r="J721" s="89"/>
      <c r="K721" s="89"/>
      <c r="L721" s="89"/>
      <c r="M721" s="89"/>
    </row>
    <row r="722" spans="7:13" x14ac:dyDescent="0.25">
      <c r="G722" s="89"/>
      <c r="H722" s="89"/>
      <c r="I722" s="89"/>
      <c r="J722" s="89"/>
      <c r="K722" s="89"/>
      <c r="L722" s="89"/>
      <c r="M722" s="89"/>
    </row>
    <row r="723" spans="7:13" x14ac:dyDescent="0.25">
      <c r="G723" s="89"/>
      <c r="H723" s="89"/>
      <c r="I723" s="89"/>
      <c r="J723" s="89"/>
      <c r="K723" s="89"/>
      <c r="L723" s="89"/>
      <c r="M723" s="89"/>
    </row>
    <row r="724" spans="7:13" x14ac:dyDescent="0.25">
      <c r="G724" s="89"/>
      <c r="H724" s="89"/>
      <c r="I724" s="89"/>
      <c r="J724" s="89"/>
      <c r="K724" s="89"/>
      <c r="L724" s="89"/>
      <c r="M724" s="89"/>
    </row>
    <row r="725" spans="7:13" x14ac:dyDescent="0.25">
      <c r="G725" s="89"/>
      <c r="H725" s="89"/>
      <c r="I725" s="89"/>
      <c r="J725" s="89"/>
      <c r="K725" s="89"/>
      <c r="L725" s="89"/>
      <c r="M725" s="89"/>
    </row>
    <row r="726" spans="7:13" x14ac:dyDescent="0.25">
      <c r="G726" s="89"/>
      <c r="H726" s="89"/>
      <c r="I726" s="89"/>
      <c r="J726" s="89"/>
      <c r="K726" s="89"/>
      <c r="L726" s="89"/>
      <c r="M726" s="89"/>
    </row>
    <row r="727" spans="7:13" x14ac:dyDescent="0.25">
      <c r="G727" s="89"/>
      <c r="H727" s="89"/>
      <c r="I727" s="89"/>
      <c r="J727" s="89"/>
      <c r="K727" s="89"/>
      <c r="L727" s="89"/>
      <c r="M727" s="89"/>
    </row>
    <row r="728" spans="7:13" x14ac:dyDescent="0.25">
      <c r="G728" s="89"/>
      <c r="H728" s="89"/>
      <c r="I728" s="89"/>
      <c r="J728" s="89"/>
      <c r="K728" s="89"/>
      <c r="L728" s="89"/>
      <c r="M728" s="89"/>
    </row>
    <row r="729" spans="7:13" x14ac:dyDescent="0.25">
      <c r="G729" s="89"/>
      <c r="H729" s="89"/>
      <c r="I729" s="89"/>
      <c r="J729" s="89"/>
      <c r="K729" s="89"/>
      <c r="L729" s="89"/>
      <c r="M729" s="89"/>
    </row>
    <row r="730" spans="7:13" x14ac:dyDescent="0.25">
      <c r="G730" s="89"/>
      <c r="H730" s="89"/>
      <c r="I730" s="89"/>
      <c r="J730" s="89"/>
      <c r="K730" s="89"/>
      <c r="L730" s="89"/>
      <c r="M730" s="89"/>
    </row>
    <row r="731" spans="7:13" x14ac:dyDescent="0.25">
      <c r="G731" s="89"/>
      <c r="H731" s="89"/>
      <c r="I731" s="89"/>
      <c r="J731" s="89"/>
      <c r="K731" s="89"/>
      <c r="L731" s="89"/>
      <c r="M731" s="89"/>
    </row>
    <row r="732" spans="7:13" x14ac:dyDescent="0.25">
      <c r="G732" s="89"/>
      <c r="H732" s="89"/>
      <c r="I732" s="89"/>
      <c r="J732" s="89"/>
      <c r="K732" s="89"/>
      <c r="L732" s="89"/>
      <c r="M732" s="89"/>
    </row>
    <row r="733" spans="7:13" x14ac:dyDescent="0.25">
      <c r="G733" s="89"/>
      <c r="H733" s="89"/>
      <c r="I733" s="89"/>
      <c r="J733" s="89"/>
      <c r="K733" s="89"/>
      <c r="L733" s="89"/>
      <c r="M733" s="89"/>
    </row>
    <row r="734" spans="7:13" x14ac:dyDescent="0.25">
      <c r="G734" s="89"/>
      <c r="H734" s="89"/>
      <c r="I734" s="89"/>
      <c r="J734" s="89"/>
      <c r="K734" s="89"/>
      <c r="L734" s="89"/>
      <c r="M734" s="89"/>
    </row>
    <row r="735" spans="7:13" x14ac:dyDescent="0.25">
      <c r="G735" s="89"/>
      <c r="H735" s="89"/>
      <c r="I735" s="89"/>
      <c r="J735" s="89"/>
      <c r="K735" s="89"/>
      <c r="L735" s="89"/>
      <c r="M735" s="89"/>
    </row>
    <row r="736" spans="7:13" x14ac:dyDescent="0.25">
      <c r="G736" s="89"/>
      <c r="H736" s="89"/>
      <c r="I736" s="89"/>
      <c r="J736" s="89"/>
      <c r="K736" s="89"/>
      <c r="L736" s="89"/>
      <c r="M736" s="89"/>
    </row>
    <row r="737" spans="7:13" x14ac:dyDescent="0.25">
      <c r="G737" s="89"/>
      <c r="H737" s="89"/>
      <c r="I737" s="89"/>
      <c r="J737" s="89"/>
      <c r="K737" s="89"/>
      <c r="L737" s="89"/>
      <c r="M737" s="89"/>
    </row>
    <row r="738" spans="7:13" x14ac:dyDescent="0.25">
      <c r="G738" s="89"/>
      <c r="H738" s="89"/>
      <c r="I738" s="89"/>
      <c r="J738" s="89"/>
      <c r="K738" s="89"/>
      <c r="L738" s="89"/>
      <c r="M738" s="89"/>
    </row>
    <row r="739" spans="7:13" x14ac:dyDescent="0.25">
      <c r="G739" s="89"/>
      <c r="H739" s="89"/>
      <c r="I739" s="89"/>
      <c r="J739" s="89"/>
      <c r="K739" s="89"/>
      <c r="L739" s="89"/>
      <c r="M739" s="89"/>
    </row>
    <row r="740" spans="7:13" x14ac:dyDescent="0.25">
      <c r="G740" s="89"/>
      <c r="H740" s="89"/>
      <c r="I740" s="89"/>
      <c r="J740" s="89"/>
      <c r="K740" s="89"/>
      <c r="L740" s="89"/>
      <c r="M740" s="89"/>
    </row>
    <row r="741" spans="7:13" x14ac:dyDescent="0.25">
      <c r="G741" s="89"/>
      <c r="H741" s="89"/>
      <c r="I741" s="89"/>
      <c r="J741" s="89"/>
      <c r="K741" s="89"/>
      <c r="L741" s="89"/>
      <c r="M741" s="89"/>
    </row>
    <row r="742" spans="7:13" x14ac:dyDescent="0.25">
      <c r="G742" s="89"/>
      <c r="H742" s="89"/>
      <c r="I742" s="89"/>
      <c r="J742" s="89"/>
      <c r="K742" s="89"/>
      <c r="L742" s="89"/>
      <c r="M742" s="89"/>
    </row>
    <row r="743" spans="7:13" x14ac:dyDescent="0.25">
      <c r="G743" s="89"/>
      <c r="H743" s="89"/>
      <c r="I743" s="89"/>
      <c r="J743" s="89"/>
      <c r="K743" s="89"/>
      <c r="L743" s="89"/>
      <c r="M743" s="89"/>
    </row>
    <row r="744" spans="7:13" x14ac:dyDescent="0.25">
      <c r="G744" s="89"/>
      <c r="H744" s="89"/>
      <c r="I744" s="89"/>
      <c r="J744" s="89"/>
      <c r="K744" s="89"/>
      <c r="L744" s="89"/>
      <c r="M744" s="89"/>
    </row>
    <row r="745" spans="7:13" x14ac:dyDescent="0.25">
      <c r="G745" s="89"/>
      <c r="H745" s="89"/>
      <c r="I745" s="89"/>
      <c r="J745" s="89"/>
      <c r="K745" s="89"/>
      <c r="L745" s="89"/>
      <c r="M745" s="89"/>
    </row>
    <row r="746" spans="7:13" x14ac:dyDescent="0.25">
      <c r="G746" s="89"/>
      <c r="H746" s="89"/>
      <c r="I746" s="89"/>
      <c r="J746" s="89"/>
      <c r="K746" s="89"/>
      <c r="L746" s="89"/>
      <c r="M746" s="89"/>
    </row>
    <row r="747" spans="7:13" x14ac:dyDescent="0.25">
      <c r="G747" s="89"/>
      <c r="H747" s="89"/>
      <c r="I747" s="89"/>
      <c r="J747" s="89"/>
      <c r="K747" s="89"/>
      <c r="L747" s="89"/>
      <c r="M747" s="89"/>
    </row>
    <row r="748" spans="7:13" x14ac:dyDescent="0.25">
      <c r="G748" s="89"/>
      <c r="H748" s="89"/>
      <c r="I748" s="89"/>
      <c r="J748" s="89"/>
      <c r="K748" s="89"/>
      <c r="L748" s="89"/>
      <c r="M748" s="89"/>
    </row>
    <row r="749" spans="7:13" x14ac:dyDescent="0.25">
      <c r="G749" s="89"/>
      <c r="H749" s="89"/>
      <c r="I749" s="89"/>
      <c r="J749" s="89"/>
      <c r="K749" s="89"/>
      <c r="L749" s="89"/>
      <c r="M749" s="89"/>
    </row>
    <row r="750" spans="7:13" x14ac:dyDescent="0.25">
      <c r="G750" s="89"/>
      <c r="H750" s="89"/>
      <c r="I750" s="89"/>
      <c r="J750" s="89"/>
      <c r="K750" s="89"/>
      <c r="L750" s="89"/>
      <c r="M750" s="89"/>
    </row>
    <row r="751" spans="7:13" x14ac:dyDescent="0.25">
      <c r="G751" s="89"/>
      <c r="H751" s="89"/>
      <c r="I751" s="89"/>
      <c r="J751" s="89"/>
      <c r="K751" s="89"/>
      <c r="L751" s="89"/>
      <c r="M751" s="89"/>
    </row>
    <row r="752" spans="7:13" x14ac:dyDescent="0.25">
      <c r="G752" s="89"/>
      <c r="H752" s="89"/>
      <c r="I752" s="89"/>
      <c r="J752" s="89"/>
      <c r="K752" s="89"/>
      <c r="L752" s="89"/>
      <c r="M752" s="89"/>
    </row>
    <row r="753" spans="7:13" x14ac:dyDescent="0.25">
      <c r="G753" s="89"/>
      <c r="H753" s="89"/>
      <c r="I753" s="89"/>
      <c r="J753" s="89"/>
      <c r="K753" s="89"/>
      <c r="L753" s="89"/>
      <c r="M753" s="89"/>
    </row>
    <row r="754" spans="7:13" x14ac:dyDescent="0.25">
      <c r="G754" s="89"/>
      <c r="H754" s="89"/>
      <c r="I754" s="89"/>
      <c r="J754" s="89"/>
      <c r="K754" s="89"/>
      <c r="L754" s="89"/>
      <c r="M754" s="89"/>
    </row>
    <row r="755" spans="7:13" x14ac:dyDescent="0.25">
      <c r="G755" s="89"/>
      <c r="H755" s="89"/>
      <c r="I755" s="89"/>
      <c r="J755" s="89"/>
      <c r="K755" s="89"/>
      <c r="L755" s="89"/>
      <c r="M755" s="89"/>
    </row>
    <row r="756" spans="7:13" x14ac:dyDescent="0.25">
      <c r="G756" s="89"/>
      <c r="H756" s="89"/>
      <c r="I756" s="89"/>
      <c r="J756" s="89"/>
      <c r="K756" s="89"/>
      <c r="L756" s="89"/>
      <c r="M756" s="89"/>
    </row>
    <row r="757" spans="7:13" x14ac:dyDescent="0.25">
      <c r="G757" s="89"/>
      <c r="H757" s="89"/>
      <c r="I757" s="89"/>
      <c r="J757" s="89"/>
      <c r="K757" s="89"/>
      <c r="L757" s="89"/>
      <c r="M757" s="89"/>
    </row>
    <row r="758" spans="7:13" x14ac:dyDescent="0.25">
      <c r="G758" s="89"/>
      <c r="H758" s="89"/>
      <c r="I758" s="89"/>
      <c r="J758" s="89"/>
      <c r="K758" s="89"/>
      <c r="L758" s="89"/>
      <c r="M758" s="89"/>
    </row>
    <row r="759" spans="7:13" x14ac:dyDescent="0.25">
      <c r="G759" s="89"/>
      <c r="H759" s="89"/>
      <c r="I759" s="89"/>
      <c r="J759" s="89"/>
      <c r="K759" s="89"/>
      <c r="L759" s="89"/>
      <c r="M759" s="89"/>
    </row>
    <row r="760" spans="7:13" x14ac:dyDescent="0.25">
      <c r="G760" s="89"/>
      <c r="H760" s="89"/>
      <c r="I760" s="89"/>
      <c r="J760" s="89"/>
      <c r="K760" s="89"/>
      <c r="L760" s="89"/>
      <c r="M760" s="89"/>
    </row>
    <row r="761" spans="7:13" x14ac:dyDescent="0.25">
      <c r="G761" s="89"/>
      <c r="H761" s="89"/>
      <c r="I761" s="89"/>
      <c r="J761" s="89"/>
      <c r="K761" s="89"/>
      <c r="L761" s="89"/>
      <c r="M761" s="89"/>
    </row>
    <row r="762" spans="7:13" x14ac:dyDescent="0.25">
      <c r="G762" s="89"/>
      <c r="H762" s="89"/>
      <c r="I762" s="89"/>
      <c r="J762" s="89"/>
      <c r="K762" s="89"/>
      <c r="L762" s="89"/>
      <c r="M762" s="89"/>
    </row>
    <row r="763" spans="7:13" x14ac:dyDescent="0.25">
      <c r="G763" s="89"/>
      <c r="H763" s="89"/>
      <c r="I763" s="89"/>
      <c r="J763" s="89"/>
      <c r="K763" s="89"/>
      <c r="L763" s="89"/>
      <c r="M763" s="89"/>
    </row>
    <row r="764" spans="7:13" x14ac:dyDescent="0.25">
      <c r="G764" s="89"/>
      <c r="H764" s="89"/>
      <c r="I764" s="89"/>
      <c r="J764" s="89"/>
      <c r="K764" s="89"/>
      <c r="L764" s="89"/>
      <c r="M764" s="89"/>
    </row>
    <row r="765" spans="7:13" x14ac:dyDescent="0.25">
      <c r="G765" s="89"/>
      <c r="H765" s="89"/>
      <c r="I765" s="89"/>
      <c r="J765" s="89"/>
      <c r="K765" s="89"/>
      <c r="L765" s="89"/>
      <c r="M765" s="89"/>
    </row>
    <row r="766" spans="7:13" x14ac:dyDescent="0.25">
      <c r="G766" s="89"/>
      <c r="H766" s="89"/>
      <c r="I766" s="89"/>
      <c r="J766" s="89"/>
      <c r="K766" s="89"/>
      <c r="L766" s="89"/>
      <c r="M766" s="89"/>
    </row>
    <row r="767" spans="7:13" x14ac:dyDescent="0.25">
      <c r="G767" s="89"/>
      <c r="H767" s="89"/>
      <c r="I767" s="89"/>
      <c r="J767" s="89"/>
      <c r="K767" s="89"/>
      <c r="L767" s="89"/>
      <c r="M767" s="89"/>
    </row>
    <row r="768" spans="7:13" x14ac:dyDescent="0.25">
      <c r="G768" s="89"/>
      <c r="H768" s="89"/>
      <c r="I768" s="89"/>
      <c r="J768" s="89"/>
      <c r="K768" s="89"/>
      <c r="L768" s="89"/>
      <c r="M768" s="89"/>
    </row>
    <row r="769" spans="7:13" x14ac:dyDescent="0.25">
      <c r="G769" s="89"/>
      <c r="H769" s="89"/>
      <c r="I769" s="89"/>
      <c r="J769" s="89"/>
      <c r="K769" s="89"/>
      <c r="L769" s="89"/>
      <c r="M769" s="89"/>
    </row>
    <row r="770" spans="7:13" x14ac:dyDescent="0.25">
      <c r="G770" s="89"/>
      <c r="H770" s="89"/>
      <c r="I770" s="89"/>
      <c r="J770" s="89"/>
      <c r="K770" s="89"/>
      <c r="L770" s="89"/>
      <c r="M770" s="89"/>
    </row>
    <row r="771" spans="7:13" x14ac:dyDescent="0.25">
      <c r="G771" s="89"/>
      <c r="H771" s="89"/>
      <c r="I771" s="89"/>
      <c r="J771" s="89"/>
      <c r="K771" s="89"/>
      <c r="L771" s="89"/>
      <c r="M771" s="89"/>
    </row>
    <row r="772" spans="7:13" x14ac:dyDescent="0.25">
      <c r="G772" s="89"/>
      <c r="H772" s="89"/>
      <c r="I772" s="89"/>
      <c r="J772" s="89"/>
      <c r="K772" s="89"/>
      <c r="L772" s="89"/>
      <c r="M772" s="89"/>
    </row>
    <row r="773" spans="7:13" x14ac:dyDescent="0.25">
      <c r="G773" s="89"/>
      <c r="H773" s="89"/>
      <c r="I773" s="89"/>
      <c r="J773" s="89"/>
      <c r="K773" s="89"/>
      <c r="L773" s="89"/>
      <c r="M773" s="89"/>
    </row>
    <row r="774" spans="7:13" x14ac:dyDescent="0.25">
      <c r="G774" s="89"/>
      <c r="H774" s="89"/>
      <c r="I774" s="89"/>
      <c r="J774" s="89"/>
      <c r="K774" s="89"/>
      <c r="L774" s="89"/>
      <c r="M774" s="89"/>
    </row>
    <row r="775" spans="7:13" x14ac:dyDescent="0.25">
      <c r="G775" s="89"/>
      <c r="H775" s="89"/>
      <c r="I775" s="89"/>
      <c r="J775" s="89"/>
      <c r="K775" s="89"/>
      <c r="L775" s="89"/>
      <c r="M775" s="89"/>
    </row>
    <row r="776" spans="7:13" x14ac:dyDescent="0.25">
      <c r="G776" s="89"/>
      <c r="H776" s="89"/>
      <c r="I776" s="89"/>
      <c r="J776" s="89"/>
      <c r="K776" s="89"/>
      <c r="L776" s="89"/>
      <c r="M776" s="89"/>
    </row>
    <row r="777" spans="7:13" x14ac:dyDescent="0.25">
      <c r="G777" s="89"/>
      <c r="H777" s="89"/>
      <c r="I777" s="89"/>
      <c r="J777" s="89"/>
      <c r="K777" s="89"/>
      <c r="L777" s="89"/>
      <c r="M777" s="89"/>
    </row>
    <row r="778" spans="7:13" x14ac:dyDescent="0.25">
      <c r="G778" s="89"/>
      <c r="H778" s="89"/>
      <c r="I778" s="89"/>
      <c r="J778" s="89"/>
      <c r="K778" s="89"/>
      <c r="L778" s="89"/>
      <c r="M778" s="89"/>
    </row>
    <row r="779" spans="7:13" x14ac:dyDescent="0.25">
      <c r="G779" s="89"/>
      <c r="H779" s="89"/>
      <c r="I779" s="89"/>
      <c r="J779" s="89"/>
      <c r="K779" s="89"/>
      <c r="L779" s="89"/>
      <c r="M779" s="89"/>
    </row>
    <row r="780" spans="7:13" x14ac:dyDescent="0.25">
      <c r="G780" s="89"/>
      <c r="H780" s="89"/>
      <c r="I780" s="89"/>
      <c r="J780" s="89"/>
      <c r="K780" s="89"/>
      <c r="L780" s="89"/>
      <c r="M780" s="89"/>
    </row>
    <row r="781" spans="7:13" x14ac:dyDescent="0.25">
      <c r="G781" s="89"/>
      <c r="H781" s="89"/>
      <c r="I781" s="89"/>
      <c r="J781" s="89"/>
      <c r="K781" s="89"/>
      <c r="L781" s="89"/>
      <c r="M781" s="89"/>
    </row>
    <row r="782" spans="7:13" x14ac:dyDescent="0.25">
      <c r="G782" s="89"/>
      <c r="H782" s="89"/>
      <c r="I782" s="89"/>
      <c r="J782" s="89"/>
      <c r="K782" s="89"/>
      <c r="L782" s="89"/>
      <c r="M782" s="89"/>
    </row>
    <row r="783" spans="7:13" x14ac:dyDescent="0.25">
      <c r="G783" s="89"/>
      <c r="H783" s="89"/>
      <c r="I783" s="89"/>
      <c r="J783" s="89"/>
      <c r="K783" s="89"/>
      <c r="L783" s="89"/>
      <c r="M783" s="89"/>
    </row>
    <row r="784" spans="7:13" x14ac:dyDescent="0.25">
      <c r="G784" s="89"/>
      <c r="H784" s="89"/>
      <c r="I784" s="89"/>
      <c r="J784" s="89"/>
      <c r="K784" s="89"/>
      <c r="L784" s="89"/>
      <c r="M784" s="89"/>
    </row>
    <row r="785" spans="7:13" x14ac:dyDescent="0.25">
      <c r="G785" s="89"/>
      <c r="H785" s="89"/>
      <c r="I785" s="89"/>
      <c r="J785" s="89"/>
      <c r="K785" s="89"/>
      <c r="L785" s="89"/>
      <c r="M785" s="89"/>
    </row>
    <row r="786" spans="7:13" x14ac:dyDescent="0.25">
      <c r="G786" s="89"/>
      <c r="H786" s="89"/>
      <c r="I786" s="89"/>
      <c r="J786" s="89"/>
      <c r="K786" s="89"/>
      <c r="L786" s="89"/>
      <c r="M786" s="89"/>
    </row>
    <row r="787" spans="7:13" x14ac:dyDescent="0.25">
      <c r="G787" s="89"/>
      <c r="H787" s="89"/>
      <c r="I787" s="89"/>
      <c r="J787" s="89"/>
      <c r="K787" s="89"/>
      <c r="L787" s="89"/>
      <c r="M787" s="89"/>
    </row>
    <row r="788" spans="7:13" x14ac:dyDescent="0.25">
      <c r="G788" s="89"/>
      <c r="H788" s="89"/>
      <c r="I788" s="89"/>
      <c r="J788" s="89"/>
      <c r="K788" s="89"/>
      <c r="L788" s="89"/>
      <c r="M788" s="89"/>
    </row>
    <row r="789" spans="7:13" x14ac:dyDescent="0.25">
      <c r="G789" s="89"/>
      <c r="H789" s="89"/>
      <c r="I789" s="89"/>
      <c r="J789" s="89"/>
      <c r="K789" s="89"/>
      <c r="L789" s="89"/>
      <c r="M789" s="89"/>
    </row>
    <row r="790" spans="7:13" x14ac:dyDescent="0.25">
      <c r="G790" s="89"/>
      <c r="H790" s="89"/>
      <c r="I790" s="89"/>
      <c r="J790" s="89"/>
      <c r="K790" s="89"/>
      <c r="L790" s="89"/>
      <c r="M790" s="89"/>
    </row>
    <row r="791" spans="7:13" x14ac:dyDescent="0.25">
      <c r="G791" s="89"/>
      <c r="H791" s="89"/>
      <c r="I791" s="89"/>
      <c r="J791" s="89"/>
      <c r="K791" s="89"/>
      <c r="L791" s="89"/>
      <c r="M791" s="89"/>
    </row>
    <row r="792" spans="7:13" x14ac:dyDescent="0.25">
      <c r="G792" s="89"/>
      <c r="H792" s="89"/>
      <c r="I792" s="89"/>
      <c r="J792" s="89"/>
      <c r="K792" s="89"/>
      <c r="L792" s="89"/>
      <c r="M792" s="89"/>
    </row>
    <row r="793" spans="7:13" x14ac:dyDescent="0.25">
      <c r="G793" s="89"/>
      <c r="H793" s="89"/>
      <c r="I793" s="89"/>
      <c r="J793" s="89"/>
      <c r="K793" s="89"/>
      <c r="L793" s="89"/>
      <c r="M793" s="89"/>
    </row>
    <row r="794" spans="7:13" x14ac:dyDescent="0.25">
      <c r="G794" s="89"/>
      <c r="H794" s="89"/>
      <c r="I794" s="89"/>
      <c r="J794" s="89"/>
      <c r="K794" s="89"/>
      <c r="L794" s="89"/>
      <c r="M794" s="89"/>
    </row>
    <row r="795" spans="7:13" x14ac:dyDescent="0.25">
      <c r="G795" s="89"/>
      <c r="H795" s="89"/>
      <c r="I795" s="89"/>
      <c r="J795" s="89"/>
      <c r="K795" s="89"/>
      <c r="L795" s="89"/>
      <c r="M795" s="89"/>
    </row>
    <row r="796" spans="7:13" x14ac:dyDescent="0.25">
      <c r="G796" s="89"/>
      <c r="H796" s="89"/>
      <c r="I796" s="89"/>
      <c r="J796" s="89"/>
      <c r="K796" s="89"/>
      <c r="L796" s="89"/>
      <c r="M796" s="89"/>
    </row>
    <row r="797" spans="7:13" x14ac:dyDescent="0.25">
      <c r="G797" s="89"/>
      <c r="H797" s="89"/>
      <c r="I797" s="89"/>
      <c r="J797" s="89"/>
      <c r="K797" s="89"/>
      <c r="L797" s="89"/>
      <c r="M797" s="89"/>
    </row>
    <row r="798" spans="7:13" x14ac:dyDescent="0.25">
      <c r="G798" s="89"/>
      <c r="H798" s="89"/>
      <c r="I798" s="89"/>
      <c r="J798" s="89"/>
      <c r="K798" s="89"/>
      <c r="L798" s="89"/>
      <c r="M798" s="89"/>
    </row>
    <row r="799" spans="7:13" x14ac:dyDescent="0.25">
      <c r="G799" s="89"/>
      <c r="H799" s="89"/>
      <c r="I799" s="89"/>
      <c r="J799" s="89"/>
      <c r="K799" s="89"/>
      <c r="L799" s="89"/>
      <c r="M799" s="89"/>
    </row>
    <row r="800" spans="7:13" x14ac:dyDescent="0.25">
      <c r="G800" s="89"/>
      <c r="H800" s="89"/>
      <c r="I800" s="89"/>
      <c r="J800" s="89"/>
      <c r="K800" s="89"/>
      <c r="L800" s="89"/>
      <c r="M800" s="89"/>
    </row>
    <row r="801" spans="7:13" x14ac:dyDescent="0.25">
      <c r="G801" s="89"/>
      <c r="H801" s="89"/>
      <c r="I801" s="89"/>
      <c r="J801" s="89"/>
      <c r="K801" s="89"/>
      <c r="L801" s="89"/>
      <c r="M801" s="89"/>
    </row>
    <row r="802" spans="7:13" x14ac:dyDescent="0.25">
      <c r="G802" s="89"/>
      <c r="H802" s="89"/>
      <c r="I802" s="89"/>
      <c r="J802" s="89"/>
      <c r="K802" s="89"/>
      <c r="L802" s="89"/>
      <c r="M802" s="89"/>
    </row>
    <row r="803" spans="7:13" x14ac:dyDescent="0.25">
      <c r="G803" s="89"/>
      <c r="H803" s="89"/>
      <c r="I803" s="89"/>
      <c r="J803" s="89"/>
      <c r="K803" s="89"/>
      <c r="L803" s="89"/>
      <c r="M803" s="89"/>
    </row>
    <row r="804" spans="7:13" x14ac:dyDescent="0.25">
      <c r="G804" s="89"/>
      <c r="H804" s="89"/>
      <c r="I804" s="89"/>
      <c r="J804" s="89"/>
      <c r="K804" s="89"/>
      <c r="L804" s="89"/>
      <c r="M804" s="89"/>
    </row>
    <row r="805" spans="7:13" x14ac:dyDescent="0.25">
      <c r="G805" s="89"/>
      <c r="H805" s="89"/>
      <c r="I805" s="89"/>
      <c r="J805" s="89"/>
      <c r="K805" s="89"/>
      <c r="L805" s="89"/>
      <c r="M805" s="89"/>
    </row>
    <row r="806" spans="7:13" x14ac:dyDescent="0.25">
      <c r="G806" s="89"/>
      <c r="H806" s="89"/>
      <c r="I806" s="89"/>
      <c r="J806" s="89"/>
      <c r="K806" s="89"/>
      <c r="L806" s="89"/>
      <c r="M806" s="89"/>
    </row>
    <row r="807" spans="7:13" x14ac:dyDescent="0.25">
      <c r="G807" s="89"/>
      <c r="H807" s="89"/>
      <c r="I807" s="89"/>
      <c r="J807" s="89"/>
      <c r="K807" s="89"/>
      <c r="L807" s="89"/>
      <c r="M807" s="89"/>
    </row>
    <row r="808" spans="7:13" x14ac:dyDescent="0.25">
      <c r="G808" s="89"/>
      <c r="H808" s="89"/>
      <c r="I808" s="89"/>
      <c r="J808" s="89"/>
      <c r="K808" s="89"/>
      <c r="L808" s="89"/>
      <c r="M808" s="89"/>
    </row>
    <row r="809" spans="7:13" x14ac:dyDescent="0.25">
      <c r="G809" s="89"/>
      <c r="H809" s="89"/>
      <c r="I809" s="89"/>
      <c r="J809" s="89"/>
      <c r="K809" s="89"/>
      <c r="L809" s="89"/>
      <c r="M809" s="89"/>
    </row>
    <row r="810" spans="7:13" x14ac:dyDescent="0.25">
      <c r="G810" s="89"/>
      <c r="H810" s="89"/>
      <c r="I810" s="89"/>
      <c r="J810" s="89"/>
      <c r="K810" s="89"/>
      <c r="L810" s="89"/>
      <c r="M810" s="89"/>
    </row>
    <row r="811" spans="7:13" x14ac:dyDescent="0.25">
      <c r="G811" s="89"/>
      <c r="H811" s="89"/>
      <c r="I811" s="89"/>
      <c r="J811" s="89"/>
      <c r="K811" s="89"/>
      <c r="L811" s="89"/>
      <c r="M811" s="89"/>
    </row>
    <row r="812" spans="7:13" x14ac:dyDescent="0.25">
      <c r="G812" s="89"/>
      <c r="H812" s="89"/>
      <c r="I812" s="89"/>
      <c r="J812" s="89"/>
      <c r="K812" s="89"/>
      <c r="L812" s="89"/>
      <c r="M812" s="89"/>
    </row>
    <row r="813" spans="7:13" x14ac:dyDescent="0.25">
      <c r="G813" s="89"/>
      <c r="H813" s="89"/>
      <c r="I813" s="89"/>
      <c r="J813" s="89"/>
      <c r="K813" s="89"/>
      <c r="L813" s="89"/>
      <c r="M813" s="89"/>
    </row>
    <row r="814" spans="7:13" x14ac:dyDescent="0.25">
      <c r="G814" s="89"/>
      <c r="H814" s="89"/>
      <c r="I814" s="89"/>
      <c r="J814" s="89"/>
      <c r="K814" s="89"/>
      <c r="L814" s="89"/>
      <c r="M814" s="89"/>
    </row>
    <row r="815" spans="7:13" x14ac:dyDescent="0.25">
      <c r="G815" s="89"/>
      <c r="H815" s="89"/>
      <c r="I815" s="89"/>
      <c r="J815" s="89"/>
      <c r="K815" s="89"/>
      <c r="L815" s="89"/>
      <c r="M815" s="89"/>
    </row>
    <row r="816" spans="7:13" x14ac:dyDescent="0.25">
      <c r="G816" s="89"/>
      <c r="H816" s="89"/>
      <c r="I816" s="89"/>
      <c r="J816" s="89"/>
      <c r="K816" s="89"/>
      <c r="L816" s="89"/>
      <c r="M816" s="89"/>
    </row>
    <row r="817" spans="7:13" x14ac:dyDescent="0.25">
      <c r="G817" s="89"/>
      <c r="H817" s="89"/>
      <c r="I817" s="89"/>
      <c r="J817" s="89"/>
      <c r="K817" s="89"/>
      <c r="L817" s="89"/>
      <c r="M817" s="89"/>
    </row>
    <row r="818" spans="7:13" x14ac:dyDescent="0.25">
      <c r="G818" s="89"/>
      <c r="H818" s="89"/>
      <c r="I818" s="89"/>
      <c r="J818" s="89"/>
      <c r="K818" s="89"/>
      <c r="L818" s="89"/>
      <c r="M818" s="89"/>
    </row>
    <row r="819" spans="7:13" x14ac:dyDescent="0.25">
      <c r="G819" s="89"/>
      <c r="H819" s="89"/>
      <c r="I819" s="89"/>
      <c r="J819" s="89"/>
      <c r="K819" s="89"/>
      <c r="L819" s="89"/>
      <c r="M819" s="89"/>
    </row>
    <row r="820" spans="7:13" x14ac:dyDescent="0.25">
      <c r="G820" s="89"/>
      <c r="H820" s="89"/>
      <c r="I820" s="89"/>
      <c r="J820" s="89"/>
      <c r="K820" s="89"/>
      <c r="L820" s="89"/>
      <c r="M820" s="89"/>
    </row>
    <row r="821" spans="7:13" x14ac:dyDescent="0.25">
      <c r="G821" s="89"/>
      <c r="H821" s="89"/>
      <c r="I821" s="89"/>
      <c r="J821" s="89"/>
      <c r="K821" s="89"/>
      <c r="L821" s="89"/>
      <c r="M821" s="89"/>
    </row>
    <row r="822" spans="7:13" x14ac:dyDescent="0.25">
      <c r="G822" s="89"/>
      <c r="H822" s="89"/>
      <c r="I822" s="89"/>
      <c r="J822" s="89"/>
      <c r="K822" s="89"/>
      <c r="L822" s="89"/>
      <c r="M822" s="89"/>
    </row>
    <row r="823" spans="7:13" x14ac:dyDescent="0.25">
      <c r="G823" s="89"/>
      <c r="H823" s="89"/>
      <c r="I823" s="89"/>
      <c r="J823" s="89"/>
      <c r="K823" s="89"/>
      <c r="L823" s="89"/>
      <c r="M823" s="89"/>
    </row>
    <row r="824" spans="7:13" x14ac:dyDescent="0.25">
      <c r="G824" s="89"/>
      <c r="H824" s="89"/>
      <c r="I824" s="89"/>
      <c r="J824" s="89"/>
      <c r="K824" s="89"/>
      <c r="L824" s="89"/>
      <c r="M824" s="89"/>
    </row>
    <row r="825" spans="7:13" x14ac:dyDescent="0.25">
      <c r="G825" s="89"/>
      <c r="H825" s="89"/>
      <c r="I825" s="89"/>
      <c r="J825" s="89"/>
      <c r="K825" s="89"/>
      <c r="L825" s="89"/>
      <c r="M825" s="89"/>
    </row>
    <row r="826" spans="7:13" x14ac:dyDescent="0.25">
      <c r="G826" s="89"/>
      <c r="H826" s="89"/>
      <c r="I826" s="89"/>
      <c r="J826" s="89"/>
      <c r="K826" s="89"/>
      <c r="L826" s="89"/>
      <c r="M826" s="89"/>
    </row>
    <row r="827" spans="7:13" x14ac:dyDescent="0.25">
      <c r="G827" s="89"/>
      <c r="H827" s="89"/>
      <c r="I827" s="89"/>
      <c r="J827" s="89"/>
      <c r="K827" s="89"/>
      <c r="L827" s="89"/>
      <c r="M827" s="89"/>
    </row>
    <row r="828" spans="7:13" x14ac:dyDescent="0.25">
      <c r="G828" s="89"/>
      <c r="H828" s="89"/>
      <c r="I828" s="89"/>
      <c r="J828" s="89"/>
      <c r="K828" s="89"/>
      <c r="L828" s="89"/>
      <c r="M828" s="89"/>
    </row>
    <row r="829" spans="7:13" x14ac:dyDescent="0.25">
      <c r="G829" s="89"/>
      <c r="H829" s="89"/>
      <c r="I829" s="89"/>
      <c r="J829" s="89"/>
      <c r="K829" s="89"/>
      <c r="L829" s="89"/>
      <c r="M829" s="89"/>
    </row>
    <row r="830" spans="7:13" x14ac:dyDescent="0.25">
      <c r="G830" s="89"/>
      <c r="H830" s="89"/>
      <c r="I830" s="89"/>
      <c r="J830" s="89"/>
      <c r="K830" s="89"/>
      <c r="L830" s="89"/>
      <c r="M830" s="89"/>
    </row>
    <row r="831" spans="7:13" x14ac:dyDescent="0.25">
      <c r="G831" s="89"/>
      <c r="H831" s="89"/>
      <c r="I831" s="89"/>
      <c r="J831" s="89"/>
      <c r="K831" s="89"/>
      <c r="L831" s="89"/>
      <c r="M831" s="89"/>
    </row>
    <row r="832" spans="7:13" x14ac:dyDescent="0.25">
      <c r="G832" s="89"/>
      <c r="H832" s="89"/>
      <c r="I832" s="89"/>
      <c r="J832" s="89"/>
      <c r="K832" s="89"/>
      <c r="L832" s="89"/>
      <c r="M832" s="89"/>
    </row>
    <row r="833" spans="7:13" x14ac:dyDescent="0.25">
      <c r="G833" s="89"/>
      <c r="H833" s="89"/>
      <c r="I833" s="89"/>
      <c r="J833" s="89"/>
      <c r="K833" s="89"/>
      <c r="L833" s="89"/>
      <c r="M833" s="89"/>
    </row>
    <row r="834" spans="7:13" x14ac:dyDescent="0.25">
      <c r="G834" s="89"/>
      <c r="H834" s="89"/>
      <c r="I834" s="89"/>
      <c r="J834" s="89"/>
      <c r="K834" s="89"/>
      <c r="L834" s="89"/>
      <c r="M834" s="89"/>
    </row>
    <row r="835" spans="7:13" x14ac:dyDescent="0.25">
      <c r="G835" s="89"/>
      <c r="H835" s="89"/>
      <c r="I835" s="89"/>
      <c r="J835" s="89"/>
      <c r="K835" s="89"/>
      <c r="L835" s="89"/>
      <c r="M835" s="89"/>
    </row>
    <row r="836" spans="7:13" x14ac:dyDescent="0.25">
      <c r="G836" s="89"/>
      <c r="H836" s="89"/>
      <c r="I836" s="89"/>
      <c r="J836" s="89"/>
      <c r="K836" s="89"/>
      <c r="L836" s="89"/>
      <c r="M836" s="89"/>
    </row>
    <row r="837" spans="7:13" x14ac:dyDescent="0.25">
      <c r="G837" s="89"/>
      <c r="I837" s="89"/>
      <c r="J837" s="89"/>
      <c r="K837" s="89"/>
      <c r="L837" s="89"/>
      <c r="M837" s="89"/>
    </row>
  </sheetData>
  <mergeCells count="9">
    <mergeCell ref="F12:F14"/>
    <mergeCell ref="G12:G14"/>
    <mergeCell ref="H12:H14"/>
    <mergeCell ref="I12:I14"/>
    <mergeCell ref="A12:A14"/>
    <mergeCell ref="B12:B14"/>
    <mergeCell ref="C12:C14"/>
    <mergeCell ref="D12:D14"/>
    <mergeCell ref="E12:E14"/>
  </mergeCells>
  <pageMargins left="0.7" right="0.7" top="0.75" bottom="0.75" header="0.511811023622047" footer="0.511811023622047"/>
  <pageSetup scale="7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0A2E-B677-41E7-B2FE-0202C0C63B20}">
  <sheetPr>
    <pageSetUpPr fitToPage="1"/>
  </sheetPr>
  <dimension ref="A1:Y843"/>
  <sheetViews>
    <sheetView view="pageBreakPreview" zoomScale="85" zoomScaleNormal="100" zoomScalePageLayoutView="85" workbookViewId="0">
      <selection activeCell="G26" sqref="G26"/>
    </sheetView>
  </sheetViews>
  <sheetFormatPr defaultColWidth="9.109375" defaultRowHeight="13.2" x14ac:dyDescent="0.25"/>
  <cols>
    <col min="1" max="1" width="3.44140625" customWidth="1"/>
    <col min="2" max="2" width="12.44140625" style="317" customWidth="1"/>
    <col min="3" max="3" width="29.44140625" customWidth="1"/>
    <col min="4" max="4" width="28.5546875" customWidth="1"/>
    <col min="5" max="6" width="19.5546875" style="382" customWidth="1"/>
    <col min="7" max="7" width="17.44140625" style="382" customWidth="1"/>
    <col min="8" max="8" width="4.6640625" customWidth="1"/>
    <col min="9" max="9" width="10.6640625" customWidth="1"/>
    <col min="10" max="11" width="11.33203125" customWidth="1"/>
  </cols>
  <sheetData>
    <row r="1" spans="1:25" ht="29.25" customHeight="1" x14ac:dyDescent="0.65">
      <c r="B1" s="315" t="s">
        <v>0</v>
      </c>
    </row>
    <row r="2" spans="1:25" ht="13.5" customHeight="1" x14ac:dyDescent="0.65">
      <c r="B2" s="315"/>
    </row>
    <row r="3" spans="1:25" ht="15" customHeight="1" x14ac:dyDescent="0.3">
      <c r="B3" s="316" t="s">
        <v>228</v>
      </c>
    </row>
    <row r="4" spans="1:25" ht="10.5" customHeight="1" x14ac:dyDescent="0.25">
      <c r="F4" s="383"/>
    </row>
    <row r="5" spans="1:25" ht="17.25" customHeight="1" x14ac:dyDescent="0.3">
      <c r="F5" s="384" t="s">
        <v>195</v>
      </c>
      <c r="G5" s="426">
        <v>2026</v>
      </c>
    </row>
    <row r="6" spans="1:25" ht="12.75" customHeight="1" x14ac:dyDescent="0.25"/>
    <row r="7" spans="1:25" x14ac:dyDescent="0.25">
      <c r="E7" s="385" t="s">
        <v>3</v>
      </c>
      <c r="F7" s="386"/>
      <c r="G7" s="387"/>
    </row>
    <row r="8" spans="1:25" x14ac:dyDescent="0.25">
      <c r="E8" s="388" t="s">
        <v>4</v>
      </c>
      <c r="F8" s="389">
        <v>63.25</v>
      </c>
      <c r="G8" s="390"/>
    </row>
    <row r="9" spans="1:25" x14ac:dyDescent="0.25">
      <c r="E9" s="391" t="s">
        <v>5</v>
      </c>
      <c r="F9" s="392">
        <v>3.5</v>
      </c>
      <c r="G9" s="393"/>
    </row>
    <row r="12" spans="1:25" x14ac:dyDescent="0.25">
      <c r="A12" s="737" t="s">
        <v>26</v>
      </c>
      <c r="B12" s="742" t="s">
        <v>27</v>
      </c>
      <c r="C12" s="737" t="s">
        <v>92</v>
      </c>
      <c r="D12" s="737" t="s">
        <v>30</v>
      </c>
      <c r="E12" s="739" t="s">
        <v>94</v>
      </c>
      <c r="F12" s="739" t="s">
        <v>93</v>
      </c>
      <c r="G12" s="739" t="s">
        <v>83</v>
      </c>
      <c r="H12" s="79"/>
      <c r="I12" s="80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</row>
    <row r="13" spans="1:25" x14ac:dyDescent="0.25">
      <c r="A13" s="737"/>
      <c r="B13" s="742"/>
      <c r="C13" s="737"/>
      <c r="D13" s="737"/>
      <c r="E13" s="740"/>
      <c r="F13" s="740"/>
      <c r="G13" s="740"/>
      <c r="H13" s="79"/>
      <c r="I13" s="80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</row>
    <row r="14" spans="1:25" x14ac:dyDescent="0.25">
      <c r="A14" s="737"/>
      <c r="B14" s="742"/>
      <c r="C14" s="737"/>
      <c r="D14" s="737"/>
      <c r="E14" s="741"/>
      <c r="F14" s="741"/>
      <c r="G14" s="741"/>
      <c r="H14" s="79"/>
      <c r="I14" s="82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</row>
    <row r="15" spans="1:25" ht="15" customHeight="1" x14ac:dyDescent="0.3">
      <c r="A15" s="83">
        <v>1</v>
      </c>
      <c r="B15" s="329">
        <v>46098</v>
      </c>
      <c r="C15" s="330" t="s">
        <v>199</v>
      </c>
      <c r="D15" s="330" t="s">
        <v>228</v>
      </c>
      <c r="E15" s="394"/>
      <c r="F15" s="394">
        <v>21000</v>
      </c>
      <c r="G15" s="394">
        <f>+F15</f>
        <v>21000</v>
      </c>
      <c r="H15" s="88"/>
      <c r="I15" s="88"/>
      <c r="K15" s="89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</row>
    <row r="16" spans="1:25" ht="15" customHeight="1" x14ac:dyDescent="0.3">
      <c r="A16" s="83">
        <f>+A15+1</f>
        <v>2</v>
      </c>
      <c r="B16" s="329"/>
      <c r="C16" s="330"/>
      <c r="D16" s="330"/>
      <c r="E16" s="394"/>
      <c r="F16" s="394"/>
      <c r="G16" s="394"/>
      <c r="H16" s="88"/>
      <c r="I16" s="88"/>
      <c r="K16" s="89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</row>
    <row r="17" spans="1:25" ht="15" customHeight="1" x14ac:dyDescent="0.3">
      <c r="A17" s="83">
        <f t="shared" ref="A17:A23" si="0">+A16+1</f>
        <v>3</v>
      </c>
      <c r="B17" s="329"/>
      <c r="C17" s="341"/>
      <c r="D17" s="330"/>
      <c r="E17" s="394"/>
      <c r="F17" s="394"/>
      <c r="G17" s="394"/>
      <c r="H17" s="88"/>
      <c r="I17" s="88"/>
      <c r="K17" s="89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</row>
    <row r="18" spans="1:25" ht="15" customHeight="1" x14ac:dyDescent="0.3">
      <c r="A18" s="83">
        <f t="shared" si="0"/>
        <v>4</v>
      </c>
      <c r="B18" s="329"/>
      <c r="C18" s="330"/>
      <c r="D18" s="330"/>
      <c r="E18" s="394"/>
      <c r="F18" s="394"/>
      <c r="G18" s="394"/>
      <c r="H18" s="88"/>
      <c r="I18" s="88"/>
      <c r="K18" s="89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spans="1:25" ht="15" customHeight="1" x14ac:dyDescent="0.3">
      <c r="A19" s="83">
        <f t="shared" si="0"/>
        <v>5</v>
      </c>
      <c r="B19" s="329"/>
      <c r="C19" s="330"/>
      <c r="D19" s="330"/>
      <c r="E19" s="394"/>
      <c r="F19" s="394"/>
      <c r="G19" s="394"/>
      <c r="H19" s="88"/>
      <c r="I19" s="88"/>
      <c r="K19" s="89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 spans="1:25" ht="15" customHeight="1" x14ac:dyDescent="0.3">
      <c r="A20" s="83">
        <f t="shared" si="0"/>
        <v>6</v>
      </c>
      <c r="B20" s="329"/>
      <c r="C20" s="329"/>
      <c r="D20" s="330"/>
      <c r="E20" s="394"/>
      <c r="F20" s="394"/>
      <c r="G20" s="394"/>
      <c r="H20" s="88"/>
      <c r="I20" s="88"/>
      <c r="K20" s="89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spans="1:25" ht="15" customHeight="1" x14ac:dyDescent="0.3">
      <c r="A21" s="83">
        <f t="shared" si="0"/>
        <v>7</v>
      </c>
      <c r="B21" s="329"/>
      <c r="C21" s="330"/>
      <c r="D21" s="330"/>
      <c r="E21" s="394"/>
      <c r="F21" s="394"/>
      <c r="G21" s="394"/>
      <c r="H21" s="88"/>
      <c r="I21" s="88"/>
      <c r="K21" s="89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 spans="1:25" s="93" customFormat="1" ht="15" customHeight="1" x14ac:dyDescent="0.3">
      <c r="A22" s="83">
        <f t="shared" si="0"/>
        <v>8</v>
      </c>
      <c r="B22" s="331"/>
      <c r="C22" s="330"/>
      <c r="D22" s="330"/>
      <c r="E22" s="394"/>
      <c r="F22" s="394"/>
      <c r="G22" s="394"/>
      <c r="H22" s="92"/>
      <c r="I22" s="92"/>
      <c r="K22" s="94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</row>
    <row r="23" spans="1:25" ht="15" customHeight="1" x14ac:dyDescent="0.3">
      <c r="A23" s="83">
        <f t="shared" si="0"/>
        <v>9</v>
      </c>
      <c r="B23" s="331"/>
      <c r="C23" s="330"/>
      <c r="D23" s="330"/>
      <c r="E23" s="394"/>
      <c r="F23" s="394"/>
      <c r="G23" s="394"/>
      <c r="H23" s="88"/>
      <c r="I23" s="88"/>
      <c r="K23" s="96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spans="1:25" ht="15" customHeight="1" x14ac:dyDescent="0.3">
      <c r="A24" s="83"/>
      <c r="B24" s="332"/>
      <c r="C24" s="330"/>
      <c r="D24" s="333"/>
      <c r="E24" s="394"/>
      <c r="F24" s="394"/>
      <c r="G24" s="394"/>
      <c r="H24" s="88"/>
      <c r="I24" s="88"/>
      <c r="K24" s="96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spans="1:25" ht="15" customHeight="1" x14ac:dyDescent="0.3">
      <c r="B25" s="334"/>
      <c r="C25" s="335"/>
      <c r="D25" s="335"/>
      <c r="E25" s="395"/>
      <c r="F25" s="395"/>
      <c r="G25" s="395">
        <f>+G15</f>
        <v>21000</v>
      </c>
      <c r="H25" s="104"/>
      <c r="I25" s="104"/>
      <c r="J25" s="81"/>
      <c r="K25" s="96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</row>
    <row r="26" spans="1:25" ht="15" customHeight="1" x14ac:dyDescent="0.25">
      <c r="A26" s="79"/>
      <c r="B26" s="318"/>
      <c r="C26" s="101"/>
      <c r="D26" s="101"/>
      <c r="E26" s="396"/>
      <c r="F26" s="396"/>
      <c r="G26" s="396"/>
      <c r="H26" s="104"/>
      <c r="I26" s="104"/>
      <c r="J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</row>
    <row r="27" spans="1:25" x14ac:dyDescent="0.25">
      <c r="A27" s="81"/>
      <c r="B27" s="319"/>
      <c r="C27" s="107"/>
      <c r="D27" s="107"/>
      <c r="E27" s="397"/>
      <c r="F27" s="397"/>
      <c r="G27" s="397"/>
      <c r="H27" s="88"/>
      <c r="I27" s="88"/>
      <c r="J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</row>
    <row r="28" spans="1:25" x14ac:dyDescent="0.25">
      <c r="A28" s="79"/>
      <c r="B28" s="319"/>
      <c r="C28" s="107"/>
      <c r="D28" s="107"/>
      <c r="E28" s="397"/>
      <c r="F28" s="397"/>
      <c r="G28" s="397"/>
      <c r="H28" s="88"/>
      <c r="I28" s="88"/>
      <c r="J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</row>
    <row r="29" spans="1:25" x14ac:dyDescent="0.25">
      <c r="A29" s="81"/>
      <c r="B29" s="319"/>
      <c r="C29" s="107"/>
      <c r="D29" s="107"/>
      <c r="E29" s="397"/>
      <c r="F29" s="397"/>
      <c r="G29" s="397"/>
      <c r="H29" s="88"/>
      <c r="I29" s="88"/>
      <c r="J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</row>
    <row r="30" spans="1:25" x14ac:dyDescent="0.25">
      <c r="A30" s="81"/>
      <c r="B30" s="319"/>
      <c r="C30" s="107"/>
      <c r="D30" s="107"/>
      <c r="E30" s="397"/>
      <c r="F30" s="397"/>
      <c r="G30" s="397"/>
      <c r="H30" s="88"/>
      <c r="I30" s="88"/>
      <c r="J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</row>
    <row r="31" spans="1:25" x14ac:dyDescent="0.25">
      <c r="A31" s="81"/>
      <c r="B31" s="319"/>
      <c r="C31" s="107"/>
      <c r="D31" s="107"/>
      <c r="E31" s="397"/>
      <c r="F31" s="397"/>
      <c r="G31" s="397"/>
      <c r="H31" s="88"/>
      <c r="I31" s="88"/>
      <c r="J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</row>
    <row r="32" spans="1:25" x14ac:dyDescent="0.25">
      <c r="A32" s="81"/>
      <c r="B32" s="319"/>
      <c r="C32" s="107"/>
      <c r="D32" s="107"/>
      <c r="E32" s="397"/>
      <c r="F32" s="397"/>
      <c r="G32" s="397"/>
      <c r="H32" s="88"/>
      <c r="I32" s="88"/>
      <c r="J32" s="81"/>
      <c r="K32" s="96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</row>
    <row r="33" spans="1:25" x14ac:dyDescent="0.25">
      <c r="A33" s="81"/>
      <c r="B33" s="319"/>
      <c r="C33" s="107"/>
      <c r="D33" s="107"/>
      <c r="E33" s="397"/>
      <c r="F33" s="397"/>
      <c r="G33" s="397"/>
      <c r="H33" s="88"/>
      <c r="I33" s="88"/>
      <c r="J33" s="81"/>
      <c r="K33" s="96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</row>
    <row r="34" spans="1:25" x14ac:dyDescent="0.25">
      <c r="A34" s="81"/>
      <c r="B34" s="319"/>
      <c r="C34" s="107"/>
      <c r="D34" s="107"/>
      <c r="E34" s="397"/>
      <c r="F34" s="397"/>
      <c r="G34" s="397"/>
      <c r="H34" s="88"/>
      <c r="I34" s="88"/>
      <c r="J34" s="81"/>
      <c r="K34" s="96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</row>
    <row r="35" spans="1:25" x14ac:dyDescent="0.25">
      <c r="A35" s="81"/>
      <c r="B35" s="319"/>
      <c r="C35" s="107"/>
      <c r="D35" s="107"/>
      <c r="E35" s="397"/>
      <c r="F35" s="397"/>
      <c r="G35" s="397"/>
      <c r="H35" s="88"/>
      <c r="I35" s="88"/>
      <c r="J35" s="81"/>
      <c r="K35" s="96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</row>
    <row r="36" spans="1:25" x14ac:dyDescent="0.25">
      <c r="A36" s="81"/>
      <c r="B36" s="319"/>
      <c r="C36" s="107"/>
      <c r="D36" s="107"/>
      <c r="E36" s="397"/>
      <c r="F36" s="397"/>
      <c r="G36" s="397"/>
      <c r="H36" s="88"/>
      <c r="I36" s="88"/>
      <c r="J36" s="81"/>
      <c r="K36" s="96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</row>
    <row r="37" spans="1:25" x14ac:dyDescent="0.25">
      <c r="A37" s="81"/>
      <c r="B37" s="319"/>
      <c r="C37" s="107"/>
      <c r="D37" s="107"/>
      <c r="E37" s="397"/>
      <c r="F37" s="397"/>
      <c r="G37" s="397"/>
      <c r="H37" s="88"/>
      <c r="I37" s="88"/>
      <c r="J37" s="81"/>
      <c r="K37" s="96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</row>
    <row r="38" spans="1:25" x14ac:dyDescent="0.25">
      <c r="A38" s="81"/>
      <c r="B38" s="319"/>
      <c r="C38" s="107"/>
      <c r="D38" s="107"/>
      <c r="E38" s="397"/>
      <c r="F38" s="397"/>
      <c r="G38" s="397"/>
      <c r="H38" s="88"/>
      <c r="I38" s="88"/>
      <c r="J38" s="81"/>
      <c r="K38" s="96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</row>
    <row r="39" spans="1:25" x14ac:dyDescent="0.25">
      <c r="A39" s="81"/>
      <c r="B39" s="319"/>
      <c r="C39" s="107"/>
      <c r="D39" s="107"/>
      <c r="E39" s="397"/>
      <c r="G39" s="397"/>
      <c r="H39" s="88"/>
      <c r="I39" s="88"/>
      <c r="J39" s="81"/>
      <c r="K39" s="96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</row>
    <row r="40" spans="1:25" x14ac:dyDescent="0.25">
      <c r="K40" s="96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</row>
    <row r="41" spans="1:25" x14ac:dyDescent="0.25">
      <c r="K41" s="96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</row>
    <row r="42" spans="1:25" x14ac:dyDescent="0.25">
      <c r="K42" s="96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</row>
    <row r="43" spans="1:25" ht="3.75" customHeight="1" x14ac:dyDescent="0.25">
      <c r="K43" s="96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</row>
    <row r="44" spans="1:25" x14ac:dyDescent="0.25">
      <c r="K44" s="96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</row>
    <row r="45" spans="1:25" x14ac:dyDescent="0.25">
      <c r="F45" s="397"/>
      <c r="K45" s="96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</row>
    <row r="46" spans="1:25" ht="11.25" customHeight="1" x14ac:dyDescent="0.25">
      <c r="A46" s="81"/>
      <c r="B46" s="319"/>
      <c r="C46" s="107"/>
      <c r="D46" s="107"/>
      <c r="E46" s="397"/>
      <c r="F46" s="397"/>
      <c r="G46" s="397"/>
      <c r="H46" s="88"/>
      <c r="I46" s="88"/>
      <c r="J46" s="81"/>
      <c r="K46" s="96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</row>
    <row r="47" spans="1:25" x14ac:dyDescent="0.25">
      <c r="A47" s="81"/>
      <c r="B47" s="319"/>
      <c r="C47" s="107"/>
      <c r="D47" s="107"/>
      <c r="E47" s="397"/>
      <c r="F47" s="397"/>
      <c r="G47" s="397"/>
      <c r="H47" s="88"/>
      <c r="I47" s="88"/>
      <c r="J47" s="81"/>
      <c r="K47" s="96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</row>
    <row r="48" spans="1:25" x14ac:dyDescent="0.25">
      <c r="A48" s="81"/>
      <c r="B48" s="319"/>
      <c r="C48" s="107"/>
      <c r="D48" s="107"/>
      <c r="E48" s="397"/>
      <c r="F48" s="397"/>
      <c r="G48" s="397"/>
      <c r="H48" s="88"/>
      <c r="I48" s="88"/>
      <c r="J48" s="81"/>
      <c r="K48" s="96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</row>
    <row r="49" spans="1:25" x14ac:dyDescent="0.25">
      <c r="A49" s="81"/>
      <c r="B49" s="319"/>
      <c r="C49" s="107"/>
      <c r="D49" s="107"/>
      <c r="E49" s="397"/>
      <c r="F49" s="397"/>
      <c r="G49" s="397"/>
      <c r="H49" s="88"/>
      <c r="I49" s="88"/>
      <c r="J49" s="81"/>
      <c r="K49" s="96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</row>
    <row r="50" spans="1:25" x14ac:dyDescent="0.25">
      <c r="A50" s="81"/>
      <c r="B50" s="319"/>
      <c r="C50" s="107"/>
      <c r="D50" s="107"/>
      <c r="E50" s="397"/>
      <c r="F50" s="397"/>
      <c r="G50" s="397"/>
      <c r="H50" s="88"/>
      <c r="I50" s="88"/>
      <c r="J50" s="81"/>
      <c r="K50" s="96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</row>
    <row r="51" spans="1:25" x14ac:dyDescent="0.25">
      <c r="A51" s="81"/>
      <c r="B51" s="319"/>
      <c r="C51" s="107"/>
      <c r="D51" s="107"/>
      <c r="E51" s="397"/>
      <c r="F51" s="397"/>
      <c r="G51" s="397"/>
      <c r="H51" s="88"/>
      <c r="I51" s="88"/>
      <c r="J51" s="81"/>
      <c r="K51" s="96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</row>
    <row r="52" spans="1:25" x14ac:dyDescent="0.25">
      <c r="A52" s="81"/>
      <c r="B52" s="319"/>
      <c r="C52" s="107"/>
      <c r="D52" s="107"/>
      <c r="E52" s="397"/>
      <c r="F52" s="397"/>
      <c r="G52" s="397"/>
      <c r="H52" s="88"/>
      <c r="I52" s="88"/>
      <c r="J52" s="81"/>
      <c r="K52" s="96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</row>
    <row r="53" spans="1:25" x14ac:dyDescent="0.25">
      <c r="A53" s="81"/>
      <c r="B53" s="319"/>
      <c r="C53" s="107"/>
      <c r="D53" s="107"/>
      <c r="E53" s="397"/>
      <c r="F53" s="397"/>
      <c r="G53" s="397"/>
      <c r="H53" s="88"/>
      <c r="I53" s="88"/>
      <c r="K53" s="96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</row>
    <row r="54" spans="1:25" x14ac:dyDescent="0.25">
      <c r="A54" s="81"/>
      <c r="B54" s="319"/>
      <c r="C54" s="107"/>
      <c r="D54" s="107"/>
      <c r="E54" s="397"/>
      <c r="F54" s="397"/>
      <c r="G54" s="397"/>
      <c r="H54" s="88"/>
      <c r="I54" s="88"/>
      <c r="K54" s="96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</row>
    <row r="55" spans="1:25" x14ac:dyDescent="0.25">
      <c r="A55" s="81"/>
      <c r="B55" s="319"/>
      <c r="C55" s="107"/>
      <c r="D55" s="107"/>
      <c r="E55" s="397"/>
      <c r="F55" s="397"/>
      <c r="G55" s="397"/>
      <c r="H55" s="88"/>
      <c r="I55" s="88"/>
      <c r="K55" s="96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</row>
    <row r="56" spans="1:25" x14ac:dyDescent="0.25">
      <c r="A56" s="81"/>
      <c r="B56" s="319"/>
      <c r="C56" s="107"/>
      <c r="D56" s="107"/>
      <c r="E56" s="397"/>
      <c r="F56" s="397"/>
      <c r="G56" s="397"/>
      <c r="H56" s="88"/>
      <c r="I56" s="88"/>
      <c r="K56" s="96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</row>
    <row r="57" spans="1:25" x14ac:dyDescent="0.25">
      <c r="A57" s="81"/>
      <c r="B57" s="319"/>
      <c r="C57" s="107"/>
      <c r="D57" s="107"/>
      <c r="E57" s="397"/>
      <c r="F57" s="397"/>
      <c r="G57" s="397"/>
      <c r="H57" s="88"/>
      <c r="I57" s="88"/>
      <c r="K57" s="96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</row>
    <row r="58" spans="1:25" x14ac:dyDescent="0.25">
      <c r="A58" s="81"/>
      <c r="B58" s="319"/>
      <c r="C58" s="107"/>
      <c r="D58" s="107"/>
      <c r="E58" s="397"/>
      <c r="F58" s="397"/>
      <c r="G58" s="397"/>
      <c r="H58" s="88"/>
      <c r="I58" s="88"/>
      <c r="K58" s="96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</row>
    <row r="59" spans="1:25" x14ac:dyDescent="0.25">
      <c r="A59" s="81"/>
      <c r="B59" s="319"/>
      <c r="C59" s="107"/>
      <c r="D59" s="107"/>
      <c r="E59" s="397"/>
      <c r="F59" s="397"/>
      <c r="G59" s="397"/>
      <c r="H59" s="88"/>
      <c r="I59" s="88"/>
      <c r="K59" s="96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</row>
    <row r="60" spans="1:25" x14ac:dyDescent="0.25">
      <c r="A60" s="81"/>
      <c r="B60" s="319"/>
      <c r="C60" s="107"/>
      <c r="D60" s="107"/>
      <c r="E60" s="397"/>
      <c r="F60" s="397"/>
      <c r="G60" s="397"/>
      <c r="H60" s="88"/>
      <c r="I60" s="88"/>
      <c r="K60" s="96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</row>
    <row r="61" spans="1:25" x14ac:dyDescent="0.25">
      <c r="A61" s="81"/>
      <c r="B61" s="319"/>
      <c r="C61" s="107"/>
      <c r="D61" s="107"/>
      <c r="E61" s="397"/>
      <c r="F61" s="397"/>
      <c r="G61" s="397"/>
      <c r="H61" s="88"/>
      <c r="I61" s="88"/>
      <c r="K61" s="96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</row>
    <row r="62" spans="1:25" x14ac:dyDescent="0.25">
      <c r="A62" s="81"/>
      <c r="B62" s="319"/>
      <c r="C62" s="107"/>
      <c r="D62" s="107"/>
      <c r="E62" s="397"/>
      <c r="F62" s="397"/>
      <c r="G62" s="397"/>
      <c r="H62" s="88"/>
      <c r="I62" s="88"/>
      <c r="K62" s="96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</row>
    <row r="63" spans="1:25" x14ac:dyDescent="0.25">
      <c r="A63" s="81"/>
      <c r="B63" s="319"/>
      <c r="C63" s="81"/>
      <c r="D63" s="81"/>
      <c r="E63" s="397"/>
      <c r="F63" s="397"/>
      <c r="G63" s="397"/>
      <c r="H63" s="88"/>
      <c r="I63" s="88"/>
      <c r="K63" s="96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</row>
    <row r="64" spans="1:25" x14ac:dyDescent="0.25">
      <c r="A64" s="81"/>
      <c r="B64" s="319"/>
      <c r="C64" s="81"/>
      <c r="D64" s="81"/>
      <c r="E64" s="397"/>
      <c r="F64" s="397"/>
      <c r="G64" s="397"/>
      <c r="H64" s="88"/>
      <c r="I64" s="88"/>
      <c r="K64" s="96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</row>
    <row r="65" spans="1:25" x14ac:dyDescent="0.25">
      <c r="A65" s="81"/>
      <c r="B65" s="319"/>
      <c r="C65" s="81"/>
      <c r="D65" s="81"/>
      <c r="E65" s="397"/>
      <c r="F65" s="397"/>
      <c r="G65" s="397"/>
      <c r="H65" s="88"/>
      <c r="I65" s="88"/>
      <c r="K65" s="96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</row>
    <row r="66" spans="1:25" x14ac:dyDescent="0.25">
      <c r="A66" s="81"/>
      <c r="B66" s="319"/>
      <c r="C66" s="81"/>
      <c r="D66" s="81"/>
      <c r="E66" s="397"/>
      <c r="F66" s="397"/>
      <c r="G66" s="397"/>
      <c r="H66" s="88"/>
      <c r="I66" s="88"/>
      <c r="K66" s="96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</row>
    <row r="67" spans="1:25" x14ac:dyDescent="0.25">
      <c r="A67" s="81"/>
      <c r="B67" s="319"/>
      <c r="C67" s="81"/>
      <c r="D67" s="81"/>
      <c r="E67" s="397"/>
      <c r="F67" s="397"/>
      <c r="G67" s="397"/>
      <c r="H67" s="88"/>
      <c r="I67" s="88"/>
      <c r="K67" s="96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</row>
    <row r="68" spans="1:25" x14ac:dyDescent="0.25">
      <c r="A68" s="81"/>
      <c r="B68" s="319"/>
      <c r="C68" s="81"/>
      <c r="D68" s="81"/>
      <c r="E68" s="397"/>
      <c r="F68" s="397"/>
      <c r="G68" s="397"/>
      <c r="H68" s="88"/>
      <c r="I68" s="88"/>
      <c r="K68" s="96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</row>
    <row r="69" spans="1:25" x14ac:dyDescent="0.25">
      <c r="A69" s="81"/>
      <c r="B69" s="319"/>
      <c r="C69" s="81"/>
      <c r="D69" s="81"/>
      <c r="E69" s="397"/>
      <c r="F69" s="397"/>
      <c r="G69" s="397"/>
      <c r="H69" s="88"/>
      <c r="I69" s="88"/>
      <c r="K69" s="96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</row>
    <row r="70" spans="1:25" x14ac:dyDescent="0.25">
      <c r="A70" s="81"/>
      <c r="B70" s="319"/>
      <c r="C70" s="81"/>
      <c r="D70" s="81"/>
      <c r="E70" s="397"/>
      <c r="F70" s="397"/>
      <c r="G70" s="397"/>
      <c r="H70" s="88"/>
      <c r="I70" s="88"/>
      <c r="K70" s="96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</row>
    <row r="71" spans="1:25" x14ac:dyDescent="0.25">
      <c r="A71" s="81"/>
      <c r="B71" s="319"/>
      <c r="C71" s="81"/>
      <c r="D71" s="81"/>
      <c r="E71" s="397"/>
      <c r="F71" s="397"/>
      <c r="G71" s="397"/>
      <c r="H71" s="88"/>
      <c r="I71" s="88"/>
      <c r="K71" s="96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</row>
    <row r="72" spans="1:25" x14ac:dyDescent="0.25">
      <c r="A72" s="81"/>
      <c r="B72" s="319"/>
      <c r="C72" s="81"/>
      <c r="D72" s="81"/>
      <c r="E72" s="397"/>
      <c r="F72" s="397"/>
      <c r="G72" s="397"/>
      <c r="H72" s="88"/>
      <c r="I72" s="88"/>
      <c r="K72" s="96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</row>
    <row r="73" spans="1:25" x14ac:dyDescent="0.25">
      <c r="A73" s="81"/>
      <c r="B73" s="319"/>
      <c r="C73" s="81"/>
      <c r="D73" s="81"/>
      <c r="E73" s="397"/>
      <c r="F73" s="397"/>
      <c r="G73" s="397"/>
      <c r="H73" s="88"/>
      <c r="I73" s="88"/>
      <c r="K73" s="96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</row>
    <row r="74" spans="1:25" x14ac:dyDescent="0.25">
      <c r="A74" s="81"/>
      <c r="B74" s="319"/>
      <c r="C74" s="81"/>
      <c r="D74" s="81"/>
      <c r="E74" s="397"/>
      <c r="F74" s="397"/>
      <c r="G74" s="397"/>
      <c r="H74" s="88"/>
      <c r="I74" s="88"/>
      <c r="K74" s="96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</row>
    <row r="75" spans="1:25" x14ac:dyDescent="0.25">
      <c r="A75" s="81"/>
      <c r="B75" s="319"/>
      <c r="C75" s="81"/>
      <c r="D75" s="81"/>
      <c r="E75" s="397"/>
      <c r="F75" s="397"/>
      <c r="G75" s="397"/>
      <c r="H75" s="88"/>
      <c r="I75" s="88"/>
      <c r="K75" s="96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</row>
    <row r="76" spans="1:25" x14ac:dyDescent="0.25">
      <c r="A76" s="81"/>
      <c r="B76" s="319"/>
      <c r="C76" s="81"/>
      <c r="D76" s="81"/>
      <c r="E76" s="397"/>
      <c r="F76" s="397"/>
      <c r="G76" s="397"/>
      <c r="H76" s="88"/>
      <c r="I76" s="88"/>
      <c r="K76" s="96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</row>
    <row r="77" spans="1:25" x14ac:dyDescent="0.25">
      <c r="A77" s="81"/>
      <c r="B77" s="319"/>
      <c r="C77" s="81"/>
      <c r="D77" s="81"/>
      <c r="E77" s="397"/>
      <c r="F77" s="397"/>
      <c r="G77" s="397"/>
      <c r="H77" s="88"/>
      <c r="I77" s="88"/>
      <c r="K77" s="96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</row>
    <row r="78" spans="1:25" x14ac:dyDescent="0.25">
      <c r="A78" s="81"/>
      <c r="B78" s="319"/>
      <c r="C78" s="81"/>
      <c r="D78" s="81"/>
      <c r="E78" s="397"/>
      <c r="F78" s="397"/>
      <c r="G78" s="397"/>
      <c r="H78" s="88"/>
      <c r="I78" s="88"/>
      <c r="K78" s="96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</row>
    <row r="79" spans="1:25" x14ac:dyDescent="0.25">
      <c r="A79" s="81"/>
      <c r="B79" s="319"/>
      <c r="C79" s="81"/>
      <c r="D79" s="81"/>
      <c r="E79" s="397"/>
      <c r="F79" s="397"/>
      <c r="G79" s="397"/>
      <c r="H79" s="88"/>
      <c r="I79" s="88"/>
      <c r="K79" s="96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</row>
    <row r="80" spans="1:25" x14ac:dyDescent="0.25">
      <c r="A80" s="81"/>
      <c r="B80" s="319"/>
      <c r="C80" s="81"/>
      <c r="D80" s="81"/>
      <c r="E80" s="397"/>
      <c r="F80" s="397"/>
      <c r="G80" s="397"/>
      <c r="H80" s="88"/>
      <c r="I80" s="88"/>
      <c r="K80" s="96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</row>
    <row r="81" spans="1:25" x14ac:dyDescent="0.25">
      <c r="A81" s="81"/>
      <c r="B81" s="319"/>
      <c r="C81" s="81"/>
      <c r="D81" s="81"/>
      <c r="E81" s="397"/>
      <c r="F81" s="397"/>
      <c r="G81" s="397"/>
      <c r="H81" s="88"/>
      <c r="I81" s="88"/>
      <c r="K81" s="96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</row>
    <row r="82" spans="1:25" x14ac:dyDescent="0.25">
      <c r="A82" s="81"/>
      <c r="B82" s="319"/>
      <c r="C82" s="81"/>
      <c r="D82" s="81"/>
      <c r="E82" s="397"/>
      <c r="F82" s="397"/>
      <c r="G82" s="397"/>
      <c r="H82" s="88"/>
      <c r="I82" s="88"/>
      <c r="K82" s="96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</row>
    <row r="83" spans="1:25" x14ac:dyDescent="0.25">
      <c r="A83" s="81"/>
      <c r="B83" s="319"/>
      <c r="C83" s="81"/>
      <c r="D83" s="81"/>
      <c r="E83" s="397"/>
      <c r="F83" s="397"/>
      <c r="G83" s="397"/>
      <c r="H83" s="88"/>
      <c r="I83" s="88"/>
      <c r="K83" s="96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</row>
    <row r="84" spans="1:25" x14ac:dyDescent="0.25">
      <c r="A84" s="81"/>
      <c r="B84" s="319"/>
      <c r="C84" s="81"/>
      <c r="D84" s="81"/>
      <c r="E84" s="397"/>
      <c r="F84" s="397"/>
      <c r="G84" s="397"/>
      <c r="H84" s="88"/>
      <c r="I84" s="88"/>
      <c r="K84" s="96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</row>
    <row r="85" spans="1:25" x14ac:dyDescent="0.25">
      <c r="A85" s="81"/>
      <c r="B85" s="319"/>
      <c r="C85" s="81"/>
      <c r="D85" s="81"/>
      <c r="E85" s="397"/>
      <c r="F85" s="397"/>
      <c r="G85" s="397"/>
      <c r="H85" s="88"/>
      <c r="I85" s="88"/>
      <c r="K85" s="96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</row>
    <row r="86" spans="1:25" x14ac:dyDescent="0.25">
      <c r="A86" s="81"/>
      <c r="B86" s="319"/>
      <c r="C86" s="81"/>
      <c r="D86" s="81"/>
      <c r="E86" s="397"/>
      <c r="F86" s="397"/>
      <c r="G86" s="397"/>
      <c r="H86" s="88"/>
      <c r="I86" s="88"/>
      <c r="K86" s="96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</row>
    <row r="87" spans="1:25" x14ac:dyDescent="0.25">
      <c r="A87" s="81"/>
      <c r="B87" s="319"/>
      <c r="C87" s="81"/>
      <c r="D87" s="81"/>
      <c r="E87" s="397"/>
      <c r="F87" s="397"/>
      <c r="G87" s="397"/>
      <c r="H87" s="88"/>
      <c r="I87" s="88"/>
      <c r="K87" s="96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</row>
    <row r="88" spans="1:25" x14ac:dyDescent="0.25">
      <c r="A88" s="81"/>
      <c r="B88" s="319"/>
      <c r="C88" s="81"/>
      <c r="D88" s="81"/>
      <c r="E88" s="397"/>
      <c r="F88" s="397"/>
      <c r="G88" s="397"/>
      <c r="H88" s="88"/>
      <c r="I88" s="88"/>
      <c r="K88" s="96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</row>
    <row r="89" spans="1:25" x14ac:dyDescent="0.25">
      <c r="A89" s="81"/>
      <c r="B89" s="319"/>
      <c r="C89" s="81"/>
      <c r="D89" s="81"/>
      <c r="E89" s="397"/>
      <c r="F89" s="397"/>
      <c r="G89" s="397"/>
      <c r="H89" s="88"/>
      <c r="I89" s="88"/>
      <c r="K89" s="96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</row>
    <row r="90" spans="1:25" x14ac:dyDescent="0.25">
      <c r="A90" s="81"/>
      <c r="B90" s="319"/>
      <c r="C90" s="81"/>
      <c r="D90" s="81"/>
      <c r="E90" s="397"/>
      <c r="F90" s="397"/>
      <c r="G90" s="397"/>
      <c r="H90" s="88"/>
      <c r="I90" s="88"/>
      <c r="K90" s="96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</row>
    <row r="91" spans="1:25" x14ac:dyDescent="0.25">
      <c r="A91" s="81"/>
      <c r="B91" s="319"/>
      <c r="C91" s="81"/>
      <c r="D91" s="81"/>
      <c r="E91" s="397"/>
      <c r="F91" s="397"/>
      <c r="G91" s="397"/>
      <c r="H91" s="88"/>
      <c r="I91" s="88"/>
      <c r="K91" s="96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</row>
    <row r="92" spans="1:25" x14ac:dyDescent="0.25">
      <c r="A92" s="81"/>
      <c r="B92" s="319"/>
      <c r="C92" s="81"/>
      <c r="D92" s="81"/>
      <c r="E92" s="397"/>
      <c r="F92" s="397"/>
      <c r="G92" s="397"/>
      <c r="H92" s="88"/>
      <c r="I92" s="88"/>
      <c r="K92" s="96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</row>
    <row r="93" spans="1:25" x14ac:dyDescent="0.25">
      <c r="A93" s="81"/>
      <c r="B93" s="319"/>
      <c r="C93" s="81"/>
      <c r="D93" s="81"/>
      <c r="E93" s="397"/>
      <c r="F93" s="397"/>
      <c r="G93" s="397"/>
      <c r="H93" s="88"/>
      <c r="I93" s="88"/>
      <c r="K93" s="96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</row>
    <row r="94" spans="1:25" x14ac:dyDescent="0.25">
      <c r="A94" s="81"/>
      <c r="B94" s="319"/>
      <c r="C94" s="81"/>
      <c r="D94" s="81"/>
      <c r="E94" s="397"/>
      <c r="F94" s="397"/>
      <c r="G94" s="397"/>
      <c r="H94" s="88"/>
      <c r="I94" s="88"/>
      <c r="K94" s="96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</row>
    <row r="95" spans="1:25" x14ac:dyDescent="0.25">
      <c r="A95" s="81"/>
      <c r="B95" s="319"/>
      <c r="C95" s="81"/>
      <c r="D95" s="81"/>
      <c r="E95" s="397"/>
      <c r="F95" s="397"/>
      <c r="G95" s="397"/>
      <c r="H95" s="88"/>
      <c r="I95" s="88"/>
      <c r="K95" s="96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</row>
    <row r="96" spans="1:25" x14ac:dyDescent="0.25">
      <c r="A96" s="81"/>
      <c r="B96" s="319"/>
      <c r="C96" s="81"/>
      <c r="D96" s="81"/>
      <c r="E96" s="397"/>
      <c r="F96" s="397"/>
      <c r="G96" s="397"/>
      <c r="H96" s="88"/>
      <c r="I96" s="88"/>
      <c r="K96" s="96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</row>
    <row r="97" spans="1:25" x14ac:dyDescent="0.25">
      <c r="A97" s="81"/>
      <c r="B97" s="319"/>
      <c r="C97" s="81"/>
      <c r="D97" s="81"/>
      <c r="E97" s="397"/>
      <c r="F97" s="397"/>
      <c r="G97" s="397"/>
      <c r="H97" s="88"/>
      <c r="I97" s="88"/>
      <c r="K97" s="96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</row>
    <row r="98" spans="1:25" x14ac:dyDescent="0.25">
      <c r="A98" s="81"/>
      <c r="B98" s="319"/>
      <c r="C98" s="81"/>
      <c r="D98" s="81"/>
      <c r="E98" s="397"/>
      <c r="F98" s="397"/>
      <c r="G98" s="397"/>
      <c r="H98" s="88"/>
      <c r="I98" s="88"/>
      <c r="K98" s="96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</row>
    <row r="99" spans="1:25" x14ac:dyDescent="0.25">
      <c r="A99" s="81"/>
      <c r="B99" s="319"/>
      <c r="C99" s="81"/>
      <c r="D99" s="81"/>
      <c r="E99" s="397"/>
      <c r="F99" s="397"/>
      <c r="G99" s="397"/>
      <c r="H99" s="88"/>
      <c r="I99" s="88"/>
      <c r="K99" s="96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</row>
    <row r="100" spans="1:25" x14ac:dyDescent="0.25">
      <c r="A100" s="81"/>
      <c r="B100" s="319"/>
      <c r="C100" s="81"/>
      <c r="D100" s="81"/>
      <c r="E100" s="397"/>
      <c r="F100" s="397"/>
      <c r="G100" s="397"/>
      <c r="H100" s="88"/>
      <c r="I100" s="88"/>
      <c r="K100" s="96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</row>
    <row r="101" spans="1:25" x14ac:dyDescent="0.25">
      <c r="A101" s="81"/>
      <c r="B101" s="319"/>
      <c r="C101" s="81"/>
      <c r="D101" s="81"/>
      <c r="E101" s="397"/>
      <c r="F101" s="397"/>
      <c r="G101" s="397"/>
      <c r="H101" s="88"/>
      <c r="I101" s="88"/>
      <c r="K101" s="96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</row>
    <row r="102" spans="1:25" x14ac:dyDescent="0.25">
      <c r="A102" s="81"/>
      <c r="B102" s="319"/>
      <c r="C102" s="81"/>
      <c r="D102" s="81"/>
      <c r="E102" s="397"/>
      <c r="F102" s="397"/>
      <c r="G102" s="397"/>
      <c r="H102" s="88"/>
      <c r="I102" s="88"/>
      <c r="J102" s="88"/>
      <c r="K102" s="96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</row>
    <row r="103" spans="1:25" x14ac:dyDescent="0.25">
      <c r="A103" s="81"/>
      <c r="B103" s="319"/>
      <c r="C103" s="81"/>
      <c r="D103" s="81"/>
      <c r="E103" s="397"/>
      <c r="F103" s="397"/>
      <c r="G103" s="397"/>
      <c r="H103" s="88"/>
      <c r="I103" s="88"/>
      <c r="J103" s="88"/>
      <c r="K103" s="96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</row>
    <row r="104" spans="1:25" x14ac:dyDescent="0.25">
      <c r="A104" s="81"/>
      <c r="B104" s="319"/>
      <c r="C104" s="81"/>
      <c r="D104" s="81"/>
      <c r="E104" s="397"/>
      <c r="F104" s="397"/>
      <c r="G104" s="397"/>
      <c r="H104" s="88"/>
      <c r="I104" s="88"/>
      <c r="J104" s="88"/>
      <c r="K104" s="96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</row>
    <row r="105" spans="1:25" x14ac:dyDescent="0.25">
      <c r="A105" s="81"/>
      <c r="B105" s="319"/>
      <c r="C105" s="81"/>
      <c r="D105" s="81"/>
      <c r="E105" s="397"/>
      <c r="F105" s="397"/>
      <c r="G105" s="397"/>
      <c r="H105" s="88"/>
      <c r="I105" s="88"/>
      <c r="J105" s="88"/>
      <c r="K105" s="96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</row>
    <row r="106" spans="1:25" x14ac:dyDescent="0.25">
      <c r="A106" s="81"/>
      <c r="B106" s="319"/>
      <c r="C106" s="81"/>
      <c r="D106" s="81"/>
      <c r="E106" s="397"/>
      <c r="F106" s="397"/>
      <c r="G106" s="397"/>
      <c r="H106" s="88"/>
      <c r="I106" s="88"/>
      <c r="J106" s="88"/>
      <c r="K106" s="96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</row>
    <row r="107" spans="1:25" x14ac:dyDescent="0.25">
      <c r="A107" s="81"/>
      <c r="B107" s="319"/>
      <c r="C107" s="81"/>
      <c r="D107" s="81"/>
      <c r="E107" s="397"/>
      <c r="F107" s="397"/>
      <c r="G107" s="397"/>
      <c r="H107" s="88"/>
      <c r="I107" s="88"/>
      <c r="J107" s="88"/>
      <c r="K107" s="96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</row>
    <row r="108" spans="1:25" x14ac:dyDescent="0.25">
      <c r="A108" s="81"/>
      <c r="B108" s="319"/>
      <c r="C108" s="81"/>
      <c r="D108" s="81"/>
      <c r="E108" s="397"/>
      <c r="F108" s="397"/>
      <c r="G108" s="397"/>
      <c r="H108" s="88"/>
      <c r="I108" s="88"/>
      <c r="J108" s="88"/>
      <c r="K108" s="96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</row>
    <row r="109" spans="1:25" x14ac:dyDescent="0.25">
      <c r="A109" s="81"/>
      <c r="B109" s="319"/>
      <c r="C109" s="81"/>
      <c r="D109" s="81"/>
      <c r="E109" s="397"/>
      <c r="F109" s="397"/>
      <c r="G109" s="397"/>
      <c r="H109" s="88"/>
      <c r="I109" s="88"/>
      <c r="J109" s="88"/>
      <c r="K109" s="96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</row>
    <row r="110" spans="1:25" x14ac:dyDescent="0.25">
      <c r="A110" s="81"/>
      <c r="B110" s="319"/>
      <c r="C110" s="81"/>
      <c r="D110" s="81"/>
      <c r="E110" s="397"/>
      <c r="F110" s="397"/>
      <c r="G110" s="397"/>
      <c r="H110" s="88"/>
      <c r="I110" s="88"/>
      <c r="J110" s="88"/>
      <c r="K110" s="96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</row>
    <row r="111" spans="1:25" x14ac:dyDescent="0.25">
      <c r="A111" s="81"/>
      <c r="B111" s="319"/>
      <c r="C111" s="81"/>
      <c r="D111" s="81"/>
      <c r="E111" s="397"/>
      <c r="F111" s="397"/>
      <c r="G111" s="397"/>
      <c r="H111" s="88"/>
      <c r="I111" s="88"/>
      <c r="J111" s="88"/>
      <c r="K111" s="96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</row>
    <row r="112" spans="1:25" x14ac:dyDescent="0.25">
      <c r="A112" s="81"/>
      <c r="B112" s="319"/>
      <c r="C112" s="81"/>
      <c r="D112" s="81"/>
      <c r="E112" s="397"/>
      <c r="F112" s="397"/>
      <c r="G112" s="397"/>
      <c r="H112" s="88"/>
      <c r="I112" s="88"/>
      <c r="J112" s="88"/>
      <c r="K112" s="96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</row>
    <row r="113" spans="1:25" x14ac:dyDescent="0.25">
      <c r="A113" s="81"/>
      <c r="B113" s="319"/>
      <c r="C113" s="81"/>
      <c r="D113" s="81"/>
      <c r="E113" s="397"/>
      <c r="F113" s="397"/>
      <c r="G113" s="397"/>
      <c r="H113" s="88"/>
      <c r="I113" s="88"/>
      <c r="J113" s="88"/>
      <c r="K113" s="96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</row>
    <row r="114" spans="1:25" x14ac:dyDescent="0.25">
      <c r="A114" s="81"/>
      <c r="B114" s="319"/>
      <c r="C114" s="81"/>
      <c r="D114" s="81"/>
      <c r="E114" s="397"/>
      <c r="F114" s="397"/>
      <c r="G114" s="397"/>
      <c r="H114" s="88"/>
      <c r="I114" s="88"/>
      <c r="J114" s="88"/>
      <c r="K114" s="96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</row>
    <row r="115" spans="1:25" x14ac:dyDescent="0.25">
      <c r="A115" s="81"/>
      <c r="B115" s="319"/>
      <c r="C115" s="81"/>
      <c r="D115" s="81"/>
      <c r="E115" s="397"/>
      <c r="F115" s="397"/>
      <c r="G115" s="397"/>
      <c r="H115" s="88"/>
      <c r="I115" s="88"/>
      <c r="J115" s="88"/>
      <c r="K115" s="96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</row>
    <row r="116" spans="1:25" x14ac:dyDescent="0.25">
      <c r="A116" s="81"/>
      <c r="B116" s="319"/>
      <c r="C116" s="81"/>
      <c r="D116" s="81"/>
      <c r="E116" s="397"/>
      <c r="F116" s="397"/>
      <c r="G116" s="397"/>
      <c r="H116" s="88"/>
      <c r="I116" s="88"/>
      <c r="J116" s="88"/>
      <c r="K116" s="96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</row>
    <row r="117" spans="1:25" x14ac:dyDescent="0.25">
      <c r="A117" s="81"/>
      <c r="B117" s="319"/>
      <c r="C117" s="81"/>
      <c r="D117" s="81"/>
      <c r="E117" s="397"/>
      <c r="F117" s="397"/>
      <c r="G117" s="397"/>
      <c r="H117" s="88"/>
      <c r="I117" s="88"/>
      <c r="J117" s="88"/>
      <c r="K117" s="96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</row>
    <row r="118" spans="1:25" x14ac:dyDescent="0.25">
      <c r="A118" s="81"/>
      <c r="B118" s="319"/>
      <c r="C118" s="81"/>
      <c r="D118" s="81"/>
      <c r="E118" s="397"/>
      <c r="F118" s="397"/>
      <c r="G118" s="397"/>
      <c r="H118" s="88"/>
      <c r="I118" s="88"/>
      <c r="J118" s="88"/>
      <c r="K118" s="96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</row>
    <row r="119" spans="1:25" x14ac:dyDescent="0.25">
      <c r="A119" s="81"/>
      <c r="B119" s="319"/>
      <c r="C119" s="81"/>
      <c r="D119" s="81"/>
      <c r="E119" s="397"/>
      <c r="F119" s="397"/>
      <c r="G119" s="397"/>
      <c r="H119" s="88"/>
      <c r="I119" s="88"/>
      <c r="J119" s="88"/>
      <c r="K119" s="96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</row>
    <row r="120" spans="1:25" x14ac:dyDescent="0.25">
      <c r="A120" s="81"/>
      <c r="B120" s="319"/>
      <c r="C120" s="81"/>
      <c r="D120" s="81"/>
      <c r="E120" s="397"/>
      <c r="F120" s="397"/>
      <c r="G120" s="397"/>
      <c r="H120" s="88"/>
      <c r="I120" s="88"/>
      <c r="J120" s="88"/>
      <c r="K120" s="96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</row>
    <row r="121" spans="1:25" x14ac:dyDescent="0.25">
      <c r="A121" s="81"/>
      <c r="B121" s="319"/>
      <c r="C121" s="81"/>
      <c r="D121" s="81"/>
      <c r="E121" s="397"/>
      <c r="F121" s="397"/>
      <c r="G121" s="397"/>
      <c r="H121" s="88"/>
      <c r="I121" s="88"/>
      <c r="J121" s="88"/>
      <c r="K121" s="96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</row>
    <row r="122" spans="1:25" x14ac:dyDescent="0.25">
      <c r="A122" s="81"/>
      <c r="B122" s="319"/>
      <c r="C122" s="81"/>
      <c r="D122" s="81"/>
      <c r="E122" s="397"/>
      <c r="F122" s="397"/>
      <c r="G122" s="397"/>
      <c r="H122" s="88"/>
      <c r="I122" s="88"/>
      <c r="J122" s="88"/>
      <c r="K122" s="96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</row>
    <row r="123" spans="1:25" x14ac:dyDescent="0.25">
      <c r="A123" s="81"/>
      <c r="B123" s="319"/>
      <c r="C123" s="81"/>
      <c r="D123" s="81"/>
      <c r="E123" s="397"/>
      <c r="F123" s="397"/>
      <c r="G123" s="397"/>
      <c r="H123" s="88"/>
      <c r="I123" s="88"/>
      <c r="J123" s="88"/>
      <c r="K123" s="96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</row>
    <row r="124" spans="1:25" x14ac:dyDescent="0.25">
      <c r="A124" s="81"/>
      <c r="B124" s="319"/>
      <c r="C124" s="81"/>
      <c r="D124" s="81"/>
      <c r="E124" s="397"/>
      <c r="F124" s="397"/>
      <c r="G124" s="397"/>
      <c r="H124" s="88"/>
      <c r="I124" s="88"/>
      <c r="J124" s="88"/>
      <c r="K124" s="96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</row>
    <row r="125" spans="1:25" x14ac:dyDescent="0.25">
      <c r="A125" s="81"/>
      <c r="B125" s="319"/>
      <c r="C125" s="81"/>
      <c r="D125" s="81"/>
      <c r="E125" s="397"/>
      <c r="F125" s="397"/>
      <c r="G125" s="397"/>
      <c r="H125" s="88"/>
      <c r="I125" s="88"/>
      <c r="J125" s="88"/>
      <c r="K125" s="96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</row>
    <row r="126" spans="1:25" x14ac:dyDescent="0.25">
      <c r="A126" s="81"/>
      <c r="B126" s="319"/>
      <c r="C126" s="81"/>
      <c r="D126" s="81"/>
      <c r="E126" s="397"/>
      <c r="F126" s="397"/>
      <c r="G126" s="397"/>
      <c r="H126" s="88"/>
      <c r="I126" s="88"/>
      <c r="J126" s="88"/>
      <c r="K126" s="96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</row>
    <row r="127" spans="1:25" x14ac:dyDescent="0.25">
      <c r="A127" s="81"/>
      <c r="B127" s="319"/>
      <c r="C127" s="81"/>
      <c r="D127" s="81"/>
      <c r="E127" s="397"/>
      <c r="F127" s="397"/>
      <c r="G127" s="397"/>
      <c r="H127" s="88"/>
      <c r="I127" s="88"/>
      <c r="J127" s="88"/>
      <c r="K127" s="96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</row>
    <row r="128" spans="1:25" x14ac:dyDescent="0.25">
      <c r="A128" s="81"/>
      <c r="B128" s="319"/>
      <c r="C128" s="81"/>
      <c r="D128" s="81"/>
      <c r="E128" s="397"/>
      <c r="F128" s="397"/>
      <c r="G128" s="397"/>
      <c r="H128" s="88"/>
      <c r="I128" s="88"/>
      <c r="J128" s="88"/>
      <c r="K128" s="96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</row>
    <row r="129" spans="1:25" x14ac:dyDescent="0.25">
      <c r="A129" s="81"/>
      <c r="B129" s="319"/>
      <c r="C129" s="81"/>
      <c r="D129" s="81"/>
      <c r="E129" s="397"/>
      <c r="F129" s="397"/>
      <c r="G129" s="397"/>
      <c r="H129" s="88"/>
      <c r="I129" s="88"/>
      <c r="J129" s="88"/>
      <c r="K129" s="96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</row>
    <row r="130" spans="1:25" x14ac:dyDescent="0.25">
      <c r="A130" s="81"/>
      <c r="B130" s="319"/>
      <c r="C130" s="81"/>
      <c r="D130" s="81"/>
      <c r="E130" s="397"/>
      <c r="F130" s="397"/>
      <c r="G130" s="397"/>
      <c r="H130" s="88"/>
      <c r="I130" s="88"/>
      <c r="J130" s="88"/>
      <c r="K130" s="96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</row>
    <row r="131" spans="1:25" x14ac:dyDescent="0.25">
      <c r="A131" s="81"/>
      <c r="B131" s="319"/>
      <c r="C131" s="81"/>
      <c r="D131" s="81"/>
      <c r="E131" s="397"/>
      <c r="F131" s="397"/>
      <c r="G131" s="397"/>
      <c r="H131" s="88"/>
      <c r="I131" s="88"/>
      <c r="J131" s="88"/>
      <c r="K131" s="96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</row>
    <row r="132" spans="1:25" x14ac:dyDescent="0.25">
      <c r="A132" s="81"/>
      <c r="B132" s="319"/>
      <c r="C132" s="81"/>
      <c r="D132" s="81"/>
      <c r="E132" s="397"/>
      <c r="F132" s="397"/>
      <c r="G132" s="397"/>
      <c r="H132" s="88"/>
      <c r="I132" s="88"/>
      <c r="J132" s="88"/>
      <c r="K132" s="96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</row>
    <row r="133" spans="1:25" x14ac:dyDescent="0.25">
      <c r="A133" s="81"/>
      <c r="B133" s="319"/>
      <c r="C133" s="81"/>
      <c r="D133" s="81"/>
      <c r="E133" s="397"/>
      <c r="F133" s="397"/>
      <c r="G133" s="397"/>
      <c r="H133" s="88"/>
      <c r="I133" s="88"/>
      <c r="J133" s="88"/>
      <c r="K133" s="96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</row>
    <row r="134" spans="1:25" x14ac:dyDescent="0.25">
      <c r="A134" s="81"/>
      <c r="B134" s="319"/>
      <c r="C134" s="81"/>
      <c r="D134" s="81"/>
      <c r="E134" s="397"/>
      <c r="F134" s="397"/>
      <c r="G134" s="397"/>
      <c r="H134" s="88"/>
      <c r="I134" s="88"/>
      <c r="J134" s="88"/>
      <c r="K134" s="96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</row>
    <row r="135" spans="1:25" x14ac:dyDescent="0.25">
      <c r="A135" s="81"/>
      <c r="B135" s="319"/>
      <c r="C135" s="81"/>
      <c r="D135" s="81"/>
      <c r="E135" s="397"/>
      <c r="F135" s="397"/>
      <c r="G135" s="397"/>
      <c r="H135" s="88"/>
      <c r="I135" s="88"/>
      <c r="J135" s="88"/>
      <c r="K135" s="96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</row>
    <row r="136" spans="1:25" x14ac:dyDescent="0.25">
      <c r="A136" s="81"/>
      <c r="B136" s="319"/>
      <c r="C136" s="81"/>
      <c r="D136" s="81"/>
      <c r="E136" s="397"/>
      <c r="F136" s="397"/>
      <c r="G136" s="397"/>
      <c r="H136" s="88"/>
      <c r="I136" s="88"/>
      <c r="J136" s="88"/>
      <c r="K136" s="96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</row>
    <row r="137" spans="1:25" x14ac:dyDescent="0.25">
      <c r="A137" s="81"/>
      <c r="B137" s="319"/>
      <c r="C137" s="81"/>
      <c r="D137" s="81"/>
      <c r="E137" s="397"/>
      <c r="F137" s="397"/>
      <c r="G137" s="397"/>
      <c r="H137" s="88"/>
      <c r="I137" s="88"/>
      <c r="J137" s="88"/>
      <c r="K137" s="96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</row>
    <row r="138" spans="1:25" x14ac:dyDescent="0.25">
      <c r="A138" s="81"/>
      <c r="B138" s="319"/>
      <c r="C138" s="81"/>
      <c r="D138" s="81"/>
      <c r="E138" s="397"/>
      <c r="F138" s="397"/>
      <c r="G138" s="397"/>
      <c r="H138" s="88"/>
      <c r="I138" s="88"/>
      <c r="J138" s="88"/>
      <c r="K138" s="96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</row>
    <row r="139" spans="1:25" x14ac:dyDescent="0.25">
      <c r="A139" s="81"/>
      <c r="B139" s="319"/>
      <c r="C139" s="81"/>
      <c r="D139" s="81"/>
      <c r="E139" s="397"/>
      <c r="F139" s="397"/>
      <c r="G139" s="397"/>
      <c r="H139" s="88"/>
      <c r="I139" s="88"/>
      <c r="J139" s="88"/>
      <c r="K139" s="96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</row>
    <row r="140" spans="1:25" x14ac:dyDescent="0.25">
      <c r="A140" s="81"/>
      <c r="B140" s="319"/>
      <c r="C140" s="81"/>
      <c r="D140" s="81"/>
      <c r="E140" s="397"/>
      <c r="F140" s="397"/>
      <c r="G140" s="397"/>
      <c r="H140" s="88"/>
      <c r="I140" s="88"/>
      <c r="J140" s="88"/>
      <c r="K140" s="96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</row>
    <row r="141" spans="1:25" x14ac:dyDescent="0.25">
      <c r="A141" s="81"/>
      <c r="B141" s="319"/>
      <c r="C141" s="81"/>
      <c r="D141" s="81"/>
      <c r="E141" s="397"/>
      <c r="F141" s="397"/>
      <c r="G141" s="397"/>
      <c r="H141" s="88"/>
      <c r="I141" s="88"/>
      <c r="J141" s="88"/>
      <c r="K141" s="96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</row>
    <row r="142" spans="1:25" x14ac:dyDescent="0.25">
      <c r="A142" s="81"/>
      <c r="B142" s="319"/>
      <c r="C142" s="81"/>
      <c r="D142" s="81"/>
      <c r="E142" s="397"/>
      <c r="F142" s="397"/>
      <c r="G142" s="397"/>
      <c r="H142" s="88"/>
      <c r="I142" s="88"/>
      <c r="J142" s="88"/>
      <c r="K142" s="96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</row>
    <row r="143" spans="1:25" x14ac:dyDescent="0.25">
      <c r="A143" s="81"/>
      <c r="B143" s="319"/>
      <c r="C143" s="81"/>
      <c r="D143" s="81"/>
      <c r="E143" s="397"/>
      <c r="F143" s="397"/>
      <c r="G143" s="397"/>
      <c r="H143" s="88"/>
      <c r="I143" s="88"/>
      <c r="J143" s="88"/>
      <c r="K143" s="96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</row>
    <row r="144" spans="1:25" x14ac:dyDescent="0.25">
      <c r="A144" s="81"/>
      <c r="B144" s="319"/>
      <c r="C144" s="81"/>
      <c r="D144" s="81"/>
      <c r="E144" s="397"/>
      <c r="F144" s="397"/>
      <c r="G144" s="397"/>
      <c r="H144" s="88"/>
      <c r="I144" s="88"/>
      <c r="J144" s="88"/>
      <c r="K144" s="96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</row>
    <row r="145" spans="1:25" x14ac:dyDescent="0.25">
      <c r="A145" s="81"/>
      <c r="B145" s="319"/>
      <c r="C145" s="81"/>
      <c r="D145" s="81"/>
      <c r="E145" s="397"/>
      <c r="F145" s="397"/>
      <c r="G145" s="397"/>
      <c r="H145" s="88"/>
      <c r="I145" s="88"/>
      <c r="J145" s="88"/>
      <c r="K145" s="96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</row>
    <row r="146" spans="1:25" x14ac:dyDescent="0.25">
      <c r="A146" s="81"/>
      <c r="B146" s="319"/>
      <c r="C146" s="81"/>
      <c r="D146" s="81"/>
      <c r="E146" s="397"/>
      <c r="F146" s="397"/>
      <c r="G146" s="397"/>
      <c r="H146" s="88"/>
      <c r="I146" s="88"/>
      <c r="J146" s="88"/>
      <c r="K146" s="96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</row>
    <row r="147" spans="1:25" x14ac:dyDescent="0.25">
      <c r="A147" s="81"/>
      <c r="B147" s="319"/>
      <c r="C147" s="81"/>
      <c r="D147" s="81"/>
      <c r="E147" s="397"/>
      <c r="F147" s="397"/>
      <c r="G147" s="397"/>
      <c r="H147" s="88"/>
      <c r="I147" s="88"/>
      <c r="J147" s="88"/>
      <c r="K147" s="96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</row>
    <row r="148" spans="1:25" x14ac:dyDescent="0.25">
      <c r="A148" s="81"/>
      <c r="B148" s="319"/>
      <c r="C148" s="81"/>
      <c r="D148" s="81"/>
      <c r="E148" s="397"/>
      <c r="F148" s="397"/>
      <c r="G148" s="397"/>
      <c r="H148" s="88"/>
      <c r="I148" s="88"/>
      <c r="J148" s="88"/>
      <c r="K148" s="96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</row>
    <row r="149" spans="1:25" x14ac:dyDescent="0.25">
      <c r="A149" s="81"/>
      <c r="B149" s="319"/>
      <c r="C149" s="81"/>
      <c r="D149" s="81"/>
      <c r="E149" s="397"/>
      <c r="F149" s="397"/>
      <c r="G149" s="397"/>
      <c r="H149" s="88"/>
      <c r="I149" s="88"/>
      <c r="J149" s="88"/>
      <c r="K149" s="96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</row>
    <row r="150" spans="1:25" x14ac:dyDescent="0.25">
      <c r="A150" s="81"/>
      <c r="B150" s="319"/>
      <c r="C150" s="81"/>
      <c r="D150" s="81"/>
      <c r="E150" s="397"/>
      <c r="F150" s="397"/>
      <c r="G150" s="397"/>
      <c r="H150" s="88"/>
      <c r="I150" s="88"/>
      <c r="J150" s="88"/>
      <c r="K150" s="96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</row>
    <row r="151" spans="1:25" x14ac:dyDescent="0.25">
      <c r="A151" s="81"/>
      <c r="B151" s="319"/>
      <c r="C151" s="81"/>
      <c r="D151" s="81"/>
      <c r="E151" s="397"/>
      <c r="F151" s="397"/>
      <c r="G151" s="397"/>
      <c r="H151" s="88"/>
      <c r="I151" s="88"/>
      <c r="J151" s="88"/>
      <c r="K151" s="96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</row>
    <row r="152" spans="1:25" x14ac:dyDescent="0.25">
      <c r="A152" s="81"/>
      <c r="B152" s="319"/>
      <c r="C152" s="81"/>
      <c r="D152" s="81"/>
      <c r="E152" s="397"/>
      <c r="F152" s="397"/>
      <c r="G152" s="397"/>
      <c r="H152" s="88"/>
      <c r="I152" s="88"/>
      <c r="J152" s="88"/>
      <c r="K152" s="96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</row>
    <row r="153" spans="1:25" x14ac:dyDescent="0.25">
      <c r="A153" s="81"/>
      <c r="B153" s="319"/>
      <c r="C153" s="81"/>
      <c r="D153" s="81"/>
      <c r="E153" s="397"/>
      <c r="F153" s="397"/>
      <c r="G153" s="397"/>
      <c r="H153" s="88"/>
      <c r="I153" s="88"/>
      <c r="J153" s="88"/>
      <c r="K153" s="96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</row>
    <row r="154" spans="1:25" x14ac:dyDescent="0.25">
      <c r="A154" s="81"/>
      <c r="B154" s="319"/>
      <c r="C154" s="81"/>
      <c r="D154" s="81"/>
      <c r="E154" s="397"/>
      <c r="F154" s="397"/>
      <c r="G154" s="397"/>
      <c r="H154" s="88"/>
      <c r="I154" s="88"/>
      <c r="J154" s="88"/>
      <c r="K154" s="96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</row>
    <row r="155" spans="1:25" x14ac:dyDescent="0.25">
      <c r="A155" s="81"/>
      <c r="B155" s="319"/>
      <c r="C155" s="81"/>
      <c r="D155" s="81"/>
      <c r="E155" s="397"/>
      <c r="F155" s="397"/>
      <c r="G155" s="397"/>
      <c r="H155" s="88"/>
      <c r="I155" s="88"/>
      <c r="J155" s="88"/>
      <c r="K155" s="96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</row>
    <row r="156" spans="1:25" x14ac:dyDescent="0.25">
      <c r="A156" s="81"/>
      <c r="B156" s="319"/>
      <c r="C156" s="81"/>
      <c r="D156" s="81"/>
      <c r="E156" s="397"/>
      <c r="F156" s="397"/>
      <c r="G156" s="397"/>
      <c r="H156" s="88"/>
      <c r="I156" s="88"/>
      <c r="J156" s="88"/>
      <c r="K156" s="96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</row>
    <row r="157" spans="1:25" x14ac:dyDescent="0.25">
      <c r="A157" s="81"/>
      <c r="B157" s="319"/>
      <c r="C157" s="81"/>
      <c r="D157" s="81"/>
      <c r="E157" s="397"/>
      <c r="F157" s="397"/>
      <c r="G157" s="397"/>
      <c r="H157" s="88"/>
      <c r="I157" s="88"/>
      <c r="J157" s="88"/>
      <c r="K157" s="96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</row>
    <row r="158" spans="1:25" x14ac:dyDescent="0.25">
      <c r="A158" s="81"/>
      <c r="B158" s="319"/>
      <c r="C158" s="81"/>
      <c r="D158" s="81"/>
      <c r="E158" s="397"/>
      <c r="F158" s="397"/>
      <c r="G158" s="397"/>
      <c r="H158" s="88"/>
      <c r="I158" s="88"/>
      <c r="J158" s="88"/>
      <c r="K158" s="96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</row>
    <row r="159" spans="1:25" x14ac:dyDescent="0.25">
      <c r="A159" s="81"/>
      <c r="B159" s="319"/>
      <c r="C159" s="81"/>
      <c r="D159" s="81"/>
      <c r="E159" s="397"/>
      <c r="F159" s="397"/>
      <c r="G159" s="397"/>
      <c r="H159" s="88"/>
      <c r="I159" s="88"/>
      <c r="J159" s="88"/>
      <c r="K159" s="96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</row>
    <row r="160" spans="1:25" x14ac:dyDescent="0.25">
      <c r="A160" s="81"/>
      <c r="B160" s="319"/>
      <c r="C160" s="81"/>
      <c r="D160" s="81"/>
      <c r="E160" s="397"/>
      <c r="F160" s="397"/>
      <c r="G160" s="397"/>
      <c r="H160" s="88"/>
      <c r="I160" s="88"/>
      <c r="J160" s="88"/>
      <c r="K160" s="96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</row>
    <row r="161" spans="1:25" x14ac:dyDescent="0.25">
      <c r="A161" s="81"/>
      <c r="B161" s="319"/>
      <c r="C161" s="81"/>
      <c r="D161" s="81"/>
      <c r="E161" s="397"/>
      <c r="F161" s="397"/>
      <c r="G161" s="397"/>
      <c r="H161" s="88"/>
      <c r="I161" s="88"/>
      <c r="J161" s="88"/>
      <c r="K161" s="96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</row>
    <row r="162" spans="1:25" x14ac:dyDescent="0.25">
      <c r="A162" s="81"/>
      <c r="B162" s="319"/>
      <c r="C162" s="81"/>
      <c r="D162" s="81"/>
      <c r="E162" s="397"/>
      <c r="F162" s="397"/>
      <c r="G162" s="397"/>
      <c r="H162" s="88"/>
      <c r="I162" s="88"/>
      <c r="J162" s="88"/>
      <c r="K162" s="96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</row>
    <row r="163" spans="1:25" x14ac:dyDescent="0.25">
      <c r="A163" s="81"/>
      <c r="B163" s="319"/>
      <c r="C163" s="81"/>
      <c r="D163" s="81"/>
      <c r="E163" s="397"/>
      <c r="F163" s="397"/>
      <c r="G163" s="397"/>
      <c r="H163" s="88"/>
      <c r="I163" s="88"/>
      <c r="J163" s="88"/>
      <c r="K163" s="96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</row>
    <row r="164" spans="1:25" x14ac:dyDescent="0.25">
      <c r="A164" s="81"/>
      <c r="B164" s="319"/>
      <c r="C164" s="81"/>
      <c r="D164" s="81"/>
      <c r="E164" s="397"/>
      <c r="F164" s="397"/>
      <c r="G164" s="397"/>
      <c r="H164" s="88"/>
      <c r="I164" s="88"/>
      <c r="J164" s="88"/>
      <c r="K164" s="96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</row>
    <row r="165" spans="1:25" x14ac:dyDescent="0.25">
      <c r="A165" s="81"/>
      <c r="B165" s="319"/>
      <c r="C165" s="81"/>
      <c r="D165" s="81"/>
      <c r="E165" s="397"/>
      <c r="F165" s="397"/>
      <c r="G165" s="397"/>
      <c r="H165" s="88"/>
      <c r="I165" s="88"/>
      <c r="J165" s="88"/>
      <c r="K165" s="96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</row>
    <row r="166" spans="1:25" x14ac:dyDescent="0.25">
      <c r="A166" s="81"/>
      <c r="B166" s="319"/>
      <c r="C166" s="81"/>
      <c r="D166" s="81"/>
      <c r="E166" s="397"/>
      <c r="F166" s="397"/>
      <c r="G166" s="397"/>
      <c r="H166" s="88"/>
      <c r="I166" s="88"/>
      <c r="J166" s="88"/>
      <c r="K166" s="96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</row>
    <row r="167" spans="1:25" x14ac:dyDescent="0.25">
      <c r="A167" s="81"/>
      <c r="B167" s="319"/>
      <c r="C167" s="81"/>
      <c r="D167" s="81"/>
      <c r="E167" s="397"/>
      <c r="F167" s="397"/>
      <c r="G167" s="397"/>
      <c r="H167" s="88"/>
      <c r="I167" s="88"/>
      <c r="J167" s="88"/>
      <c r="K167" s="96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</row>
    <row r="168" spans="1:25" x14ac:dyDescent="0.25">
      <c r="A168" s="81"/>
      <c r="B168" s="319"/>
      <c r="C168" s="81"/>
      <c r="D168" s="81"/>
      <c r="E168" s="397"/>
      <c r="F168" s="397"/>
      <c r="G168" s="397"/>
      <c r="H168" s="88"/>
      <c r="I168" s="88"/>
      <c r="J168" s="88"/>
      <c r="K168" s="96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</row>
    <row r="169" spans="1:25" x14ac:dyDescent="0.25">
      <c r="A169" s="81"/>
      <c r="B169" s="319"/>
      <c r="C169" s="81"/>
      <c r="D169" s="81"/>
      <c r="E169" s="397"/>
      <c r="F169" s="397"/>
      <c r="G169" s="397"/>
      <c r="H169" s="88"/>
      <c r="I169" s="88"/>
      <c r="J169" s="88"/>
      <c r="K169" s="96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</row>
    <row r="170" spans="1:25" x14ac:dyDescent="0.25">
      <c r="A170" s="81"/>
      <c r="B170" s="319"/>
      <c r="C170" s="81"/>
      <c r="D170" s="81"/>
      <c r="E170" s="397"/>
      <c r="F170" s="397"/>
      <c r="G170" s="397"/>
      <c r="H170" s="88"/>
      <c r="I170" s="88"/>
      <c r="J170" s="88"/>
      <c r="K170" s="96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</row>
    <row r="171" spans="1:25" x14ac:dyDescent="0.25">
      <c r="A171" s="81"/>
      <c r="B171" s="319"/>
      <c r="C171" s="81"/>
      <c r="D171" s="81"/>
      <c r="E171" s="397"/>
      <c r="F171" s="397"/>
      <c r="G171" s="397"/>
      <c r="H171" s="88"/>
      <c r="I171" s="88"/>
      <c r="J171" s="88"/>
      <c r="K171" s="96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</row>
    <row r="172" spans="1:25" x14ac:dyDescent="0.25">
      <c r="A172" s="81"/>
      <c r="B172" s="319"/>
      <c r="C172" s="81"/>
      <c r="D172" s="81"/>
      <c r="E172" s="397"/>
      <c r="F172" s="397"/>
      <c r="G172" s="397"/>
      <c r="H172" s="88"/>
      <c r="I172" s="88"/>
      <c r="J172" s="88"/>
      <c r="K172" s="96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</row>
    <row r="173" spans="1:25" x14ac:dyDescent="0.25">
      <c r="A173" s="81"/>
      <c r="B173" s="319"/>
      <c r="C173" s="81"/>
      <c r="D173" s="81"/>
      <c r="E173" s="397"/>
      <c r="F173" s="397"/>
      <c r="G173" s="397"/>
      <c r="H173" s="88"/>
      <c r="I173" s="88"/>
      <c r="J173" s="88"/>
      <c r="K173" s="96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</row>
    <row r="174" spans="1:25" x14ac:dyDescent="0.25">
      <c r="A174" s="81"/>
      <c r="B174" s="319"/>
      <c r="C174" s="81"/>
      <c r="D174" s="81"/>
      <c r="E174" s="397"/>
      <c r="F174" s="397"/>
      <c r="G174" s="397"/>
      <c r="H174" s="88"/>
      <c r="I174" s="88"/>
      <c r="J174" s="88"/>
      <c r="K174" s="96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</row>
    <row r="175" spans="1:25" x14ac:dyDescent="0.25">
      <c r="A175" s="81"/>
      <c r="B175" s="319"/>
      <c r="C175" s="81"/>
      <c r="D175" s="81"/>
      <c r="E175" s="397"/>
      <c r="F175" s="397"/>
      <c r="G175" s="397"/>
      <c r="H175" s="88"/>
      <c r="I175" s="88"/>
      <c r="J175" s="88"/>
      <c r="K175" s="96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</row>
    <row r="176" spans="1:25" x14ac:dyDescent="0.25">
      <c r="A176" s="81"/>
      <c r="B176" s="319"/>
      <c r="C176" s="81"/>
      <c r="D176" s="81"/>
      <c r="E176" s="397"/>
      <c r="F176" s="397"/>
      <c r="G176" s="397"/>
      <c r="H176" s="88"/>
      <c r="I176" s="88"/>
      <c r="J176" s="88"/>
      <c r="K176" s="96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</row>
    <row r="177" spans="1:25" x14ac:dyDescent="0.25">
      <c r="A177" s="81"/>
      <c r="B177" s="319"/>
      <c r="C177" s="81"/>
      <c r="D177" s="81"/>
      <c r="E177" s="397"/>
      <c r="F177" s="397"/>
      <c r="G177" s="397"/>
      <c r="H177" s="88"/>
      <c r="I177" s="88"/>
      <c r="J177" s="88"/>
      <c r="K177" s="96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</row>
    <row r="178" spans="1:25" x14ac:dyDescent="0.25">
      <c r="A178" s="81"/>
      <c r="B178" s="319"/>
      <c r="C178" s="81"/>
      <c r="D178" s="81"/>
      <c r="E178" s="397"/>
      <c r="F178" s="397"/>
      <c r="G178" s="397"/>
      <c r="H178" s="88"/>
      <c r="I178" s="88"/>
      <c r="J178" s="88"/>
      <c r="K178" s="96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</row>
    <row r="179" spans="1:25" x14ac:dyDescent="0.25">
      <c r="A179" s="81"/>
      <c r="B179" s="319"/>
      <c r="C179" s="81"/>
      <c r="D179" s="81"/>
      <c r="E179" s="397"/>
      <c r="F179" s="397"/>
      <c r="G179" s="397"/>
      <c r="H179" s="88"/>
      <c r="I179" s="88"/>
      <c r="J179" s="88"/>
      <c r="K179" s="96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</row>
    <row r="180" spans="1:25" x14ac:dyDescent="0.25">
      <c r="A180" s="81"/>
      <c r="B180" s="319"/>
      <c r="C180" s="81"/>
      <c r="D180" s="81"/>
      <c r="E180" s="397"/>
      <c r="F180" s="397"/>
      <c r="G180" s="397"/>
      <c r="H180" s="88"/>
      <c r="I180" s="88"/>
      <c r="J180" s="88"/>
      <c r="K180" s="96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</row>
    <row r="181" spans="1:25" x14ac:dyDescent="0.25">
      <c r="A181" s="81"/>
      <c r="B181" s="319"/>
      <c r="C181" s="81"/>
      <c r="D181" s="81"/>
      <c r="E181" s="397"/>
      <c r="F181" s="397"/>
      <c r="G181" s="397"/>
      <c r="H181" s="88"/>
      <c r="I181" s="88"/>
      <c r="J181" s="88"/>
      <c r="K181" s="96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</row>
    <row r="182" spans="1:25" x14ac:dyDescent="0.25">
      <c r="A182" s="81"/>
      <c r="B182" s="319"/>
      <c r="C182" s="81"/>
      <c r="D182" s="81"/>
      <c r="E182" s="397"/>
      <c r="F182" s="397"/>
      <c r="G182" s="397"/>
      <c r="H182" s="88"/>
      <c r="I182" s="88"/>
      <c r="J182" s="88"/>
      <c r="K182" s="96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</row>
    <row r="183" spans="1:25" x14ac:dyDescent="0.25">
      <c r="A183" s="81"/>
      <c r="B183" s="319"/>
      <c r="C183" s="81"/>
      <c r="D183" s="81"/>
      <c r="E183" s="397"/>
      <c r="F183" s="397"/>
      <c r="G183" s="397"/>
      <c r="H183" s="88"/>
      <c r="I183" s="88"/>
      <c r="J183" s="88"/>
      <c r="K183" s="96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</row>
    <row r="184" spans="1:25" x14ac:dyDescent="0.25">
      <c r="A184" s="81"/>
      <c r="B184" s="319"/>
      <c r="C184" s="81"/>
      <c r="D184" s="81"/>
      <c r="E184" s="397"/>
      <c r="F184" s="397"/>
      <c r="G184" s="397"/>
      <c r="H184" s="88"/>
      <c r="I184" s="88"/>
      <c r="J184" s="88"/>
      <c r="K184" s="96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</row>
    <row r="185" spans="1:25" x14ac:dyDescent="0.25">
      <c r="A185" s="81"/>
      <c r="B185" s="319"/>
      <c r="C185" s="81"/>
      <c r="D185" s="81"/>
      <c r="E185" s="397"/>
      <c r="F185" s="397"/>
      <c r="G185" s="397"/>
      <c r="H185" s="88"/>
      <c r="I185" s="88"/>
      <c r="J185" s="88"/>
      <c r="K185" s="96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</row>
    <row r="186" spans="1:25" x14ac:dyDescent="0.25">
      <c r="A186" s="81"/>
      <c r="B186" s="319"/>
      <c r="C186" s="81"/>
      <c r="D186" s="81"/>
      <c r="E186" s="397"/>
      <c r="F186" s="397"/>
      <c r="G186" s="397"/>
      <c r="H186" s="88"/>
      <c r="I186" s="88"/>
      <c r="J186" s="88"/>
      <c r="K186" s="96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</row>
    <row r="187" spans="1:25" x14ac:dyDescent="0.25">
      <c r="A187" s="81"/>
      <c r="B187" s="319"/>
      <c r="C187" s="81"/>
      <c r="D187" s="81"/>
      <c r="E187" s="397"/>
      <c r="F187" s="397"/>
      <c r="G187" s="397"/>
      <c r="H187" s="88"/>
      <c r="I187" s="88"/>
      <c r="J187" s="88"/>
      <c r="K187" s="96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</row>
    <row r="188" spans="1:25" x14ac:dyDescent="0.25">
      <c r="A188" s="81"/>
      <c r="B188" s="319"/>
      <c r="C188" s="81"/>
      <c r="D188" s="81"/>
      <c r="E188" s="397"/>
      <c r="F188" s="397"/>
      <c r="G188" s="397"/>
      <c r="H188" s="88"/>
      <c r="I188" s="88"/>
      <c r="J188" s="88"/>
      <c r="K188" s="96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</row>
    <row r="189" spans="1:25" x14ac:dyDescent="0.25">
      <c r="A189" s="81"/>
      <c r="B189" s="319"/>
      <c r="C189" s="81"/>
      <c r="D189" s="81"/>
      <c r="E189" s="397"/>
      <c r="F189" s="397"/>
      <c r="G189" s="397"/>
      <c r="H189" s="88"/>
      <c r="I189" s="88"/>
      <c r="J189" s="88"/>
      <c r="K189" s="96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</row>
    <row r="190" spans="1:25" x14ac:dyDescent="0.25">
      <c r="A190" s="81"/>
      <c r="B190" s="319"/>
      <c r="C190" s="81"/>
      <c r="D190" s="81"/>
      <c r="E190" s="397"/>
      <c r="F190" s="397"/>
      <c r="G190" s="397"/>
      <c r="H190" s="88"/>
      <c r="I190" s="88"/>
      <c r="J190" s="88"/>
      <c r="K190" s="96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</row>
    <row r="191" spans="1:25" x14ac:dyDescent="0.25">
      <c r="A191" s="81"/>
      <c r="B191" s="319"/>
      <c r="C191" s="81"/>
      <c r="D191" s="81"/>
      <c r="E191" s="397"/>
      <c r="F191" s="397"/>
      <c r="G191" s="397"/>
      <c r="H191" s="88"/>
      <c r="I191" s="88"/>
      <c r="J191" s="88"/>
      <c r="K191" s="96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</row>
    <row r="192" spans="1:25" x14ac:dyDescent="0.25">
      <c r="A192" s="81"/>
      <c r="B192" s="319"/>
      <c r="C192" s="81"/>
      <c r="D192" s="81"/>
      <c r="E192" s="397"/>
      <c r="F192" s="397"/>
      <c r="G192" s="397"/>
      <c r="H192" s="88"/>
      <c r="I192" s="88"/>
      <c r="J192" s="88"/>
      <c r="K192" s="96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</row>
    <row r="193" spans="1:25" x14ac:dyDescent="0.25">
      <c r="A193" s="81"/>
      <c r="B193" s="319"/>
      <c r="C193" s="81"/>
      <c r="D193" s="81"/>
      <c r="E193" s="397"/>
      <c r="F193" s="397"/>
      <c r="G193" s="397"/>
      <c r="H193" s="88"/>
      <c r="I193" s="88"/>
      <c r="J193" s="88"/>
      <c r="K193" s="96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</row>
    <row r="194" spans="1:25" x14ac:dyDescent="0.25">
      <c r="A194" s="81"/>
      <c r="B194" s="319"/>
      <c r="C194" s="81"/>
      <c r="D194" s="81"/>
      <c r="E194" s="397"/>
      <c r="F194" s="397"/>
      <c r="G194" s="397"/>
      <c r="H194" s="88"/>
      <c r="I194" s="88"/>
      <c r="J194" s="88"/>
      <c r="K194" s="96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</row>
    <row r="195" spans="1:25" x14ac:dyDescent="0.25">
      <c r="A195" s="81"/>
      <c r="B195" s="319"/>
      <c r="C195" s="81"/>
      <c r="D195" s="81"/>
      <c r="E195" s="397"/>
      <c r="F195" s="397"/>
      <c r="G195" s="397"/>
      <c r="H195" s="88"/>
      <c r="I195" s="88"/>
      <c r="J195" s="88"/>
      <c r="K195" s="96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</row>
    <row r="196" spans="1:25" x14ac:dyDescent="0.25">
      <c r="A196" s="81"/>
      <c r="B196" s="319"/>
      <c r="C196" s="81"/>
      <c r="D196" s="81"/>
      <c r="E196" s="397"/>
      <c r="F196" s="397"/>
      <c r="G196" s="397"/>
      <c r="H196" s="88"/>
      <c r="I196" s="88"/>
      <c r="J196" s="88"/>
      <c r="K196" s="96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</row>
    <row r="197" spans="1:25" x14ac:dyDescent="0.25">
      <c r="A197" s="81"/>
      <c r="B197" s="319"/>
      <c r="C197" s="81"/>
      <c r="D197" s="81"/>
      <c r="E197" s="397"/>
      <c r="F197" s="397"/>
      <c r="G197" s="397"/>
      <c r="H197" s="88"/>
      <c r="I197" s="88"/>
      <c r="J197" s="88"/>
      <c r="K197" s="96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</row>
    <row r="198" spans="1:25" x14ac:dyDescent="0.25">
      <c r="A198" s="81"/>
      <c r="B198" s="319"/>
      <c r="C198" s="81"/>
      <c r="D198" s="81"/>
      <c r="E198" s="397"/>
      <c r="F198" s="397"/>
      <c r="G198" s="397"/>
      <c r="H198" s="88"/>
      <c r="I198" s="88"/>
      <c r="J198" s="88"/>
      <c r="K198" s="96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</row>
    <row r="199" spans="1:25" x14ac:dyDescent="0.25">
      <c r="A199" s="81"/>
      <c r="B199" s="319"/>
      <c r="C199" s="81"/>
      <c r="D199" s="81"/>
      <c r="E199" s="397"/>
      <c r="F199" s="397"/>
      <c r="G199" s="397"/>
      <c r="H199" s="88"/>
      <c r="I199" s="88"/>
      <c r="J199" s="88"/>
      <c r="K199" s="96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</row>
    <row r="200" spans="1:25" x14ac:dyDescent="0.25">
      <c r="A200" s="81"/>
      <c r="B200" s="319"/>
      <c r="C200" s="81"/>
      <c r="D200" s="81"/>
      <c r="E200" s="397"/>
      <c r="F200" s="397"/>
      <c r="G200" s="397"/>
      <c r="H200" s="88"/>
      <c r="I200" s="88"/>
      <c r="J200" s="88"/>
      <c r="K200" s="96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</row>
    <row r="201" spans="1:25" x14ac:dyDescent="0.25">
      <c r="A201" s="81"/>
      <c r="B201" s="319"/>
      <c r="C201" s="81"/>
      <c r="D201" s="81"/>
      <c r="E201" s="397"/>
      <c r="F201" s="397"/>
      <c r="G201" s="397"/>
      <c r="H201" s="88"/>
      <c r="I201" s="88"/>
      <c r="J201" s="88"/>
      <c r="K201" s="96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</row>
    <row r="202" spans="1:25" x14ac:dyDescent="0.25">
      <c r="A202" s="81"/>
      <c r="B202" s="319"/>
      <c r="C202" s="81"/>
      <c r="D202" s="81"/>
      <c r="E202" s="397"/>
      <c r="F202" s="397"/>
      <c r="G202" s="397"/>
      <c r="H202" s="88"/>
      <c r="I202" s="88"/>
      <c r="J202" s="88"/>
      <c r="K202" s="96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</row>
    <row r="203" spans="1:25" x14ac:dyDescent="0.25">
      <c r="A203" s="81"/>
      <c r="B203" s="319"/>
      <c r="C203" s="81"/>
      <c r="D203" s="81"/>
      <c r="E203" s="397"/>
      <c r="F203" s="397"/>
      <c r="G203" s="397"/>
      <c r="H203" s="88"/>
      <c r="I203" s="88"/>
      <c r="J203" s="88"/>
      <c r="K203" s="96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</row>
    <row r="204" spans="1:25" x14ac:dyDescent="0.25">
      <c r="A204" s="81"/>
      <c r="B204" s="319"/>
      <c r="C204" s="81"/>
      <c r="D204" s="81"/>
      <c r="E204" s="397"/>
      <c r="F204" s="397"/>
      <c r="G204" s="397"/>
      <c r="H204" s="88"/>
      <c r="I204" s="88"/>
      <c r="J204" s="88"/>
      <c r="K204" s="96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</row>
    <row r="205" spans="1:25" x14ac:dyDescent="0.25">
      <c r="A205" s="81"/>
      <c r="B205" s="319"/>
      <c r="C205" s="81"/>
      <c r="D205" s="81"/>
      <c r="E205" s="397"/>
      <c r="F205" s="397"/>
      <c r="G205" s="397"/>
      <c r="H205" s="88"/>
      <c r="I205" s="88"/>
      <c r="J205" s="88"/>
      <c r="K205" s="96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</row>
    <row r="206" spans="1:25" x14ac:dyDescent="0.25">
      <c r="A206" s="81"/>
      <c r="B206" s="319"/>
      <c r="C206" s="81"/>
      <c r="D206" s="81"/>
      <c r="E206" s="397"/>
      <c r="F206" s="397"/>
      <c r="G206" s="397"/>
      <c r="H206" s="88"/>
      <c r="I206" s="88"/>
      <c r="J206" s="88"/>
      <c r="K206" s="96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</row>
    <row r="207" spans="1:25" x14ac:dyDescent="0.25">
      <c r="A207" s="81"/>
      <c r="B207" s="319"/>
      <c r="C207" s="81"/>
      <c r="D207" s="81"/>
      <c r="E207" s="397"/>
      <c r="F207" s="397"/>
      <c r="G207" s="397"/>
      <c r="H207" s="88"/>
      <c r="I207" s="88"/>
      <c r="J207" s="88"/>
      <c r="K207" s="96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</row>
    <row r="208" spans="1:25" x14ac:dyDescent="0.25">
      <c r="A208" s="81"/>
      <c r="B208" s="319"/>
      <c r="C208" s="81"/>
      <c r="D208" s="81"/>
      <c r="E208" s="397"/>
      <c r="F208" s="397"/>
      <c r="G208" s="397"/>
      <c r="H208" s="88"/>
      <c r="I208" s="88"/>
      <c r="J208" s="88"/>
      <c r="K208" s="96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</row>
    <row r="209" spans="1:25" x14ac:dyDescent="0.25">
      <c r="A209" s="81"/>
      <c r="B209" s="319"/>
      <c r="C209" s="81"/>
      <c r="D209" s="81"/>
      <c r="E209" s="397"/>
      <c r="F209" s="397"/>
      <c r="G209" s="397"/>
      <c r="H209" s="88"/>
      <c r="I209" s="88"/>
      <c r="J209" s="88"/>
      <c r="K209" s="96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</row>
    <row r="210" spans="1:25" x14ac:dyDescent="0.25">
      <c r="A210" s="81"/>
      <c r="B210" s="319"/>
      <c r="C210" s="81"/>
      <c r="D210" s="81"/>
      <c r="E210" s="397"/>
      <c r="F210" s="397"/>
      <c r="G210" s="397"/>
      <c r="H210" s="88"/>
      <c r="I210" s="88"/>
      <c r="J210" s="88"/>
      <c r="K210" s="96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</row>
    <row r="211" spans="1:25" x14ac:dyDescent="0.25">
      <c r="A211" s="81"/>
      <c r="B211" s="319"/>
      <c r="C211" s="81"/>
      <c r="D211" s="81"/>
      <c r="E211" s="397"/>
      <c r="F211" s="397"/>
      <c r="G211" s="397"/>
      <c r="H211" s="88"/>
      <c r="I211" s="88"/>
      <c r="J211" s="88"/>
      <c r="K211" s="96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</row>
    <row r="212" spans="1:25" x14ac:dyDescent="0.25">
      <c r="A212" s="81"/>
      <c r="B212" s="319"/>
      <c r="C212" s="81"/>
      <c r="D212" s="81"/>
      <c r="E212" s="397"/>
      <c r="F212" s="397"/>
      <c r="G212" s="397"/>
      <c r="H212" s="88"/>
      <c r="I212" s="88"/>
      <c r="J212" s="88"/>
      <c r="K212" s="96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</row>
    <row r="213" spans="1:25" x14ac:dyDescent="0.25">
      <c r="A213" s="81"/>
      <c r="B213" s="319"/>
      <c r="C213" s="81"/>
      <c r="D213" s="81"/>
      <c r="E213" s="397"/>
      <c r="F213" s="397"/>
      <c r="G213" s="397"/>
      <c r="H213" s="88"/>
      <c r="I213" s="88"/>
      <c r="J213" s="88"/>
      <c r="K213" s="96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</row>
    <row r="214" spans="1:25" x14ac:dyDescent="0.25">
      <c r="A214" s="81"/>
      <c r="B214" s="319"/>
      <c r="C214" s="81"/>
      <c r="D214" s="81"/>
      <c r="E214" s="397"/>
      <c r="F214" s="397"/>
      <c r="G214" s="397"/>
      <c r="H214" s="88"/>
      <c r="I214" s="88"/>
      <c r="J214" s="88"/>
      <c r="K214" s="96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</row>
    <row r="215" spans="1:25" x14ac:dyDescent="0.25">
      <c r="A215" s="81"/>
      <c r="B215" s="319"/>
      <c r="C215" s="81"/>
      <c r="D215" s="81"/>
      <c r="E215" s="397"/>
      <c r="F215" s="397"/>
      <c r="G215" s="397"/>
      <c r="H215" s="88"/>
      <c r="I215" s="88"/>
      <c r="J215" s="88"/>
      <c r="K215" s="96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</row>
    <row r="216" spans="1:25" x14ac:dyDescent="0.25">
      <c r="A216" s="81"/>
      <c r="B216" s="319"/>
      <c r="C216" s="81"/>
      <c r="D216" s="81"/>
      <c r="E216" s="397"/>
      <c r="F216" s="397"/>
      <c r="G216" s="397"/>
      <c r="H216" s="88"/>
      <c r="I216" s="88"/>
      <c r="J216" s="88"/>
      <c r="K216" s="96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</row>
    <row r="217" spans="1:25" x14ac:dyDescent="0.25">
      <c r="A217" s="81"/>
      <c r="B217" s="319"/>
      <c r="C217" s="81"/>
      <c r="D217" s="81"/>
      <c r="E217" s="397"/>
      <c r="F217" s="397"/>
      <c r="G217" s="397"/>
      <c r="H217" s="88"/>
      <c r="I217" s="88"/>
      <c r="J217" s="88"/>
      <c r="K217" s="96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</row>
    <row r="218" spans="1:25" x14ac:dyDescent="0.25">
      <c r="A218" s="81"/>
      <c r="B218" s="319"/>
      <c r="C218" s="81"/>
      <c r="D218" s="81"/>
      <c r="E218" s="397"/>
      <c r="F218" s="397"/>
      <c r="G218" s="397"/>
      <c r="H218" s="88"/>
      <c r="I218" s="88"/>
      <c r="J218" s="88"/>
      <c r="K218" s="96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</row>
    <row r="219" spans="1:25" x14ac:dyDescent="0.25">
      <c r="A219" s="81"/>
      <c r="B219" s="319"/>
      <c r="C219" s="81"/>
      <c r="D219" s="81"/>
      <c r="E219" s="397"/>
      <c r="F219" s="397"/>
      <c r="G219" s="397"/>
      <c r="H219" s="88"/>
      <c r="I219" s="88"/>
      <c r="J219" s="88"/>
      <c r="K219" s="96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</row>
    <row r="220" spans="1:25" x14ac:dyDescent="0.25">
      <c r="A220" s="81"/>
      <c r="B220" s="319"/>
      <c r="C220" s="81"/>
      <c r="D220" s="81"/>
      <c r="E220" s="397"/>
      <c r="F220" s="397"/>
      <c r="G220" s="397"/>
      <c r="H220" s="88"/>
      <c r="I220" s="88"/>
      <c r="J220" s="88"/>
      <c r="K220" s="96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</row>
    <row r="221" spans="1:25" x14ac:dyDescent="0.25">
      <c r="A221" s="81"/>
      <c r="B221" s="319"/>
      <c r="C221" s="81"/>
      <c r="D221" s="81"/>
      <c r="E221" s="397"/>
      <c r="F221" s="397"/>
      <c r="G221" s="397"/>
      <c r="H221" s="88"/>
      <c r="I221" s="88"/>
      <c r="J221" s="88"/>
      <c r="K221" s="96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</row>
    <row r="222" spans="1:25" x14ac:dyDescent="0.25">
      <c r="A222" s="81"/>
      <c r="B222" s="319"/>
      <c r="C222" s="81"/>
      <c r="D222" s="81"/>
      <c r="E222" s="397"/>
      <c r="F222" s="397"/>
      <c r="G222" s="397"/>
      <c r="H222" s="88"/>
      <c r="I222" s="88"/>
      <c r="J222" s="88"/>
      <c r="K222" s="96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</row>
    <row r="223" spans="1:25" x14ac:dyDescent="0.25">
      <c r="A223" s="81"/>
      <c r="B223" s="319"/>
      <c r="C223" s="81"/>
      <c r="D223" s="81"/>
      <c r="E223" s="397"/>
      <c r="F223" s="397"/>
      <c r="G223" s="397"/>
      <c r="H223" s="88"/>
      <c r="I223" s="88"/>
      <c r="J223" s="88"/>
      <c r="K223" s="96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</row>
    <row r="224" spans="1:25" x14ac:dyDescent="0.25">
      <c r="A224" s="81"/>
      <c r="B224" s="319"/>
      <c r="C224" s="81"/>
      <c r="D224" s="81"/>
      <c r="E224" s="397"/>
      <c r="F224" s="397"/>
      <c r="G224" s="397"/>
      <c r="H224" s="88"/>
      <c r="I224" s="88"/>
      <c r="J224" s="88"/>
      <c r="K224" s="96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</row>
    <row r="225" spans="1:25" x14ac:dyDescent="0.25">
      <c r="A225" s="81"/>
      <c r="B225" s="319"/>
      <c r="C225" s="81"/>
      <c r="D225" s="81"/>
      <c r="E225" s="397"/>
      <c r="F225" s="397"/>
      <c r="G225" s="397"/>
      <c r="H225" s="88"/>
      <c r="I225" s="88"/>
      <c r="J225" s="88"/>
      <c r="K225" s="96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</row>
    <row r="226" spans="1:25" x14ac:dyDescent="0.25">
      <c r="A226" s="81"/>
      <c r="B226" s="319"/>
      <c r="C226" s="81"/>
      <c r="D226" s="81"/>
      <c r="E226" s="397"/>
      <c r="F226" s="397"/>
      <c r="G226" s="397"/>
      <c r="H226" s="88"/>
      <c r="I226" s="88"/>
      <c r="J226" s="88"/>
      <c r="K226" s="96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</row>
    <row r="227" spans="1:25" x14ac:dyDescent="0.25">
      <c r="A227" s="81"/>
      <c r="B227" s="319"/>
      <c r="C227" s="81"/>
      <c r="D227" s="81"/>
      <c r="E227" s="397"/>
      <c r="F227" s="397"/>
      <c r="G227" s="397"/>
      <c r="H227" s="88"/>
      <c r="I227" s="88"/>
      <c r="J227" s="88"/>
      <c r="K227" s="96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</row>
    <row r="228" spans="1:25" x14ac:dyDescent="0.25">
      <c r="A228" s="81"/>
      <c r="B228" s="319"/>
      <c r="C228" s="81"/>
      <c r="D228" s="81"/>
      <c r="E228" s="397"/>
      <c r="F228" s="397"/>
      <c r="G228" s="397"/>
      <c r="H228" s="88"/>
      <c r="I228" s="88"/>
      <c r="J228" s="88"/>
      <c r="K228" s="96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</row>
    <row r="229" spans="1:25" x14ac:dyDescent="0.25">
      <c r="A229" s="81"/>
      <c r="B229" s="319"/>
      <c r="C229" s="81"/>
      <c r="D229" s="81"/>
      <c r="E229" s="397"/>
      <c r="F229" s="397"/>
      <c r="G229" s="397"/>
      <c r="H229" s="88"/>
      <c r="I229" s="88"/>
      <c r="J229" s="88"/>
      <c r="K229" s="96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</row>
    <row r="230" spans="1:25" x14ac:dyDescent="0.25">
      <c r="A230" s="81"/>
      <c r="B230" s="319"/>
      <c r="C230" s="81"/>
      <c r="D230" s="81"/>
      <c r="E230" s="397"/>
      <c r="F230" s="397"/>
      <c r="G230" s="397"/>
      <c r="H230" s="88"/>
      <c r="I230" s="88"/>
      <c r="J230" s="88"/>
      <c r="K230" s="96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</row>
    <row r="231" spans="1:25" x14ac:dyDescent="0.25">
      <c r="A231" s="81"/>
      <c r="B231" s="319"/>
      <c r="C231" s="81"/>
      <c r="D231" s="81"/>
      <c r="E231" s="397"/>
      <c r="F231" s="397"/>
      <c r="G231" s="397"/>
      <c r="H231" s="88"/>
      <c r="I231" s="88"/>
      <c r="J231" s="88"/>
      <c r="K231" s="96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</row>
    <row r="232" spans="1:25" x14ac:dyDescent="0.25">
      <c r="A232" s="81"/>
      <c r="B232" s="319"/>
      <c r="C232" s="81"/>
      <c r="D232" s="81"/>
      <c r="E232" s="397"/>
      <c r="F232" s="397"/>
      <c r="G232" s="397"/>
      <c r="H232" s="88"/>
      <c r="I232" s="88"/>
      <c r="J232" s="88"/>
      <c r="K232" s="96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</row>
    <row r="233" spans="1:25" x14ac:dyDescent="0.25">
      <c r="A233" s="81"/>
      <c r="B233" s="319"/>
      <c r="C233" s="81"/>
      <c r="D233" s="81"/>
      <c r="E233" s="397"/>
      <c r="F233" s="397"/>
      <c r="G233" s="397"/>
      <c r="H233" s="88"/>
      <c r="I233" s="88"/>
      <c r="J233" s="88"/>
      <c r="K233" s="96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</row>
    <row r="234" spans="1:25" x14ac:dyDescent="0.25">
      <c r="A234" s="81"/>
      <c r="B234" s="319"/>
      <c r="C234" s="81"/>
      <c r="D234" s="81"/>
      <c r="E234" s="397"/>
      <c r="F234" s="397"/>
      <c r="G234" s="397"/>
      <c r="H234" s="88"/>
      <c r="I234" s="88"/>
      <c r="J234" s="88"/>
      <c r="K234" s="96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</row>
    <row r="235" spans="1:25" x14ac:dyDescent="0.25">
      <c r="A235" s="81"/>
      <c r="B235" s="319"/>
      <c r="C235" s="81"/>
      <c r="D235" s="81"/>
      <c r="E235" s="397"/>
      <c r="F235" s="397"/>
      <c r="G235" s="397"/>
      <c r="H235" s="88"/>
      <c r="I235" s="88"/>
      <c r="J235" s="88"/>
      <c r="K235" s="96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</row>
    <row r="236" spans="1:25" x14ac:dyDescent="0.25">
      <c r="A236" s="81"/>
      <c r="B236" s="319"/>
      <c r="C236" s="81"/>
      <c r="D236" s="81"/>
      <c r="E236" s="397"/>
      <c r="F236" s="397"/>
      <c r="G236" s="397"/>
      <c r="H236" s="88"/>
      <c r="I236" s="88"/>
      <c r="J236" s="88"/>
      <c r="K236" s="96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</row>
    <row r="237" spans="1:25" x14ac:dyDescent="0.25">
      <c r="A237" s="81"/>
      <c r="B237" s="319"/>
      <c r="C237" s="81"/>
      <c r="D237" s="81"/>
      <c r="E237" s="397"/>
      <c r="F237" s="397"/>
      <c r="G237" s="397"/>
      <c r="H237" s="88"/>
      <c r="I237" s="88"/>
      <c r="J237" s="88"/>
      <c r="K237" s="96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</row>
    <row r="238" spans="1:25" x14ac:dyDescent="0.25">
      <c r="A238" s="81"/>
      <c r="B238" s="319"/>
      <c r="C238" s="81"/>
      <c r="D238" s="81"/>
      <c r="E238" s="397"/>
      <c r="F238" s="397"/>
      <c r="G238" s="397"/>
      <c r="H238" s="88"/>
      <c r="I238" s="88"/>
      <c r="J238" s="88"/>
      <c r="K238" s="96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</row>
    <row r="239" spans="1:25" x14ac:dyDescent="0.25">
      <c r="A239" s="81"/>
      <c r="B239" s="319"/>
      <c r="C239" s="81"/>
      <c r="D239" s="81"/>
      <c r="E239" s="397"/>
      <c r="F239" s="397"/>
      <c r="G239" s="397"/>
      <c r="H239" s="88"/>
      <c r="I239" s="88"/>
      <c r="J239" s="88"/>
      <c r="K239" s="96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</row>
    <row r="240" spans="1:25" x14ac:dyDescent="0.25">
      <c r="A240" s="81"/>
      <c r="B240" s="319"/>
      <c r="C240" s="81"/>
      <c r="D240" s="81"/>
      <c r="E240" s="397"/>
      <c r="F240" s="397"/>
      <c r="G240" s="397"/>
      <c r="H240" s="88"/>
      <c r="I240" s="88"/>
      <c r="J240" s="88"/>
      <c r="K240" s="96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</row>
    <row r="241" spans="1:25" x14ac:dyDescent="0.25">
      <c r="A241" s="81"/>
      <c r="B241" s="319"/>
      <c r="C241" s="81"/>
      <c r="D241" s="81"/>
      <c r="E241" s="397"/>
      <c r="F241" s="397"/>
      <c r="G241" s="397"/>
      <c r="H241" s="88"/>
      <c r="I241" s="88"/>
      <c r="J241" s="88"/>
      <c r="K241" s="96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</row>
    <row r="242" spans="1:25" x14ac:dyDescent="0.25">
      <c r="A242" s="81"/>
      <c r="B242" s="319"/>
      <c r="C242" s="81"/>
      <c r="D242" s="81"/>
      <c r="E242" s="397"/>
      <c r="F242" s="397"/>
      <c r="G242" s="397"/>
      <c r="H242" s="88"/>
      <c r="I242" s="88"/>
      <c r="J242" s="88"/>
      <c r="K242" s="96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</row>
    <row r="243" spans="1:25" x14ac:dyDescent="0.25">
      <c r="A243" s="81"/>
      <c r="B243" s="319"/>
      <c r="C243" s="81"/>
      <c r="D243" s="81"/>
      <c r="E243" s="397"/>
      <c r="F243" s="397"/>
      <c r="G243" s="397"/>
      <c r="H243" s="88"/>
      <c r="I243" s="88"/>
      <c r="J243" s="88"/>
      <c r="K243" s="96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</row>
    <row r="244" spans="1:25" x14ac:dyDescent="0.25">
      <c r="A244" s="81"/>
      <c r="B244" s="319"/>
      <c r="C244" s="81"/>
      <c r="D244" s="81"/>
      <c r="E244" s="397"/>
      <c r="F244" s="397"/>
      <c r="G244" s="397"/>
      <c r="H244" s="88"/>
      <c r="I244" s="88"/>
      <c r="J244" s="88"/>
      <c r="K244" s="96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</row>
    <row r="245" spans="1:25" x14ac:dyDescent="0.25">
      <c r="A245" s="81"/>
      <c r="B245" s="319"/>
      <c r="C245" s="81"/>
      <c r="D245" s="81"/>
      <c r="E245" s="397"/>
      <c r="F245" s="397"/>
      <c r="G245" s="397"/>
      <c r="H245" s="88"/>
      <c r="I245" s="88"/>
      <c r="J245" s="88"/>
      <c r="K245" s="96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</row>
    <row r="246" spans="1:25" x14ac:dyDescent="0.25">
      <c r="A246" s="81"/>
      <c r="B246" s="319"/>
      <c r="C246" s="81"/>
      <c r="D246" s="81"/>
      <c r="E246" s="397"/>
      <c r="F246" s="397"/>
      <c r="G246" s="397"/>
      <c r="H246" s="88"/>
      <c r="I246" s="88"/>
      <c r="J246" s="88"/>
      <c r="K246" s="96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</row>
    <row r="247" spans="1:25" x14ac:dyDescent="0.25">
      <c r="A247" s="81"/>
      <c r="B247" s="319"/>
      <c r="C247" s="81"/>
      <c r="D247" s="81"/>
      <c r="E247" s="397"/>
      <c r="F247" s="397"/>
      <c r="G247" s="397"/>
      <c r="H247" s="88"/>
      <c r="I247" s="88"/>
      <c r="J247" s="88"/>
      <c r="K247" s="96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</row>
    <row r="248" spans="1:25" x14ac:dyDescent="0.25">
      <c r="A248" s="81"/>
      <c r="B248" s="319"/>
      <c r="C248" s="81"/>
      <c r="D248" s="81"/>
      <c r="E248" s="397"/>
      <c r="F248" s="397"/>
      <c r="G248" s="397"/>
      <c r="H248" s="88"/>
      <c r="I248" s="88"/>
      <c r="J248" s="88"/>
      <c r="K248" s="96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</row>
    <row r="249" spans="1:25" x14ac:dyDescent="0.25">
      <c r="A249" s="81"/>
      <c r="B249" s="319"/>
      <c r="C249" s="81"/>
      <c r="D249" s="81"/>
      <c r="E249" s="397"/>
      <c r="F249" s="397"/>
      <c r="G249" s="397"/>
      <c r="H249" s="88"/>
      <c r="I249" s="88"/>
      <c r="J249" s="88"/>
      <c r="K249" s="96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</row>
    <row r="250" spans="1:25" x14ac:dyDescent="0.25">
      <c r="A250" s="81"/>
      <c r="B250" s="319"/>
      <c r="C250" s="81"/>
      <c r="D250" s="81"/>
      <c r="E250" s="397"/>
      <c r="F250" s="397"/>
      <c r="G250" s="397"/>
      <c r="H250" s="88"/>
      <c r="I250" s="88"/>
      <c r="J250" s="88"/>
      <c r="K250" s="96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</row>
    <row r="251" spans="1:25" x14ac:dyDescent="0.25">
      <c r="A251" s="81"/>
      <c r="B251" s="319"/>
      <c r="C251" s="81"/>
      <c r="D251" s="81"/>
      <c r="E251" s="397"/>
      <c r="F251" s="397"/>
      <c r="G251" s="397"/>
      <c r="H251" s="88"/>
      <c r="I251" s="88"/>
      <c r="J251" s="88"/>
      <c r="K251" s="96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</row>
    <row r="252" spans="1:25" x14ac:dyDescent="0.25">
      <c r="A252" s="81"/>
      <c r="B252" s="319"/>
      <c r="C252" s="81"/>
      <c r="D252" s="81"/>
      <c r="E252" s="397"/>
      <c r="F252" s="397"/>
      <c r="G252" s="397"/>
      <c r="H252" s="88"/>
      <c r="I252" s="88"/>
      <c r="J252" s="88"/>
      <c r="K252" s="96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</row>
    <row r="253" spans="1:25" x14ac:dyDescent="0.25">
      <c r="A253" s="81"/>
      <c r="B253" s="319"/>
      <c r="C253" s="81"/>
      <c r="D253" s="81"/>
      <c r="E253" s="397"/>
      <c r="F253" s="397"/>
      <c r="G253" s="397"/>
      <c r="H253" s="88"/>
      <c r="I253" s="88"/>
      <c r="J253" s="88"/>
      <c r="K253" s="96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</row>
    <row r="254" spans="1:25" x14ac:dyDescent="0.25">
      <c r="A254" s="81"/>
      <c r="B254" s="319"/>
      <c r="C254" s="81"/>
      <c r="D254" s="81"/>
      <c r="E254" s="397"/>
      <c r="F254" s="397"/>
      <c r="G254" s="397"/>
      <c r="H254" s="88"/>
      <c r="I254" s="88"/>
      <c r="J254" s="88"/>
      <c r="K254" s="96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</row>
    <row r="255" spans="1:25" x14ac:dyDescent="0.25">
      <c r="A255" s="81"/>
      <c r="B255" s="319"/>
      <c r="C255" s="81"/>
      <c r="D255" s="81"/>
      <c r="E255" s="397"/>
      <c r="F255" s="397"/>
      <c r="G255" s="397"/>
      <c r="H255" s="88"/>
      <c r="I255" s="88"/>
      <c r="J255" s="88"/>
      <c r="K255" s="96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</row>
    <row r="256" spans="1:25" x14ac:dyDescent="0.25">
      <c r="A256" s="81"/>
      <c r="B256" s="319"/>
      <c r="C256" s="81"/>
      <c r="D256" s="81"/>
      <c r="E256" s="397"/>
      <c r="F256" s="397"/>
      <c r="G256" s="397"/>
      <c r="H256" s="88"/>
      <c r="I256" s="88"/>
      <c r="J256" s="88"/>
      <c r="K256" s="96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</row>
    <row r="257" spans="1:25" x14ac:dyDescent="0.25">
      <c r="A257" s="81"/>
      <c r="B257" s="319"/>
      <c r="C257" s="81"/>
      <c r="D257" s="81"/>
      <c r="E257" s="397"/>
      <c r="F257" s="397"/>
      <c r="G257" s="397"/>
      <c r="H257" s="88"/>
      <c r="I257" s="88"/>
      <c r="J257" s="88"/>
      <c r="K257" s="96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</row>
    <row r="258" spans="1:25" x14ac:dyDescent="0.25">
      <c r="A258" s="81"/>
      <c r="B258" s="319"/>
      <c r="C258" s="81"/>
      <c r="D258" s="81"/>
      <c r="E258" s="397"/>
      <c r="F258" s="397"/>
      <c r="G258" s="397"/>
      <c r="H258" s="88"/>
      <c r="I258" s="88"/>
      <c r="J258" s="88"/>
      <c r="K258" s="96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</row>
    <row r="259" spans="1:25" x14ac:dyDescent="0.25">
      <c r="A259" s="81"/>
      <c r="B259" s="319"/>
      <c r="C259" s="81"/>
      <c r="D259" s="81"/>
      <c r="E259" s="397"/>
      <c r="F259" s="397"/>
      <c r="G259" s="397"/>
      <c r="H259" s="88"/>
      <c r="I259" s="88"/>
      <c r="J259" s="88"/>
      <c r="K259" s="96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</row>
    <row r="260" spans="1:25" x14ac:dyDescent="0.25">
      <c r="A260" s="81"/>
      <c r="B260" s="319"/>
      <c r="C260" s="81"/>
      <c r="D260" s="81"/>
      <c r="E260" s="397"/>
      <c r="F260" s="397"/>
      <c r="G260" s="397"/>
      <c r="H260" s="88"/>
      <c r="I260" s="88"/>
      <c r="J260" s="88"/>
      <c r="K260" s="96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</row>
    <row r="261" spans="1:25" x14ac:dyDescent="0.25">
      <c r="A261" s="81"/>
      <c r="B261" s="319"/>
      <c r="C261" s="81"/>
      <c r="D261" s="81"/>
      <c r="E261" s="397"/>
      <c r="F261" s="397"/>
      <c r="G261" s="397"/>
      <c r="H261" s="88"/>
      <c r="I261" s="88"/>
      <c r="J261" s="88"/>
      <c r="K261" s="96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</row>
    <row r="262" spans="1:25" x14ac:dyDescent="0.25">
      <c r="A262" s="81"/>
      <c r="B262" s="319"/>
      <c r="C262" s="81"/>
      <c r="D262" s="81"/>
      <c r="E262" s="397"/>
      <c r="F262" s="397"/>
      <c r="G262" s="397"/>
      <c r="H262" s="88"/>
      <c r="I262" s="88"/>
      <c r="J262" s="88"/>
      <c r="K262" s="96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</row>
    <row r="263" spans="1:25" x14ac:dyDescent="0.25">
      <c r="A263" s="81"/>
      <c r="B263" s="319"/>
      <c r="C263" s="81"/>
      <c r="D263" s="81"/>
      <c r="E263" s="397"/>
      <c r="F263" s="397"/>
      <c r="G263" s="397"/>
      <c r="H263" s="88"/>
      <c r="I263" s="88"/>
      <c r="J263" s="88"/>
      <c r="K263" s="96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</row>
    <row r="264" spans="1:25" x14ac:dyDescent="0.25">
      <c r="A264" s="81"/>
      <c r="B264" s="319"/>
      <c r="C264" s="81"/>
      <c r="D264" s="81"/>
      <c r="E264" s="397"/>
      <c r="F264" s="397"/>
      <c r="G264" s="397"/>
      <c r="H264" s="88"/>
      <c r="I264" s="88"/>
      <c r="J264" s="88"/>
      <c r="K264" s="96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</row>
    <row r="265" spans="1:25" x14ac:dyDescent="0.25">
      <c r="A265" s="81"/>
      <c r="B265" s="319"/>
      <c r="C265" s="81"/>
      <c r="D265" s="81"/>
      <c r="E265" s="397"/>
      <c r="F265" s="397"/>
      <c r="G265" s="397"/>
      <c r="H265" s="88"/>
      <c r="I265" s="88"/>
      <c r="J265" s="88"/>
      <c r="K265" s="96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</row>
    <row r="266" spans="1:25" x14ac:dyDescent="0.25">
      <c r="A266" s="81"/>
      <c r="B266" s="319"/>
      <c r="C266" s="81"/>
      <c r="D266" s="81"/>
      <c r="E266" s="397"/>
      <c r="F266" s="397"/>
      <c r="G266" s="397"/>
      <c r="H266" s="88"/>
      <c r="I266" s="88"/>
      <c r="J266" s="88"/>
      <c r="K266" s="96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</row>
    <row r="267" spans="1:25" x14ac:dyDescent="0.25">
      <c r="A267" s="81"/>
      <c r="B267" s="319"/>
      <c r="C267" s="81"/>
      <c r="D267" s="81"/>
      <c r="E267" s="397"/>
      <c r="F267" s="397"/>
      <c r="G267" s="397"/>
      <c r="H267" s="88"/>
      <c r="I267" s="88"/>
      <c r="J267" s="88"/>
      <c r="K267" s="96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</row>
    <row r="268" spans="1:25" x14ac:dyDescent="0.25">
      <c r="A268" s="81"/>
      <c r="B268" s="319"/>
      <c r="C268" s="81"/>
      <c r="D268" s="81"/>
      <c r="E268" s="397"/>
      <c r="F268" s="397"/>
      <c r="G268" s="397"/>
      <c r="H268" s="88"/>
      <c r="I268" s="88"/>
      <c r="J268" s="88"/>
      <c r="K268" s="96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</row>
    <row r="269" spans="1:25" x14ac:dyDescent="0.25">
      <c r="A269" s="81"/>
      <c r="B269" s="319"/>
      <c r="C269" s="81"/>
      <c r="D269" s="81"/>
      <c r="E269" s="397"/>
      <c r="F269" s="397"/>
      <c r="G269" s="397"/>
      <c r="H269" s="88"/>
      <c r="I269" s="88"/>
      <c r="J269" s="88"/>
      <c r="K269" s="96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</row>
    <row r="270" spans="1:25" x14ac:dyDescent="0.25">
      <c r="A270" s="81"/>
      <c r="B270" s="319"/>
      <c r="C270" s="81"/>
      <c r="D270" s="81"/>
      <c r="E270" s="397"/>
      <c r="F270" s="397"/>
      <c r="G270" s="397"/>
      <c r="H270" s="88"/>
      <c r="I270" s="88"/>
      <c r="J270" s="88"/>
      <c r="K270" s="96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</row>
    <row r="271" spans="1:25" x14ac:dyDescent="0.25">
      <c r="A271" s="81"/>
      <c r="B271" s="319"/>
      <c r="C271" s="81"/>
      <c r="D271" s="81"/>
      <c r="E271" s="397"/>
      <c r="F271" s="397"/>
      <c r="G271" s="397"/>
      <c r="H271" s="88"/>
      <c r="I271" s="88"/>
      <c r="J271" s="88"/>
      <c r="K271" s="96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</row>
    <row r="272" spans="1:25" x14ac:dyDescent="0.25">
      <c r="A272" s="81"/>
      <c r="B272" s="319"/>
      <c r="C272" s="81"/>
      <c r="D272" s="81"/>
      <c r="E272" s="397"/>
      <c r="F272" s="397"/>
      <c r="G272" s="397"/>
      <c r="H272" s="88"/>
      <c r="I272" s="88"/>
      <c r="J272" s="88"/>
      <c r="K272" s="96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</row>
    <row r="273" spans="1:25" x14ac:dyDescent="0.25">
      <c r="A273" s="81"/>
      <c r="B273" s="319"/>
      <c r="C273" s="81"/>
      <c r="D273" s="81"/>
      <c r="E273" s="397"/>
      <c r="F273" s="397"/>
      <c r="G273" s="397"/>
      <c r="H273" s="88"/>
      <c r="I273" s="88"/>
      <c r="J273" s="88"/>
      <c r="K273" s="96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</row>
    <row r="274" spans="1:25" x14ac:dyDescent="0.25">
      <c r="A274" s="81"/>
      <c r="B274" s="319"/>
      <c r="C274" s="81"/>
      <c r="D274" s="81"/>
      <c r="E274" s="397"/>
      <c r="F274" s="397"/>
      <c r="G274" s="397"/>
      <c r="H274" s="88"/>
      <c r="I274" s="88"/>
      <c r="J274" s="88"/>
      <c r="K274" s="96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</row>
    <row r="275" spans="1:25" x14ac:dyDescent="0.25">
      <c r="A275" s="81"/>
      <c r="B275" s="319"/>
      <c r="C275" s="81"/>
      <c r="D275" s="81"/>
      <c r="E275" s="397"/>
      <c r="F275" s="397"/>
      <c r="G275" s="397"/>
      <c r="H275" s="88"/>
      <c r="I275" s="88"/>
      <c r="J275" s="88"/>
      <c r="K275" s="96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</row>
    <row r="276" spans="1:25" x14ac:dyDescent="0.25">
      <c r="A276" s="81"/>
      <c r="B276" s="319"/>
      <c r="C276" s="81"/>
      <c r="D276" s="81"/>
      <c r="E276" s="397"/>
      <c r="F276" s="397"/>
      <c r="G276" s="397"/>
      <c r="H276" s="88"/>
      <c r="I276" s="88"/>
      <c r="J276" s="88"/>
      <c r="K276" s="96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</row>
    <row r="277" spans="1:25" x14ac:dyDescent="0.25">
      <c r="A277" s="81"/>
      <c r="B277" s="319"/>
      <c r="C277" s="81"/>
      <c r="D277" s="81"/>
      <c r="E277" s="397"/>
      <c r="F277" s="397"/>
      <c r="G277" s="397"/>
      <c r="H277" s="88"/>
      <c r="I277" s="88"/>
      <c r="J277" s="88"/>
      <c r="K277" s="96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</row>
    <row r="278" spans="1:25" x14ac:dyDescent="0.25">
      <c r="A278" s="81"/>
      <c r="B278" s="319"/>
      <c r="C278" s="81"/>
      <c r="D278" s="81"/>
      <c r="E278" s="397"/>
      <c r="F278" s="397"/>
      <c r="G278" s="397"/>
      <c r="H278" s="88"/>
      <c r="I278" s="88"/>
      <c r="J278" s="88"/>
      <c r="K278" s="96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</row>
    <row r="279" spans="1:25" x14ac:dyDescent="0.25">
      <c r="A279" s="81"/>
      <c r="B279" s="319"/>
      <c r="C279" s="81"/>
      <c r="D279" s="81"/>
      <c r="E279" s="397"/>
      <c r="F279" s="397"/>
      <c r="G279" s="397"/>
      <c r="H279" s="88"/>
      <c r="I279" s="88"/>
      <c r="J279" s="88"/>
      <c r="K279" s="96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</row>
    <row r="280" spans="1:25" x14ac:dyDescent="0.25">
      <c r="A280" s="81"/>
      <c r="B280" s="319"/>
      <c r="C280" s="81"/>
      <c r="D280" s="81"/>
      <c r="E280" s="397"/>
      <c r="F280" s="397"/>
      <c r="G280" s="397"/>
      <c r="H280" s="88"/>
      <c r="I280" s="88"/>
      <c r="J280" s="88"/>
      <c r="K280" s="96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</row>
    <row r="281" spans="1:25" x14ac:dyDescent="0.25">
      <c r="A281" s="81"/>
      <c r="B281" s="319"/>
      <c r="C281" s="81"/>
      <c r="D281" s="81"/>
      <c r="E281" s="397"/>
      <c r="F281" s="397"/>
      <c r="G281" s="397"/>
      <c r="H281" s="88"/>
      <c r="I281" s="88"/>
      <c r="J281" s="88"/>
      <c r="K281" s="96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</row>
    <row r="282" spans="1:25" x14ac:dyDescent="0.25">
      <c r="A282" s="81"/>
      <c r="B282" s="319"/>
      <c r="C282" s="81"/>
      <c r="D282" s="81"/>
      <c r="E282" s="397"/>
      <c r="F282" s="397"/>
      <c r="G282" s="397"/>
      <c r="H282" s="88"/>
      <c r="I282" s="88"/>
      <c r="J282" s="88"/>
      <c r="K282" s="96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</row>
    <row r="283" spans="1:25" x14ac:dyDescent="0.25">
      <c r="A283" s="81"/>
      <c r="B283" s="319"/>
      <c r="C283" s="81"/>
      <c r="D283" s="81"/>
      <c r="E283" s="397"/>
      <c r="F283" s="397"/>
      <c r="G283" s="397"/>
      <c r="H283" s="88"/>
      <c r="I283" s="88"/>
      <c r="J283" s="88"/>
      <c r="K283" s="96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</row>
    <row r="284" spans="1:25" x14ac:dyDescent="0.25">
      <c r="A284" s="81"/>
      <c r="B284" s="319"/>
      <c r="C284" s="81"/>
      <c r="D284" s="81"/>
      <c r="E284" s="397"/>
      <c r="F284" s="397"/>
      <c r="G284" s="397"/>
      <c r="H284" s="88"/>
      <c r="I284" s="88"/>
      <c r="J284" s="88"/>
      <c r="K284" s="96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</row>
    <row r="285" spans="1:25" x14ac:dyDescent="0.25">
      <c r="A285" s="81"/>
      <c r="B285" s="319"/>
      <c r="C285" s="81"/>
      <c r="D285" s="81"/>
      <c r="E285" s="397"/>
      <c r="F285" s="397"/>
      <c r="G285" s="397"/>
      <c r="H285" s="88"/>
      <c r="I285" s="88"/>
      <c r="J285" s="88"/>
      <c r="K285" s="96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</row>
    <row r="286" spans="1:25" x14ac:dyDescent="0.25">
      <c r="A286" s="81"/>
      <c r="B286" s="319"/>
      <c r="C286" s="81"/>
      <c r="D286" s="81"/>
      <c r="E286" s="397"/>
      <c r="F286" s="397"/>
      <c r="G286" s="397"/>
      <c r="H286" s="88"/>
      <c r="I286" s="88"/>
      <c r="J286" s="88"/>
      <c r="K286" s="96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</row>
    <row r="287" spans="1:25" x14ac:dyDescent="0.25">
      <c r="A287" s="81"/>
      <c r="B287" s="319"/>
      <c r="C287" s="81"/>
      <c r="D287" s="81"/>
      <c r="E287" s="397"/>
      <c r="F287" s="397"/>
      <c r="G287" s="397"/>
      <c r="H287" s="88"/>
      <c r="I287" s="88"/>
      <c r="J287" s="88"/>
      <c r="K287" s="96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</row>
    <row r="288" spans="1:25" x14ac:dyDescent="0.25">
      <c r="A288" s="81"/>
      <c r="B288" s="319"/>
      <c r="C288" s="81"/>
      <c r="D288" s="81"/>
      <c r="E288" s="397"/>
      <c r="F288" s="397"/>
      <c r="G288" s="397"/>
      <c r="H288" s="88"/>
      <c r="I288" s="88"/>
      <c r="J288" s="88"/>
      <c r="K288" s="96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</row>
    <row r="289" spans="1:25" x14ac:dyDescent="0.25">
      <c r="A289" s="81"/>
      <c r="B289" s="319"/>
      <c r="C289" s="81"/>
      <c r="D289" s="81"/>
      <c r="E289" s="397"/>
      <c r="F289" s="397"/>
      <c r="G289" s="397"/>
      <c r="H289" s="88"/>
      <c r="I289" s="88"/>
      <c r="J289" s="88"/>
      <c r="K289" s="96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</row>
    <row r="290" spans="1:25" x14ac:dyDescent="0.25">
      <c r="A290" s="81"/>
      <c r="B290" s="319"/>
      <c r="C290" s="81"/>
      <c r="D290" s="81"/>
      <c r="E290" s="397"/>
      <c r="F290" s="397"/>
      <c r="G290" s="397"/>
      <c r="H290" s="88"/>
      <c r="I290" s="88"/>
      <c r="J290" s="88"/>
      <c r="K290" s="96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</row>
    <row r="291" spans="1:25" x14ac:dyDescent="0.25">
      <c r="A291" s="81"/>
      <c r="B291" s="319"/>
      <c r="C291" s="81"/>
      <c r="D291" s="81"/>
      <c r="E291" s="397"/>
      <c r="F291" s="397"/>
      <c r="G291" s="397"/>
      <c r="H291" s="88"/>
      <c r="I291" s="88"/>
      <c r="J291" s="88"/>
      <c r="K291" s="96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</row>
    <row r="292" spans="1:25" x14ac:dyDescent="0.25">
      <c r="A292" s="81"/>
      <c r="B292" s="319"/>
      <c r="C292" s="81"/>
      <c r="D292" s="81"/>
      <c r="E292" s="397"/>
      <c r="F292" s="397"/>
      <c r="G292" s="397"/>
      <c r="H292" s="88"/>
      <c r="I292" s="88"/>
      <c r="J292" s="88"/>
      <c r="K292" s="96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</row>
    <row r="293" spans="1:25" x14ac:dyDescent="0.25">
      <c r="A293" s="81"/>
      <c r="B293" s="319"/>
      <c r="C293" s="81"/>
      <c r="D293" s="81"/>
      <c r="E293" s="397"/>
      <c r="F293" s="397"/>
      <c r="G293" s="397"/>
      <c r="H293" s="88"/>
      <c r="I293" s="88"/>
      <c r="J293" s="88"/>
      <c r="K293" s="96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</row>
    <row r="294" spans="1:25" x14ac:dyDescent="0.25">
      <c r="A294" s="81"/>
      <c r="B294" s="319"/>
      <c r="C294" s="81"/>
      <c r="D294" s="81"/>
      <c r="E294" s="397"/>
      <c r="F294" s="397"/>
      <c r="G294" s="397"/>
      <c r="H294" s="88"/>
      <c r="I294" s="88"/>
      <c r="J294" s="88"/>
      <c r="K294" s="96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</row>
    <row r="295" spans="1:25" x14ac:dyDescent="0.25">
      <c r="A295" s="81"/>
      <c r="B295" s="319"/>
      <c r="C295" s="81"/>
      <c r="D295" s="81"/>
      <c r="E295" s="397"/>
      <c r="F295" s="397"/>
      <c r="G295" s="397"/>
      <c r="H295" s="88"/>
      <c r="I295" s="88"/>
      <c r="J295" s="88"/>
      <c r="K295" s="96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</row>
    <row r="296" spans="1:25" x14ac:dyDescent="0.25">
      <c r="A296" s="81"/>
      <c r="B296" s="319"/>
      <c r="C296" s="81"/>
      <c r="D296" s="81"/>
      <c r="E296" s="397"/>
      <c r="F296" s="397"/>
      <c r="G296" s="397"/>
      <c r="H296" s="88"/>
      <c r="I296" s="88"/>
      <c r="J296" s="88"/>
      <c r="K296" s="96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</row>
    <row r="297" spans="1:25" x14ac:dyDescent="0.25">
      <c r="A297" s="81"/>
      <c r="B297" s="319"/>
      <c r="C297" s="81"/>
      <c r="D297" s="81"/>
      <c r="E297" s="397"/>
      <c r="F297" s="397"/>
      <c r="G297" s="397"/>
      <c r="H297" s="88"/>
      <c r="I297" s="88"/>
      <c r="J297" s="88"/>
      <c r="K297" s="96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</row>
    <row r="298" spans="1:25" x14ac:dyDescent="0.25">
      <c r="A298" s="81"/>
      <c r="B298" s="319"/>
      <c r="C298" s="81"/>
      <c r="D298" s="81"/>
      <c r="E298" s="397"/>
      <c r="F298" s="397"/>
      <c r="G298" s="397"/>
      <c r="H298" s="88"/>
      <c r="I298" s="88"/>
      <c r="J298" s="88"/>
      <c r="K298" s="96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</row>
    <row r="299" spans="1:25" x14ac:dyDescent="0.25">
      <c r="A299" s="81"/>
      <c r="B299" s="319"/>
      <c r="C299" s="81"/>
      <c r="D299" s="81"/>
      <c r="E299" s="397"/>
      <c r="F299" s="397"/>
      <c r="G299" s="397"/>
      <c r="H299" s="88"/>
      <c r="I299" s="88"/>
      <c r="J299" s="88"/>
      <c r="K299" s="96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</row>
    <row r="300" spans="1:25" x14ac:dyDescent="0.25">
      <c r="A300" s="81"/>
      <c r="B300" s="319"/>
      <c r="C300" s="81"/>
      <c r="D300" s="81"/>
      <c r="E300" s="397"/>
      <c r="F300" s="397"/>
      <c r="G300" s="397"/>
      <c r="H300" s="88"/>
      <c r="I300" s="88"/>
      <c r="J300" s="88"/>
      <c r="K300" s="96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</row>
    <row r="301" spans="1:25" x14ac:dyDescent="0.25">
      <c r="A301" s="81"/>
      <c r="B301" s="319"/>
      <c r="C301" s="81"/>
      <c r="D301" s="81"/>
      <c r="E301" s="397"/>
      <c r="F301" s="397"/>
      <c r="G301" s="397"/>
      <c r="H301" s="88"/>
      <c r="I301" s="88"/>
      <c r="J301" s="88"/>
      <c r="K301" s="96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</row>
    <row r="302" spans="1:25" x14ac:dyDescent="0.25">
      <c r="A302" s="81"/>
      <c r="B302" s="319"/>
      <c r="C302" s="81"/>
      <c r="D302" s="81"/>
      <c r="E302" s="397"/>
      <c r="F302" s="397"/>
      <c r="G302" s="397"/>
      <c r="H302" s="88"/>
      <c r="I302" s="88"/>
      <c r="J302" s="88"/>
      <c r="K302" s="96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</row>
    <row r="303" spans="1:25" x14ac:dyDescent="0.25">
      <c r="A303" s="81"/>
      <c r="B303" s="319"/>
      <c r="C303" s="81"/>
      <c r="D303" s="81"/>
      <c r="E303" s="397"/>
      <c r="F303" s="397"/>
      <c r="G303" s="397"/>
      <c r="H303" s="88"/>
      <c r="I303" s="88"/>
      <c r="J303" s="88"/>
      <c r="K303" s="96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</row>
    <row r="304" spans="1:25" x14ac:dyDescent="0.25">
      <c r="A304" s="81"/>
      <c r="B304" s="319"/>
      <c r="C304" s="81"/>
      <c r="D304" s="81"/>
      <c r="E304" s="397"/>
      <c r="F304" s="397"/>
      <c r="G304" s="397"/>
      <c r="H304" s="88"/>
      <c r="I304" s="88"/>
      <c r="J304" s="88"/>
      <c r="K304" s="96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</row>
    <row r="305" spans="1:25" x14ac:dyDescent="0.25">
      <c r="A305" s="81"/>
      <c r="B305" s="319"/>
      <c r="C305" s="81"/>
      <c r="D305" s="81"/>
      <c r="E305" s="397"/>
      <c r="F305" s="397"/>
      <c r="G305" s="397"/>
      <c r="H305" s="88"/>
      <c r="I305" s="88"/>
      <c r="J305" s="88"/>
      <c r="K305" s="96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</row>
    <row r="306" spans="1:25" x14ac:dyDescent="0.25">
      <c r="A306" s="81"/>
      <c r="B306" s="319"/>
      <c r="C306" s="81"/>
      <c r="D306" s="81"/>
      <c r="E306" s="397"/>
      <c r="F306" s="397"/>
      <c r="G306" s="397"/>
      <c r="H306" s="88"/>
      <c r="I306" s="88"/>
      <c r="J306" s="88"/>
      <c r="K306" s="96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</row>
    <row r="307" spans="1:25" x14ac:dyDescent="0.25">
      <c r="A307" s="81"/>
      <c r="B307" s="319"/>
      <c r="C307" s="81"/>
      <c r="D307" s="81"/>
      <c r="E307" s="397"/>
      <c r="F307" s="397"/>
      <c r="G307" s="397"/>
      <c r="H307" s="88"/>
      <c r="I307" s="88"/>
      <c r="J307" s="88"/>
      <c r="K307" s="96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</row>
    <row r="308" spans="1:25" x14ac:dyDescent="0.25">
      <c r="A308" s="81"/>
      <c r="B308" s="319"/>
      <c r="C308" s="81"/>
      <c r="D308" s="81"/>
      <c r="E308" s="397"/>
      <c r="F308" s="397"/>
      <c r="G308" s="397"/>
      <c r="H308" s="88"/>
      <c r="I308" s="88"/>
      <c r="J308" s="88"/>
      <c r="K308" s="96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</row>
    <row r="309" spans="1:25" x14ac:dyDescent="0.25">
      <c r="A309" s="81"/>
      <c r="B309" s="319"/>
      <c r="C309" s="81"/>
      <c r="D309" s="81"/>
      <c r="E309" s="397"/>
      <c r="F309" s="397"/>
      <c r="G309" s="397"/>
      <c r="H309" s="88"/>
      <c r="I309" s="88"/>
      <c r="J309" s="88"/>
      <c r="K309" s="96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</row>
    <row r="310" spans="1:25" x14ac:dyDescent="0.25">
      <c r="A310" s="81"/>
      <c r="B310" s="319"/>
      <c r="C310" s="81"/>
      <c r="D310" s="81"/>
      <c r="E310" s="397"/>
      <c r="F310" s="397"/>
      <c r="G310" s="397"/>
      <c r="H310" s="88"/>
      <c r="I310" s="88"/>
      <c r="J310" s="88"/>
      <c r="K310" s="96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</row>
    <row r="311" spans="1:25" x14ac:dyDescent="0.25">
      <c r="A311" s="81"/>
      <c r="B311" s="319"/>
      <c r="C311" s="81"/>
      <c r="D311" s="81"/>
      <c r="E311" s="397"/>
      <c r="F311" s="397"/>
      <c r="G311" s="397"/>
      <c r="H311" s="88"/>
      <c r="I311" s="88"/>
      <c r="J311" s="88"/>
      <c r="K311" s="96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</row>
    <row r="312" spans="1:25" x14ac:dyDescent="0.25">
      <c r="A312" s="81"/>
      <c r="B312" s="319"/>
      <c r="C312" s="81"/>
      <c r="D312" s="81"/>
      <c r="E312" s="397"/>
      <c r="F312" s="397"/>
      <c r="G312" s="397"/>
      <c r="H312" s="88"/>
      <c r="I312" s="88"/>
      <c r="J312" s="88"/>
      <c r="K312" s="96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</row>
    <row r="313" spans="1:25" x14ac:dyDescent="0.25">
      <c r="A313" s="81"/>
      <c r="B313" s="319"/>
      <c r="C313" s="81"/>
      <c r="D313" s="81"/>
      <c r="E313" s="397"/>
      <c r="F313" s="397"/>
      <c r="G313" s="397"/>
      <c r="H313" s="88"/>
      <c r="I313" s="88"/>
      <c r="J313" s="88"/>
      <c r="K313" s="96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</row>
    <row r="314" spans="1:25" x14ac:dyDescent="0.25">
      <c r="A314" s="81"/>
      <c r="B314" s="319"/>
      <c r="C314" s="81"/>
      <c r="D314" s="81"/>
      <c r="E314" s="397"/>
      <c r="F314" s="397"/>
      <c r="G314" s="397"/>
      <c r="H314" s="88"/>
      <c r="I314" s="88"/>
      <c r="J314" s="88"/>
      <c r="K314" s="96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</row>
    <row r="315" spans="1:25" x14ac:dyDescent="0.25">
      <c r="A315" s="81"/>
      <c r="B315" s="319"/>
      <c r="C315" s="81"/>
      <c r="D315" s="81"/>
      <c r="E315" s="397"/>
      <c r="F315" s="397"/>
      <c r="G315" s="397"/>
      <c r="H315" s="88"/>
      <c r="I315" s="88"/>
      <c r="J315" s="88"/>
      <c r="K315" s="96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</row>
    <row r="316" spans="1:25" x14ac:dyDescent="0.25">
      <c r="A316" s="81"/>
      <c r="B316" s="319"/>
      <c r="C316" s="81"/>
      <c r="D316" s="81"/>
      <c r="E316" s="397"/>
      <c r="F316" s="397"/>
      <c r="G316" s="397"/>
      <c r="H316" s="88"/>
      <c r="I316" s="88"/>
      <c r="J316" s="88"/>
      <c r="K316" s="96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</row>
    <row r="317" spans="1:25" x14ac:dyDescent="0.25">
      <c r="A317" s="81"/>
      <c r="B317" s="319"/>
      <c r="C317" s="81"/>
      <c r="D317" s="81"/>
      <c r="E317" s="397"/>
      <c r="F317" s="397"/>
      <c r="G317" s="397"/>
      <c r="H317" s="88"/>
      <c r="I317" s="88"/>
      <c r="J317" s="88"/>
      <c r="K317" s="96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</row>
    <row r="318" spans="1:25" x14ac:dyDescent="0.25">
      <c r="A318" s="81"/>
      <c r="B318" s="319"/>
      <c r="C318" s="81"/>
      <c r="D318" s="81"/>
      <c r="E318" s="397"/>
      <c r="F318" s="397"/>
      <c r="G318" s="397"/>
      <c r="H318" s="88"/>
      <c r="I318" s="88"/>
      <c r="J318" s="88"/>
      <c r="K318" s="96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</row>
    <row r="319" spans="1:25" x14ac:dyDescent="0.25">
      <c r="A319" s="81"/>
      <c r="B319" s="319"/>
      <c r="C319" s="81"/>
      <c r="D319" s="81"/>
      <c r="E319" s="397"/>
      <c r="F319" s="397"/>
      <c r="G319" s="397"/>
      <c r="H319" s="88"/>
      <c r="I319" s="88"/>
      <c r="J319" s="88"/>
      <c r="K319" s="96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</row>
    <row r="320" spans="1:25" x14ac:dyDescent="0.25">
      <c r="A320" s="81"/>
      <c r="B320" s="319"/>
      <c r="C320" s="81"/>
      <c r="D320" s="81"/>
      <c r="E320" s="397"/>
      <c r="F320" s="397"/>
      <c r="G320" s="397"/>
      <c r="H320" s="88"/>
      <c r="I320" s="88"/>
      <c r="J320" s="88"/>
      <c r="K320" s="96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</row>
    <row r="321" spans="1:25" x14ac:dyDescent="0.25">
      <c r="A321" s="81"/>
      <c r="B321" s="319"/>
      <c r="C321" s="81"/>
      <c r="D321" s="81"/>
      <c r="E321" s="397"/>
      <c r="F321" s="397"/>
      <c r="G321" s="397"/>
      <c r="H321" s="88"/>
      <c r="I321" s="88"/>
      <c r="J321" s="88"/>
      <c r="K321" s="96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</row>
    <row r="322" spans="1:25" x14ac:dyDescent="0.25">
      <c r="A322" s="81"/>
      <c r="B322" s="319"/>
      <c r="C322" s="81"/>
      <c r="D322" s="81"/>
      <c r="E322" s="397"/>
      <c r="F322" s="397"/>
      <c r="G322" s="397"/>
      <c r="H322" s="88"/>
      <c r="I322" s="88"/>
      <c r="J322" s="88"/>
      <c r="K322" s="96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</row>
    <row r="323" spans="1:25" x14ac:dyDescent="0.25">
      <c r="A323" s="81"/>
      <c r="B323" s="319"/>
      <c r="C323" s="81"/>
      <c r="D323" s="81"/>
      <c r="E323" s="397"/>
      <c r="F323" s="397"/>
      <c r="G323" s="397"/>
      <c r="H323" s="88"/>
      <c r="I323" s="88"/>
      <c r="J323" s="88"/>
      <c r="K323" s="96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</row>
    <row r="324" spans="1:25" x14ac:dyDescent="0.25">
      <c r="A324" s="81"/>
      <c r="B324" s="319"/>
      <c r="C324" s="81"/>
      <c r="D324" s="81"/>
      <c r="E324" s="397"/>
      <c r="F324" s="397"/>
      <c r="G324" s="397"/>
      <c r="H324" s="88"/>
      <c r="I324" s="88"/>
      <c r="J324" s="88"/>
      <c r="K324" s="96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</row>
    <row r="325" spans="1:25" x14ac:dyDescent="0.25">
      <c r="A325" s="81"/>
      <c r="B325" s="319"/>
      <c r="C325" s="81"/>
      <c r="D325" s="81"/>
      <c r="E325" s="397"/>
      <c r="F325" s="397"/>
      <c r="G325" s="397"/>
      <c r="H325" s="88"/>
      <c r="I325" s="88"/>
      <c r="J325" s="88"/>
      <c r="K325" s="96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</row>
    <row r="326" spans="1:25" x14ac:dyDescent="0.25">
      <c r="A326" s="81"/>
      <c r="B326" s="319"/>
      <c r="C326" s="81"/>
      <c r="D326" s="81"/>
      <c r="E326" s="397"/>
      <c r="F326" s="397"/>
      <c r="G326" s="397"/>
      <c r="H326" s="88"/>
      <c r="I326" s="88"/>
      <c r="J326" s="88"/>
      <c r="K326" s="96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</row>
    <row r="327" spans="1:25" x14ac:dyDescent="0.25">
      <c r="A327" s="81"/>
      <c r="B327" s="319"/>
      <c r="C327" s="81"/>
      <c r="D327" s="81"/>
      <c r="E327" s="397"/>
      <c r="F327" s="397"/>
      <c r="G327" s="397"/>
      <c r="H327" s="88"/>
      <c r="I327" s="88"/>
      <c r="J327" s="88"/>
      <c r="K327" s="96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</row>
    <row r="328" spans="1:25" x14ac:dyDescent="0.25">
      <c r="A328" s="81"/>
      <c r="B328" s="319"/>
      <c r="C328" s="81"/>
      <c r="D328" s="81"/>
      <c r="E328" s="397"/>
      <c r="F328" s="397"/>
      <c r="G328" s="397"/>
      <c r="H328" s="88"/>
      <c r="I328" s="88"/>
      <c r="J328" s="88"/>
      <c r="K328" s="96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</row>
    <row r="329" spans="1:25" x14ac:dyDescent="0.25">
      <c r="A329" s="81"/>
      <c r="B329" s="319"/>
      <c r="C329" s="81"/>
      <c r="D329" s="81"/>
      <c r="E329" s="397"/>
      <c r="F329" s="397"/>
      <c r="G329" s="397"/>
      <c r="H329" s="88"/>
      <c r="I329" s="88"/>
      <c r="J329" s="88"/>
      <c r="K329" s="96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</row>
    <row r="330" spans="1:25" x14ac:dyDescent="0.25">
      <c r="A330" s="81"/>
      <c r="B330" s="319"/>
      <c r="C330" s="81"/>
      <c r="D330" s="81"/>
      <c r="E330" s="397"/>
      <c r="F330" s="397"/>
      <c r="G330" s="397"/>
      <c r="H330" s="88"/>
      <c r="I330" s="88"/>
      <c r="J330" s="88"/>
      <c r="K330" s="96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</row>
    <row r="331" spans="1:25" x14ac:dyDescent="0.25">
      <c r="A331" s="81"/>
      <c r="B331" s="319"/>
      <c r="C331" s="81"/>
      <c r="D331" s="81"/>
      <c r="E331" s="397"/>
      <c r="F331" s="397"/>
      <c r="G331" s="397"/>
      <c r="H331" s="88"/>
      <c r="I331" s="88"/>
      <c r="J331" s="88"/>
      <c r="K331" s="96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</row>
    <row r="332" spans="1:25" x14ac:dyDescent="0.25">
      <c r="A332" s="81"/>
      <c r="B332" s="319"/>
      <c r="C332" s="81"/>
      <c r="D332" s="81"/>
      <c r="E332" s="397"/>
      <c r="F332" s="397"/>
      <c r="G332" s="397"/>
      <c r="H332" s="88"/>
      <c r="I332" s="88"/>
      <c r="J332" s="88"/>
      <c r="K332" s="96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</row>
    <row r="333" spans="1:25" x14ac:dyDescent="0.25">
      <c r="A333" s="81"/>
      <c r="B333" s="319"/>
      <c r="C333" s="81"/>
      <c r="D333" s="81"/>
      <c r="E333" s="397"/>
      <c r="F333" s="397"/>
      <c r="G333" s="397"/>
      <c r="H333" s="88"/>
      <c r="I333" s="88"/>
      <c r="J333" s="88"/>
      <c r="K333" s="96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</row>
    <row r="334" spans="1:25" x14ac:dyDescent="0.25">
      <c r="A334" s="81"/>
      <c r="B334" s="319"/>
      <c r="C334" s="81"/>
      <c r="D334" s="81"/>
      <c r="E334" s="397"/>
      <c r="F334" s="397"/>
      <c r="G334" s="397"/>
      <c r="H334" s="88"/>
      <c r="I334" s="88"/>
      <c r="J334" s="88"/>
      <c r="K334" s="96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</row>
    <row r="335" spans="1:25" x14ac:dyDescent="0.25">
      <c r="A335" s="81"/>
      <c r="B335" s="319"/>
      <c r="C335" s="81"/>
      <c r="D335" s="81"/>
      <c r="E335" s="397"/>
      <c r="F335" s="397"/>
      <c r="G335" s="397"/>
      <c r="H335" s="88"/>
      <c r="I335" s="88"/>
      <c r="J335" s="88"/>
      <c r="K335" s="96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</row>
    <row r="336" spans="1:25" x14ac:dyDescent="0.25">
      <c r="A336" s="81"/>
      <c r="B336" s="319"/>
      <c r="C336" s="81"/>
      <c r="D336" s="81"/>
      <c r="E336" s="397"/>
      <c r="F336" s="397"/>
      <c r="G336" s="397"/>
      <c r="H336" s="88"/>
      <c r="I336" s="88"/>
      <c r="J336" s="88"/>
      <c r="K336" s="96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</row>
    <row r="337" spans="1:25" x14ac:dyDescent="0.25">
      <c r="A337" s="81"/>
      <c r="B337" s="319"/>
      <c r="C337" s="81"/>
      <c r="D337" s="81"/>
      <c r="E337" s="397"/>
      <c r="F337" s="397"/>
      <c r="G337" s="397"/>
      <c r="H337" s="88"/>
      <c r="I337" s="88"/>
      <c r="J337" s="88"/>
      <c r="K337" s="96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</row>
    <row r="338" spans="1:25" x14ac:dyDescent="0.25">
      <c r="A338" s="81"/>
      <c r="B338" s="319"/>
      <c r="C338" s="81"/>
      <c r="D338" s="81"/>
      <c r="E338" s="397"/>
      <c r="F338" s="397"/>
      <c r="G338" s="397"/>
      <c r="H338" s="88"/>
      <c r="I338" s="88"/>
      <c r="J338" s="88"/>
      <c r="K338" s="96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</row>
    <row r="339" spans="1:25" x14ac:dyDescent="0.25">
      <c r="A339" s="81"/>
      <c r="B339" s="319"/>
      <c r="C339" s="81"/>
      <c r="D339" s="81"/>
      <c r="E339" s="397"/>
      <c r="F339" s="397"/>
      <c r="G339" s="397"/>
      <c r="H339" s="88"/>
      <c r="I339" s="88"/>
      <c r="J339" s="88"/>
      <c r="K339" s="96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</row>
    <row r="340" spans="1:25" x14ac:dyDescent="0.25">
      <c r="A340" s="81"/>
      <c r="B340" s="319"/>
      <c r="C340" s="81"/>
      <c r="D340" s="81"/>
      <c r="E340" s="397"/>
      <c r="F340" s="397"/>
      <c r="G340" s="397"/>
      <c r="H340" s="88"/>
      <c r="I340" s="88"/>
      <c r="J340" s="88"/>
      <c r="K340" s="96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</row>
    <row r="341" spans="1:25" x14ac:dyDescent="0.25">
      <c r="A341" s="81"/>
      <c r="B341" s="319"/>
      <c r="C341" s="81"/>
      <c r="D341" s="81"/>
      <c r="E341" s="397"/>
      <c r="F341" s="397"/>
      <c r="G341" s="397"/>
      <c r="H341" s="88"/>
      <c r="I341" s="88"/>
      <c r="J341" s="88"/>
      <c r="K341" s="96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</row>
    <row r="342" spans="1:25" x14ac:dyDescent="0.25">
      <c r="A342" s="81"/>
      <c r="B342" s="319"/>
      <c r="C342" s="81"/>
      <c r="D342" s="81"/>
      <c r="E342" s="397"/>
      <c r="F342" s="397"/>
      <c r="G342" s="397"/>
      <c r="H342" s="88"/>
      <c r="I342" s="88"/>
      <c r="J342" s="88"/>
      <c r="K342" s="96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</row>
    <row r="343" spans="1:25" x14ac:dyDescent="0.25">
      <c r="A343" s="81"/>
      <c r="B343" s="319"/>
      <c r="C343" s="81"/>
      <c r="D343" s="81"/>
      <c r="E343" s="397"/>
      <c r="F343" s="397"/>
      <c r="G343" s="397"/>
      <c r="H343" s="88"/>
      <c r="I343" s="88"/>
      <c r="J343" s="88"/>
      <c r="K343" s="96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</row>
    <row r="344" spans="1:25" x14ac:dyDescent="0.25">
      <c r="A344" s="81"/>
      <c r="B344" s="319"/>
      <c r="C344" s="81"/>
      <c r="D344" s="81"/>
      <c r="E344" s="397"/>
      <c r="F344" s="397"/>
      <c r="G344" s="397"/>
      <c r="H344" s="88"/>
      <c r="I344" s="88"/>
      <c r="J344" s="88"/>
      <c r="K344" s="96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</row>
    <row r="345" spans="1:25" x14ac:dyDescent="0.25">
      <c r="A345" s="81"/>
      <c r="B345" s="319"/>
      <c r="C345" s="81"/>
      <c r="D345" s="81"/>
      <c r="E345" s="397"/>
      <c r="F345" s="397"/>
      <c r="G345" s="397"/>
      <c r="H345" s="88"/>
      <c r="I345" s="88"/>
      <c r="J345" s="88"/>
      <c r="K345" s="96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</row>
    <row r="346" spans="1:25" x14ac:dyDescent="0.25">
      <c r="A346" s="81"/>
      <c r="B346" s="319"/>
      <c r="C346" s="81"/>
      <c r="D346" s="81"/>
      <c r="E346" s="397"/>
      <c r="F346" s="397"/>
      <c r="G346" s="397"/>
      <c r="H346" s="88"/>
      <c r="I346" s="88"/>
      <c r="J346" s="88"/>
      <c r="K346" s="96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</row>
    <row r="347" spans="1:25" x14ac:dyDescent="0.25">
      <c r="A347" s="81"/>
      <c r="B347" s="319"/>
      <c r="C347" s="81"/>
      <c r="D347" s="81"/>
      <c r="E347" s="397"/>
      <c r="F347" s="397"/>
      <c r="G347" s="397"/>
      <c r="H347" s="88"/>
      <c r="I347" s="88"/>
      <c r="J347" s="88"/>
      <c r="K347" s="96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</row>
    <row r="348" spans="1:25" x14ac:dyDescent="0.25">
      <c r="A348" s="81"/>
      <c r="B348" s="319"/>
      <c r="C348" s="81"/>
      <c r="D348" s="81"/>
      <c r="E348" s="397"/>
      <c r="F348" s="397"/>
      <c r="G348" s="397"/>
      <c r="H348" s="88"/>
      <c r="I348" s="88"/>
      <c r="J348" s="88"/>
      <c r="K348" s="96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</row>
    <row r="349" spans="1:25" x14ac:dyDescent="0.25">
      <c r="A349" s="81"/>
      <c r="B349" s="319"/>
      <c r="C349" s="81"/>
      <c r="D349" s="81"/>
      <c r="E349" s="397"/>
      <c r="F349" s="397"/>
      <c r="G349" s="397"/>
      <c r="H349" s="88"/>
      <c r="I349" s="88"/>
      <c r="J349" s="88"/>
      <c r="K349" s="96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</row>
    <row r="350" spans="1:25" x14ac:dyDescent="0.25">
      <c r="A350" s="81"/>
      <c r="B350" s="319"/>
      <c r="C350" s="81"/>
      <c r="D350" s="81"/>
      <c r="E350" s="397"/>
      <c r="F350" s="397"/>
      <c r="G350" s="397"/>
      <c r="H350" s="88"/>
      <c r="I350" s="88"/>
      <c r="J350" s="88"/>
      <c r="K350" s="96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</row>
    <row r="351" spans="1:25" x14ac:dyDescent="0.25">
      <c r="A351" s="81"/>
      <c r="B351" s="319"/>
      <c r="C351" s="81"/>
      <c r="D351" s="81"/>
      <c r="E351" s="397"/>
      <c r="F351" s="397"/>
      <c r="G351" s="397"/>
      <c r="H351" s="88"/>
      <c r="I351" s="88"/>
      <c r="J351" s="88"/>
      <c r="K351" s="96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</row>
    <row r="352" spans="1:25" x14ac:dyDescent="0.25">
      <c r="A352" s="81"/>
      <c r="B352" s="319"/>
      <c r="C352" s="81"/>
      <c r="D352" s="81"/>
      <c r="E352" s="397"/>
      <c r="F352" s="397"/>
      <c r="G352" s="397"/>
      <c r="H352" s="88"/>
      <c r="I352" s="88"/>
      <c r="J352" s="88"/>
      <c r="K352" s="96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</row>
    <row r="353" spans="1:25" x14ac:dyDescent="0.25">
      <c r="A353" s="81"/>
      <c r="B353" s="319"/>
      <c r="C353" s="81"/>
      <c r="D353" s="81"/>
      <c r="E353" s="397"/>
      <c r="F353" s="397"/>
      <c r="G353" s="397"/>
      <c r="H353" s="88"/>
      <c r="I353" s="88"/>
      <c r="J353" s="88"/>
      <c r="K353" s="96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</row>
    <row r="354" spans="1:25" x14ac:dyDescent="0.25">
      <c r="A354" s="81"/>
      <c r="B354" s="319"/>
      <c r="C354" s="81"/>
      <c r="D354" s="81"/>
      <c r="E354" s="397"/>
      <c r="F354" s="397"/>
      <c r="G354" s="397"/>
      <c r="H354" s="88"/>
      <c r="I354" s="88"/>
      <c r="J354" s="88"/>
      <c r="K354" s="96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</row>
    <row r="355" spans="1:25" x14ac:dyDescent="0.25">
      <c r="A355" s="81"/>
      <c r="B355" s="319"/>
      <c r="C355" s="81"/>
      <c r="D355" s="81"/>
      <c r="E355" s="397"/>
      <c r="F355" s="397"/>
      <c r="G355" s="397"/>
      <c r="H355" s="88"/>
      <c r="I355" s="88"/>
      <c r="J355" s="88"/>
      <c r="K355" s="96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</row>
    <row r="356" spans="1:25" x14ac:dyDescent="0.25">
      <c r="A356" s="81"/>
      <c r="B356" s="319"/>
      <c r="C356" s="81"/>
      <c r="D356" s="81"/>
      <c r="E356" s="397"/>
      <c r="F356" s="397"/>
      <c r="G356" s="397"/>
      <c r="H356" s="88"/>
      <c r="I356" s="88"/>
      <c r="J356" s="88"/>
      <c r="K356" s="96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</row>
    <row r="357" spans="1:25" x14ac:dyDescent="0.25">
      <c r="A357" s="81"/>
      <c r="B357" s="319"/>
      <c r="C357" s="81"/>
      <c r="D357" s="81"/>
      <c r="E357" s="397"/>
      <c r="F357" s="397"/>
      <c r="G357" s="397"/>
      <c r="H357" s="88"/>
      <c r="I357" s="88"/>
      <c r="J357" s="88"/>
      <c r="K357" s="96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</row>
    <row r="358" spans="1:25" x14ac:dyDescent="0.25">
      <c r="A358" s="81"/>
      <c r="B358" s="319"/>
      <c r="C358" s="81"/>
      <c r="D358" s="81"/>
      <c r="E358" s="397"/>
      <c r="F358" s="397"/>
      <c r="G358" s="397"/>
      <c r="H358" s="88"/>
      <c r="I358" s="88"/>
      <c r="J358" s="88"/>
      <c r="K358" s="96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</row>
    <row r="359" spans="1:25" x14ac:dyDescent="0.25">
      <c r="A359" s="81"/>
      <c r="B359" s="319"/>
      <c r="C359" s="81"/>
      <c r="D359" s="81"/>
      <c r="E359" s="397"/>
      <c r="F359" s="397"/>
      <c r="G359" s="397"/>
      <c r="H359" s="88"/>
      <c r="I359" s="88"/>
      <c r="J359" s="88"/>
      <c r="K359" s="96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</row>
    <row r="360" spans="1:25" x14ac:dyDescent="0.25">
      <c r="A360" s="81"/>
      <c r="B360" s="319"/>
      <c r="C360" s="81"/>
      <c r="D360" s="81"/>
      <c r="E360" s="397"/>
      <c r="F360" s="397"/>
      <c r="G360" s="397"/>
      <c r="H360" s="88"/>
      <c r="I360" s="88"/>
      <c r="J360" s="88"/>
      <c r="K360" s="96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</row>
    <row r="361" spans="1:25" x14ac:dyDescent="0.25">
      <c r="A361" s="81"/>
      <c r="B361" s="319"/>
      <c r="C361" s="81"/>
      <c r="D361" s="81"/>
      <c r="E361" s="397"/>
      <c r="F361" s="397"/>
      <c r="G361" s="397"/>
      <c r="H361" s="88"/>
      <c r="I361" s="88"/>
      <c r="J361" s="88"/>
      <c r="K361" s="96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</row>
    <row r="362" spans="1:25" x14ac:dyDescent="0.25">
      <c r="A362" s="81"/>
      <c r="B362" s="319"/>
      <c r="C362" s="81"/>
      <c r="D362" s="81"/>
      <c r="E362" s="397"/>
      <c r="F362" s="397"/>
      <c r="G362" s="397"/>
      <c r="H362" s="88"/>
      <c r="I362" s="88"/>
      <c r="J362" s="88"/>
      <c r="K362" s="96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</row>
    <row r="363" spans="1:25" x14ac:dyDescent="0.25">
      <c r="A363" s="81"/>
      <c r="B363" s="319"/>
      <c r="C363" s="81"/>
      <c r="D363" s="81"/>
      <c r="E363" s="397"/>
      <c r="F363" s="397"/>
      <c r="G363" s="397"/>
      <c r="H363" s="88"/>
      <c r="I363" s="88"/>
      <c r="J363" s="88"/>
      <c r="K363" s="96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</row>
    <row r="364" spans="1:25" x14ac:dyDescent="0.25">
      <c r="A364" s="81"/>
      <c r="B364" s="319"/>
      <c r="C364" s="81"/>
      <c r="D364" s="81"/>
      <c r="E364" s="397"/>
      <c r="F364" s="397"/>
      <c r="G364" s="397"/>
      <c r="H364" s="88"/>
      <c r="I364" s="88"/>
      <c r="J364" s="88"/>
      <c r="K364" s="96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</row>
    <row r="365" spans="1:25" x14ac:dyDescent="0.25">
      <c r="A365" s="81"/>
      <c r="B365" s="319"/>
      <c r="C365" s="81"/>
      <c r="D365" s="81"/>
      <c r="E365" s="397"/>
      <c r="F365" s="397"/>
      <c r="G365" s="397"/>
      <c r="H365" s="88"/>
      <c r="I365" s="88"/>
      <c r="J365" s="88"/>
      <c r="K365" s="96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</row>
    <row r="366" spans="1:25" x14ac:dyDescent="0.25">
      <c r="A366" s="81"/>
      <c r="B366" s="319"/>
      <c r="C366" s="81"/>
      <c r="D366" s="81"/>
      <c r="E366" s="397"/>
      <c r="F366" s="397"/>
      <c r="G366" s="397"/>
      <c r="H366" s="88"/>
      <c r="I366" s="88"/>
      <c r="J366" s="88"/>
      <c r="K366" s="96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</row>
    <row r="367" spans="1:25" x14ac:dyDescent="0.25">
      <c r="A367" s="81"/>
      <c r="B367" s="319"/>
      <c r="C367" s="81"/>
      <c r="D367" s="81"/>
      <c r="E367" s="397"/>
      <c r="F367" s="397"/>
      <c r="G367" s="397"/>
      <c r="H367" s="88"/>
      <c r="I367" s="88"/>
      <c r="J367" s="88"/>
      <c r="K367" s="96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</row>
    <row r="368" spans="1:25" x14ac:dyDescent="0.25">
      <c r="A368" s="81"/>
      <c r="B368" s="319"/>
      <c r="C368" s="81"/>
      <c r="D368" s="81"/>
      <c r="E368" s="397"/>
      <c r="F368" s="397"/>
      <c r="G368" s="397"/>
      <c r="H368" s="88"/>
      <c r="I368" s="88"/>
      <c r="J368" s="88"/>
      <c r="K368" s="96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</row>
    <row r="369" spans="1:25" x14ac:dyDescent="0.25">
      <c r="A369" s="81"/>
      <c r="B369" s="319"/>
      <c r="C369" s="81"/>
      <c r="D369" s="81"/>
      <c r="E369" s="397"/>
      <c r="F369" s="397"/>
      <c r="G369" s="397"/>
      <c r="H369" s="88"/>
      <c r="I369" s="88"/>
      <c r="J369" s="88"/>
      <c r="K369" s="96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</row>
    <row r="370" spans="1:25" x14ac:dyDescent="0.25">
      <c r="A370" s="81"/>
      <c r="B370" s="319"/>
      <c r="C370" s="81"/>
      <c r="D370" s="81"/>
      <c r="E370" s="397"/>
      <c r="F370" s="397"/>
      <c r="G370" s="397"/>
      <c r="H370" s="88"/>
      <c r="I370" s="88"/>
      <c r="J370" s="88"/>
      <c r="K370" s="96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</row>
    <row r="371" spans="1:25" x14ac:dyDescent="0.25">
      <c r="A371" s="81"/>
      <c r="B371" s="319"/>
      <c r="C371" s="81"/>
      <c r="D371" s="81"/>
      <c r="E371" s="397"/>
      <c r="F371" s="397"/>
      <c r="G371" s="397"/>
      <c r="H371" s="88"/>
      <c r="I371" s="88"/>
      <c r="J371" s="88"/>
      <c r="K371" s="96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</row>
    <row r="372" spans="1:25" x14ac:dyDescent="0.25">
      <c r="A372" s="81"/>
      <c r="B372" s="319"/>
      <c r="C372" s="81"/>
      <c r="D372" s="81"/>
      <c r="E372" s="397"/>
      <c r="F372" s="397"/>
      <c r="G372" s="397"/>
      <c r="H372" s="88"/>
      <c r="I372" s="88"/>
      <c r="J372" s="88"/>
      <c r="K372" s="96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</row>
    <row r="373" spans="1:25" x14ac:dyDescent="0.25">
      <c r="A373" s="81"/>
      <c r="B373" s="319"/>
      <c r="C373" s="81"/>
      <c r="D373" s="81"/>
      <c r="E373" s="397"/>
      <c r="F373" s="397"/>
      <c r="G373" s="397"/>
      <c r="H373" s="88"/>
      <c r="I373" s="88"/>
      <c r="J373" s="88"/>
      <c r="K373" s="96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</row>
    <row r="374" spans="1:25" x14ac:dyDescent="0.25">
      <c r="A374" s="81"/>
      <c r="B374" s="319"/>
      <c r="C374" s="81"/>
      <c r="D374" s="81"/>
      <c r="E374" s="397"/>
      <c r="F374" s="397"/>
      <c r="G374" s="397"/>
      <c r="H374" s="88"/>
      <c r="I374" s="88"/>
      <c r="J374" s="88"/>
      <c r="K374" s="96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</row>
    <row r="375" spans="1:25" x14ac:dyDescent="0.25">
      <c r="A375" s="81"/>
      <c r="B375" s="319"/>
      <c r="C375" s="81"/>
      <c r="D375" s="81"/>
      <c r="E375" s="397"/>
      <c r="F375" s="397"/>
      <c r="G375" s="397"/>
      <c r="H375" s="88"/>
      <c r="I375" s="88"/>
      <c r="J375" s="88"/>
      <c r="K375" s="96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</row>
    <row r="376" spans="1:25" x14ac:dyDescent="0.25">
      <c r="A376" s="81"/>
      <c r="B376" s="319"/>
      <c r="C376" s="81"/>
      <c r="D376" s="81"/>
      <c r="E376" s="397"/>
      <c r="F376" s="397"/>
      <c r="G376" s="397"/>
      <c r="H376" s="88"/>
      <c r="I376" s="88"/>
      <c r="J376" s="88"/>
      <c r="K376" s="96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</row>
    <row r="377" spans="1:25" x14ac:dyDescent="0.25">
      <c r="A377" s="81"/>
      <c r="B377" s="319"/>
      <c r="C377" s="81"/>
      <c r="D377" s="81"/>
      <c r="E377" s="397"/>
      <c r="F377" s="397"/>
      <c r="G377" s="397"/>
      <c r="H377" s="88"/>
      <c r="I377" s="88"/>
      <c r="J377" s="88"/>
      <c r="K377" s="96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</row>
    <row r="378" spans="1:25" x14ac:dyDescent="0.25">
      <c r="A378" s="81"/>
      <c r="B378" s="319"/>
      <c r="C378" s="81"/>
      <c r="D378" s="81"/>
      <c r="E378" s="397"/>
      <c r="F378" s="397"/>
      <c r="G378" s="397"/>
      <c r="H378" s="88"/>
      <c r="I378" s="88"/>
      <c r="J378" s="88"/>
      <c r="K378" s="96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</row>
    <row r="379" spans="1:25" x14ac:dyDescent="0.25">
      <c r="A379" s="81"/>
      <c r="B379" s="319"/>
      <c r="C379" s="81"/>
      <c r="D379" s="81"/>
      <c r="E379" s="397"/>
      <c r="F379" s="397"/>
      <c r="G379" s="397"/>
      <c r="H379" s="88"/>
      <c r="I379" s="88"/>
      <c r="J379" s="88"/>
      <c r="K379" s="96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</row>
    <row r="380" spans="1:25" x14ac:dyDescent="0.25">
      <c r="A380" s="81"/>
      <c r="B380" s="319"/>
      <c r="C380" s="81"/>
      <c r="D380" s="81"/>
      <c r="E380" s="397"/>
      <c r="F380" s="397"/>
      <c r="G380" s="397"/>
      <c r="H380" s="88"/>
      <c r="I380" s="88"/>
      <c r="J380" s="88"/>
      <c r="K380" s="96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</row>
    <row r="381" spans="1:25" x14ac:dyDescent="0.25">
      <c r="A381" s="81"/>
      <c r="B381" s="319"/>
      <c r="C381" s="81"/>
      <c r="D381" s="81"/>
      <c r="E381" s="397"/>
      <c r="F381" s="397"/>
      <c r="G381" s="397"/>
      <c r="H381" s="88"/>
      <c r="I381" s="88"/>
      <c r="J381" s="88"/>
      <c r="K381" s="96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</row>
    <row r="382" spans="1:25" x14ac:dyDescent="0.25">
      <c r="A382" s="81"/>
      <c r="B382" s="319"/>
      <c r="C382" s="81"/>
      <c r="D382" s="81"/>
      <c r="E382" s="397"/>
      <c r="F382" s="397"/>
      <c r="G382" s="397"/>
      <c r="H382" s="88"/>
      <c r="I382" s="88"/>
      <c r="J382" s="88"/>
      <c r="K382" s="96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</row>
    <row r="383" spans="1:25" x14ac:dyDescent="0.25">
      <c r="A383" s="81"/>
      <c r="B383" s="319"/>
      <c r="C383" s="81"/>
      <c r="D383" s="81"/>
      <c r="E383" s="397"/>
      <c r="F383" s="397"/>
      <c r="G383" s="397"/>
      <c r="H383" s="88"/>
      <c r="I383" s="88"/>
      <c r="J383" s="88"/>
      <c r="K383" s="96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</row>
    <row r="384" spans="1:25" x14ac:dyDescent="0.25">
      <c r="A384" s="81"/>
      <c r="B384" s="319"/>
      <c r="C384" s="81"/>
      <c r="D384" s="81"/>
      <c r="E384" s="397"/>
      <c r="F384" s="397"/>
      <c r="G384" s="397"/>
      <c r="H384" s="88"/>
      <c r="I384" s="88"/>
      <c r="J384" s="88"/>
      <c r="K384" s="96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</row>
    <row r="385" spans="1:25" x14ac:dyDescent="0.25">
      <c r="A385" s="81"/>
      <c r="B385" s="319"/>
      <c r="C385" s="81"/>
      <c r="D385" s="81"/>
      <c r="E385" s="397"/>
      <c r="F385" s="397"/>
      <c r="G385" s="397"/>
      <c r="H385" s="88"/>
      <c r="I385" s="88"/>
      <c r="J385" s="88"/>
      <c r="K385" s="96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</row>
    <row r="386" spans="1:25" x14ac:dyDescent="0.25">
      <c r="A386" s="81"/>
      <c r="B386" s="319"/>
      <c r="C386" s="81"/>
      <c r="D386" s="81"/>
      <c r="E386" s="397"/>
      <c r="F386" s="397"/>
      <c r="G386" s="397"/>
      <c r="H386" s="88"/>
      <c r="I386" s="88"/>
      <c r="J386" s="88"/>
      <c r="K386" s="96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</row>
    <row r="387" spans="1:25" x14ac:dyDescent="0.25">
      <c r="A387" s="81"/>
      <c r="B387" s="319"/>
      <c r="C387" s="81"/>
      <c r="D387" s="81"/>
      <c r="E387" s="397"/>
      <c r="F387" s="397"/>
      <c r="G387" s="397"/>
      <c r="H387" s="88"/>
      <c r="I387" s="88"/>
      <c r="J387" s="88"/>
      <c r="K387" s="96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</row>
    <row r="388" spans="1:25" x14ac:dyDescent="0.25">
      <c r="A388" s="81"/>
      <c r="B388" s="319"/>
      <c r="C388" s="81"/>
      <c r="D388" s="81"/>
      <c r="E388" s="397"/>
      <c r="F388" s="397"/>
      <c r="G388" s="397"/>
      <c r="H388" s="88"/>
      <c r="I388" s="88"/>
      <c r="J388" s="88"/>
      <c r="K388" s="96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</row>
    <row r="389" spans="1:25" x14ac:dyDescent="0.25">
      <c r="A389" s="81"/>
      <c r="B389" s="319"/>
      <c r="C389" s="81"/>
      <c r="D389" s="81"/>
      <c r="E389" s="397"/>
      <c r="F389" s="397"/>
      <c r="G389" s="397"/>
      <c r="H389" s="88"/>
      <c r="I389" s="88"/>
      <c r="J389" s="88"/>
      <c r="K389" s="96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</row>
    <row r="390" spans="1:25" x14ac:dyDescent="0.25">
      <c r="A390" s="81"/>
      <c r="B390" s="319"/>
      <c r="C390" s="81"/>
      <c r="D390" s="81"/>
      <c r="E390" s="397"/>
      <c r="F390" s="397"/>
      <c r="G390" s="397"/>
      <c r="H390" s="88"/>
      <c r="I390" s="88"/>
      <c r="J390" s="88"/>
      <c r="K390" s="96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</row>
    <row r="391" spans="1:25" x14ac:dyDescent="0.25">
      <c r="A391" s="81"/>
      <c r="B391" s="319"/>
      <c r="C391" s="81"/>
      <c r="D391" s="81"/>
      <c r="E391" s="397"/>
      <c r="F391" s="397"/>
      <c r="G391" s="397"/>
      <c r="H391" s="88"/>
      <c r="I391" s="88"/>
      <c r="J391" s="88"/>
      <c r="K391" s="96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</row>
    <row r="392" spans="1:25" x14ac:dyDescent="0.25">
      <c r="A392" s="81"/>
      <c r="B392" s="319"/>
      <c r="C392" s="81"/>
      <c r="D392" s="81"/>
      <c r="E392" s="397"/>
      <c r="F392" s="397"/>
      <c r="G392" s="397"/>
      <c r="H392" s="88"/>
      <c r="I392" s="88"/>
      <c r="J392" s="88"/>
      <c r="K392" s="96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</row>
    <row r="393" spans="1:25" x14ac:dyDescent="0.25">
      <c r="A393" s="81"/>
      <c r="B393" s="319"/>
      <c r="C393" s="81"/>
      <c r="D393" s="81"/>
      <c r="E393" s="397"/>
      <c r="F393" s="397"/>
      <c r="G393" s="397"/>
      <c r="H393" s="88"/>
      <c r="I393" s="88"/>
      <c r="J393" s="88"/>
      <c r="K393" s="96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</row>
    <row r="394" spans="1:25" x14ac:dyDescent="0.25">
      <c r="A394" s="81"/>
      <c r="B394" s="319"/>
      <c r="C394" s="81"/>
      <c r="D394" s="81"/>
      <c r="E394" s="397"/>
      <c r="F394" s="397"/>
      <c r="G394" s="397"/>
      <c r="H394" s="88"/>
      <c r="I394" s="88"/>
      <c r="J394" s="88"/>
      <c r="K394" s="96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</row>
    <row r="395" spans="1:25" x14ac:dyDescent="0.25">
      <c r="A395" s="81"/>
      <c r="B395" s="319"/>
      <c r="C395" s="81"/>
      <c r="D395" s="81"/>
      <c r="E395" s="397"/>
      <c r="F395" s="397"/>
      <c r="G395" s="397"/>
      <c r="H395" s="88"/>
      <c r="I395" s="88"/>
      <c r="J395" s="88"/>
      <c r="K395" s="96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</row>
    <row r="396" spans="1:25" x14ac:dyDescent="0.25">
      <c r="A396" s="81"/>
      <c r="B396" s="319"/>
      <c r="C396" s="81"/>
      <c r="D396" s="81"/>
      <c r="E396" s="397"/>
      <c r="F396" s="397"/>
      <c r="G396" s="397"/>
      <c r="H396" s="88"/>
      <c r="I396" s="88"/>
      <c r="J396" s="88"/>
      <c r="K396" s="96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</row>
    <row r="397" spans="1:25" x14ac:dyDescent="0.25">
      <c r="A397" s="81"/>
      <c r="B397" s="319"/>
      <c r="C397" s="81"/>
      <c r="D397" s="81"/>
      <c r="E397" s="397"/>
      <c r="F397" s="397"/>
      <c r="G397" s="397"/>
      <c r="H397" s="88"/>
      <c r="I397" s="88"/>
      <c r="J397" s="88"/>
      <c r="K397" s="96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</row>
    <row r="398" spans="1:25" x14ac:dyDescent="0.25">
      <c r="A398" s="81"/>
      <c r="B398" s="319"/>
      <c r="C398" s="81"/>
      <c r="D398" s="81"/>
      <c r="E398" s="397"/>
      <c r="F398" s="397"/>
      <c r="G398" s="397"/>
      <c r="H398" s="88"/>
      <c r="I398" s="88"/>
      <c r="J398" s="88"/>
      <c r="K398" s="96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</row>
    <row r="399" spans="1:25" x14ac:dyDescent="0.25">
      <c r="A399" s="81"/>
      <c r="B399" s="319"/>
      <c r="C399" s="81"/>
      <c r="D399" s="81"/>
      <c r="E399" s="397"/>
      <c r="F399" s="397"/>
      <c r="G399" s="397"/>
      <c r="H399" s="88"/>
      <c r="I399" s="88"/>
      <c r="J399" s="88"/>
      <c r="K399" s="96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</row>
    <row r="400" spans="1:25" x14ac:dyDescent="0.25">
      <c r="A400" s="81"/>
      <c r="B400" s="319"/>
      <c r="C400" s="81"/>
      <c r="D400" s="81"/>
      <c r="E400" s="397"/>
      <c r="F400" s="397"/>
      <c r="G400" s="397"/>
      <c r="H400" s="88"/>
      <c r="I400" s="88"/>
      <c r="J400" s="88"/>
      <c r="K400" s="96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</row>
    <row r="401" spans="1:25" x14ac:dyDescent="0.25">
      <c r="A401" s="81"/>
      <c r="B401" s="319"/>
      <c r="C401" s="81"/>
      <c r="D401" s="81"/>
      <c r="E401" s="397"/>
      <c r="F401" s="397"/>
      <c r="G401" s="397"/>
      <c r="H401" s="88"/>
      <c r="I401" s="88"/>
      <c r="J401" s="88"/>
      <c r="K401" s="96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</row>
    <row r="402" spans="1:25" x14ac:dyDescent="0.25">
      <c r="A402" s="81"/>
      <c r="B402" s="319"/>
      <c r="C402" s="81"/>
      <c r="D402" s="81"/>
      <c r="E402" s="397"/>
      <c r="F402" s="397"/>
      <c r="G402" s="397"/>
      <c r="H402" s="88"/>
      <c r="I402" s="88"/>
      <c r="J402" s="88"/>
      <c r="K402" s="96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</row>
    <row r="403" spans="1:25" x14ac:dyDescent="0.25">
      <c r="A403" s="81"/>
      <c r="B403" s="319"/>
      <c r="C403" s="81"/>
      <c r="D403" s="81"/>
      <c r="E403" s="397"/>
      <c r="F403" s="397"/>
      <c r="G403" s="397"/>
      <c r="H403" s="88"/>
      <c r="I403" s="88"/>
      <c r="J403" s="88"/>
      <c r="K403" s="96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</row>
    <row r="404" spans="1:25" x14ac:dyDescent="0.25">
      <c r="A404" s="81"/>
      <c r="B404" s="319"/>
      <c r="C404" s="81"/>
      <c r="D404" s="81"/>
      <c r="E404" s="397"/>
      <c r="F404" s="397"/>
      <c r="G404" s="397"/>
      <c r="H404" s="88"/>
      <c r="I404" s="88"/>
      <c r="J404" s="88"/>
      <c r="K404" s="96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</row>
    <row r="405" spans="1:25" x14ac:dyDescent="0.25">
      <c r="A405" s="81"/>
      <c r="B405" s="319"/>
      <c r="C405" s="81"/>
      <c r="D405" s="81"/>
      <c r="E405" s="397"/>
      <c r="F405" s="397"/>
      <c r="G405" s="397"/>
      <c r="H405" s="88"/>
      <c r="I405" s="88"/>
      <c r="J405" s="88"/>
      <c r="K405" s="96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</row>
    <row r="406" spans="1:25" x14ac:dyDescent="0.25">
      <c r="A406" s="81"/>
      <c r="B406" s="319"/>
      <c r="C406" s="81"/>
      <c r="D406" s="81"/>
      <c r="E406" s="397"/>
      <c r="F406" s="397"/>
      <c r="G406" s="397"/>
      <c r="H406" s="88"/>
      <c r="I406" s="88"/>
      <c r="J406" s="88"/>
      <c r="K406" s="96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</row>
    <row r="407" spans="1:25" x14ac:dyDescent="0.25">
      <c r="A407" s="81"/>
      <c r="B407" s="319"/>
      <c r="C407" s="81"/>
      <c r="D407" s="81"/>
      <c r="E407" s="397"/>
      <c r="F407" s="397"/>
      <c r="G407" s="397"/>
      <c r="H407" s="88"/>
      <c r="I407" s="88"/>
      <c r="J407" s="88"/>
      <c r="K407" s="96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</row>
    <row r="408" spans="1:25" x14ac:dyDescent="0.25">
      <c r="A408" s="81"/>
      <c r="B408" s="319"/>
      <c r="C408" s="81"/>
      <c r="D408" s="81"/>
      <c r="E408" s="397"/>
      <c r="F408" s="397"/>
      <c r="G408" s="397"/>
      <c r="H408" s="88"/>
      <c r="I408" s="88"/>
      <c r="J408" s="88"/>
      <c r="K408" s="96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</row>
    <row r="409" spans="1:25" x14ac:dyDescent="0.25">
      <c r="A409" s="81"/>
      <c r="B409" s="319"/>
      <c r="C409" s="81"/>
      <c r="D409" s="81"/>
      <c r="E409" s="397"/>
      <c r="F409" s="397"/>
      <c r="G409" s="397"/>
      <c r="H409" s="88"/>
      <c r="I409" s="88"/>
      <c r="J409" s="88"/>
      <c r="K409" s="96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</row>
    <row r="410" spans="1:25" x14ac:dyDescent="0.25">
      <c r="A410" s="81"/>
      <c r="B410" s="319"/>
      <c r="C410" s="81"/>
      <c r="D410" s="81"/>
      <c r="E410" s="397"/>
      <c r="F410" s="397"/>
      <c r="G410" s="397"/>
      <c r="H410" s="88"/>
      <c r="I410" s="88"/>
      <c r="J410" s="88"/>
      <c r="K410" s="96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</row>
    <row r="411" spans="1:25" x14ac:dyDescent="0.25">
      <c r="A411" s="81"/>
      <c r="B411" s="319"/>
      <c r="C411" s="81"/>
      <c r="D411" s="81"/>
      <c r="E411" s="397"/>
      <c r="F411" s="397"/>
      <c r="G411" s="397"/>
      <c r="H411" s="88"/>
      <c r="I411" s="88"/>
      <c r="J411" s="88"/>
      <c r="K411" s="96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</row>
    <row r="412" spans="1:25" x14ac:dyDescent="0.25">
      <c r="A412" s="81"/>
      <c r="B412" s="319"/>
      <c r="C412" s="81"/>
      <c r="D412" s="81"/>
      <c r="E412" s="397"/>
      <c r="F412" s="397"/>
      <c r="G412" s="397"/>
      <c r="H412" s="88"/>
      <c r="I412" s="88"/>
      <c r="J412" s="88"/>
      <c r="K412" s="96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</row>
    <row r="413" spans="1:25" x14ac:dyDescent="0.25">
      <c r="A413" s="81"/>
      <c r="B413" s="319"/>
      <c r="C413" s="81"/>
      <c r="D413" s="81"/>
      <c r="E413" s="397"/>
      <c r="F413" s="397"/>
      <c r="G413" s="397"/>
      <c r="H413" s="88"/>
      <c r="I413" s="88"/>
      <c r="J413" s="88"/>
      <c r="K413" s="96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</row>
    <row r="414" spans="1:25" x14ac:dyDescent="0.25">
      <c r="A414" s="81"/>
      <c r="B414" s="319"/>
      <c r="C414" s="81"/>
      <c r="D414" s="81"/>
      <c r="E414" s="397"/>
      <c r="F414" s="397"/>
      <c r="G414" s="397"/>
      <c r="H414" s="88"/>
      <c r="I414" s="88"/>
      <c r="J414" s="88"/>
      <c r="K414" s="96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</row>
    <row r="415" spans="1:25" x14ac:dyDescent="0.25">
      <c r="A415" s="81"/>
      <c r="B415" s="319"/>
      <c r="C415" s="81"/>
      <c r="D415" s="81"/>
      <c r="E415" s="397"/>
      <c r="F415" s="397"/>
      <c r="G415" s="397"/>
      <c r="H415" s="88"/>
      <c r="I415" s="88"/>
      <c r="J415" s="88"/>
      <c r="K415" s="96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</row>
    <row r="416" spans="1:25" x14ac:dyDescent="0.25">
      <c r="A416" s="81"/>
      <c r="B416" s="319"/>
      <c r="C416" s="81"/>
      <c r="D416" s="81"/>
      <c r="E416" s="397"/>
      <c r="F416" s="397"/>
      <c r="G416" s="397"/>
      <c r="H416" s="88"/>
      <c r="I416" s="88"/>
      <c r="J416" s="88"/>
      <c r="K416" s="96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</row>
    <row r="417" spans="1:25" x14ac:dyDescent="0.25">
      <c r="A417" s="81"/>
      <c r="B417" s="319"/>
      <c r="C417" s="81"/>
      <c r="D417" s="81"/>
      <c r="E417" s="397"/>
      <c r="F417" s="397"/>
      <c r="G417" s="397"/>
      <c r="H417" s="88"/>
      <c r="I417" s="88"/>
      <c r="J417" s="88"/>
      <c r="K417" s="96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</row>
    <row r="418" spans="1:25" x14ac:dyDescent="0.25">
      <c r="A418" s="81"/>
      <c r="B418" s="319"/>
      <c r="C418" s="81"/>
      <c r="D418" s="81"/>
      <c r="E418" s="397"/>
      <c r="F418" s="397"/>
      <c r="G418" s="397"/>
      <c r="H418" s="88"/>
      <c r="I418" s="88"/>
      <c r="J418" s="88"/>
      <c r="K418" s="96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</row>
    <row r="419" spans="1:25" x14ac:dyDescent="0.25">
      <c r="A419" s="81"/>
      <c r="B419" s="319"/>
      <c r="C419" s="81"/>
      <c r="D419" s="81"/>
      <c r="E419" s="397"/>
      <c r="F419" s="397"/>
      <c r="G419" s="397"/>
      <c r="H419" s="88"/>
      <c r="I419" s="88"/>
      <c r="J419" s="88"/>
      <c r="K419" s="96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</row>
    <row r="420" spans="1:25" x14ac:dyDescent="0.25">
      <c r="A420" s="81"/>
      <c r="B420" s="319"/>
      <c r="C420" s="81"/>
      <c r="D420" s="81"/>
      <c r="E420" s="397"/>
      <c r="F420" s="397"/>
      <c r="G420" s="397"/>
      <c r="H420" s="88"/>
      <c r="I420" s="88"/>
      <c r="J420" s="88"/>
      <c r="K420" s="96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</row>
    <row r="421" spans="1:25" x14ac:dyDescent="0.25">
      <c r="A421" s="81"/>
      <c r="B421" s="319"/>
      <c r="C421" s="81"/>
      <c r="D421" s="81"/>
      <c r="E421" s="397"/>
      <c r="F421" s="397"/>
      <c r="G421" s="397"/>
      <c r="H421" s="88"/>
      <c r="I421" s="88"/>
      <c r="J421" s="88"/>
      <c r="K421" s="96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</row>
    <row r="422" spans="1:25" x14ac:dyDescent="0.25">
      <c r="A422" s="81"/>
      <c r="B422" s="319"/>
      <c r="C422" s="81"/>
      <c r="D422" s="81"/>
      <c r="E422" s="397"/>
      <c r="F422" s="397"/>
      <c r="G422" s="397"/>
      <c r="H422" s="88"/>
      <c r="I422" s="88"/>
      <c r="J422" s="88"/>
      <c r="K422" s="96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</row>
    <row r="423" spans="1:25" x14ac:dyDescent="0.25">
      <c r="A423" s="81"/>
      <c r="B423" s="319"/>
      <c r="C423" s="81"/>
      <c r="D423" s="81"/>
      <c r="E423" s="397"/>
      <c r="F423" s="397"/>
      <c r="G423" s="397"/>
      <c r="H423" s="88"/>
      <c r="I423" s="88"/>
      <c r="J423" s="88"/>
      <c r="K423" s="96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</row>
    <row r="424" spans="1:25" x14ac:dyDescent="0.25">
      <c r="A424" s="81"/>
      <c r="B424" s="319"/>
      <c r="C424" s="81"/>
      <c r="D424" s="81"/>
      <c r="E424" s="397"/>
      <c r="F424" s="397"/>
      <c r="G424" s="397"/>
      <c r="H424" s="88"/>
      <c r="I424" s="88"/>
      <c r="J424" s="88"/>
      <c r="K424" s="96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</row>
    <row r="425" spans="1:25" x14ac:dyDescent="0.25">
      <c r="A425" s="81"/>
      <c r="B425" s="319"/>
      <c r="C425" s="81"/>
      <c r="D425" s="81"/>
      <c r="E425" s="397"/>
      <c r="F425" s="397"/>
      <c r="G425" s="397"/>
      <c r="H425" s="88"/>
      <c r="I425" s="88"/>
      <c r="J425" s="88"/>
      <c r="K425" s="96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</row>
    <row r="426" spans="1:25" x14ac:dyDescent="0.25">
      <c r="A426" s="81"/>
      <c r="B426" s="319"/>
      <c r="C426" s="81"/>
      <c r="D426" s="81"/>
      <c r="E426" s="397"/>
      <c r="F426" s="397"/>
      <c r="G426" s="397"/>
      <c r="H426" s="88"/>
      <c r="I426" s="88"/>
      <c r="J426" s="88"/>
      <c r="K426" s="96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</row>
    <row r="427" spans="1:25" x14ac:dyDescent="0.25">
      <c r="A427" s="81"/>
      <c r="B427" s="319"/>
      <c r="C427" s="81"/>
      <c r="D427" s="81"/>
      <c r="E427" s="397"/>
      <c r="F427" s="397"/>
      <c r="G427" s="397"/>
      <c r="H427" s="88"/>
      <c r="I427" s="88"/>
      <c r="J427" s="88"/>
      <c r="K427" s="96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</row>
    <row r="428" spans="1:25" x14ac:dyDescent="0.25">
      <c r="A428" s="81"/>
      <c r="B428" s="319"/>
      <c r="C428" s="81"/>
      <c r="D428" s="81"/>
      <c r="E428" s="397"/>
      <c r="F428" s="397"/>
      <c r="G428" s="397"/>
      <c r="H428" s="88"/>
      <c r="I428" s="88"/>
      <c r="J428" s="88"/>
      <c r="K428" s="96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</row>
    <row r="429" spans="1:25" x14ac:dyDescent="0.25">
      <c r="A429" s="81"/>
      <c r="B429" s="319"/>
      <c r="C429" s="81"/>
      <c r="D429" s="81"/>
      <c r="E429" s="397"/>
      <c r="F429" s="397"/>
      <c r="G429" s="397"/>
      <c r="H429" s="88"/>
      <c r="I429" s="88"/>
      <c r="J429" s="88"/>
      <c r="K429" s="96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</row>
    <row r="430" spans="1:25" x14ac:dyDescent="0.25">
      <c r="A430" s="81"/>
      <c r="B430" s="319"/>
      <c r="C430" s="81"/>
      <c r="D430" s="81"/>
      <c r="E430" s="397"/>
      <c r="F430" s="397"/>
      <c r="G430" s="397"/>
      <c r="H430" s="88"/>
      <c r="I430" s="88"/>
      <c r="J430" s="88"/>
      <c r="K430" s="96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</row>
    <row r="431" spans="1:25" x14ac:dyDescent="0.25">
      <c r="A431" s="81"/>
      <c r="B431" s="319"/>
      <c r="C431" s="81"/>
      <c r="D431" s="81"/>
      <c r="E431" s="397"/>
      <c r="F431" s="397"/>
      <c r="G431" s="397"/>
      <c r="H431" s="88"/>
      <c r="I431" s="88"/>
      <c r="J431" s="88"/>
      <c r="K431" s="96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</row>
    <row r="432" spans="1:25" x14ac:dyDescent="0.25">
      <c r="A432" s="81"/>
      <c r="B432" s="319"/>
      <c r="C432" s="81"/>
      <c r="D432" s="81"/>
      <c r="E432" s="397"/>
      <c r="F432" s="397"/>
      <c r="G432" s="397"/>
      <c r="H432" s="88"/>
      <c r="I432" s="88"/>
      <c r="J432" s="88"/>
      <c r="K432" s="96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</row>
    <row r="433" spans="1:25" x14ac:dyDescent="0.25">
      <c r="A433" s="81"/>
      <c r="B433" s="319"/>
      <c r="C433" s="81"/>
      <c r="D433" s="81"/>
      <c r="E433" s="397"/>
      <c r="F433" s="397"/>
      <c r="G433" s="397"/>
      <c r="H433" s="88"/>
      <c r="I433" s="88"/>
      <c r="J433" s="88"/>
      <c r="K433" s="96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</row>
    <row r="434" spans="1:25" x14ac:dyDescent="0.25">
      <c r="A434" s="81"/>
      <c r="B434" s="319"/>
      <c r="C434" s="81"/>
      <c r="D434" s="81"/>
      <c r="E434" s="397"/>
      <c r="F434" s="397"/>
      <c r="G434" s="397"/>
      <c r="H434" s="88"/>
      <c r="I434" s="88"/>
      <c r="J434" s="88"/>
      <c r="K434" s="96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</row>
    <row r="435" spans="1:25" x14ac:dyDescent="0.25">
      <c r="A435" s="81"/>
      <c r="B435" s="319"/>
      <c r="C435" s="81"/>
      <c r="D435" s="81"/>
      <c r="E435" s="397"/>
      <c r="F435" s="397"/>
      <c r="G435" s="397"/>
      <c r="H435" s="88"/>
      <c r="I435" s="88"/>
      <c r="J435" s="88"/>
      <c r="K435" s="96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</row>
    <row r="436" spans="1:25" x14ac:dyDescent="0.25">
      <c r="A436" s="81"/>
      <c r="B436" s="319"/>
      <c r="C436" s="81"/>
      <c r="D436" s="81"/>
      <c r="E436" s="397"/>
      <c r="F436" s="397"/>
      <c r="G436" s="397"/>
      <c r="H436" s="88"/>
      <c r="I436" s="88"/>
      <c r="J436" s="88"/>
      <c r="K436" s="96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</row>
    <row r="437" spans="1:25" x14ac:dyDescent="0.25">
      <c r="A437" s="81"/>
      <c r="B437" s="319"/>
      <c r="C437" s="81"/>
      <c r="D437" s="81"/>
      <c r="E437" s="397"/>
      <c r="F437" s="397"/>
      <c r="G437" s="397"/>
      <c r="H437" s="88"/>
      <c r="I437" s="88"/>
      <c r="J437" s="88"/>
      <c r="K437" s="96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</row>
    <row r="438" spans="1:25" x14ac:dyDescent="0.25">
      <c r="A438" s="81"/>
      <c r="B438" s="319"/>
      <c r="C438" s="81"/>
      <c r="D438" s="81"/>
      <c r="E438" s="397"/>
      <c r="F438" s="397"/>
      <c r="G438" s="397"/>
      <c r="H438" s="88"/>
      <c r="I438" s="88"/>
      <c r="J438" s="88"/>
      <c r="K438" s="96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</row>
    <row r="439" spans="1:25" x14ac:dyDescent="0.25">
      <c r="A439" s="81"/>
      <c r="B439" s="319"/>
      <c r="C439" s="81"/>
      <c r="D439" s="81"/>
      <c r="E439" s="397"/>
      <c r="F439" s="397"/>
      <c r="G439" s="397"/>
      <c r="H439" s="88"/>
      <c r="I439" s="88"/>
      <c r="J439" s="88"/>
      <c r="K439" s="96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</row>
    <row r="440" spans="1:25" x14ac:dyDescent="0.25">
      <c r="A440" s="81"/>
      <c r="B440" s="319"/>
      <c r="C440" s="81"/>
      <c r="D440" s="81"/>
      <c r="E440" s="397"/>
      <c r="F440" s="397"/>
      <c r="G440" s="397"/>
      <c r="H440" s="88"/>
      <c r="I440" s="88"/>
      <c r="J440" s="88"/>
      <c r="K440" s="96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</row>
    <row r="441" spans="1:25" x14ac:dyDescent="0.25">
      <c r="A441" s="81"/>
      <c r="B441" s="319"/>
      <c r="C441" s="81"/>
      <c r="D441" s="81"/>
      <c r="E441" s="397"/>
      <c r="F441" s="397"/>
      <c r="G441" s="397"/>
      <c r="H441" s="88"/>
      <c r="I441" s="88"/>
      <c r="J441" s="88"/>
      <c r="K441" s="96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</row>
    <row r="442" spans="1:25" x14ac:dyDescent="0.25">
      <c r="A442" s="81"/>
      <c r="B442" s="319"/>
      <c r="C442" s="81"/>
      <c r="D442" s="81"/>
      <c r="E442" s="397"/>
      <c r="F442" s="397"/>
      <c r="G442" s="397"/>
      <c r="H442" s="88"/>
      <c r="I442" s="88"/>
      <c r="J442" s="88"/>
      <c r="K442" s="96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</row>
    <row r="443" spans="1:25" x14ac:dyDescent="0.25">
      <c r="A443" s="81"/>
      <c r="B443" s="319"/>
      <c r="C443" s="81"/>
      <c r="D443" s="81"/>
      <c r="E443" s="397"/>
      <c r="F443" s="397"/>
      <c r="G443" s="397"/>
      <c r="H443" s="88"/>
      <c r="I443" s="88"/>
      <c r="J443" s="88"/>
      <c r="K443" s="96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</row>
    <row r="444" spans="1:25" x14ac:dyDescent="0.25">
      <c r="A444" s="81"/>
      <c r="B444" s="319"/>
      <c r="C444" s="81"/>
      <c r="D444" s="81"/>
      <c r="E444" s="397"/>
      <c r="F444" s="397"/>
      <c r="G444" s="397"/>
      <c r="H444" s="88"/>
      <c r="I444" s="88"/>
      <c r="J444" s="88"/>
      <c r="K444" s="96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</row>
    <row r="445" spans="1:25" x14ac:dyDescent="0.25">
      <c r="A445" s="81"/>
      <c r="B445" s="319"/>
      <c r="C445" s="81"/>
      <c r="D445" s="81"/>
      <c r="E445" s="397"/>
      <c r="F445" s="397"/>
      <c r="G445" s="397"/>
      <c r="H445" s="88"/>
      <c r="I445" s="88"/>
      <c r="J445" s="88"/>
      <c r="K445" s="96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</row>
    <row r="446" spans="1:25" x14ac:dyDescent="0.25">
      <c r="A446" s="81"/>
      <c r="B446" s="319"/>
      <c r="C446" s="81"/>
      <c r="D446" s="81"/>
      <c r="E446" s="397"/>
      <c r="F446" s="397"/>
      <c r="G446" s="397"/>
      <c r="H446" s="88"/>
      <c r="I446" s="88"/>
      <c r="J446" s="88"/>
      <c r="K446" s="96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</row>
    <row r="447" spans="1:25" x14ac:dyDescent="0.25">
      <c r="A447" s="81"/>
      <c r="B447" s="319"/>
      <c r="C447" s="81"/>
      <c r="D447" s="81"/>
      <c r="E447" s="397"/>
      <c r="F447" s="397"/>
      <c r="G447" s="397"/>
      <c r="H447" s="88"/>
      <c r="I447" s="88"/>
      <c r="J447" s="88"/>
      <c r="K447" s="96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</row>
    <row r="448" spans="1:25" x14ac:dyDescent="0.25">
      <c r="A448" s="81"/>
      <c r="B448" s="319"/>
      <c r="C448" s="81"/>
      <c r="D448" s="81"/>
      <c r="E448" s="397"/>
      <c r="F448" s="397"/>
      <c r="G448" s="397"/>
      <c r="H448" s="88"/>
      <c r="I448" s="88"/>
      <c r="J448" s="88"/>
      <c r="K448" s="96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</row>
    <row r="449" spans="1:25" x14ac:dyDescent="0.25">
      <c r="A449" s="81"/>
      <c r="B449" s="319"/>
      <c r="C449" s="81"/>
      <c r="D449" s="81"/>
      <c r="E449" s="397"/>
      <c r="F449" s="397"/>
      <c r="G449" s="397"/>
      <c r="H449" s="88"/>
      <c r="I449" s="88"/>
      <c r="J449" s="88"/>
      <c r="K449" s="96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</row>
    <row r="450" spans="1:25" x14ac:dyDescent="0.25">
      <c r="A450" s="81"/>
      <c r="B450" s="319"/>
      <c r="C450" s="81"/>
      <c r="D450" s="81"/>
      <c r="E450" s="397"/>
      <c r="F450" s="397"/>
      <c r="G450" s="397"/>
      <c r="H450" s="88"/>
      <c r="I450" s="88"/>
      <c r="J450" s="88"/>
      <c r="K450" s="96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</row>
    <row r="451" spans="1:25" x14ac:dyDescent="0.25">
      <c r="A451" s="81"/>
      <c r="B451" s="319"/>
      <c r="C451" s="81"/>
      <c r="D451" s="81"/>
      <c r="E451" s="397"/>
      <c r="F451" s="397"/>
      <c r="G451" s="397"/>
      <c r="H451" s="88"/>
      <c r="I451" s="88"/>
      <c r="J451" s="88"/>
      <c r="K451" s="96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</row>
    <row r="452" spans="1:25" x14ac:dyDescent="0.25">
      <c r="A452" s="81"/>
      <c r="B452" s="319"/>
      <c r="C452" s="81"/>
      <c r="D452" s="81"/>
      <c r="E452" s="397"/>
      <c r="F452" s="397"/>
      <c r="G452" s="397"/>
      <c r="H452" s="88"/>
      <c r="I452" s="88"/>
      <c r="J452" s="88"/>
      <c r="K452" s="96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</row>
    <row r="453" spans="1:25" x14ac:dyDescent="0.25">
      <c r="A453" s="81"/>
      <c r="B453" s="319"/>
      <c r="C453" s="81"/>
      <c r="D453" s="81"/>
      <c r="E453" s="397"/>
      <c r="F453" s="397"/>
      <c r="G453" s="397"/>
      <c r="H453" s="88"/>
      <c r="I453" s="88"/>
      <c r="J453" s="88"/>
      <c r="K453" s="96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</row>
    <row r="454" spans="1:25" x14ac:dyDescent="0.25">
      <c r="A454" s="81"/>
      <c r="B454" s="319"/>
      <c r="C454" s="81"/>
      <c r="D454" s="81"/>
      <c r="E454" s="397"/>
      <c r="F454" s="397"/>
      <c r="G454" s="397"/>
      <c r="H454" s="88"/>
      <c r="I454" s="88"/>
      <c r="J454" s="88"/>
      <c r="K454" s="96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</row>
    <row r="455" spans="1:25" x14ac:dyDescent="0.25">
      <c r="A455" s="81"/>
      <c r="B455" s="319"/>
      <c r="C455" s="81"/>
      <c r="D455" s="81"/>
      <c r="E455" s="397"/>
      <c r="F455" s="397"/>
      <c r="G455" s="397"/>
      <c r="H455" s="88"/>
      <c r="I455" s="88"/>
      <c r="J455" s="88"/>
      <c r="K455" s="96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</row>
    <row r="456" spans="1:25" x14ac:dyDescent="0.25">
      <c r="A456" s="81"/>
      <c r="B456" s="319"/>
      <c r="C456" s="81"/>
      <c r="D456" s="81"/>
      <c r="E456" s="397"/>
      <c r="F456" s="397"/>
      <c r="G456" s="397"/>
      <c r="H456" s="88"/>
      <c r="I456" s="88"/>
      <c r="J456" s="88"/>
      <c r="K456" s="96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</row>
    <row r="457" spans="1:25" x14ac:dyDescent="0.25">
      <c r="A457" s="81"/>
      <c r="B457" s="319"/>
      <c r="C457" s="81"/>
      <c r="D457" s="81"/>
      <c r="E457" s="397"/>
      <c r="F457" s="397"/>
      <c r="G457" s="397"/>
      <c r="H457" s="88"/>
      <c r="I457" s="88"/>
      <c r="J457" s="88"/>
      <c r="K457" s="96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</row>
    <row r="458" spans="1:25" x14ac:dyDescent="0.25">
      <c r="A458" s="81"/>
      <c r="B458" s="319"/>
      <c r="C458" s="81"/>
      <c r="D458" s="81"/>
      <c r="E458" s="397"/>
      <c r="F458" s="397"/>
      <c r="G458" s="397"/>
      <c r="H458" s="88"/>
      <c r="I458" s="88"/>
      <c r="J458" s="88"/>
      <c r="K458" s="96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</row>
    <row r="459" spans="1:25" x14ac:dyDescent="0.25">
      <c r="A459" s="81"/>
      <c r="B459" s="319"/>
      <c r="C459" s="81"/>
      <c r="D459" s="81"/>
      <c r="E459" s="397"/>
      <c r="F459" s="397"/>
      <c r="G459" s="397"/>
      <c r="H459" s="88"/>
      <c r="I459" s="88"/>
      <c r="J459" s="88"/>
      <c r="K459" s="96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</row>
    <row r="460" spans="1:25" x14ac:dyDescent="0.25">
      <c r="A460" s="81"/>
      <c r="B460" s="319"/>
      <c r="C460" s="81"/>
      <c r="D460" s="81"/>
      <c r="E460" s="397"/>
      <c r="F460" s="397"/>
      <c r="G460" s="397"/>
      <c r="H460" s="88"/>
      <c r="I460" s="88"/>
      <c r="J460" s="88"/>
      <c r="K460" s="96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</row>
    <row r="461" spans="1:25" x14ac:dyDescent="0.25">
      <c r="A461" s="81"/>
      <c r="B461" s="319"/>
      <c r="C461" s="81"/>
      <c r="D461" s="81"/>
      <c r="E461" s="397"/>
      <c r="F461" s="397"/>
      <c r="G461" s="397"/>
      <c r="H461" s="88"/>
      <c r="I461" s="88"/>
      <c r="J461" s="88"/>
      <c r="K461" s="96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</row>
    <row r="462" spans="1:25" x14ac:dyDescent="0.25">
      <c r="A462" s="81"/>
      <c r="B462" s="319"/>
      <c r="C462" s="81"/>
      <c r="D462" s="81"/>
      <c r="E462" s="397"/>
      <c r="F462" s="397"/>
      <c r="G462" s="397"/>
      <c r="H462" s="96"/>
      <c r="I462" s="96"/>
      <c r="J462" s="96"/>
      <c r="K462" s="96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</row>
    <row r="463" spans="1:25" x14ac:dyDescent="0.25">
      <c r="A463" s="81"/>
      <c r="B463" s="319"/>
      <c r="C463" s="81"/>
      <c r="D463" s="81"/>
      <c r="E463" s="397"/>
      <c r="F463" s="397"/>
      <c r="G463" s="397"/>
      <c r="H463" s="96"/>
      <c r="I463" s="96"/>
      <c r="J463" s="96"/>
      <c r="K463" s="96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</row>
    <row r="464" spans="1:25" x14ac:dyDescent="0.25">
      <c r="A464" s="81"/>
      <c r="B464" s="319"/>
      <c r="C464" s="81"/>
      <c r="D464" s="81"/>
      <c r="E464" s="397"/>
      <c r="F464" s="397"/>
      <c r="G464" s="397"/>
      <c r="H464" s="96"/>
      <c r="I464" s="96"/>
      <c r="J464" s="96"/>
      <c r="K464" s="96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</row>
    <row r="465" spans="1:25" x14ac:dyDescent="0.25">
      <c r="A465" s="81"/>
      <c r="B465" s="319"/>
      <c r="C465" s="81"/>
      <c r="D465" s="81"/>
      <c r="E465" s="397"/>
      <c r="F465" s="397"/>
      <c r="G465" s="397"/>
      <c r="H465" s="96"/>
      <c r="I465" s="96"/>
      <c r="J465" s="96"/>
      <c r="K465" s="96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</row>
    <row r="466" spans="1:25" x14ac:dyDescent="0.25">
      <c r="A466" s="81"/>
      <c r="B466" s="319"/>
      <c r="C466" s="81"/>
      <c r="D466" s="81"/>
      <c r="E466" s="397"/>
      <c r="F466" s="397"/>
      <c r="G466" s="397"/>
      <c r="H466" s="96"/>
      <c r="I466" s="96"/>
      <c r="J466" s="96"/>
      <c r="K466" s="96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</row>
    <row r="467" spans="1:25" x14ac:dyDescent="0.25">
      <c r="A467" s="81"/>
      <c r="B467" s="319"/>
      <c r="C467" s="81"/>
      <c r="D467" s="81"/>
      <c r="E467" s="397"/>
      <c r="F467" s="397"/>
      <c r="G467" s="397"/>
      <c r="H467" s="96"/>
      <c r="I467" s="96"/>
      <c r="J467" s="96"/>
      <c r="K467" s="96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</row>
    <row r="468" spans="1:25" x14ac:dyDescent="0.25">
      <c r="A468" s="81"/>
      <c r="B468" s="319"/>
      <c r="C468" s="81"/>
      <c r="D468" s="81"/>
      <c r="E468" s="397"/>
      <c r="F468" s="397"/>
      <c r="G468" s="397"/>
      <c r="H468" s="96"/>
      <c r="I468" s="96"/>
      <c r="J468" s="96"/>
      <c r="K468" s="96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</row>
    <row r="469" spans="1:25" x14ac:dyDescent="0.25">
      <c r="A469" s="81"/>
      <c r="B469" s="319"/>
      <c r="C469" s="81"/>
      <c r="D469" s="81"/>
      <c r="E469" s="397"/>
      <c r="F469" s="397"/>
      <c r="G469" s="397"/>
      <c r="H469" s="96"/>
      <c r="I469" s="96"/>
      <c r="J469" s="96"/>
      <c r="K469" s="96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</row>
    <row r="470" spans="1:25" x14ac:dyDescent="0.25">
      <c r="A470" s="81"/>
      <c r="B470" s="319"/>
      <c r="C470" s="81"/>
      <c r="D470" s="81"/>
      <c r="E470" s="397"/>
      <c r="F470" s="397"/>
      <c r="G470" s="397"/>
      <c r="H470" s="96"/>
      <c r="I470" s="96"/>
      <c r="J470" s="96"/>
      <c r="K470" s="96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</row>
    <row r="471" spans="1:25" x14ac:dyDescent="0.25">
      <c r="A471" s="81"/>
      <c r="B471" s="319"/>
      <c r="C471" s="81"/>
      <c r="D471" s="81"/>
      <c r="E471" s="397"/>
      <c r="F471" s="397"/>
      <c r="G471" s="397"/>
      <c r="H471" s="96"/>
      <c r="I471" s="96"/>
      <c r="J471" s="96"/>
      <c r="K471" s="96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</row>
    <row r="472" spans="1:25" x14ac:dyDescent="0.25">
      <c r="A472" s="81"/>
      <c r="B472" s="319"/>
      <c r="C472" s="81"/>
      <c r="D472" s="81"/>
      <c r="E472" s="397"/>
      <c r="F472" s="397"/>
      <c r="G472" s="397"/>
      <c r="H472" s="96"/>
      <c r="I472" s="96"/>
      <c r="J472" s="96"/>
      <c r="K472" s="96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</row>
    <row r="473" spans="1:25" x14ac:dyDescent="0.25">
      <c r="A473" s="81"/>
      <c r="B473" s="319"/>
      <c r="C473" s="81"/>
      <c r="D473" s="81"/>
      <c r="E473" s="397"/>
      <c r="F473" s="397"/>
      <c r="G473" s="397"/>
      <c r="H473" s="96"/>
      <c r="I473" s="96"/>
      <c r="J473" s="96"/>
      <c r="K473" s="96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</row>
    <row r="474" spans="1:25" x14ac:dyDescent="0.25">
      <c r="A474" s="81"/>
      <c r="B474" s="319"/>
      <c r="C474" s="81"/>
      <c r="D474" s="81"/>
      <c r="E474" s="397"/>
      <c r="F474" s="397"/>
      <c r="G474" s="397"/>
      <c r="H474" s="96"/>
      <c r="I474" s="96"/>
      <c r="J474" s="96"/>
      <c r="K474" s="96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</row>
    <row r="475" spans="1:25" x14ac:dyDescent="0.25">
      <c r="A475" s="81"/>
      <c r="B475" s="319"/>
      <c r="C475" s="81"/>
      <c r="D475" s="81"/>
      <c r="E475" s="397"/>
      <c r="F475" s="397"/>
      <c r="G475" s="397"/>
      <c r="H475" s="96"/>
      <c r="I475" s="96"/>
      <c r="J475" s="96"/>
      <c r="K475" s="96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</row>
    <row r="476" spans="1:25" x14ac:dyDescent="0.25">
      <c r="A476" s="81"/>
      <c r="B476" s="319"/>
      <c r="C476" s="81"/>
      <c r="D476" s="81"/>
      <c r="E476" s="397"/>
      <c r="F476" s="397"/>
      <c r="G476" s="397"/>
      <c r="H476" s="96"/>
      <c r="I476" s="96"/>
      <c r="J476" s="96"/>
      <c r="K476" s="96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</row>
    <row r="477" spans="1:25" x14ac:dyDescent="0.25">
      <c r="A477" s="81"/>
      <c r="B477" s="319"/>
      <c r="C477" s="81"/>
      <c r="D477" s="81"/>
      <c r="E477" s="397"/>
      <c r="F477" s="397"/>
      <c r="G477" s="397"/>
      <c r="H477" s="96"/>
      <c r="I477" s="96"/>
      <c r="J477" s="96"/>
      <c r="K477" s="96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</row>
    <row r="478" spans="1:25" x14ac:dyDescent="0.25">
      <c r="A478" s="81"/>
      <c r="B478" s="319"/>
      <c r="C478" s="81"/>
      <c r="D478" s="81"/>
      <c r="E478" s="397"/>
      <c r="F478" s="397"/>
      <c r="G478" s="397"/>
      <c r="H478" s="96"/>
      <c r="I478" s="96"/>
      <c r="J478" s="96"/>
      <c r="K478" s="96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</row>
    <row r="479" spans="1:25" x14ac:dyDescent="0.25">
      <c r="A479" s="81"/>
      <c r="B479" s="319"/>
      <c r="C479" s="81"/>
      <c r="D479" s="81"/>
      <c r="E479" s="397"/>
      <c r="F479" s="397"/>
      <c r="G479" s="397"/>
      <c r="H479" s="96"/>
      <c r="I479" s="96"/>
      <c r="J479" s="96"/>
      <c r="K479" s="96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</row>
    <row r="480" spans="1:25" x14ac:dyDescent="0.25">
      <c r="A480" s="81"/>
      <c r="B480" s="319"/>
      <c r="C480" s="81"/>
      <c r="D480" s="81"/>
      <c r="E480" s="397"/>
      <c r="F480" s="397"/>
      <c r="G480" s="397"/>
      <c r="H480" s="96"/>
      <c r="I480" s="96"/>
      <c r="J480" s="96"/>
      <c r="K480" s="96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</row>
    <row r="481" spans="1:25" x14ac:dyDescent="0.25">
      <c r="A481" s="81"/>
      <c r="B481" s="319"/>
      <c r="C481" s="81"/>
      <c r="D481" s="81"/>
      <c r="E481" s="397"/>
      <c r="F481" s="397"/>
      <c r="G481" s="397"/>
      <c r="H481" s="96"/>
      <c r="I481" s="96"/>
      <c r="J481" s="96"/>
      <c r="K481" s="96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</row>
    <row r="482" spans="1:25" x14ac:dyDescent="0.25">
      <c r="A482" s="81"/>
      <c r="B482" s="319"/>
      <c r="C482" s="81"/>
      <c r="D482" s="81"/>
      <c r="E482" s="397"/>
      <c r="F482" s="397"/>
      <c r="G482" s="397"/>
      <c r="H482" s="96"/>
      <c r="I482" s="96"/>
      <c r="J482" s="96"/>
      <c r="K482" s="96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</row>
    <row r="483" spans="1:25" x14ac:dyDescent="0.25">
      <c r="A483" s="81"/>
      <c r="B483" s="319"/>
      <c r="C483" s="81"/>
      <c r="D483" s="81"/>
      <c r="E483" s="397"/>
      <c r="F483" s="397"/>
      <c r="G483" s="397"/>
      <c r="H483" s="96"/>
      <c r="I483" s="96"/>
      <c r="J483" s="96"/>
      <c r="K483" s="96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</row>
    <row r="484" spans="1:25" x14ac:dyDescent="0.25">
      <c r="A484" s="81"/>
      <c r="B484" s="319"/>
      <c r="C484" s="81"/>
      <c r="D484" s="81"/>
      <c r="E484" s="397"/>
      <c r="F484" s="397"/>
      <c r="G484" s="397"/>
      <c r="H484" s="96"/>
      <c r="I484" s="96"/>
      <c r="J484" s="96"/>
      <c r="K484" s="96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</row>
    <row r="485" spans="1:25" x14ac:dyDescent="0.25">
      <c r="A485" s="81"/>
      <c r="B485" s="319"/>
      <c r="C485" s="81"/>
      <c r="D485" s="81"/>
      <c r="E485" s="397"/>
      <c r="F485" s="397"/>
      <c r="G485" s="397"/>
      <c r="H485" s="96"/>
      <c r="I485" s="96"/>
      <c r="J485" s="96"/>
      <c r="K485" s="96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</row>
    <row r="486" spans="1:25" x14ac:dyDescent="0.25">
      <c r="A486" s="81"/>
      <c r="B486" s="319"/>
      <c r="C486" s="81"/>
      <c r="D486" s="81"/>
      <c r="E486" s="397"/>
      <c r="F486" s="397"/>
      <c r="G486" s="397"/>
      <c r="H486" s="96"/>
      <c r="I486" s="96"/>
      <c r="J486" s="96"/>
      <c r="K486" s="96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</row>
    <row r="487" spans="1:25" x14ac:dyDescent="0.25">
      <c r="A487" s="81"/>
      <c r="B487" s="319"/>
      <c r="C487" s="81"/>
      <c r="D487" s="81"/>
      <c r="E487" s="397"/>
      <c r="F487" s="397"/>
      <c r="G487" s="397"/>
      <c r="H487" s="96"/>
      <c r="I487" s="96"/>
      <c r="J487" s="96"/>
      <c r="K487" s="96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</row>
    <row r="488" spans="1:25" x14ac:dyDescent="0.25">
      <c r="A488" s="81"/>
      <c r="B488" s="319"/>
      <c r="C488" s="81"/>
      <c r="D488" s="81"/>
      <c r="E488" s="397"/>
      <c r="F488" s="397"/>
      <c r="G488" s="397"/>
      <c r="H488" s="96"/>
      <c r="I488" s="96"/>
      <c r="J488" s="96"/>
      <c r="K488" s="96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</row>
    <row r="489" spans="1:25" x14ac:dyDescent="0.25">
      <c r="A489" s="81"/>
      <c r="B489" s="319"/>
      <c r="C489" s="81"/>
      <c r="D489" s="81"/>
      <c r="E489" s="397"/>
      <c r="F489" s="397"/>
      <c r="G489" s="397"/>
      <c r="H489" s="96"/>
      <c r="I489" s="96"/>
      <c r="J489" s="96"/>
      <c r="K489" s="96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</row>
    <row r="490" spans="1:25" x14ac:dyDescent="0.25">
      <c r="A490" s="81"/>
      <c r="B490" s="319"/>
      <c r="C490" s="81"/>
      <c r="D490" s="81"/>
      <c r="E490" s="397"/>
      <c r="F490" s="397"/>
      <c r="G490" s="397"/>
      <c r="H490" s="96"/>
      <c r="I490" s="96"/>
      <c r="J490" s="96"/>
      <c r="K490" s="96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</row>
    <row r="491" spans="1:25" x14ac:dyDescent="0.25">
      <c r="A491" s="81"/>
      <c r="B491" s="319"/>
      <c r="C491" s="81"/>
      <c r="D491" s="81"/>
      <c r="E491" s="397"/>
      <c r="F491" s="397"/>
      <c r="G491" s="397"/>
      <c r="H491" s="96"/>
      <c r="I491" s="96"/>
      <c r="J491" s="96"/>
      <c r="K491" s="96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</row>
    <row r="492" spans="1:25" x14ac:dyDescent="0.25">
      <c r="A492" s="81"/>
      <c r="B492" s="319"/>
      <c r="C492" s="81"/>
      <c r="D492" s="81"/>
      <c r="E492" s="397"/>
      <c r="F492" s="397"/>
      <c r="G492" s="397"/>
      <c r="H492" s="96"/>
      <c r="I492" s="96"/>
      <c r="J492" s="96"/>
      <c r="K492" s="96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</row>
    <row r="493" spans="1:25" x14ac:dyDescent="0.25">
      <c r="A493" s="81"/>
      <c r="B493" s="319"/>
      <c r="C493" s="81"/>
      <c r="D493" s="81"/>
      <c r="E493" s="397"/>
      <c r="F493" s="397"/>
      <c r="G493" s="397"/>
      <c r="H493" s="96"/>
      <c r="I493" s="96"/>
      <c r="J493" s="96"/>
      <c r="K493" s="96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</row>
    <row r="494" spans="1:25" x14ac:dyDescent="0.25">
      <c r="A494" s="81"/>
      <c r="B494" s="319"/>
      <c r="C494" s="81"/>
      <c r="D494" s="81"/>
      <c r="E494" s="397"/>
      <c r="F494" s="397"/>
      <c r="G494" s="397"/>
      <c r="H494" s="96"/>
      <c r="I494" s="96"/>
      <c r="J494" s="96"/>
      <c r="K494" s="96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</row>
    <row r="495" spans="1:25" x14ac:dyDescent="0.25">
      <c r="A495" s="81"/>
      <c r="B495" s="319"/>
      <c r="C495" s="81"/>
      <c r="D495" s="81"/>
      <c r="E495" s="397"/>
      <c r="F495" s="397"/>
      <c r="G495" s="397"/>
      <c r="H495" s="96"/>
      <c r="I495" s="96"/>
      <c r="J495" s="96"/>
      <c r="K495" s="96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</row>
    <row r="496" spans="1:25" x14ac:dyDescent="0.25">
      <c r="A496" s="81"/>
      <c r="B496" s="319"/>
      <c r="C496" s="81"/>
      <c r="D496" s="81"/>
      <c r="E496" s="397"/>
      <c r="F496" s="397"/>
      <c r="G496" s="397"/>
      <c r="H496" s="96"/>
      <c r="I496" s="96"/>
      <c r="J496" s="96"/>
      <c r="K496" s="96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</row>
    <row r="497" spans="1:25" x14ac:dyDescent="0.25">
      <c r="A497" s="81"/>
      <c r="B497" s="319"/>
      <c r="C497" s="81"/>
      <c r="D497" s="81"/>
      <c r="E497" s="397"/>
      <c r="F497" s="397"/>
      <c r="G497" s="397"/>
      <c r="H497" s="96"/>
      <c r="I497" s="96"/>
      <c r="J497" s="96"/>
      <c r="K497" s="96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</row>
    <row r="498" spans="1:25" x14ac:dyDescent="0.25">
      <c r="A498" s="81"/>
      <c r="B498" s="319"/>
      <c r="C498" s="81"/>
      <c r="D498" s="81"/>
      <c r="E498" s="397"/>
      <c r="F498" s="397"/>
      <c r="G498" s="397"/>
      <c r="H498" s="96"/>
      <c r="I498" s="96"/>
      <c r="J498" s="96"/>
      <c r="K498" s="96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</row>
    <row r="499" spans="1:25" x14ac:dyDescent="0.25">
      <c r="A499" s="81"/>
      <c r="B499" s="319"/>
      <c r="C499" s="81"/>
      <c r="D499" s="81"/>
      <c r="E499" s="397"/>
      <c r="F499" s="397"/>
      <c r="G499" s="397"/>
      <c r="H499" s="96"/>
      <c r="I499" s="96"/>
      <c r="J499" s="96"/>
      <c r="K499" s="96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</row>
    <row r="500" spans="1:25" x14ac:dyDescent="0.25">
      <c r="A500" s="81"/>
      <c r="B500" s="319"/>
      <c r="C500" s="81"/>
      <c r="D500" s="81"/>
      <c r="E500" s="397"/>
      <c r="F500" s="397"/>
      <c r="G500" s="397"/>
      <c r="H500" s="96"/>
      <c r="I500" s="96"/>
      <c r="J500" s="96"/>
      <c r="K500" s="96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</row>
    <row r="501" spans="1:25" x14ac:dyDescent="0.25">
      <c r="A501" s="81"/>
      <c r="B501" s="319"/>
      <c r="C501" s="81"/>
      <c r="D501" s="81"/>
      <c r="E501" s="397"/>
      <c r="F501" s="397"/>
      <c r="G501" s="397"/>
      <c r="H501" s="96"/>
      <c r="I501" s="96"/>
      <c r="J501" s="96"/>
      <c r="K501" s="96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</row>
    <row r="502" spans="1:25" x14ac:dyDescent="0.25">
      <c r="A502" s="81"/>
      <c r="B502" s="319"/>
      <c r="C502" s="81"/>
      <c r="D502" s="81"/>
      <c r="E502" s="397"/>
      <c r="F502" s="397"/>
      <c r="G502" s="397"/>
      <c r="H502" s="96"/>
      <c r="I502" s="96"/>
      <c r="J502" s="96"/>
      <c r="K502" s="96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</row>
    <row r="503" spans="1:25" x14ac:dyDescent="0.25">
      <c r="A503" s="81"/>
      <c r="B503" s="319"/>
      <c r="C503" s="81"/>
      <c r="D503" s="81"/>
      <c r="E503" s="397"/>
      <c r="F503" s="397"/>
      <c r="G503" s="397"/>
      <c r="H503" s="96"/>
      <c r="I503" s="96"/>
      <c r="J503" s="96"/>
      <c r="K503" s="96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</row>
    <row r="504" spans="1:25" x14ac:dyDescent="0.25">
      <c r="A504" s="81"/>
      <c r="B504" s="319"/>
      <c r="C504" s="81"/>
      <c r="D504" s="81"/>
      <c r="E504" s="397"/>
      <c r="F504" s="397"/>
      <c r="G504" s="397"/>
      <c r="H504" s="96"/>
      <c r="I504" s="96"/>
      <c r="J504" s="96"/>
      <c r="K504" s="96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</row>
    <row r="505" spans="1:25" x14ac:dyDescent="0.25">
      <c r="A505" s="81"/>
      <c r="B505" s="319"/>
      <c r="C505" s="81"/>
      <c r="D505" s="81"/>
      <c r="E505" s="397"/>
      <c r="F505" s="397"/>
      <c r="G505" s="397"/>
      <c r="H505" s="96"/>
      <c r="I505" s="96"/>
      <c r="J505" s="96"/>
      <c r="K505" s="96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</row>
    <row r="506" spans="1:25" x14ac:dyDescent="0.25">
      <c r="A506" s="81"/>
      <c r="B506" s="319"/>
      <c r="C506" s="81"/>
      <c r="D506" s="81"/>
      <c r="E506" s="397"/>
      <c r="F506" s="397"/>
      <c r="G506" s="397"/>
      <c r="H506" s="96"/>
      <c r="I506" s="96"/>
      <c r="J506" s="96"/>
      <c r="K506" s="96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</row>
    <row r="507" spans="1:25" x14ac:dyDescent="0.25">
      <c r="A507" s="81"/>
      <c r="B507" s="319"/>
      <c r="C507" s="81"/>
      <c r="D507" s="81"/>
      <c r="E507" s="397"/>
      <c r="F507" s="397"/>
      <c r="G507" s="397"/>
      <c r="H507" s="96"/>
      <c r="I507" s="96"/>
      <c r="J507" s="96"/>
      <c r="K507" s="96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</row>
    <row r="508" spans="1:25" x14ac:dyDescent="0.25">
      <c r="A508" s="81"/>
      <c r="B508" s="319"/>
      <c r="C508" s="81"/>
      <c r="D508" s="81"/>
      <c r="E508" s="397"/>
      <c r="F508" s="397"/>
      <c r="G508" s="397"/>
      <c r="H508" s="96"/>
      <c r="I508" s="96"/>
      <c r="J508" s="96"/>
      <c r="K508" s="96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</row>
    <row r="509" spans="1:25" x14ac:dyDescent="0.25">
      <c r="A509" s="81"/>
      <c r="B509" s="319"/>
      <c r="C509" s="81"/>
      <c r="D509" s="81"/>
      <c r="E509" s="397"/>
      <c r="F509" s="397"/>
      <c r="G509" s="397"/>
      <c r="H509" s="96"/>
      <c r="I509" s="96"/>
      <c r="J509" s="96"/>
      <c r="K509" s="96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</row>
    <row r="510" spans="1:25" x14ac:dyDescent="0.25">
      <c r="A510" s="81"/>
      <c r="B510" s="319"/>
      <c r="C510" s="81"/>
      <c r="D510" s="81"/>
      <c r="E510" s="397"/>
      <c r="F510" s="397"/>
      <c r="G510" s="397"/>
      <c r="H510" s="96"/>
      <c r="I510" s="96"/>
      <c r="J510" s="96"/>
      <c r="K510" s="96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</row>
    <row r="511" spans="1:25" x14ac:dyDescent="0.25">
      <c r="A511" s="81"/>
      <c r="B511" s="319"/>
      <c r="C511" s="81"/>
      <c r="D511" s="81"/>
      <c r="E511" s="397"/>
      <c r="F511" s="397"/>
      <c r="G511" s="397"/>
      <c r="H511" s="96"/>
      <c r="I511" s="96"/>
      <c r="J511" s="96"/>
      <c r="K511" s="96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</row>
    <row r="512" spans="1:25" x14ac:dyDescent="0.25">
      <c r="A512" s="81"/>
      <c r="B512" s="319"/>
      <c r="C512" s="81"/>
      <c r="D512" s="81"/>
      <c r="E512" s="397"/>
      <c r="F512" s="397"/>
      <c r="G512" s="397"/>
      <c r="H512" s="96"/>
      <c r="I512" s="96"/>
      <c r="J512" s="96"/>
      <c r="K512" s="96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</row>
    <row r="513" spans="1:25" x14ac:dyDescent="0.25">
      <c r="A513" s="81"/>
      <c r="B513" s="319"/>
      <c r="C513" s="81"/>
      <c r="D513" s="81"/>
      <c r="E513" s="397"/>
      <c r="F513" s="397"/>
      <c r="G513" s="397"/>
      <c r="H513" s="96"/>
      <c r="I513" s="96"/>
      <c r="J513" s="96"/>
      <c r="K513" s="96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</row>
    <row r="514" spans="1:25" x14ac:dyDescent="0.25">
      <c r="A514" s="81"/>
      <c r="B514" s="319"/>
      <c r="C514" s="81"/>
      <c r="D514" s="81"/>
      <c r="E514" s="397"/>
      <c r="F514" s="397"/>
      <c r="G514" s="397"/>
      <c r="H514" s="96"/>
      <c r="I514" s="96"/>
      <c r="J514" s="96"/>
      <c r="K514" s="96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</row>
    <row r="515" spans="1:25" x14ac:dyDescent="0.25">
      <c r="A515" s="81"/>
      <c r="B515" s="319"/>
      <c r="C515" s="81"/>
      <c r="D515" s="81"/>
      <c r="E515" s="397"/>
      <c r="F515" s="397"/>
      <c r="G515" s="397"/>
      <c r="H515" s="96"/>
      <c r="I515" s="96"/>
      <c r="J515" s="96"/>
      <c r="K515" s="96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</row>
    <row r="516" spans="1:25" x14ac:dyDescent="0.25">
      <c r="A516" s="81"/>
      <c r="B516" s="319"/>
      <c r="C516" s="81"/>
      <c r="D516" s="81"/>
      <c r="E516" s="397"/>
      <c r="F516" s="397"/>
      <c r="G516" s="397"/>
      <c r="H516" s="96"/>
      <c r="I516" s="96"/>
      <c r="J516" s="96"/>
      <c r="K516" s="96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</row>
    <row r="517" spans="1:25" x14ac:dyDescent="0.25">
      <c r="A517" s="81"/>
      <c r="B517" s="319"/>
      <c r="C517" s="81"/>
      <c r="D517" s="81"/>
      <c r="E517" s="397"/>
      <c r="F517" s="397"/>
      <c r="G517" s="397"/>
      <c r="H517" s="96"/>
      <c r="I517" s="96"/>
      <c r="J517" s="96"/>
      <c r="K517" s="96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</row>
    <row r="518" spans="1:25" x14ac:dyDescent="0.25">
      <c r="A518" s="81"/>
      <c r="B518" s="319"/>
      <c r="C518" s="81"/>
      <c r="D518" s="81"/>
      <c r="E518" s="397"/>
      <c r="F518" s="397"/>
      <c r="G518" s="397"/>
      <c r="H518" s="96"/>
      <c r="I518" s="96"/>
      <c r="J518" s="96"/>
      <c r="K518" s="96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</row>
    <row r="519" spans="1:25" x14ac:dyDescent="0.25">
      <c r="A519" s="81"/>
      <c r="B519" s="319"/>
      <c r="C519" s="81"/>
      <c r="D519" s="81"/>
      <c r="E519" s="397"/>
      <c r="F519" s="397"/>
      <c r="G519" s="397"/>
      <c r="H519" s="96"/>
      <c r="I519" s="96"/>
      <c r="J519" s="96"/>
      <c r="K519" s="96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</row>
    <row r="520" spans="1:25" x14ac:dyDescent="0.25">
      <c r="A520" s="81"/>
      <c r="B520" s="319"/>
      <c r="C520" s="81"/>
      <c r="D520" s="81"/>
      <c r="E520" s="397"/>
      <c r="F520" s="397"/>
      <c r="G520" s="397"/>
      <c r="H520" s="96"/>
      <c r="I520" s="96"/>
      <c r="J520" s="96"/>
      <c r="K520" s="96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</row>
    <row r="521" spans="1:25" x14ac:dyDescent="0.25">
      <c r="A521" s="81"/>
      <c r="B521" s="319"/>
      <c r="C521" s="81"/>
      <c r="D521" s="81"/>
      <c r="E521" s="397"/>
      <c r="F521" s="397"/>
      <c r="G521" s="397"/>
      <c r="H521" s="96"/>
      <c r="I521" s="96"/>
      <c r="J521" s="96"/>
      <c r="K521" s="96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</row>
    <row r="522" spans="1:25" x14ac:dyDescent="0.25">
      <c r="A522" s="81"/>
      <c r="B522" s="319"/>
      <c r="C522" s="81"/>
      <c r="D522" s="81"/>
      <c r="E522" s="397"/>
      <c r="F522" s="397"/>
      <c r="G522" s="397"/>
      <c r="H522" s="96"/>
      <c r="I522" s="96"/>
      <c r="J522" s="96"/>
      <c r="K522" s="96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</row>
    <row r="523" spans="1:25" x14ac:dyDescent="0.25">
      <c r="A523" s="81"/>
      <c r="B523" s="319"/>
      <c r="C523" s="81"/>
      <c r="D523" s="81"/>
      <c r="E523" s="397"/>
      <c r="F523" s="397"/>
      <c r="G523" s="397"/>
      <c r="H523" s="96"/>
      <c r="I523" s="96"/>
      <c r="J523" s="96"/>
      <c r="K523" s="96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</row>
    <row r="524" spans="1:25" x14ac:dyDescent="0.25">
      <c r="A524" s="81"/>
      <c r="B524" s="319"/>
      <c r="C524" s="81"/>
      <c r="D524" s="81"/>
      <c r="E524" s="397"/>
      <c r="F524" s="397"/>
      <c r="G524" s="397"/>
      <c r="H524" s="96"/>
      <c r="I524" s="96"/>
      <c r="J524" s="96"/>
      <c r="K524" s="96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</row>
    <row r="525" spans="1:25" x14ac:dyDescent="0.25">
      <c r="A525" s="81"/>
      <c r="B525" s="319"/>
      <c r="C525" s="81"/>
      <c r="D525" s="81"/>
      <c r="E525" s="397"/>
      <c r="F525" s="397"/>
      <c r="G525" s="397"/>
      <c r="H525" s="96"/>
      <c r="I525" s="96"/>
      <c r="J525" s="96"/>
      <c r="K525" s="96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</row>
    <row r="526" spans="1:25" x14ac:dyDescent="0.25">
      <c r="A526" s="81"/>
      <c r="B526" s="319"/>
      <c r="C526" s="81"/>
      <c r="D526" s="81"/>
      <c r="E526" s="397"/>
      <c r="F526" s="397"/>
      <c r="G526" s="397"/>
      <c r="H526" s="96"/>
      <c r="I526" s="96"/>
      <c r="J526" s="96"/>
      <c r="K526" s="96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</row>
    <row r="527" spans="1:25" x14ac:dyDescent="0.25">
      <c r="A527" s="81"/>
      <c r="B527" s="319"/>
      <c r="C527" s="81"/>
      <c r="D527" s="81"/>
      <c r="E527" s="397"/>
      <c r="F527" s="397"/>
      <c r="G527" s="397"/>
      <c r="H527" s="96"/>
      <c r="I527" s="96"/>
      <c r="J527" s="96"/>
      <c r="K527" s="96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</row>
    <row r="528" spans="1:25" x14ac:dyDescent="0.25">
      <c r="A528" s="81"/>
      <c r="B528" s="319"/>
      <c r="C528" s="81"/>
      <c r="D528" s="81"/>
      <c r="E528" s="397"/>
      <c r="F528" s="397"/>
      <c r="G528" s="397"/>
      <c r="H528" s="96"/>
      <c r="I528" s="96"/>
      <c r="J528" s="96"/>
      <c r="K528" s="96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</row>
    <row r="529" spans="1:25" x14ac:dyDescent="0.25">
      <c r="A529" s="81"/>
      <c r="B529" s="319"/>
      <c r="C529" s="81"/>
      <c r="D529" s="81"/>
      <c r="E529" s="397"/>
      <c r="F529" s="397"/>
      <c r="G529" s="397"/>
      <c r="H529" s="96"/>
      <c r="I529" s="96"/>
      <c r="J529" s="96"/>
      <c r="K529" s="96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</row>
    <row r="530" spans="1:25" x14ac:dyDescent="0.25">
      <c r="A530" s="81"/>
      <c r="B530" s="319"/>
      <c r="C530" s="81"/>
      <c r="D530" s="81"/>
      <c r="E530" s="397"/>
      <c r="F530" s="397"/>
      <c r="G530" s="397"/>
      <c r="H530" s="96"/>
      <c r="I530" s="96"/>
      <c r="J530" s="96"/>
      <c r="K530" s="96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</row>
    <row r="531" spans="1:25" x14ac:dyDescent="0.25">
      <c r="A531" s="81"/>
      <c r="B531" s="319"/>
      <c r="C531" s="81"/>
      <c r="D531" s="81"/>
      <c r="E531" s="397"/>
      <c r="F531" s="397"/>
      <c r="G531" s="397"/>
      <c r="H531" s="96"/>
      <c r="I531" s="96"/>
      <c r="J531" s="96"/>
      <c r="K531" s="96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</row>
    <row r="532" spans="1:25" x14ac:dyDescent="0.25">
      <c r="A532" s="81"/>
      <c r="B532" s="319"/>
      <c r="C532" s="81"/>
      <c r="D532" s="81"/>
      <c r="E532" s="397"/>
      <c r="F532" s="397"/>
      <c r="G532" s="397"/>
      <c r="H532" s="96"/>
      <c r="I532" s="96"/>
      <c r="J532" s="96"/>
      <c r="K532" s="96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</row>
    <row r="533" spans="1:25" x14ac:dyDescent="0.25">
      <c r="A533" s="81"/>
      <c r="B533" s="319"/>
      <c r="C533" s="81"/>
      <c r="D533" s="81"/>
      <c r="E533" s="397"/>
      <c r="F533" s="397"/>
      <c r="G533" s="397"/>
      <c r="H533" s="96"/>
      <c r="I533" s="96"/>
      <c r="J533" s="96"/>
      <c r="K533" s="96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</row>
    <row r="534" spans="1:25" x14ac:dyDescent="0.25">
      <c r="A534" s="81"/>
      <c r="B534" s="319"/>
      <c r="C534" s="81"/>
      <c r="D534" s="81"/>
      <c r="E534" s="397"/>
      <c r="F534" s="397"/>
      <c r="G534" s="397"/>
      <c r="H534" s="96"/>
      <c r="I534" s="96"/>
      <c r="J534" s="96"/>
      <c r="K534" s="96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</row>
    <row r="535" spans="1:25" x14ac:dyDescent="0.25">
      <c r="A535" s="81"/>
      <c r="B535" s="319"/>
      <c r="C535" s="81"/>
      <c r="D535" s="81"/>
      <c r="E535" s="397"/>
      <c r="F535" s="397"/>
      <c r="G535" s="397"/>
      <c r="H535" s="96"/>
      <c r="I535" s="96"/>
      <c r="J535" s="96"/>
      <c r="K535" s="96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</row>
    <row r="536" spans="1:25" x14ac:dyDescent="0.25">
      <c r="A536" s="81"/>
      <c r="B536" s="319"/>
      <c r="C536" s="81"/>
      <c r="D536" s="81"/>
      <c r="E536" s="397"/>
      <c r="F536" s="397"/>
      <c r="G536" s="397"/>
      <c r="H536" s="96"/>
      <c r="I536" s="96"/>
      <c r="J536" s="96"/>
      <c r="K536" s="96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</row>
    <row r="537" spans="1:25" x14ac:dyDescent="0.25">
      <c r="A537" s="81"/>
      <c r="B537" s="319"/>
      <c r="C537" s="81"/>
      <c r="D537" s="81"/>
      <c r="E537" s="397"/>
      <c r="F537" s="397"/>
      <c r="G537" s="397"/>
      <c r="H537" s="96"/>
      <c r="I537" s="96"/>
      <c r="J537" s="96"/>
      <c r="K537" s="96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</row>
    <row r="538" spans="1:25" x14ac:dyDescent="0.25">
      <c r="A538" s="81"/>
      <c r="B538" s="319"/>
      <c r="C538" s="81"/>
      <c r="D538" s="81"/>
      <c r="E538" s="397"/>
      <c r="F538" s="397"/>
      <c r="G538" s="397"/>
      <c r="H538" s="96"/>
      <c r="I538" s="96"/>
      <c r="J538" s="96"/>
      <c r="K538" s="96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</row>
    <row r="539" spans="1:25" x14ac:dyDescent="0.25">
      <c r="A539" s="81"/>
      <c r="B539" s="319"/>
      <c r="C539" s="81"/>
      <c r="D539" s="81"/>
      <c r="E539" s="397"/>
      <c r="F539" s="397"/>
      <c r="G539" s="397"/>
      <c r="H539" s="96"/>
      <c r="I539" s="96"/>
      <c r="J539" s="96"/>
      <c r="K539" s="96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</row>
    <row r="540" spans="1:25" x14ac:dyDescent="0.25">
      <c r="A540" s="81"/>
      <c r="B540" s="319"/>
      <c r="C540" s="81"/>
      <c r="D540" s="81"/>
      <c r="E540" s="397"/>
      <c r="F540" s="397"/>
      <c r="G540" s="397"/>
      <c r="H540" s="96"/>
      <c r="I540" s="96"/>
      <c r="J540" s="96"/>
      <c r="K540" s="96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</row>
    <row r="541" spans="1:25" x14ac:dyDescent="0.25">
      <c r="A541" s="81"/>
      <c r="B541" s="319"/>
      <c r="C541" s="81"/>
      <c r="D541" s="81"/>
      <c r="E541" s="397"/>
      <c r="F541" s="397"/>
      <c r="G541" s="397"/>
      <c r="H541" s="96"/>
      <c r="I541" s="96"/>
      <c r="J541" s="96"/>
      <c r="K541" s="96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</row>
    <row r="542" spans="1:25" x14ac:dyDescent="0.25">
      <c r="A542" s="81"/>
      <c r="B542" s="319"/>
      <c r="C542" s="81"/>
      <c r="D542" s="81"/>
      <c r="E542" s="397"/>
      <c r="F542" s="397"/>
      <c r="G542" s="397"/>
      <c r="H542" s="96"/>
      <c r="I542" s="96"/>
      <c r="J542" s="96"/>
      <c r="K542" s="96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</row>
    <row r="543" spans="1:25" x14ac:dyDescent="0.25">
      <c r="A543" s="81"/>
      <c r="B543" s="319"/>
      <c r="C543" s="81"/>
      <c r="D543" s="81"/>
      <c r="E543" s="397"/>
      <c r="F543" s="397"/>
      <c r="G543" s="397"/>
      <c r="H543" s="96"/>
      <c r="I543" s="96"/>
      <c r="J543" s="96"/>
      <c r="K543" s="96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</row>
    <row r="544" spans="1:25" x14ac:dyDescent="0.25">
      <c r="A544" s="81"/>
      <c r="B544" s="319"/>
      <c r="C544" s="81"/>
      <c r="D544" s="81"/>
      <c r="E544" s="397"/>
      <c r="F544" s="397"/>
      <c r="G544" s="397"/>
      <c r="H544" s="96"/>
      <c r="I544" s="96"/>
      <c r="J544" s="96"/>
      <c r="K544" s="96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</row>
    <row r="545" spans="1:25" x14ac:dyDescent="0.25">
      <c r="A545" s="81"/>
      <c r="B545" s="319"/>
      <c r="C545" s="81"/>
      <c r="D545" s="81"/>
      <c r="E545" s="397"/>
      <c r="F545" s="397"/>
      <c r="G545" s="397"/>
      <c r="H545" s="96"/>
      <c r="I545" s="96"/>
      <c r="J545" s="96"/>
      <c r="K545" s="96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</row>
    <row r="546" spans="1:25" x14ac:dyDescent="0.25">
      <c r="A546" s="81"/>
      <c r="B546" s="319"/>
      <c r="C546" s="81"/>
      <c r="D546" s="81"/>
      <c r="E546" s="397"/>
      <c r="F546" s="397"/>
      <c r="G546" s="397"/>
      <c r="H546" s="96"/>
      <c r="I546" s="96"/>
      <c r="J546" s="96"/>
      <c r="K546" s="96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</row>
    <row r="547" spans="1:25" x14ac:dyDescent="0.25">
      <c r="A547" s="81"/>
      <c r="B547" s="319"/>
      <c r="C547" s="81"/>
      <c r="D547" s="81"/>
      <c r="E547" s="397"/>
      <c r="F547" s="397"/>
      <c r="G547" s="397"/>
      <c r="H547" s="96"/>
      <c r="I547" s="96"/>
      <c r="J547" s="96"/>
      <c r="K547" s="96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</row>
    <row r="548" spans="1:25" x14ac:dyDescent="0.25">
      <c r="A548" s="81"/>
      <c r="B548" s="319"/>
      <c r="C548" s="81"/>
      <c r="D548" s="81"/>
      <c r="E548" s="397"/>
      <c r="F548" s="397"/>
      <c r="G548" s="397"/>
      <c r="H548" s="96"/>
      <c r="I548" s="96"/>
      <c r="J548" s="96"/>
      <c r="K548" s="96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</row>
    <row r="549" spans="1:25" x14ac:dyDescent="0.25">
      <c r="A549" s="81"/>
      <c r="B549" s="319"/>
      <c r="C549" s="81"/>
      <c r="D549" s="81"/>
      <c r="E549" s="397"/>
      <c r="F549" s="397"/>
      <c r="G549" s="397"/>
      <c r="H549" s="96"/>
      <c r="I549" s="96"/>
      <c r="J549" s="96"/>
      <c r="K549" s="96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</row>
    <row r="550" spans="1:25" x14ac:dyDescent="0.25">
      <c r="A550" s="81"/>
      <c r="B550" s="319"/>
      <c r="C550" s="81"/>
      <c r="D550" s="81"/>
      <c r="E550" s="397"/>
      <c r="F550" s="397"/>
      <c r="G550" s="397"/>
      <c r="H550" s="96"/>
      <c r="I550" s="96"/>
      <c r="J550" s="96"/>
      <c r="K550" s="96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</row>
    <row r="551" spans="1:25" x14ac:dyDescent="0.25">
      <c r="A551" s="81"/>
      <c r="B551" s="319"/>
      <c r="C551" s="81"/>
      <c r="D551" s="81"/>
      <c r="E551" s="397"/>
      <c r="F551" s="397"/>
      <c r="G551" s="397"/>
      <c r="H551" s="96"/>
      <c r="I551" s="96"/>
      <c r="J551" s="96"/>
      <c r="K551" s="96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</row>
    <row r="552" spans="1:25" x14ac:dyDescent="0.25">
      <c r="A552" s="81"/>
      <c r="B552" s="319"/>
      <c r="C552" s="81"/>
      <c r="D552" s="81"/>
      <c r="E552" s="397"/>
      <c r="F552" s="397"/>
      <c r="G552" s="397"/>
      <c r="H552" s="96"/>
      <c r="I552" s="96"/>
      <c r="J552" s="96"/>
      <c r="K552" s="96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</row>
    <row r="553" spans="1:25" x14ac:dyDescent="0.25">
      <c r="A553" s="81"/>
      <c r="B553" s="319"/>
      <c r="C553" s="81"/>
      <c r="D553" s="81"/>
      <c r="E553" s="397"/>
      <c r="F553" s="397"/>
      <c r="G553" s="397"/>
      <c r="H553" s="96"/>
      <c r="I553" s="96"/>
      <c r="J553" s="96"/>
      <c r="K553" s="96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</row>
    <row r="554" spans="1:25" x14ac:dyDescent="0.25">
      <c r="A554" s="81"/>
      <c r="B554" s="319"/>
      <c r="C554" s="81"/>
      <c r="D554" s="81"/>
      <c r="E554" s="397"/>
      <c r="F554" s="397"/>
      <c r="G554" s="397"/>
      <c r="H554" s="96"/>
      <c r="I554" s="96"/>
      <c r="J554" s="96"/>
      <c r="K554" s="96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</row>
    <row r="555" spans="1:25" x14ac:dyDescent="0.25">
      <c r="A555" s="81"/>
      <c r="B555" s="319"/>
      <c r="C555" s="81"/>
      <c r="D555" s="81"/>
      <c r="E555" s="397"/>
      <c r="F555" s="397"/>
      <c r="G555" s="397"/>
      <c r="H555" s="96"/>
      <c r="I555" s="96"/>
      <c r="J555" s="96"/>
      <c r="K555" s="96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</row>
    <row r="556" spans="1:25" x14ac:dyDescent="0.25">
      <c r="A556" s="81"/>
      <c r="B556" s="319"/>
      <c r="C556" s="81"/>
      <c r="D556" s="81"/>
      <c r="E556" s="397"/>
      <c r="F556" s="397"/>
      <c r="G556" s="397"/>
      <c r="H556" s="96"/>
      <c r="I556" s="96"/>
      <c r="J556" s="96"/>
      <c r="K556" s="96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</row>
    <row r="557" spans="1:25" x14ac:dyDescent="0.25">
      <c r="A557" s="81"/>
      <c r="B557" s="319"/>
      <c r="C557" s="81"/>
      <c r="D557" s="81"/>
      <c r="E557" s="397"/>
      <c r="F557" s="397"/>
      <c r="G557" s="397"/>
      <c r="H557" s="96"/>
      <c r="I557" s="96"/>
      <c r="J557" s="96"/>
      <c r="K557" s="96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</row>
    <row r="558" spans="1:25" x14ac:dyDescent="0.25">
      <c r="A558" s="81"/>
      <c r="B558" s="319"/>
      <c r="C558" s="81"/>
      <c r="D558" s="81"/>
      <c r="E558" s="397"/>
      <c r="F558" s="397"/>
      <c r="G558" s="397"/>
      <c r="H558" s="96"/>
      <c r="I558" s="96"/>
      <c r="J558" s="96"/>
      <c r="K558" s="96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</row>
    <row r="559" spans="1:25" x14ac:dyDescent="0.25">
      <c r="A559" s="81"/>
      <c r="B559" s="319"/>
      <c r="C559" s="81"/>
      <c r="D559" s="81"/>
      <c r="E559" s="397"/>
      <c r="F559" s="397"/>
      <c r="G559" s="397"/>
      <c r="H559" s="96"/>
      <c r="I559" s="96"/>
      <c r="J559" s="96"/>
      <c r="K559" s="96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</row>
    <row r="560" spans="1:25" x14ac:dyDescent="0.25">
      <c r="A560" s="81"/>
      <c r="B560" s="319"/>
      <c r="C560" s="81"/>
      <c r="D560" s="81"/>
      <c r="E560" s="397"/>
      <c r="F560" s="397"/>
      <c r="G560" s="397"/>
      <c r="H560" s="96"/>
      <c r="I560" s="96"/>
      <c r="J560" s="96"/>
      <c r="K560" s="96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</row>
    <row r="561" spans="1:25" x14ac:dyDescent="0.25">
      <c r="A561" s="81"/>
      <c r="B561" s="319"/>
      <c r="C561" s="81"/>
      <c r="D561" s="81"/>
      <c r="E561" s="397"/>
      <c r="F561" s="397"/>
      <c r="G561" s="397"/>
      <c r="H561" s="96"/>
      <c r="I561" s="96"/>
      <c r="J561" s="96"/>
      <c r="K561" s="96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</row>
    <row r="562" spans="1:25" x14ac:dyDescent="0.25">
      <c r="A562" s="81"/>
      <c r="B562" s="319"/>
      <c r="C562" s="81"/>
      <c r="D562" s="81"/>
      <c r="E562" s="397"/>
      <c r="F562" s="397"/>
      <c r="G562" s="397"/>
      <c r="H562" s="96"/>
      <c r="I562" s="96"/>
      <c r="J562" s="96"/>
      <c r="K562" s="96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</row>
    <row r="563" spans="1:25" x14ac:dyDescent="0.25">
      <c r="A563" s="81"/>
      <c r="B563" s="319"/>
      <c r="C563" s="81"/>
      <c r="D563" s="81"/>
      <c r="E563" s="397"/>
      <c r="F563" s="397"/>
      <c r="G563" s="397"/>
      <c r="H563" s="96"/>
      <c r="I563" s="96"/>
      <c r="J563" s="96"/>
      <c r="K563" s="96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</row>
    <row r="564" spans="1:25" x14ac:dyDescent="0.25">
      <c r="A564" s="81"/>
      <c r="B564" s="319"/>
      <c r="C564" s="81"/>
      <c r="D564" s="81"/>
      <c r="E564" s="397"/>
      <c r="F564" s="397"/>
      <c r="G564" s="397"/>
      <c r="H564" s="96"/>
      <c r="I564" s="96"/>
      <c r="J564" s="96"/>
      <c r="K564" s="96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</row>
    <row r="565" spans="1:25" x14ac:dyDescent="0.25">
      <c r="A565" s="81"/>
      <c r="B565" s="319"/>
      <c r="C565" s="81"/>
      <c r="D565" s="81"/>
      <c r="E565" s="397"/>
      <c r="F565" s="397"/>
      <c r="G565" s="397"/>
      <c r="H565" s="96"/>
      <c r="I565" s="96"/>
      <c r="J565" s="96"/>
      <c r="K565" s="96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</row>
    <row r="566" spans="1:25" x14ac:dyDescent="0.25">
      <c r="A566" s="81"/>
      <c r="B566" s="319"/>
      <c r="C566" s="81"/>
      <c r="D566" s="81"/>
      <c r="E566" s="397"/>
      <c r="F566" s="397"/>
      <c r="G566" s="397"/>
      <c r="H566" s="96"/>
      <c r="I566" s="96"/>
      <c r="J566" s="96"/>
      <c r="K566" s="96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</row>
    <row r="567" spans="1:25" x14ac:dyDescent="0.25">
      <c r="A567" s="81"/>
      <c r="B567" s="319"/>
      <c r="C567" s="81"/>
      <c r="D567" s="81"/>
      <c r="E567" s="397"/>
      <c r="F567" s="397"/>
      <c r="G567" s="397"/>
      <c r="H567" s="96"/>
      <c r="I567" s="96"/>
      <c r="J567" s="96"/>
      <c r="K567" s="96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</row>
    <row r="568" spans="1:25" x14ac:dyDescent="0.25">
      <c r="A568" s="81"/>
      <c r="B568" s="319"/>
      <c r="C568" s="81"/>
      <c r="D568" s="81"/>
      <c r="E568" s="397"/>
      <c r="F568" s="397"/>
      <c r="G568" s="397"/>
      <c r="H568" s="96"/>
      <c r="I568" s="96"/>
      <c r="J568" s="96"/>
      <c r="K568" s="96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</row>
    <row r="569" spans="1:25" x14ac:dyDescent="0.25">
      <c r="A569" s="81"/>
      <c r="B569" s="319"/>
      <c r="C569" s="81"/>
      <c r="D569" s="81"/>
      <c r="E569" s="397"/>
      <c r="F569" s="397"/>
      <c r="G569" s="397"/>
      <c r="H569" s="96"/>
      <c r="I569" s="96"/>
      <c r="J569" s="96"/>
      <c r="K569" s="96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</row>
    <row r="570" spans="1:25" x14ac:dyDescent="0.25">
      <c r="A570" s="81"/>
      <c r="B570" s="319"/>
      <c r="C570" s="81"/>
      <c r="D570" s="81"/>
      <c r="E570" s="397"/>
      <c r="F570" s="397"/>
      <c r="G570" s="397"/>
      <c r="H570" s="96"/>
      <c r="I570" s="96"/>
      <c r="J570" s="96"/>
      <c r="K570" s="96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</row>
    <row r="571" spans="1:25" x14ac:dyDescent="0.25">
      <c r="A571" s="81"/>
      <c r="B571" s="319"/>
      <c r="C571" s="81"/>
      <c r="D571" s="81"/>
      <c r="E571" s="397"/>
      <c r="F571" s="397"/>
      <c r="G571" s="397"/>
      <c r="H571" s="96"/>
      <c r="I571" s="96"/>
      <c r="J571" s="96"/>
      <c r="K571" s="96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</row>
    <row r="572" spans="1:25" x14ac:dyDescent="0.25">
      <c r="A572" s="81"/>
      <c r="B572" s="319"/>
      <c r="C572" s="81"/>
      <c r="D572" s="81"/>
      <c r="E572" s="397"/>
      <c r="F572" s="397"/>
      <c r="G572" s="397"/>
      <c r="H572" s="96"/>
      <c r="I572" s="96"/>
      <c r="J572" s="96"/>
      <c r="K572" s="96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</row>
    <row r="573" spans="1:25" x14ac:dyDescent="0.25">
      <c r="A573" s="81"/>
      <c r="B573" s="319"/>
      <c r="C573" s="81"/>
      <c r="D573" s="81"/>
      <c r="E573" s="397"/>
      <c r="F573" s="397"/>
      <c r="G573" s="397"/>
      <c r="H573" s="96"/>
      <c r="I573" s="96"/>
      <c r="J573" s="96"/>
      <c r="K573" s="96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</row>
    <row r="574" spans="1:25" x14ac:dyDescent="0.25">
      <c r="A574" s="81"/>
      <c r="B574" s="319"/>
      <c r="C574" s="81"/>
      <c r="D574" s="81"/>
      <c r="E574" s="397"/>
      <c r="F574" s="397"/>
      <c r="G574" s="397"/>
      <c r="H574" s="96"/>
      <c r="I574" s="96"/>
      <c r="J574" s="96"/>
      <c r="K574" s="96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</row>
    <row r="575" spans="1:25" x14ac:dyDescent="0.25">
      <c r="A575" s="81"/>
      <c r="B575" s="319"/>
      <c r="C575" s="81"/>
      <c r="D575" s="81"/>
      <c r="E575" s="397"/>
      <c r="F575" s="397"/>
      <c r="G575" s="397"/>
      <c r="H575" s="96"/>
      <c r="I575" s="96"/>
      <c r="J575" s="96"/>
      <c r="K575" s="96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</row>
    <row r="576" spans="1:25" x14ac:dyDescent="0.25">
      <c r="A576" s="81"/>
      <c r="B576" s="319"/>
      <c r="C576" s="81"/>
      <c r="D576" s="81"/>
      <c r="E576" s="397"/>
      <c r="F576" s="397"/>
      <c r="G576" s="397"/>
      <c r="H576" s="96"/>
      <c r="I576" s="96"/>
      <c r="J576" s="96"/>
      <c r="K576" s="96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</row>
    <row r="577" spans="1:25" x14ac:dyDescent="0.25">
      <c r="A577" s="81"/>
      <c r="B577" s="319"/>
      <c r="C577" s="81"/>
      <c r="D577" s="81"/>
      <c r="E577" s="397"/>
      <c r="F577" s="397"/>
      <c r="G577" s="397"/>
      <c r="H577" s="96"/>
      <c r="I577" s="96"/>
      <c r="J577" s="96"/>
      <c r="K577" s="96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</row>
    <row r="578" spans="1:25" x14ac:dyDescent="0.25">
      <c r="A578" s="81"/>
      <c r="B578" s="319"/>
      <c r="C578" s="81"/>
      <c r="D578" s="81"/>
      <c r="E578" s="397"/>
      <c r="F578" s="397"/>
      <c r="G578" s="397"/>
      <c r="H578" s="96"/>
      <c r="I578" s="96"/>
      <c r="J578" s="96"/>
      <c r="K578" s="96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</row>
    <row r="579" spans="1:25" x14ac:dyDescent="0.25">
      <c r="A579" s="81"/>
      <c r="B579" s="319"/>
      <c r="C579" s="81"/>
      <c r="D579" s="81"/>
      <c r="E579" s="397"/>
      <c r="F579" s="397"/>
      <c r="G579" s="397"/>
      <c r="H579" s="96"/>
      <c r="I579" s="96"/>
      <c r="J579" s="96"/>
      <c r="K579" s="96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</row>
    <row r="580" spans="1:25" x14ac:dyDescent="0.25">
      <c r="A580" s="81"/>
      <c r="B580" s="319"/>
      <c r="C580" s="81"/>
      <c r="D580" s="81"/>
      <c r="E580" s="397"/>
      <c r="F580" s="397"/>
      <c r="G580" s="397"/>
      <c r="H580" s="96"/>
      <c r="I580" s="96"/>
      <c r="J580" s="96"/>
      <c r="K580" s="96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</row>
    <row r="581" spans="1:25" x14ac:dyDescent="0.25">
      <c r="A581" s="81"/>
      <c r="B581" s="319"/>
      <c r="C581" s="81"/>
      <c r="D581" s="81"/>
      <c r="E581" s="397"/>
      <c r="F581" s="397"/>
      <c r="G581" s="397"/>
      <c r="H581" s="96"/>
      <c r="I581" s="96"/>
      <c r="J581" s="96"/>
      <c r="K581" s="96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</row>
    <row r="582" spans="1:25" x14ac:dyDescent="0.25">
      <c r="A582" s="81"/>
      <c r="B582" s="319"/>
      <c r="C582" s="81"/>
      <c r="D582" s="81"/>
      <c r="E582" s="397"/>
      <c r="F582" s="397"/>
      <c r="G582" s="397"/>
      <c r="H582" s="96"/>
      <c r="I582" s="96"/>
      <c r="J582" s="96"/>
      <c r="K582" s="96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</row>
    <row r="583" spans="1:25" x14ac:dyDescent="0.25">
      <c r="A583" s="81"/>
      <c r="B583" s="319"/>
      <c r="C583" s="81"/>
      <c r="D583" s="81"/>
      <c r="E583" s="397"/>
      <c r="F583" s="397"/>
      <c r="G583" s="397"/>
      <c r="H583" s="96"/>
      <c r="I583" s="96"/>
      <c r="J583" s="96"/>
      <c r="K583" s="96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</row>
    <row r="584" spans="1:25" x14ac:dyDescent="0.25">
      <c r="A584" s="81"/>
      <c r="B584" s="319"/>
      <c r="C584" s="81"/>
      <c r="D584" s="81"/>
      <c r="E584" s="397"/>
      <c r="F584" s="397"/>
      <c r="G584" s="397"/>
      <c r="H584" s="96"/>
      <c r="I584" s="96"/>
      <c r="J584" s="96"/>
      <c r="K584" s="96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</row>
    <row r="585" spans="1:25" x14ac:dyDescent="0.25">
      <c r="A585" s="81"/>
      <c r="B585" s="319"/>
      <c r="C585" s="81"/>
      <c r="D585" s="81"/>
      <c r="E585" s="397"/>
      <c r="F585" s="397"/>
      <c r="G585" s="397"/>
      <c r="H585" s="96"/>
      <c r="I585" s="96"/>
      <c r="J585" s="96"/>
      <c r="K585" s="96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</row>
    <row r="586" spans="1:25" x14ac:dyDescent="0.25">
      <c r="A586" s="81"/>
      <c r="B586" s="319"/>
      <c r="C586" s="81"/>
      <c r="D586" s="81"/>
      <c r="E586" s="397"/>
      <c r="F586" s="397"/>
      <c r="G586" s="397"/>
      <c r="H586" s="96"/>
      <c r="I586" s="96"/>
      <c r="J586" s="96"/>
      <c r="K586" s="96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</row>
    <row r="587" spans="1:25" x14ac:dyDescent="0.25">
      <c r="A587" s="81"/>
      <c r="B587" s="319"/>
      <c r="C587" s="81"/>
      <c r="D587" s="81"/>
      <c r="E587" s="397"/>
      <c r="F587" s="397"/>
      <c r="G587" s="397"/>
      <c r="H587" s="96"/>
      <c r="I587" s="96"/>
      <c r="J587" s="96"/>
      <c r="K587" s="96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</row>
    <row r="588" spans="1:25" x14ac:dyDescent="0.25">
      <c r="A588" s="81"/>
      <c r="B588" s="319"/>
      <c r="C588" s="81"/>
      <c r="D588" s="81"/>
      <c r="E588" s="397"/>
      <c r="F588" s="397"/>
      <c r="G588" s="397"/>
      <c r="H588" s="96"/>
      <c r="I588" s="96"/>
      <c r="J588" s="96"/>
      <c r="K588" s="96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</row>
    <row r="589" spans="1:25" x14ac:dyDescent="0.25">
      <c r="A589" s="81"/>
      <c r="B589" s="319"/>
      <c r="C589" s="81"/>
      <c r="D589" s="81"/>
      <c r="E589" s="397"/>
      <c r="F589" s="397"/>
      <c r="G589" s="397"/>
      <c r="H589" s="96"/>
      <c r="I589" s="96"/>
      <c r="J589" s="96"/>
      <c r="K589" s="96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</row>
    <row r="590" spans="1:25" x14ac:dyDescent="0.25">
      <c r="A590" s="81"/>
      <c r="B590" s="319"/>
      <c r="C590" s="81"/>
      <c r="D590" s="81"/>
      <c r="E590" s="397"/>
      <c r="F590" s="397"/>
      <c r="G590" s="397"/>
      <c r="H590" s="96"/>
      <c r="I590" s="96"/>
      <c r="J590" s="96"/>
      <c r="K590" s="96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</row>
    <row r="591" spans="1:25" x14ac:dyDescent="0.25">
      <c r="A591" s="81"/>
      <c r="B591" s="319"/>
      <c r="C591" s="81"/>
      <c r="D591" s="81"/>
      <c r="E591" s="397"/>
      <c r="F591" s="397"/>
      <c r="G591" s="397"/>
      <c r="H591" s="96"/>
      <c r="I591" s="96"/>
      <c r="J591" s="96"/>
      <c r="K591" s="96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</row>
    <row r="592" spans="1:25" x14ac:dyDescent="0.25">
      <c r="A592" s="81"/>
      <c r="B592" s="319"/>
      <c r="C592" s="81"/>
      <c r="D592" s="81"/>
      <c r="E592" s="397"/>
      <c r="F592" s="397"/>
      <c r="G592" s="397"/>
      <c r="H592" s="96"/>
      <c r="I592" s="96"/>
      <c r="J592" s="96"/>
      <c r="K592" s="96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</row>
    <row r="593" spans="1:25" x14ac:dyDescent="0.25">
      <c r="A593" s="81"/>
      <c r="B593" s="319"/>
      <c r="C593" s="81"/>
      <c r="D593" s="81"/>
      <c r="E593" s="397"/>
      <c r="F593" s="397"/>
      <c r="G593" s="397"/>
      <c r="H593" s="96"/>
      <c r="I593" s="96"/>
      <c r="J593" s="96"/>
      <c r="K593" s="96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</row>
    <row r="594" spans="1:25" x14ac:dyDescent="0.25">
      <c r="A594" s="81"/>
      <c r="B594" s="319"/>
      <c r="C594" s="81"/>
      <c r="D594" s="81"/>
      <c r="E594" s="397"/>
      <c r="F594" s="397"/>
      <c r="G594" s="397"/>
      <c r="H594" s="96"/>
      <c r="I594" s="96"/>
      <c r="J594" s="96"/>
      <c r="K594" s="96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</row>
    <row r="595" spans="1:25" x14ac:dyDescent="0.25">
      <c r="A595" s="81"/>
      <c r="B595" s="319"/>
      <c r="C595" s="81"/>
      <c r="D595" s="81"/>
      <c r="E595" s="397"/>
      <c r="F595" s="397"/>
      <c r="G595" s="397"/>
      <c r="H595" s="96"/>
      <c r="I595" s="96"/>
      <c r="J595" s="96"/>
      <c r="K595" s="96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</row>
    <row r="596" spans="1:25" x14ac:dyDescent="0.25">
      <c r="A596" s="81"/>
      <c r="B596" s="319"/>
      <c r="C596" s="81"/>
      <c r="D596" s="81"/>
      <c r="E596" s="397"/>
      <c r="F596" s="397"/>
      <c r="G596" s="397"/>
      <c r="H596" s="96"/>
      <c r="I596" s="96"/>
      <c r="J596" s="96"/>
      <c r="K596" s="96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</row>
    <row r="597" spans="1:25" x14ac:dyDescent="0.25">
      <c r="A597" s="81"/>
      <c r="B597" s="319"/>
      <c r="C597" s="81"/>
      <c r="D597" s="81"/>
      <c r="E597" s="397"/>
      <c r="F597" s="397"/>
      <c r="G597" s="397"/>
      <c r="H597" s="96"/>
      <c r="I597" s="96"/>
      <c r="J597" s="96"/>
      <c r="K597" s="96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</row>
    <row r="598" spans="1:25" x14ac:dyDescent="0.25">
      <c r="A598" s="81"/>
      <c r="B598" s="319"/>
      <c r="C598" s="81"/>
      <c r="D598" s="81"/>
      <c r="E598" s="397"/>
      <c r="F598" s="397"/>
      <c r="G598" s="397"/>
      <c r="H598" s="96"/>
      <c r="I598" s="96"/>
      <c r="J598" s="96"/>
      <c r="K598" s="96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</row>
    <row r="599" spans="1:25" x14ac:dyDescent="0.25">
      <c r="A599" s="81"/>
      <c r="B599" s="319"/>
      <c r="C599" s="81"/>
      <c r="D599" s="81"/>
      <c r="E599" s="397"/>
      <c r="F599" s="397"/>
      <c r="G599" s="397"/>
      <c r="H599" s="96"/>
      <c r="I599" s="96"/>
      <c r="J599" s="96"/>
      <c r="K599" s="96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</row>
    <row r="600" spans="1:25" x14ac:dyDescent="0.25">
      <c r="A600" s="81"/>
      <c r="B600" s="319"/>
      <c r="C600" s="81"/>
      <c r="D600" s="81"/>
      <c r="E600" s="397"/>
      <c r="F600" s="397"/>
      <c r="G600" s="397"/>
      <c r="H600" s="96"/>
      <c r="I600" s="96"/>
      <c r="J600" s="96"/>
      <c r="K600" s="96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</row>
    <row r="601" spans="1:25" x14ac:dyDescent="0.25">
      <c r="A601" s="81"/>
      <c r="B601" s="319"/>
      <c r="C601" s="81"/>
      <c r="D601" s="81"/>
      <c r="E601" s="397"/>
      <c r="F601" s="397"/>
      <c r="G601" s="397"/>
      <c r="H601" s="96"/>
      <c r="I601" s="96"/>
      <c r="J601" s="96"/>
      <c r="K601" s="96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</row>
    <row r="602" spans="1:25" x14ac:dyDescent="0.25">
      <c r="A602" s="81"/>
      <c r="B602" s="319"/>
      <c r="C602" s="81"/>
      <c r="D602" s="81"/>
      <c r="E602" s="397"/>
      <c r="F602" s="397"/>
      <c r="G602" s="397"/>
      <c r="H602" s="96"/>
      <c r="I602" s="96"/>
      <c r="J602" s="96"/>
      <c r="K602" s="96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</row>
    <row r="603" spans="1:25" x14ac:dyDescent="0.25">
      <c r="A603" s="81"/>
      <c r="B603" s="319"/>
      <c r="C603" s="81"/>
      <c r="D603" s="81"/>
      <c r="E603" s="397"/>
      <c r="F603" s="397"/>
      <c r="G603" s="397"/>
      <c r="H603" s="96"/>
      <c r="I603" s="96"/>
      <c r="J603" s="96"/>
      <c r="K603" s="96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</row>
    <row r="604" spans="1:25" x14ac:dyDescent="0.25">
      <c r="A604" s="81"/>
      <c r="B604" s="319"/>
      <c r="C604" s="81"/>
      <c r="D604" s="81"/>
      <c r="E604" s="397"/>
      <c r="F604" s="397"/>
      <c r="G604" s="397"/>
      <c r="H604" s="96"/>
      <c r="I604" s="96"/>
      <c r="J604" s="96"/>
      <c r="K604" s="96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</row>
    <row r="605" spans="1:25" x14ac:dyDescent="0.25">
      <c r="A605" s="81"/>
      <c r="B605" s="319"/>
      <c r="C605" s="81"/>
      <c r="D605" s="81"/>
      <c r="E605" s="397"/>
      <c r="F605" s="397"/>
      <c r="G605" s="397"/>
      <c r="H605" s="96"/>
      <c r="I605" s="96"/>
      <c r="J605" s="96"/>
      <c r="K605" s="96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</row>
    <row r="606" spans="1:25" x14ac:dyDescent="0.25">
      <c r="A606" s="81"/>
      <c r="B606" s="319"/>
      <c r="C606" s="81"/>
      <c r="D606" s="81"/>
      <c r="E606" s="397"/>
      <c r="F606" s="397"/>
      <c r="G606" s="397"/>
      <c r="H606" s="96"/>
      <c r="I606" s="96"/>
      <c r="J606" s="96"/>
      <c r="K606" s="96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</row>
    <row r="607" spans="1:25" x14ac:dyDescent="0.25">
      <c r="A607" s="81"/>
      <c r="B607" s="319"/>
      <c r="C607" s="81"/>
      <c r="D607" s="81"/>
      <c r="E607" s="397"/>
      <c r="F607" s="397"/>
      <c r="G607" s="397"/>
      <c r="H607" s="96"/>
      <c r="I607" s="96"/>
      <c r="J607" s="96"/>
      <c r="K607" s="96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</row>
    <row r="608" spans="1:25" x14ac:dyDescent="0.25">
      <c r="A608" s="81"/>
      <c r="B608" s="319"/>
      <c r="C608" s="81"/>
      <c r="D608" s="81"/>
      <c r="E608" s="397"/>
      <c r="F608" s="397"/>
      <c r="G608" s="397"/>
      <c r="H608" s="96"/>
      <c r="I608" s="96"/>
      <c r="J608" s="96"/>
      <c r="K608" s="96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</row>
    <row r="609" spans="1:25" x14ac:dyDescent="0.25">
      <c r="A609" s="81"/>
      <c r="B609" s="319"/>
      <c r="C609" s="81"/>
      <c r="D609" s="81"/>
      <c r="E609" s="397"/>
      <c r="F609" s="397"/>
      <c r="G609" s="397"/>
      <c r="H609" s="96"/>
      <c r="I609" s="96"/>
      <c r="J609" s="96"/>
      <c r="K609" s="96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</row>
    <row r="610" spans="1:25" x14ac:dyDescent="0.25">
      <c r="A610" s="81"/>
      <c r="B610" s="319"/>
      <c r="C610" s="81"/>
      <c r="D610" s="81"/>
      <c r="E610" s="397"/>
      <c r="F610" s="397"/>
      <c r="G610" s="397"/>
      <c r="H610" s="96"/>
      <c r="I610" s="96"/>
      <c r="J610" s="96"/>
      <c r="K610" s="96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</row>
    <row r="611" spans="1:25" x14ac:dyDescent="0.25">
      <c r="A611" s="81"/>
      <c r="B611" s="319"/>
      <c r="C611" s="81"/>
      <c r="D611" s="81"/>
      <c r="E611" s="397"/>
      <c r="F611" s="397"/>
      <c r="G611" s="397"/>
      <c r="H611" s="96"/>
      <c r="I611" s="96"/>
      <c r="J611" s="96"/>
      <c r="K611" s="96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</row>
    <row r="612" spans="1:25" x14ac:dyDescent="0.25">
      <c r="A612" s="81"/>
      <c r="B612" s="319"/>
      <c r="C612" s="81"/>
      <c r="D612" s="81"/>
      <c r="E612" s="397"/>
      <c r="F612" s="397"/>
      <c r="G612" s="397"/>
      <c r="H612" s="96"/>
      <c r="I612" s="96"/>
      <c r="J612" s="96"/>
      <c r="K612" s="96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</row>
    <row r="613" spans="1:25" x14ac:dyDescent="0.25">
      <c r="A613" s="81"/>
      <c r="B613" s="319"/>
      <c r="C613" s="81"/>
      <c r="D613" s="81"/>
      <c r="E613" s="397"/>
      <c r="F613" s="397"/>
      <c r="G613" s="397"/>
      <c r="H613" s="96"/>
      <c r="I613" s="96"/>
      <c r="J613" s="96"/>
      <c r="K613" s="96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</row>
    <row r="614" spans="1:25" x14ac:dyDescent="0.25">
      <c r="A614" s="81"/>
      <c r="B614" s="319"/>
      <c r="C614" s="81"/>
      <c r="D614" s="81"/>
      <c r="E614" s="397"/>
      <c r="F614" s="397"/>
      <c r="G614" s="397"/>
      <c r="H614" s="96"/>
      <c r="I614" s="96"/>
      <c r="J614" s="96"/>
      <c r="K614" s="96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</row>
    <row r="615" spans="1:25" x14ac:dyDescent="0.25">
      <c r="A615" s="81"/>
      <c r="B615" s="319"/>
      <c r="C615" s="81"/>
      <c r="D615" s="81"/>
      <c r="E615" s="397"/>
      <c r="F615" s="397"/>
      <c r="G615" s="397"/>
      <c r="H615" s="96"/>
      <c r="I615" s="96"/>
      <c r="J615" s="96"/>
      <c r="K615" s="96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</row>
    <row r="616" spans="1:25" x14ac:dyDescent="0.25">
      <c r="A616" s="81"/>
      <c r="B616" s="319"/>
      <c r="C616" s="81"/>
      <c r="D616" s="81"/>
      <c r="E616" s="397"/>
      <c r="F616" s="397"/>
      <c r="G616" s="397"/>
      <c r="H616" s="96"/>
      <c r="I616" s="96"/>
      <c r="J616" s="96"/>
      <c r="K616" s="96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</row>
    <row r="617" spans="1:25" x14ac:dyDescent="0.25">
      <c r="A617" s="81"/>
      <c r="B617" s="319"/>
      <c r="C617" s="81"/>
      <c r="D617" s="81"/>
      <c r="E617" s="397"/>
      <c r="F617" s="397"/>
      <c r="G617" s="397"/>
      <c r="H617" s="96"/>
      <c r="I617" s="96"/>
      <c r="J617" s="96"/>
      <c r="K617" s="96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</row>
    <row r="618" spans="1:25" x14ac:dyDescent="0.25">
      <c r="A618" s="81"/>
      <c r="B618" s="319"/>
      <c r="C618" s="81"/>
      <c r="D618" s="81"/>
      <c r="E618" s="397"/>
      <c r="F618" s="397"/>
      <c r="G618" s="397"/>
      <c r="H618" s="96"/>
      <c r="I618" s="96"/>
      <c r="J618" s="96"/>
      <c r="K618" s="96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</row>
    <row r="619" spans="1:25" x14ac:dyDescent="0.25">
      <c r="A619" s="81"/>
      <c r="B619" s="319"/>
      <c r="C619" s="81"/>
      <c r="D619" s="81"/>
      <c r="E619" s="397"/>
      <c r="F619" s="397"/>
      <c r="G619" s="397"/>
      <c r="H619" s="96"/>
      <c r="I619" s="96"/>
      <c r="J619" s="96"/>
      <c r="K619" s="96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</row>
    <row r="620" spans="1:25" x14ac:dyDescent="0.25">
      <c r="A620" s="81"/>
      <c r="B620" s="319"/>
      <c r="C620" s="81"/>
      <c r="D620" s="81"/>
      <c r="E620" s="397"/>
      <c r="F620" s="397"/>
      <c r="G620" s="397"/>
      <c r="H620" s="96"/>
      <c r="I620" s="96"/>
      <c r="J620" s="96"/>
      <c r="K620" s="96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</row>
    <row r="621" spans="1:25" x14ac:dyDescent="0.25">
      <c r="A621" s="81"/>
      <c r="B621" s="319"/>
      <c r="C621" s="81"/>
      <c r="D621" s="81"/>
      <c r="E621" s="397"/>
      <c r="F621" s="397"/>
      <c r="G621" s="397"/>
      <c r="H621" s="96"/>
      <c r="I621" s="96"/>
      <c r="J621" s="96"/>
      <c r="K621" s="96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</row>
    <row r="622" spans="1:25" x14ac:dyDescent="0.25">
      <c r="A622" s="81"/>
      <c r="B622" s="319"/>
      <c r="C622" s="81"/>
      <c r="D622" s="81"/>
      <c r="E622" s="397"/>
      <c r="F622" s="397"/>
      <c r="G622" s="397"/>
      <c r="H622" s="96"/>
      <c r="I622" s="96"/>
      <c r="J622" s="96"/>
      <c r="K622" s="96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</row>
    <row r="623" spans="1:25" x14ac:dyDescent="0.25">
      <c r="A623" s="81"/>
      <c r="B623" s="319"/>
      <c r="C623" s="81"/>
      <c r="D623" s="81"/>
      <c r="E623" s="397"/>
      <c r="F623" s="397"/>
      <c r="G623" s="397"/>
      <c r="H623" s="96"/>
      <c r="I623" s="96"/>
      <c r="J623" s="96"/>
      <c r="K623" s="96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</row>
    <row r="624" spans="1:25" x14ac:dyDescent="0.25">
      <c r="A624" s="81"/>
      <c r="B624" s="319"/>
      <c r="C624" s="81"/>
      <c r="D624" s="81"/>
      <c r="E624" s="397"/>
      <c r="F624" s="397"/>
      <c r="G624" s="397"/>
      <c r="H624" s="96"/>
      <c r="I624" s="96"/>
      <c r="J624" s="96"/>
      <c r="K624" s="96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</row>
    <row r="625" spans="1:25" x14ac:dyDescent="0.25">
      <c r="A625" s="81"/>
      <c r="B625" s="319"/>
      <c r="C625" s="81"/>
      <c r="D625" s="81"/>
      <c r="E625" s="397"/>
      <c r="F625" s="397"/>
      <c r="G625" s="397"/>
      <c r="H625" s="96"/>
      <c r="I625" s="96"/>
      <c r="J625" s="96"/>
      <c r="K625" s="96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</row>
    <row r="626" spans="1:25" x14ac:dyDescent="0.25">
      <c r="A626" s="81"/>
      <c r="B626" s="319"/>
      <c r="C626" s="81"/>
      <c r="D626" s="81"/>
      <c r="E626" s="397"/>
      <c r="F626" s="397"/>
      <c r="G626" s="397"/>
      <c r="H626" s="96"/>
      <c r="I626" s="96"/>
      <c r="J626" s="96"/>
      <c r="K626" s="96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</row>
    <row r="627" spans="1:25" x14ac:dyDescent="0.25">
      <c r="A627" s="81"/>
      <c r="B627" s="319"/>
      <c r="C627" s="81"/>
      <c r="D627" s="81"/>
      <c r="E627" s="397"/>
      <c r="G627" s="397"/>
      <c r="H627" s="96"/>
      <c r="I627" s="96"/>
      <c r="J627" s="96"/>
      <c r="K627" s="96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</row>
    <row r="628" spans="1:25" x14ac:dyDescent="0.25">
      <c r="H628" s="89"/>
      <c r="I628" s="89"/>
      <c r="J628" s="89"/>
      <c r="K628" s="89"/>
    </row>
    <row r="629" spans="1:25" x14ac:dyDescent="0.25">
      <c r="H629" s="89"/>
      <c r="I629" s="89"/>
      <c r="J629" s="89"/>
      <c r="K629" s="89"/>
    </row>
    <row r="630" spans="1:25" x14ac:dyDescent="0.25">
      <c r="H630" s="89"/>
      <c r="I630" s="89"/>
      <c r="J630" s="89"/>
      <c r="K630" s="89"/>
    </row>
    <row r="631" spans="1:25" x14ac:dyDescent="0.25">
      <c r="H631" s="89"/>
      <c r="I631" s="89"/>
      <c r="J631" s="89"/>
      <c r="K631" s="89"/>
    </row>
    <row r="632" spans="1:25" x14ac:dyDescent="0.25">
      <c r="H632" s="89"/>
      <c r="I632" s="89"/>
      <c r="J632" s="89"/>
      <c r="K632" s="89"/>
    </row>
    <row r="633" spans="1:25" x14ac:dyDescent="0.25">
      <c r="H633" s="89"/>
      <c r="I633" s="89"/>
      <c r="J633" s="89"/>
      <c r="K633" s="89"/>
    </row>
    <row r="634" spans="1:25" x14ac:dyDescent="0.25">
      <c r="H634" s="89"/>
      <c r="I634" s="89"/>
      <c r="J634" s="89"/>
      <c r="K634" s="89"/>
    </row>
    <row r="635" spans="1:25" x14ac:dyDescent="0.25">
      <c r="H635" s="89"/>
      <c r="I635" s="89"/>
      <c r="J635" s="89"/>
      <c r="K635" s="89"/>
    </row>
    <row r="636" spans="1:25" x14ac:dyDescent="0.25">
      <c r="H636" s="89"/>
      <c r="I636" s="89"/>
      <c r="J636" s="89"/>
      <c r="K636" s="89"/>
    </row>
    <row r="637" spans="1:25" x14ac:dyDescent="0.25">
      <c r="H637" s="89"/>
      <c r="I637" s="89"/>
      <c r="J637" s="89"/>
      <c r="K637" s="89"/>
    </row>
    <row r="638" spans="1:25" x14ac:dyDescent="0.25">
      <c r="H638" s="89"/>
      <c r="I638" s="89"/>
      <c r="J638" s="89"/>
      <c r="K638" s="89"/>
    </row>
    <row r="639" spans="1:25" x14ac:dyDescent="0.25">
      <c r="H639" s="89"/>
      <c r="I639" s="89"/>
      <c r="J639" s="89"/>
      <c r="K639" s="89"/>
    </row>
    <row r="640" spans="1:25" x14ac:dyDescent="0.25">
      <c r="H640" s="89"/>
      <c r="I640" s="89"/>
      <c r="J640" s="89"/>
      <c r="K640" s="89"/>
    </row>
    <row r="641" spans="8:11" x14ac:dyDescent="0.25">
      <c r="H641" s="89"/>
      <c r="I641" s="89"/>
      <c r="J641" s="89"/>
      <c r="K641" s="89"/>
    </row>
    <row r="642" spans="8:11" x14ac:dyDescent="0.25">
      <c r="H642" s="89"/>
      <c r="I642" s="89"/>
      <c r="J642" s="89"/>
      <c r="K642" s="89"/>
    </row>
    <row r="643" spans="8:11" x14ac:dyDescent="0.25">
      <c r="H643" s="89"/>
      <c r="I643" s="89"/>
      <c r="J643" s="89"/>
      <c r="K643" s="89"/>
    </row>
    <row r="644" spans="8:11" x14ac:dyDescent="0.25">
      <c r="H644" s="89"/>
      <c r="I644" s="89"/>
      <c r="J644" s="89"/>
      <c r="K644" s="89"/>
    </row>
    <row r="645" spans="8:11" x14ac:dyDescent="0.25">
      <c r="H645" s="89"/>
      <c r="I645" s="89"/>
      <c r="J645" s="89"/>
      <c r="K645" s="89"/>
    </row>
    <row r="646" spans="8:11" x14ac:dyDescent="0.25">
      <c r="H646" s="89"/>
      <c r="I646" s="89"/>
      <c r="J646" s="89"/>
      <c r="K646" s="89"/>
    </row>
    <row r="647" spans="8:11" x14ac:dyDescent="0.25">
      <c r="H647" s="89"/>
      <c r="I647" s="89"/>
      <c r="J647" s="89"/>
      <c r="K647" s="89"/>
    </row>
    <row r="648" spans="8:11" x14ac:dyDescent="0.25">
      <c r="H648" s="89"/>
      <c r="I648" s="89"/>
      <c r="J648" s="89"/>
      <c r="K648" s="89"/>
    </row>
    <row r="649" spans="8:11" x14ac:dyDescent="0.25">
      <c r="H649" s="89"/>
      <c r="I649" s="89"/>
      <c r="J649" s="89"/>
      <c r="K649" s="89"/>
    </row>
    <row r="650" spans="8:11" x14ac:dyDescent="0.25">
      <c r="H650" s="89"/>
      <c r="I650" s="89"/>
      <c r="J650" s="89"/>
      <c r="K650" s="89"/>
    </row>
    <row r="651" spans="8:11" x14ac:dyDescent="0.25">
      <c r="H651" s="89"/>
      <c r="I651" s="89"/>
      <c r="J651" s="89"/>
      <c r="K651" s="89"/>
    </row>
    <row r="652" spans="8:11" x14ac:dyDescent="0.25">
      <c r="H652" s="89"/>
      <c r="I652" s="89"/>
      <c r="J652" s="89"/>
      <c r="K652" s="89"/>
    </row>
    <row r="653" spans="8:11" x14ac:dyDescent="0.25">
      <c r="H653" s="89"/>
      <c r="I653" s="89"/>
      <c r="J653" s="89"/>
      <c r="K653" s="89"/>
    </row>
    <row r="654" spans="8:11" x14ac:dyDescent="0.25">
      <c r="H654" s="89"/>
      <c r="I654" s="89"/>
      <c r="J654" s="89"/>
      <c r="K654" s="89"/>
    </row>
    <row r="655" spans="8:11" x14ac:dyDescent="0.25">
      <c r="H655" s="89"/>
      <c r="I655" s="89"/>
      <c r="J655" s="89"/>
      <c r="K655" s="89"/>
    </row>
    <row r="656" spans="8:11" x14ac:dyDescent="0.25">
      <c r="H656" s="89"/>
      <c r="I656" s="89"/>
      <c r="J656" s="89"/>
      <c r="K656" s="89"/>
    </row>
    <row r="657" spans="8:11" x14ac:dyDescent="0.25">
      <c r="H657" s="89"/>
      <c r="I657" s="89"/>
      <c r="J657" s="89"/>
      <c r="K657" s="89"/>
    </row>
    <row r="658" spans="8:11" x14ac:dyDescent="0.25">
      <c r="H658" s="89"/>
      <c r="I658" s="89"/>
      <c r="J658" s="89"/>
      <c r="K658" s="89"/>
    </row>
    <row r="659" spans="8:11" x14ac:dyDescent="0.25">
      <c r="H659" s="89"/>
      <c r="I659" s="89"/>
      <c r="J659" s="89"/>
      <c r="K659" s="89"/>
    </row>
    <row r="660" spans="8:11" x14ac:dyDescent="0.25">
      <c r="H660" s="89"/>
      <c r="I660" s="89"/>
      <c r="J660" s="89"/>
      <c r="K660" s="89"/>
    </row>
    <row r="661" spans="8:11" x14ac:dyDescent="0.25">
      <c r="H661" s="89"/>
      <c r="I661" s="89"/>
      <c r="J661" s="89"/>
      <c r="K661" s="89"/>
    </row>
    <row r="662" spans="8:11" x14ac:dyDescent="0.25">
      <c r="H662" s="89"/>
      <c r="I662" s="89"/>
      <c r="J662" s="89"/>
      <c r="K662" s="89"/>
    </row>
    <row r="663" spans="8:11" x14ac:dyDescent="0.25">
      <c r="H663" s="89"/>
      <c r="I663" s="89"/>
      <c r="J663" s="89"/>
      <c r="K663" s="89"/>
    </row>
    <row r="664" spans="8:11" x14ac:dyDescent="0.25">
      <c r="H664" s="89"/>
      <c r="I664" s="89"/>
      <c r="J664" s="89"/>
      <c r="K664" s="89"/>
    </row>
    <row r="665" spans="8:11" x14ac:dyDescent="0.25">
      <c r="H665" s="89"/>
      <c r="I665" s="89"/>
      <c r="J665" s="89"/>
      <c r="K665" s="89"/>
    </row>
    <row r="666" spans="8:11" x14ac:dyDescent="0.25">
      <c r="H666" s="89"/>
      <c r="I666" s="89"/>
      <c r="J666" s="89"/>
      <c r="K666" s="89"/>
    </row>
    <row r="667" spans="8:11" x14ac:dyDescent="0.25">
      <c r="H667" s="89"/>
      <c r="I667" s="89"/>
      <c r="J667" s="89"/>
      <c r="K667" s="89"/>
    </row>
    <row r="668" spans="8:11" x14ac:dyDescent="0.25">
      <c r="H668" s="89"/>
      <c r="I668" s="89"/>
      <c r="J668" s="89"/>
      <c r="K668" s="89"/>
    </row>
    <row r="669" spans="8:11" x14ac:dyDescent="0.25">
      <c r="H669" s="89"/>
      <c r="I669" s="89"/>
      <c r="J669" s="89"/>
      <c r="K669" s="89"/>
    </row>
    <row r="670" spans="8:11" x14ac:dyDescent="0.25">
      <c r="H670" s="89"/>
      <c r="I670" s="89"/>
      <c r="J670" s="89"/>
      <c r="K670" s="89"/>
    </row>
    <row r="671" spans="8:11" x14ac:dyDescent="0.25">
      <c r="H671" s="89"/>
      <c r="I671" s="89"/>
      <c r="J671" s="89"/>
      <c r="K671" s="89"/>
    </row>
    <row r="672" spans="8:11" x14ac:dyDescent="0.25">
      <c r="H672" s="89"/>
      <c r="I672" s="89"/>
      <c r="J672" s="89"/>
      <c r="K672" s="89"/>
    </row>
    <row r="673" spans="8:11" x14ac:dyDescent="0.25">
      <c r="H673" s="89"/>
      <c r="I673" s="89"/>
      <c r="J673" s="89"/>
      <c r="K673" s="89"/>
    </row>
    <row r="674" spans="8:11" x14ac:dyDescent="0.25">
      <c r="H674" s="89"/>
      <c r="I674" s="89"/>
      <c r="J674" s="89"/>
      <c r="K674" s="89"/>
    </row>
    <row r="675" spans="8:11" x14ac:dyDescent="0.25">
      <c r="H675" s="89"/>
      <c r="I675" s="89"/>
      <c r="J675" s="89"/>
      <c r="K675" s="89"/>
    </row>
    <row r="676" spans="8:11" x14ac:dyDescent="0.25">
      <c r="H676" s="89"/>
      <c r="I676" s="89"/>
      <c r="J676" s="89"/>
      <c r="K676" s="89"/>
    </row>
    <row r="677" spans="8:11" x14ac:dyDescent="0.25">
      <c r="H677" s="89"/>
      <c r="I677" s="89"/>
      <c r="J677" s="89"/>
      <c r="K677" s="89"/>
    </row>
    <row r="678" spans="8:11" x14ac:dyDescent="0.25">
      <c r="H678" s="89"/>
      <c r="I678" s="89"/>
      <c r="J678" s="89"/>
      <c r="K678" s="89"/>
    </row>
    <row r="679" spans="8:11" x14ac:dyDescent="0.25">
      <c r="H679" s="89"/>
      <c r="I679" s="89"/>
      <c r="J679" s="89"/>
      <c r="K679" s="89"/>
    </row>
    <row r="680" spans="8:11" x14ac:dyDescent="0.25">
      <c r="H680" s="89"/>
      <c r="I680" s="89"/>
      <c r="J680" s="89"/>
      <c r="K680" s="89"/>
    </row>
    <row r="681" spans="8:11" x14ac:dyDescent="0.25">
      <c r="H681" s="89"/>
      <c r="I681" s="89"/>
      <c r="J681" s="89"/>
      <c r="K681" s="89"/>
    </row>
    <row r="682" spans="8:11" x14ac:dyDescent="0.25">
      <c r="H682" s="89"/>
      <c r="I682" s="89"/>
      <c r="J682" s="89"/>
      <c r="K682" s="89"/>
    </row>
    <row r="683" spans="8:11" x14ac:dyDescent="0.25">
      <c r="H683" s="89"/>
      <c r="I683" s="89"/>
      <c r="J683" s="89"/>
      <c r="K683" s="89"/>
    </row>
    <row r="684" spans="8:11" x14ac:dyDescent="0.25">
      <c r="H684" s="89"/>
      <c r="I684" s="89"/>
      <c r="J684" s="89"/>
      <c r="K684" s="89"/>
    </row>
    <row r="685" spans="8:11" x14ac:dyDescent="0.25">
      <c r="H685" s="89"/>
      <c r="I685" s="89"/>
      <c r="J685" s="89"/>
      <c r="K685" s="89"/>
    </row>
    <row r="686" spans="8:11" x14ac:dyDescent="0.25">
      <c r="H686" s="89"/>
      <c r="I686" s="89"/>
      <c r="J686" s="89"/>
      <c r="K686" s="89"/>
    </row>
    <row r="687" spans="8:11" x14ac:dyDescent="0.25">
      <c r="H687" s="89"/>
      <c r="I687" s="89"/>
      <c r="J687" s="89"/>
      <c r="K687" s="89"/>
    </row>
    <row r="688" spans="8:11" x14ac:dyDescent="0.25">
      <c r="H688" s="89"/>
      <c r="I688" s="89"/>
      <c r="J688" s="89"/>
      <c r="K688" s="89"/>
    </row>
    <row r="689" spans="8:11" x14ac:dyDescent="0.25">
      <c r="H689" s="89"/>
      <c r="I689" s="89"/>
      <c r="J689" s="89"/>
      <c r="K689" s="89"/>
    </row>
    <row r="690" spans="8:11" x14ac:dyDescent="0.25">
      <c r="H690" s="89"/>
      <c r="I690" s="89"/>
      <c r="J690" s="89"/>
      <c r="K690" s="89"/>
    </row>
    <row r="691" spans="8:11" x14ac:dyDescent="0.25">
      <c r="H691" s="89"/>
      <c r="I691" s="89"/>
      <c r="J691" s="89"/>
      <c r="K691" s="89"/>
    </row>
    <row r="692" spans="8:11" x14ac:dyDescent="0.25">
      <c r="H692" s="89"/>
      <c r="I692" s="89"/>
      <c r="J692" s="89"/>
      <c r="K692" s="89"/>
    </row>
    <row r="693" spans="8:11" x14ac:dyDescent="0.25">
      <c r="H693" s="89"/>
      <c r="I693" s="89"/>
      <c r="J693" s="89"/>
      <c r="K693" s="89"/>
    </row>
    <row r="694" spans="8:11" x14ac:dyDescent="0.25">
      <c r="H694" s="89"/>
      <c r="I694" s="89"/>
      <c r="J694" s="89"/>
      <c r="K694" s="89"/>
    </row>
    <row r="695" spans="8:11" x14ac:dyDescent="0.25">
      <c r="H695" s="89"/>
      <c r="I695" s="89"/>
      <c r="J695" s="89"/>
      <c r="K695" s="89"/>
    </row>
    <row r="696" spans="8:11" x14ac:dyDescent="0.25">
      <c r="H696" s="89"/>
      <c r="I696" s="89"/>
      <c r="J696" s="89"/>
      <c r="K696" s="89"/>
    </row>
    <row r="697" spans="8:11" x14ac:dyDescent="0.25">
      <c r="H697" s="89"/>
      <c r="I697" s="89"/>
      <c r="J697" s="89"/>
      <c r="K697" s="89"/>
    </row>
    <row r="698" spans="8:11" x14ac:dyDescent="0.25">
      <c r="H698" s="89"/>
      <c r="I698" s="89"/>
      <c r="J698" s="89"/>
      <c r="K698" s="89"/>
    </row>
    <row r="699" spans="8:11" x14ac:dyDescent="0.25">
      <c r="H699" s="89"/>
      <c r="I699" s="89"/>
      <c r="J699" s="89"/>
      <c r="K699" s="89"/>
    </row>
    <row r="700" spans="8:11" x14ac:dyDescent="0.25">
      <c r="H700" s="89"/>
      <c r="I700" s="89"/>
      <c r="J700" s="89"/>
      <c r="K700" s="89"/>
    </row>
    <row r="701" spans="8:11" x14ac:dyDescent="0.25">
      <c r="H701" s="89"/>
      <c r="I701" s="89"/>
      <c r="J701" s="89"/>
      <c r="K701" s="89"/>
    </row>
    <row r="702" spans="8:11" x14ac:dyDescent="0.25">
      <c r="H702" s="89"/>
      <c r="I702" s="89"/>
      <c r="J702" s="89"/>
      <c r="K702" s="89"/>
    </row>
    <row r="703" spans="8:11" x14ac:dyDescent="0.25">
      <c r="H703" s="89"/>
      <c r="I703" s="89"/>
      <c r="J703" s="89"/>
      <c r="K703" s="89"/>
    </row>
    <row r="704" spans="8:11" x14ac:dyDescent="0.25">
      <c r="H704" s="89"/>
      <c r="I704" s="89"/>
      <c r="J704" s="89"/>
      <c r="K704" s="89"/>
    </row>
    <row r="705" spans="8:11" x14ac:dyDescent="0.25">
      <c r="H705" s="89"/>
      <c r="I705" s="89"/>
      <c r="J705" s="89"/>
      <c r="K705" s="89"/>
    </row>
    <row r="706" spans="8:11" x14ac:dyDescent="0.25">
      <c r="H706" s="89"/>
      <c r="I706" s="89"/>
      <c r="J706" s="89"/>
      <c r="K706" s="89"/>
    </row>
    <row r="707" spans="8:11" x14ac:dyDescent="0.25">
      <c r="H707" s="89"/>
      <c r="I707" s="89"/>
      <c r="J707" s="89"/>
      <c r="K707" s="89"/>
    </row>
    <row r="708" spans="8:11" x14ac:dyDescent="0.25">
      <c r="H708" s="89"/>
      <c r="I708" s="89"/>
      <c r="J708" s="89"/>
      <c r="K708" s="89"/>
    </row>
    <row r="709" spans="8:11" x14ac:dyDescent="0.25">
      <c r="H709" s="89"/>
      <c r="I709" s="89"/>
      <c r="J709" s="89"/>
      <c r="K709" s="89"/>
    </row>
    <row r="710" spans="8:11" x14ac:dyDescent="0.25">
      <c r="H710" s="89"/>
      <c r="I710" s="89"/>
      <c r="J710" s="89"/>
      <c r="K710" s="89"/>
    </row>
    <row r="711" spans="8:11" x14ac:dyDescent="0.25">
      <c r="H711" s="89"/>
      <c r="I711" s="89"/>
      <c r="J711" s="89"/>
      <c r="K711" s="89"/>
    </row>
    <row r="712" spans="8:11" x14ac:dyDescent="0.25">
      <c r="H712" s="89"/>
      <c r="I712" s="89"/>
      <c r="J712" s="89"/>
      <c r="K712" s="89"/>
    </row>
    <row r="713" spans="8:11" x14ac:dyDescent="0.25">
      <c r="H713" s="89"/>
      <c r="I713" s="89"/>
      <c r="J713" s="89"/>
      <c r="K713" s="89"/>
    </row>
    <row r="714" spans="8:11" x14ac:dyDescent="0.25">
      <c r="H714" s="89"/>
      <c r="I714" s="89"/>
      <c r="J714" s="89"/>
      <c r="K714" s="89"/>
    </row>
    <row r="715" spans="8:11" x14ac:dyDescent="0.25">
      <c r="H715" s="89"/>
      <c r="I715" s="89"/>
      <c r="J715" s="89"/>
      <c r="K715" s="89"/>
    </row>
    <row r="716" spans="8:11" x14ac:dyDescent="0.25">
      <c r="H716" s="89"/>
      <c r="I716" s="89"/>
      <c r="J716" s="89"/>
      <c r="K716" s="89"/>
    </row>
    <row r="717" spans="8:11" x14ac:dyDescent="0.25">
      <c r="H717" s="89"/>
      <c r="I717" s="89"/>
      <c r="J717" s="89"/>
      <c r="K717" s="89"/>
    </row>
    <row r="718" spans="8:11" x14ac:dyDescent="0.25">
      <c r="H718" s="89"/>
      <c r="I718" s="89"/>
      <c r="J718" s="89"/>
      <c r="K718" s="89"/>
    </row>
    <row r="719" spans="8:11" x14ac:dyDescent="0.25">
      <c r="H719" s="89"/>
      <c r="I719" s="89"/>
      <c r="J719" s="89"/>
      <c r="K719" s="89"/>
    </row>
    <row r="720" spans="8:11" x14ac:dyDescent="0.25">
      <c r="H720" s="89"/>
      <c r="I720" s="89"/>
      <c r="J720" s="89"/>
      <c r="K720" s="89"/>
    </row>
    <row r="721" spans="8:11" x14ac:dyDescent="0.25">
      <c r="H721" s="89"/>
      <c r="I721" s="89"/>
      <c r="J721" s="89"/>
      <c r="K721" s="89"/>
    </row>
    <row r="722" spans="8:11" x14ac:dyDescent="0.25">
      <c r="H722" s="89"/>
      <c r="I722" s="89"/>
      <c r="J722" s="89"/>
      <c r="K722" s="89"/>
    </row>
    <row r="723" spans="8:11" x14ac:dyDescent="0.25">
      <c r="H723" s="89"/>
      <c r="I723" s="89"/>
      <c r="J723" s="89"/>
      <c r="K723" s="89"/>
    </row>
    <row r="724" spans="8:11" x14ac:dyDescent="0.25">
      <c r="H724" s="89"/>
      <c r="I724" s="89"/>
      <c r="J724" s="89"/>
      <c r="K724" s="89"/>
    </row>
    <row r="725" spans="8:11" x14ac:dyDescent="0.25">
      <c r="H725" s="89"/>
      <c r="I725" s="89"/>
      <c r="J725" s="89"/>
      <c r="K725" s="89"/>
    </row>
    <row r="726" spans="8:11" x14ac:dyDescent="0.25">
      <c r="H726" s="89"/>
      <c r="I726" s="89"/>
      <c r="J726" s="89"/>
      <c r="K726" s="89"/>
    </row>
    <row r="727" spans="8:11" x14ac:dyDescent="0.25">
      <c r="H727" s="89"/>
      <c r="I727" s="89"/>
      <c r="J727" s="89"/>
      <c r="K727" s="89"/>
    </row>
    <row r="728" spans="8:11" x14ac:dyDescent="0.25">
      <c r="H728" s="89"/>
      <c r="I728" s="89"/>
      <c r="J728" s="89"/>
      <c r="K728" s="89"/>
    </row>
    <row r="729" spans="8:11" x14ac:dyDescent="0.25">
      <c r="H729" s="89"/>
      <c r="I729" s="89"/>
      <c r="J729" s="89"/>
      <c r="K729" s="89"/>
    </row>
    <row r="730" spans="8:11" x14ac:dyDescent="0.25">
      <c r="H730" s="89"/>
      <c r="I730" s="89"/>
      <c r="J730" s="89"/>
      <c r="K730" s="89"/>
    </row>
    <row r="731" spans="8:11" x14ac:dyDescent="0.25">
      <c r="H731" s="89"/>
      <c r="I731" s="89"/>
      <c r="J731" s="89"/>
      <c r="K731" s="89"/>
    </row>
    <row r="732" spans="8:11" x14ac:dyDescent="0.25">
      <c r="H732" s="89"/>
      <c r="I732" s="89"/>
      <c r="J732" s="89"/>
      <c r="K732" s="89"/>
    </row>
    <row r="733" spans="8:11" x14ac:dyDescent="0.25">
      <c r="H733" s="89"/>
      <c r="I733" s="89"/>
      <c r="J733" s="89"/>
      <c r="K733" s="89"/>
    </row>
    <row r="734" spans="8:11" x14ac:dyDescent="0.25">
      <c r="H734" s="89"/>
      <c r="I734" s="89"/>
      <c r="J734" s="89"/>
      <c r="K734" s="89"/>
    </row>
    <row r="735" spans="8:11" x14ac:dyDescent="0.25">
      <c r="H735" s="89"/>
      <c r="I735" s="89"/>
      <c r="J735" s="89"/>
      <c r="K735" s="89"/>
    </row>
    <row r="736" spans="8:11" x14ac:dyDescent="0.25">
      <c r="H736" s="89"/>
      <c r="I736" s="89"/>
      <c r="J736" s="89"/>
      <c r="K736" s="89"/>
    </row>
    <row r="737" spans="8:11" x14ac:dyDescent="0.25">
      <c r="H737" s="89"/>
      <c r="I737" s="89"/>
      <c r="J737" s="89"/>
      <c r="K737" s="89"/>
    </row>
    <row r="738" spans="8:11" x14ac:dyDescent="0.25">
      <c r="H738" s="89"/>
      <c r="I738" s="89"/>
      <c r="J738" s="89"/>
      <c r="K738" s="89"/>
    </row>
    <row r="739" spans="8:11" x14ac:dyDescent="0.25">
      <c r="H739" s="89"/>
      <c r="I739" s="89"/>
      <c r="J739" s="89"/>
      <c r="K739" s="89"/>
    </row>
    <row r="740" spans="8:11" x14ac:dyDescent="0.25">
      <c r="H740" s="89"/>
      <c r="I740" s="89"/>
      <c r="J740" s="89"/>
      <c r="K740" s="89"/>
    </row>
    <row r="741" spans="8:11" x14ac:dyDescent="0.25">
      <c r="H741" s="89"/>
      <c r="I741" s="89"/>
      <c r="J741" s="89"/>
      <c r="K741" s="89"/>
    </row>
    <row r="742" spans="8:11" x14ac:dyDescent="0.25">
      <c r="H742" s="89"/>
      <c r="I742" s="89"/>
      <c r="J742" s="89"/>
      <c r="K742" s="89"/>
    </row>
    <row r="743" spans="8:11" x14ac:dyDescent="0.25">
      <c r="H743" s="89"/>
      <c r="I743" s="89"/>
      <c r="J743" s="89"/>
      <c r="K743" s="89"/>
    </row>
    <row r="744" spans="8:11" x14ac:dyDescent="0.25">
      <c r="H744" s="89"/>
      <c r="I744" s="89"/>
      <c r="J744" s="89"/>
      <c r="K744" s="89"/>
    </row>
    <row r="745" spans="8:11" x14ac:dyDescent="0.25">
      <c r="H745" s="89"/>
      <c r="I745" s="89"/>
      <c r="J745" s="89"/>
      <c r="K745" s="89"/>
    </row>
    <row r="746" spans="8:11" x14ac:dyDescent="0.25">
      <c r="H746" s="89"/>
      <c r="I746" s="89"/>
      <c r="J746" s="89"/>
      <c r="K746" s="89"/>
    </row>
    <row r="747" spans="8:11" x14ac:dyDescent="0.25">
      <c r="H747" s="89"/>
      <c r="I747" s="89"/>
      <c r="J747" s="89"/>
      <c r="K747" s="89"/>
    </row>
    <row r="748" spans="8:11" x14ac:dyDescent="0.25">
      <c r="H748" s="89"/>
      <c r="I748" s="89"/>
      <c r="J748" s="89"/>
      <c r="K748" s="89"/>
    </row>
    <row r="749" spans="8:11" x14ac:dyDescent="0.25">
      <c r="H749" s="89"/>
      <c r="I749" s="89"/>
      <c r="J749" s="89"/>
      <c r="K749" s="89"/>
    </row>
    <row r="750" spans="8:11" x14ac:dyDescent="0.25">
      <c r="H750" s="89"/>
      <c r="I750" s="89"/>
      <c r="J750" s="89"/>
      <c r="K750" s="89"/>
    </row>
    <row r="751" spans="8:11" x14ac:dyDescent="0.25">
      <c r="H751" s="89"/>
      <c r="I751" s="89"/>
      <c r="J751" s="89"/>
      <c r="K751" s="89"/>
    </row>
    <row r="752" spans="8:11" x14ac:dyDescent="0.25">
      <c r="H752" s="89"/>
      <c r="I752" s="89"/>
      <c r="J752" s="89"/>
      <c r="K752" s="89"/>
    </row>
    <row r="753" spans="8:11" x14ac:dyDescent="0.25">
      <c r="H753" s="89"/>
      <c r="I753" s="89"/>
      <c r="J753" s="89"/>
      <c r="K753" s="89"/>
    </row>
    <row r="754" spans="8:11" x14ac:dyDescent="0.25">
      <c r="H754" s="89"/>
      <c r="I754" s="89"/>
      <c r="J754" s="89"/>
      <c r="K754" s="89"/>
    </row>
    <row r="755" spans="8:11" x14ac:dyDescent="0.25">
      <c r="H755" s="89"/>
      <c r="I755" s="89"/>
      <c r="J755" s="89"/>
      <c r="K755" s="89"/>
    </row>
    <row r="756" spans="8:11" x14ac:dyDescent="0.25">
      <c r="H756" s="89"/>
      <c r="I756" s="89"/>
      <c r="J756" s="89"/>
      <c r="K756" s="89"/>
    </row>
    <row r="757" spans="8:11" x14ac:dyDescent="0.25">
      <c r="H757" s="89"/>
      <c r="I757" s="89"/>
      <c r="J757" s="89"/>
      <c r="K757" s="89"/>
    </row>
    <row r="758" spans="8:11" x14ac:dyDescent="0.25">
      <c r="H758" s="89"/>
      <c r="I758" s="89"/>
      <c r="J758" s="89"/>
      <c r="K758" s="89"/>
    </row>
    <row r="759" spans="8:11" x14ac:dyDescent="0.25">
      <c r="H759" s="89"/>
      <c r="I759" s="89"/>
      <c r="J759" s="89"/>
      <c r="K759" s="89"/>
    </row>
    <row r="760" spans="8:11" x14ac:dyDescent="0.25">
      <c r="H760" s="89"/>
      <c r="I760" s="89"/>
      <c r="J760" s="89"/>
      <c r="K760" s="89"/>
    </row>
    <row r="761" spans="8:11" x14ac:dyDescent="0.25">
      <c r="H761" s="89"/>
      <c r="I761" s="89"/>
      <c r="J761" s="89"/>
      <c r="K761" s="89"/>
    </row>
    <row r="762" spans="8:11" x14ac:dyDescent="0.25">
      <c r="H762" s="89"/>
      <c r="I762" s="89"/>
      <c r="J762" s="89"/>
      <c r="K762" s="89"/>
    </row>
    <row r="763" spans="8:11" x14ac:dyDescent="0.25">
      <c r="H763" s="89"/>
      <c r="I763" s="89"/>
      <c r="J763" s="89"/>
      <c r="K763" s="89"/>
    </row>
    <row r="764" spans="8:11" x14ac:dyDescent="0.25">
      <c r="H764" s="89"/>
      <c r="I764" s="89"/>
      <c r="J764" s="89"/>
      <c r="K764" s="89"/>
    </row>
    <row r="765" spans="8:11" x14ac:dyDescent="0.25">
      <c r="H765" s="89"/>
      <c r="I765" s="89"/>
      <c r="J765" s="89"/>
      <c r="K765" s="89"/>
    </row>
    <row r="766" spans="8:11" x14ac:dyDescent="0.25">
      <c r="H766" s="89"/>
      <c r="I766" s="89"/>
      <c r="J766" s="89"/>
      <c r="K766" s="89"/>
    </row>
    <row r="767" spans="8:11" x14ac:dyDescent="0.25">
      <c r="H767" s="89"/>
      <c r="I767" s="89"/>
      <c r="J767" s="89"/>
      <c r="K767" s="89"/>
    </row>
    <row r="768" spans="8:11" x14ac:dyDescent="0.25">
      <c r="H768" s="89"/>
      <c r="I768" s="89"/>
      <c r="J768" s="89"/>
      <c r="K768" s="89"/>
    </row>
    <row r="769" spans="8:11" x14ac:dyDescent="0.25">
      <c r="H769" s="89"/>
      <c r="I769" s="89"/>
      <c r="J769" s="89"/>
      <c r="K769" s="89"/>
    </row>
    <row r="770" spans="8:11" x14ac:dyDescent="0.25">
      <c r="H770" s="89"/>
      <c r="I770" s="89"/>
      <c r="J770" s="89"/>
      <c r="K770" s="89"/>
    </row>
    <row r="771" spans="8:11" x14ac:dyDescent="0.25">
      <c r="H771" s="89"/>
      <c r="I771" s="89"/>
      <c r="J771" s="89"/>
      <c r="K771" s="89"/>
    </row>
    <row r="772" spans="8:11" x14ac:dyDescent="0.25">
      <c r="H772" s="89"/>
      <c r="I772" s="89"/>
      <c r="J772" s="89"/>
      <c r="K772" s="89"/>
    </row>
    <row r="773" spans="8:11" x14ac:dyDescent="0.25">
      <c r="H773" s="89"/>
      <c r="I773" s="89"/>
      <c r="J773" s="89"/>
      <c r="K773" s="89"/>
    </row>
    <row r="774" spans="8:11" x14ac:dyDescent="0.25">
      <c r="H774" s="89"/>
      <c r="I774" s="89"/>
      <c r="J774" s="89"/>
      <c r="K774" s="89"/>
    </row>
    <row r="775" spans="8:11" x14ac:dyDescent="0.25">
      <c r="H775" s="89"/>
      <c r="I775" s="89"/>
      <c r="J775" s="89"/>
      <c r="K775" s="89"/>
    </row>
    <row r="776" spans="8:11" x14ac:dyDescent="0.25">
      <c r="H776" s="89"/>
      <c r="I776" s="89"/>
      <c r="J776" s="89"/>
      <c r="K776" s="89"/>
    </row>
    <row r="777" spans="8:11" x14ac:dyDescent="0.25">
      <c r="H777" s="89"/>
      <c r="I777" s="89"/>
      <c r="J777" s="89"/>
      <c r="K777" s="89"/>
    </row>
    <row r="778" spans="8:11" x14ac:dyDescent="0.25">
      <c r="H778" s="89"/>
      <c r="I778" s="89"/>
      <c r="J778" s="89"/>
      <c r="K778" s="89"/>
    </row>
    <row r="779" spans="8:11" x14ac:dyDescent="0.25">
      <c r="H779" s="89"/>
      <c r="I779" s="89"/>
      <c r="J779" s="89"/>
      <c r="K779" s="89"/>
    </row>
    <row r="780" spans="8:11" x14ac:dyDescent="0.25">
      <c r="H780" s="89"/>
      <c r="I780" s="89"/>
      <c r="J780" s="89"/>
      <c r="K780" s="89"/>
    </row>
    <row r="781" spans="8:11" x14ac:dyDescent="0.25">
      <c r="H781" s="89"/>
      <c r="I781" s="89"/>
      <c r="J781" s="89"/>
      <c r="K781" s="89"/>
    </row>
    <row r="782" spans="8:11" x14ac:dyDescent="0.25">
      <c r="H782" s="89"/>
      <c r="I782" s="89"/>
      <c r="J782" s="89"/>
      <c r="K782" s="89"/>
    </row>
    <row r="783" spans="8:11" x14ac:dyDescent="0.25">
      <c r="H783" s="89"/>
      <c r="I783" s="89"/>
      <c r="J783" s="89"/>
      <c r="K783" s="89"/>
    </row>
    <row r="784" spans="8:11" x14ac:dyDescent="0.25">
      <c r="H784" s="89"/>
      <c r="I784" s="89"/>
      <c r="J784" s="89"/>
      <c r="K784" s="89"/>
    </row>
    <row r="785" spans="8:11" x14ac:dyDescent="0.25">
      <c r="H785" s="89"/>
      <c r="I785" s="89"/>
      <c r="J785" s="89"/>
      <c r="K785" s="89"/>
    </row>
    <row r="786" spans="8:11" x14ac:dyDescent="0.25">
      <c r="H786" s="89"/>
      <c r="I786" s="89"/>
      <c r="J786" s="89"/>
      <c r="K786" s="89"/>
    </row>
    <row r="787" spans="8:11" x14ac:dyDescent="0.25">
      <c r="H787" s="89"/>
      <c r="I787" s="89"/>
      <c r="J787" s="89"/>
      <c r="K787" s="89"/>
    </row>
    <row r="788" spans="8:11" x14ac:dyDescent="0.25">
      <c r="H788" s="89"/>
      <c r="I788" s="89"/>
      <c r="J788" s="89"/>
      <c r="K788" s="89"/>
    </row>
    <row r="789" spans="8:11" x14ac:dyDescent="0.25">
      <c r="H789" s="89"/>
      <c r="I789" s="89"/>
      <c r="J789" s="89"/>
      <c r="K789" s="89"/>
    </row>
    <row r="790" spans="8:11" x14ac:dyDescent="0.25">
      <c r="H790" s="89"/>
      <c r="I790" s="89"/>
      <c r="J790" s="89"/>
      <c r="K790" s="89"/>
    </row>
    <row r="791" spans="8:11" x14ac:dyDescent="0.25">
      <c r="H791" s="89"/>
      <c r="I791" s="89"/>
      <c r="J791" s="89"/>
      <c r="K791" s="89"/>
    </row>
    <row r="792" spans="8:11" x14ac:dyDescent="0.25">
      <c r="H792" s="89"/>
      <c r="I792" s="89"/>
      <c r="J792" s="89"/>
      <c r="K792" s="89"/>
    </row>
    <row r="793" spans="8:11" x14ac:dyDescent="0.25">
      <c r="H793" s="89"/>
      <c r="I793" s="89"/>
      <c r="J793" s="89"/>
      <c r="K793" s="89"/>
    </row>
    <row r="794" spans="8:11" x14ac:dyDescent="0.25">
      <c r="H794" s="89"/>
      <c r="I794" s="89"/>
      <c r="J794" s="89"/>
      <c r="K794" s="89"/>
    </row>
    <row r="795" spans="8:11" x14ac:dyDescent="0.25">
      <c r="H795" s="89"/>
      <c r="I795" s="89"/>
      <c r="J795" s="89"/>
      <c r="K795" s="89"/>
    </row>
    <row r="796" spans="8:11" x14ac:dyDescent="0.25">
      <c r="H796" s="89"/>
      <c r="I796" s="89"/>
      <c r="J796" s="89"/>
      <c r="K796" s="89"/>
    </row>
    <row r="797" spans="8:11" x14ac:dyDescent="0.25">
      <c r="H797" s="89"/>
      <c r="I797" s="89"/>
      <c r="J797" s="89"/>
      <c r="K797" s="89"/>
    </row>
    <row r="798" spans="8:11" x14ac:dyDescent="0.25">
      <c r="H798" s="89"/>
      <c r="I798" s="89"/>
      <c r="J798" s="89"/>
      <c r="K798" s="89"/>
    </row>
    <row r="799" spans="8:11" x14ac:dyDescent="0.25">
      <c r="H799" s="89"/>
      <c r="I799" s="89"/>
      <c r="J799" s="89"/>
      <c r="K799" s="89"/>
    </row>
    <row r="800" spans="8:11" x14ac:dyDescent="0.25">
      <c r="H800" s="89"/>
      <c r="I800" s="89"/>
      <c r="J800" s="89"/>
      <c r="K800" s="89"/>
    </row>
    <row r="801" spans="8:11" x14ac:dyDescent="0.25">
      <c r="H801" s="89"/>
      <c r="I801" s="89"/>
      <c r="J801" s="89"/>
      <c r="K801" s="89"/>
    </row>
    <row r="802" spans="8:11" x14ac:dyDescent="0.25">
      <c r="H802" s="89"/>
      <c r="I802" s="89"/>
      <c r="J802" s="89"/>
      <c r="K802" s="89"/>
    </row>
    <row r="803" spans="8:11" x14ac:dyDescent="0.25">
      <c r="H803" s="89"/>
      <c r="I803" s="89"/>
      <c r="J803" s="89"/>
      <c r="K803" s="89"/>
    </row>
    <row r="804" spans="8:11" x14ac:dyDescent="0.25">
      <c r="H804" s="89"/>
      <c r="I804" s="89"/>
      <c r="J804" s="89"/>
      <c r="K804" s="89"/>
    </row>
    <row r="805" spans="8:11" x14ac:dyDescent="0.25">
      <c r="H805" s="89"/>
      <c r="I805" s="89"/>
      <c r="J805" s="89"/>
      <c r="K805" s="89"/>
    </row>
    <row r="806" spans="8:11" x14ac:dyDescent="0.25">
      <c r="H806" s="89"/>
      <c r="I806" s="89"/>
      <c r="J806" s="89"/>
      <c r="K806" s="89"/>
    </row>
    <row r="807" spans="8:11" x14ac:dyDescent="0.25">
      <c r="H807" s="89"/>
      <c r="I807" s="89"/>
      <c r="J807" s="89"/>
      <c r="K807" s="89"/>
    </row>
    <row r="808" spans="8:11" x14ac:dyDescent="0.25">
      <c r="H808" s="89"/>
      <c r="I808" s="89"/>
      <c r="J808" s="89"/>
      <c r="K808" s="89"/>
    </row>
    <row r="809" spans="8:11" x14ac:dyDescent="0.25">
      <c r="H809" s="89"/>
      <c r="I809" s="89"/>
      <c r="J809" s="89"/>
      <c r="K809" s="89"/>
    </row>
    <row r="810" spans="8:11" x14ac:dyDescent="0.25">
      <c r="H810" s="89"/>
      <c r="I810" s="89"/>
      <c r="J810" s="89"/>
      <c r="K810" s="89"/>
    </row>
    <row r="811" spans="8:11" x14ac:dyDescent="0.25">
      <c r="H811" s="89"/>
      <c r="I811" s="89"/>
      <c r="J811" s="89"/>
      <c r="K811" s="89"/>
    </row>
    <row r="812" spans="8:11" x14ac:dyDescent="0.25">
      <c r="H812" s="89"/>
      <c r="I812" s="89"/>
      <c r="J812" s="89"/>
      <c r="K812" s="89"/>
    </row>
    <row r="813" spans="8:11" x14ac:dyDescent="0.25">
      <c r="H813" s="89"/>
      <c r="I813" s="89"/>
      <c r="J813" s="89"/>
      <c r="K813" s="89"/>
    </row>
    <row r="814" spans="8:11" x14ac:dyDescent="0.25">
      <c r="H814" s="89"/>
      <c r="I814" s="89"/>
      <c r="J814" s="89"/>
      <c r="K814" s="89"/>
    </row>
    <row r="815" spans="8:11" x14ac:dyDescent="0.25">
      <c r="H815" s="89"/>
      <c r="I815" s="89"/>
      <c r="J815" s="89"/>
      <c r="K815" s="89"/>
    </row>
    <row r="816" spans="8:11" x14ac:dyDescent="0.25">
      <c r="H816" s="89"/>
      <c r="I816" s="89"/>
      <c r="J816" s="89"/>
      <c r="K816" s="89"/>
    </row>
    <row r="817" spans="8:11" x14ac:dyDescent="0.25">
      <c r="H817" s="89"/>
      <c r="I817" s="89"/>
      <c r="J817" s="89"/>
      <c r="K817" s="89"/>
    </row>
    <row r="818" spans="8:11" x14ac:dyDescent="0.25">
      <c r="H818" s="89"/>
      <c r="I818" s="89"/>
      <c r="J818" s="89"/>
      <c r="K818" s="89"/>
    </row>
    <row r="819" spans="8:11" x14ac:dyDescent="0.25">
      <c r="H819" s="89"/>
      <c r="I819" s="89"/>
      <c r="J819" s="89"/>
      <c r="K819" s="89"/>
    </row>
    <row r="820" spans="8:11" x14ac:dyDescent="0.25">
      <c r="H820" s="89"/>
      <c r="I820" s="89"/>
      <c r="J820" s="89"/>
      <c r="K820" s="89"/>
    </row>
    <row r="821" spans="8:11" x14ac:dyDescent="0.25">
      <c r="H821" s="89"/>
      <c r="I821" s="89"/>
      <c r="J821" s="89"/>
      <c r="K821" s="89"/>
    </row>
    <row r="822" spans="8:11" x14ac:dyDescent="0.25">
      <c r="H822" s="89"/>
      <c r="I822" s="89"/>
      <c r="J822" s="89"/>
      <c r="K822" s="89"/>
    </row>
    <row r="823" spans="8:11" x14ac:dyDescent="0.25">
      <c r="H823" s="89"/>
      <c r="I823" s="89"/>
      <c r="J823" s="89"/>
      <c r="K823" s="89"/>
    </row>
    <row r="824" spans="8:11" x14ac:dyDescent="0.25">
      <c r="H824" s="89"/>
      <c r="I824" s="89"/>
      <c r="J824" s="89"/>
      <c r="K824" s="89"/>
    </row>
    <row r="825" spans="8:11" x14ac:dyDescent="0.25">
      <c r="H825" s="89"/>
      <c r="I825" s="89"/>
      <c r="J825" s="89"/>
      <c r="K825" s="89"/>
    </row>
    <row r="826" spans="8:11" x14ac:dyDescent="0.25">
      <c r="H826" s="89"/>
      <c r="I826" s="89"/>
      <c r="J826" s="89"/>
      <c r="K826" s="89"/>
    </row>
    <row r="827" spans="8:11" x14ac:dyDescent="0.25">
      <c r="H827" s="89"/>
      <c r="I827" s="89"/>
      <c r="J827" s="89"/>
      <c r="K827" s="89"/>
    </row>
    <row r="828" spans="8:11" x14ac:dyDescent="0.25">
      <c r="H828" s="89"/>
      <c r="I828" s="89"/>
      <c r="J828" s="89"/>
      <c r="K828" s="89"/>
    </row>
    <row r="829" spans="8:11" x14ac:dyDescent="0.25">
      <c r="H829" s="89"/>
      <c r="I829" s="89"/>
      <c r="J829" s="89"/>
      <c r="K829" s="89"/>
    </row>
    <row r="830" spans="8:11" x14ac:dyDescent="0.25">
      <c r="H830" s="89"/>
      <c r="I830" s="89"/>
      <c r="J830" s="89"/>
      <c r="K830" s="89"/>
    </row>
    <row r="831" spans="8:11" x14ac:dyDescent="0.25">
      <c r="H831" s="89"/>
      <c r="I831" s="89"/>
      <c r="J831" s="89"/>
      <c r="K831" s="89"/>
    </row>
    <row r="832" spans="8:11" x14ac:dyDescent="0.25">
      <c r="H832" s="89"/>
      <c r="I832" s="89"/>
      <c r="J832" s="89"/>
      <c r="K832" s="89"/>
    </row>
    <row r="833" spans="8:11" x14ac:dyDescent="0.25">
      <c r="H833" s="89"/>
      <c r="I833" s="89"/>
      <c r="J833" s="89"/>
      <c r="K833" s="89"/>
    </row>
    <row r="834" spans="8:11" x14ac:dyDescent="0.25">
      <c r="H834" s="89"/>
      <c r="I834" s="89"/>
      <c r="J834" s="89"/>
      <c r="K834" s="89"/>
    </row>
    <row r="835" spans="8:11" x14ac:dyDescent="0.25">
      <c r="H835" s="89"/>
      <c r="I835" s="89"/>
      <c r="J835" s="89"/>
      <c r="K835" s="89"/>
    </row>
    <row r="836" spans="8:11" x14ac:dyDescent="0.25">
      <c r="H836" s="89"/>
      <c r="I836" s="89"/>
      <c r="J836" s="89"/>
      <c r="K836" s="89"/>
    </row>
    <row r="837" spans="8:11" x14ac:dyDescent="0.25">
      <c r="H837" s="89"/>
      <c r="I837" s="89"/>
      <c r="J837" s="89"/>
      <c r="K837" s="89"/>
    </row>
    <row r="838" spans="8:11" x14ac:dyDescent="0.25">
      <c r="H838" s="89"/>
      <c r="I838" s="89"/>
      <c r="J838" s="89"/>
      <c r="K838" s="89"/>
    </row>
    <row r="839" spans="8:11" x14ac:dyDescent="0.25">
      <c r="H839" s="89"/>
      <c r="I839" s="89"/>
      <c r="J839" s="89"/>
      <c r="K839" s="89"/>
    </row>
    <row r="840" spans="8:11" x14ac:dyDescent="0.25">
      <c r="H840" s="89"/>
      <c r="I840" s="89"/>
      <c r="J840" s="89"/>
      <c r="K840" s="89"/>
    </row>
    <row r="841" spans="8:11" x14ac:dyDescent="0.25">
      <c r="H841" s="89"/>
      <c r="I841" s="89"/>
      <c r="J841" s="89"/>
      <c r="K841" s="89"/>
    </row>
    <row r="842" spans="8:11" x14ac:dyDescent="0.25">
      <c r="H842" s="89"/>
      <c r="I842" s="89"/>
      <c r="J842" s="89"/>
      <c r="K842" s="89"/>
    </row>
    <row r="843" spans="8:11" x14ac:dyDescent="0.25">
      <c r="H843" s="89"/>
      <c r="I843" s="89"/>
      <c r="J843" s="89"/>
      <c r="K843" s="89"/>
    </row>
  </sheetData>
  <mergeCells count="7">
    <mergeCell ref="F12:F14"/>
    <mergeCell ref="G12:G14"/>
    <mergeCell ref="A12:A14"/>
    <mergeCell ref="B12:B14"/>
    <mergeCell ref="C12:C14"/>
    <mergeCell ref="D12:D14"/>
    <mergeCell ref="E12:E14"/>
  </mergeCells>
  <pageMargins left="0.7" right="0.7" top="0.75" bottom="0.75" header="0.511811023622047" footer="0.511811023622047"/>
  <pageSetup scale="94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3A22-C7A9-4CED-B5D9-F333B819384E}">
  <dimension ref="A1:X840"/>
  <sheetViews>
    <sheetView tabSelected="1" view="pageBreakPreview" zoomScaleNormal="100" workbookViewId="0">
      <selection activeCell="E20" sqref="E20"/>
    </sheetView>
  </sheetViews>
  <sheetFormatPr defaultColWidth="9.109375" defaultRowHeight="13.2" x14ac:dyDescent="0.25"/>
  <cols>
    <col min="1" max="1" width="3.44140625" style="274" customWidth="1"/>
    <col min="2" max="2" width="12.6640625" style="277" customWidth="1"/>
    <col min="3" max="3" width="10" style="274" customWidth="1"/>
    <col min="4" max="4" width="38.6640625" style="274" customWidth="1"/>
    <col min="5" max="6" width="19.5546875" style="274" customWidth="1"/>
    <col min="7" max="7" width="17.44140625" style="274" customWidth="1"/>
    <col min="8" max="8" width="10.44140625" style="276" customWidth="1"/>
    <col min="9" max="10" width="11.33203125" style="274" customWidth="1"/>
    <col min="11" max="16384" width="9.109375" style="274"/>
  </cols>
  <sheetData>
    <row r="1" spans="1:24" ht="29.25" customHeight="1" x14ac:dyDescent="0.65">
      <c r="B1" s="275" t="s">
        <v>0</v>
      </c>
    </row>
    <row r="2" spans="1:24" ht="13.5" customHeight="1" x14ac:dyDescent="0.65">
      <c r="B2" s="275"/>
    </row>
    <row r="3" spans="1:24" ht="15" customHeight="1" x14ac:dyDescent="0.3">
      <c r="A3" s="300"/>
      <c r="B3" s="350" t="s">
        <v>35</v>
      </c>
      <c r="C3" s="300"/>
      <c r="D3" s="300"/>
      <c r="E3" s="300"/>
    </row>
    <row r="4" spans="1:24" ht="10.5" customHeight="1" x14ac:dyDescent="0.25">
      <c r="F4" s="278"/>
    </row>
    <row r="5" spans="1:24" ht="17.25" customHeight="1" x14ac:dyDescent="0.3">
      <c r="B5" s="277" t="s">
        <v>2</v>
      </c>
      <c r="F5" s="279" t="s">
        <v>229</v>
      </c>
      <c r="G5" s="280">
        <v>2026</v>
      </c>
    </row>
    <row r="6" spans="1:24" ht="12.75" customHeight="1" x14ac:dyDescent="0.25"/>
    <row r="7" spans="1:24" x14ac:dyDescent="0.25">
      <c r="E7" s="281" t="s">
        <v>3</v>
      </c>
      <c r="F7" s="282"/>
      <c r="G7" s="283"/>
    </row>
    <row r="8" spans="1:24" x14ac:dyDescent="0.25">
      <c r="E8" s="284" t="s">
        <v>4</v>
      </c>
      <c r="F8" s="285">
        <v>63.25</v>
      </c>
      <c r="G8" s="286"/>
    </row>
    <row r="9" spans="1:24" x14ac:dyDescent="0.25">
      <c r="E9" s="287"/>
      <c r="F9" s="288"/>
      <c r="G9" s="289"/>
    </row>
    <row r="12" spans="1:24" x14ac:dyDescent="0.25">
      <c r="A12" s="290" t="s">
        <v>26</v>
      </c>
      <c r="B12" s="291" t="s">
        <v>27</v>
      </c>
      <c r="C12" s="290" t="s">
        <v>28</v>
      </c>
      <c r="D12" s="292"/>
      <c r="E12" s="292" t="s">
        <v>36</v>
      </c>
      <c r="F12" s="290" t="s">
        <v>37</v>
      </c>
      <c r="G12" s="290" t="s">
        <v>38</v>
      </c>
      <c r="H12" s="293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</row>
    <row r="13" spans="1:24" ht="13.8" x14ac:dyDescent="0.3">
      <c r="A13" s="295"/>
      <c r="B13" s="296" t="s">
        <v>39</v>
      </c>
      <c r="C13" s="295" t="s">
        <v>40</v>
      </c>
      <c r="D13" s="297" t="s">
        <v>41</v>
      </c>
      <c r="E13" s="297" t="s">
        <v>42</v>
      </c>
      <c r="F13" s="298">
        <v>0.16</v>
      </c>
      <c r="G13" s="295" t="s">
        <v>15</v>
      </c>
      <c r="H13" s="299"/>
      <c r="I13" s="300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</row>
    <row r="14" spans="1:24" ht="13.8" x14ac:dyDescent="0.3">
      <c r="A14" s="301"/>
      <c r="B14" s="302"/>
      <c r="C14" s="301" t="s">
        <v>26</v>
      </c>
      <c r="D14" s="303"/>
      <c r="E14" s="303"/>
      <c r="F14" s="301"/>
      <c r="G14" s="301" t="s">
        <v>43</v>
      </c>
      <c r="H14" s="299"/>
      <c r="I14" s="300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</row>
    <row r="15" spans="1:24" ht="15" customHeight="1" x14ac:dyDescent="0.3">
      <c r="A15" s="304">
        <v>1</v>
      </c>
      <c r="B15" s="716">
        <v>46113</v>
      </c>
      <c r="C15" s="717">
        <v>97</v>
      </c>
      <c r="D15" s="718"/>
      <c r="E15" s="719">
        <f>+G15/116*100</f>
        <v>0</v>
      </c>
      <c r="F15" s="719">
        <f>+E15*0.16</f>
        <v>0</v>
      </c>
      <c r="G15" s="720">
        <v>0</v>
      </c>
      <c r="H15" s="305"/>
      <c r="I15" s="300"/>
      <c r="J15" s="306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</row>
    <row r="16" spans="1:24" ht="15" customHeight="1" x14ac:dyDescent="0.3">
      <c r="A16" s="304">
        <v>2</v>
      </c>
      <c r="B16" s="716"/>
      <c r="C16" s="721"/>
      <c r="D16" s="722"/>
      <c r="E16" s="719"/>
      <c r="F16" s="719"/>
      <c r="G16" s="723"/>
      <c r="H16" s="305"/>
      <c r="I16" s="300"/>
      <c r="J16" s="306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</row>
    <row r="17" spans="1:24" ht="15" customHeight="1" x14ac:dyDescent="0.3">
      <c r="A17" s="304">
        <v>3</v>
      </c>
      <c r="B17" s="716"/>
      <c r="C17" s="721"/>
      <c r="D17" s="722"/>
      <c r="E17" s="719"/>
      <c r="F17" s="719"/>
      <c r="G17" s="723"/>
      <c r="H17" s="305"/>
      <c r="I17" s="300"/>
      <c r="J17" s="306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</row>
    <row r="18" spans="1:24" ht="15" customHeight="1" x14ac:dyDescent="0.3">
      <c r="A18" s="304">
        <v>4</v>
      </c>
      <c r="B18" s="716"/>
      <c r="C18" s="717"/>
      <c r="D18" s="724"/>
      <c r="E18" s="719"/>
      <c r="F18" s="719"/>
      <c r="G18" s="723"/>
      <c r="H18" s="305"/>
      <c r="I18" s="300"/>
      <c r="J18" s="306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</row>
    <row r="19" spans="1:24" ht="15" customHeight="1" x14ac:dyDescent="0.3">
      <c r="A19" s="304">
        <v>5</v>
      </c>
      <c r="B19" s="716"/>
      <c r="C19" s="717"/>
      <c r="D19" s="725"/>
      <c r="E19" s="723"/>
      <c r="F19" s="723"/>
      <c r="G19" s="723"/>
      <c r="H19" s="305"/>
      <c r="I19" s="300"/>
      <c r="J19" s="306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</row>
    <row r="20" spans="1:24" ht="15" customHeight="1" x14ac:dyDescent="0.3">
      <c r="A20" s="304">
        <v>6</v>
      </c>
      <c r="B20" s="716"/>
      <c r="C20" s="717"/>
      <c r="D20" s="725"/>
      <c r="E20" s="723"/>
      <c r="F20" s="723"/>
      <c r="G20" s="723"/>
      <c r="H20" s="305"/>
      <c r="I20" s="300"/>
      <c r="J20" s="306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</row>
    <row r="21" spans="1:24" ht="15" customHeight="1" x14ac:dyDescent="0.3">
      <c r="A21" s="304">
        <v>7</v>
      </c>
      <c r="B21" s="716"/>
      <c r="C21" s="726"/>
      <c r="D21" s="725"/>
      <c r="E21" s="723"/>
      <c r="F21" s="723"/>
      <c r="G21" s="723"/>
      <c r="H21" s="305"/>
      <c r="I21" s="300"/>
      <c r="J21" s="306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</row>
    <row r="22" spans="1:24" ht="15" customHeight="1" x14ac:dyDescent="0.3">
      <c r="A22" s="304">
        <v>8</v>
      </c>
      <c r="B22" s="340"/>
      <c r="C22" s="344"/>
      <c r="D22" s="343"/>
      <c r="E22" s="342"/>
      <c r="F22" s="342"/>
      <c r="G22" s="342"/>
      <c r="H22" s="305"/>
      <c r="I22" s="300"/>
      <c r="J22" s="306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</row>
    <row r="23" spans="1:24" ht="15" customHeight="1" x14ac:dyDescent="0.3">
      <c r="A23" s="304">
        <v>9</v>
      </c>
      <c r="B23" s="340"/>
      <c r="C23" s="344"/>
      <c r="D23" s="343"/>
      <c r="E23" s="342"/>
      <c r="F23" s="342"/>
      <c r="G23" s="342"/>
      <c r="H23" s="305"/>
      <c r="I23" s="300"/>
      <c r="J23" s="306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</row>
    <row r="24" spans="1:24" ht="15" customHeight="1" x14ac:dyDescent="0.3">
      <c r="A24" s="304">
        <v>10</v>
      </c>
      <c r="B24" s="340"/>
      <c r="C24" s="344"/>
      <c r="D24" s="343"/>
      <c r="E24" s="342"/>
      <c r="F24" s="342"/>
      <c r="G24" s="342"/>
      <c r="H24" s="305"/>
      <c r="I24" s="300"/>
      <c r="J24" s="306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</row>
    <row r="25" spans="1:24" ht="15" customHeight="1" x14ac:dyDescent="0.3">
      <c r="A25" s="304"/>
      <c r="B25" s="340"/>
      <c r="C25" s="344"/>
      <c r="D25" s="343"/>
      <c r="E25" s="342"/>
      <c r="F25" s="342"/>
      <c r="G25" s="342" t="str">
        <f>IF(C25="","",SUM(E25:F25))</f>
        <v/>
      </c>
      <c r="H25" s="305"/>
      <c r="I25" s="300"/>
      <c r="J25" s="306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</row>
    <row r="26" spans="1:24" ht="15" customHeight="1" x14ac:dyDescent="0.3">
      <c r="A26" s="300"/>
      <c r="B26" s="345"/>
      <c r="C26" s="346"/>
      <c r="D26" s="347" t="s">
        <v>44</v>
      </c>
      <c r="E26" s="348">
        <f>SUM(E15:E25)</f>
        <v>0</v>
      </c>
      <c r="F26" s="348">
        <f>SUM(F15:F25)</f>
        <v>0</v>
      </c>
      <c r="G26" s="348">
        <f>SUM(G15:G25)</f>
        <v>0</v>
      </c>
      <c r="H26" s="299"/>
      <c r="I26" s="300"/>
      <c r="J26" s="306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</row>
    <row r="27" spans="1:24" ht="15" customHeight="1" x14ac:dyDescent="0.3">
      <c r="A27" s="336"/>
      <c r="B27" s="345"/>
      <c r="C27" s="346"/>
      <c r="D27" s="346"/>
      <c r="E27" s="349"/>
      <c r="F27" s="349"/>
      <c r="G27" s="349"/>
      <c r="H27" s="293"/>
      <c r="I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</row>
    <row r="28" spans="1:24" ht="15" customHeight="1" x14ac:dyDescent="0.3">
      <c r="A28" s="300"/>
      <c r="B28" s="337"/>
      <c r="C28" s="338"/>
      <c r="D28" s="338"/>
      <c r="E28" s="339"/>
      <c r="F28" s="339"/>
      <c r="G28" s="339"/>
      <c r="H28" s="311"/>
      <c r="I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</row>
    <row r="29" spans="1:24" ht="15" customHeight="1" x14ac:dyDescent="0.3">
      <c r="A29" s="308"/>
      <c r="B29" s="309"/>
      <c r="C29" s="310"/>
      <c r="D29" s="310"/>
      <c r="E29" s="312"/>
      <c r="F29" s="312"/>
      <c r="G29" s="312"/>
      <c r="H29" s="311"/>
      <c r="I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</row>
    <row r="30" spans="1:24" ht="15" customHeight="1" x14ac:dyDescent="0.3">
      <c r="A30" s="307"/>
      <c r="B30" s="309"/>
      <c r="C30" s="310"/>
      <c r="D30" s="310"/>
      <c r="E30" s="312"/>
      <c r="F30" s="312"/>
      <c r="G30" s="312"/>
      <c r="H30" s="311"/>
      <c r="I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</row>
    <row r="31" spans="1:24" ht="15" customHeight="1" x14ac:dyDescent="0.3">
      <c r="A31" s="307"/>
      <c r="B31" s="309"/>
      <c r="C31" s="310"/>
      <c r="D31" s="310"/>
      <c r="E31" s="312"/>
      <c r="F31" s="312"/>
      <c r="G31" s="312"/>
      <c r="H31" s="311"/>
      <c r="I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</row>
    <row r="32" spans="1:24" ht="15" customHeight="1" x14ac:dyDescent="0.3">
      <c r="A32" s="307"/>
      <c r="B32" s="309"/>
      <c r="C32" s="310"/>
      <c r="D32" s="310"/>
      <c r="E32" s="312"/>
      <c r="F32" s="312"/>
      <c r="G32" s="312"/>
      <c r="H32" s="311"/>
      <c r="I32" s="294"/>
      <c r="J32" s="306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</row>
    <row r="33" spans="1:24" ht="15" customHeight="1" x14ac:dyDescent="0.3">
      <c r="A33" s="307"/>
      <c r="B33" s="309"/>
      <c r="C33" s="310"/>
      <c r="D33" s="310"/>
      <c r="E33" s="312"/>
      <c r="F33" s="312"/>
      <c r="G33" s="312"/>
      <c r="H33" s="311"/>
      <c r="I33" s="294"/>
      <c r="J33" s="306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</row>
    <row r="34" spans="1:24" ht="15" customHeight="1" x14ac:dyDescent="0.3">
      <c r="A34" s="307"/>
      <c r="B34" s="309"/>
      <c r="C34" s="310"/>
      <c r="D34" s="310"/>
      <c r="E34" s="312"/>
      <c r="F34" s="312"/>
      <c r="G34" s="312"/>
      <c r="H34" s="311"/>
      <c r="I34" s="294"/>
      <c r="J34" s="306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</row>
    <row r="35" spans="1:24" ht="15" customHeight="1" x14ac:dyDescent="0.3">
      <c r="A35" s="307"/>
      <c r="B35" s="309"/>
      <c r="C35" s="310"/>
      <c r="D35" s="310"/>
      <c r="E35" s="312"/>
      <c r="F35" s="312"/>
      <c r="G35" s="312"/>
      <c r="H35" s="311"/>
      <c r="I35" s="294"/>
      <c r="J35" s="306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</row>
    <row r="36" spans="1:24" ht="15" customHeight="1" x14ac:dyDescent="0.3">
      <c r="A36" s="307"/>
      <c r="B36" s="309"/>
      <c r="C36" s="310"/>
      <c r="D36" s="310"/>
      <c r="E36" s="312"/>
      <c r="F36" s="307"/>
      <c r="G36" s="312"/>
      <c r="H36" s="311"/>
      <c r="I36" s="294"/>
      <c r="J36" s="306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</row>
    <row r="37" spans="1:24" ht="15" customHeight="1" x14ac:dyDescent="0.3">
      <c r="A37" s="307"/>
      <c r="B37" s="309"/>
      <c r="C37" s="307"/>
      <c r="D37" s="307"/>
      <c r="E37" s="307"/>
      <c r="F37" s="307"/>
      <c r="G37" s="307"/>
      <c r="J37" s="306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</row>
    <row r="38" spans="1:24" ht="15" customHeight="1" x14ac:dyDescent="0.3">
      <c r="A38" s="307"/>
      <c r="B38" s="309"/>
      <c r="C38" s="307"/>
      <c r="D38" s="307"/>
      <c r="E38" s="307"/>
      <c r="F38" s="307"/>
      <c r="G38" s="307"/>
      <c r="J38" s="306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</row>
    <row r="39" spans="1:24" ht="15" customHeight="1" x14ac:dyDescent="0.3">
      <c r="A39" s="307"/>
      <c r="B39" s="309"/>
      <c r="C39" s="307"/>
      <c r="D39" s="307"/>
      <c r="E39" s="307"/>
      <c r="F39" s="307"/>
      <c r="G39" s="307"/>
      <c r="J39" s="306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</row>
    <row r="40" spans="1:24" ht="15" customHeight="1" x14ac:dyDescent="0.3">
      <c r="A40" s="307"/>
      <c r="B40" s="309"/>
      <c r="C40" s="307"/>
      <c r="D40" s="307"/>
      <c r="E40" s="307"/>
      <c r="F40" s="307"/>
      <c r="G40" s="307"/>
      <c r="J40" s="306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</row>
    <row r="41" spans="1:24" ht="15" customHeight="1" x14ac:dyDescent="0.3">
      <c r="A41" s="307"/>
      <c r="B41" s="309"/>
      <c r="C41" s="307"/>
      <c r="D41" s="307"/>
      <c r="E41" s="307"/>
      <c r="F41" s="307"/>
      <c r="G41" s="307"/>
      <c r="J41" s="306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</row>
    <row r="42" spans="1:24" ht="14.4" x14ac:dyDescent="0.3">
      <c r="A42" s="307"/>
      <c r="B42" s="309"/>
      <c r="C42" s="307"/>
      <c r="D42" s="307"/>
      <c r="E42" s="307"/>
      <c r="F42" s="312"/>
      <c r="G42" s="307"/>
      <c r="J42" s="306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</row>
    <row r="43" spans="1:24" ht="14.4" x14ac:dyDescent="0.3">
      <c r="A43" s="307"/>
      <c r="B43" s="309"/>
      <c r="C43" s="310"/>
      <c r="D43" s="310"/>
      <c r="E43" s="312"/>
      <c r="F43" s="312"/>
      <c r="G43" s="312"/>
      <c r="H43" s="311"/>
      <c r="I43" s="294"/>
      <c r="J43" s="306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</row>
    <row r="44" spans="1:24" ht="14.4" x14ac:dyDescent="0.3">
      <c r="A44" s="307"/>
      <c r="B44" s="309"/>
      <c r="C44" s="310"/>
      <c r="D44" s="310"/>
      <c r="E44" s="312"/>
      <c r="F44" s="312"/>
      <c r="G44" s="312"/>
      <c r="H44" s="311"/>
      <c r="I44" s="294"/>
      <c r="J44" s="306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</row>
    <row r="45" spans="1:24" ht="14.4" x14ac:dyDescent="0.3">
      <c r="A45" s="307"/>
      <c r="B45" s="309"/>
      <c r="C45" s="310"/>
      <c r="D45" s="310"/>
      <c r="E45" s="312"/>
      <c r="F45" s="312"/>
      <c r="G45" s="312"/>
      <c r="H45" s="311"/>
      <c r="I45" s="294"/>
      <c r="J45" s="306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</row>
    <row r="46" spans="1:24" ht="14.4" x14ac:dyDescent="0.3">
      <c r="A46" s="307"/>
      <c r="B46" s="309"/>
      <c r="C46" s="310"/>
      <c r="D46" s="310"/>
      <c r="E46" s="312"/>
      <c r="F46" s="312"/>
      <c r="G46" s="312"/>
      <c r="H46" s="311"/>
      <c r="I46" s="294"/>
      <c r="J46" s="306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</row>
    <row r="47" spans="1:24" ht="14.4" x14ac:dyDescent="0.3">
      <c r="A47" s="307"/>
      <c r="B47" s="309"/>
      <c r="C47" s="310"/>
      <c r="D47" s="310"/>
      <c r="E47" s="312"/>
      <c r="F47" s="312"/>
      <c r="G47" s="312"/>
      <c r="H47" s="311"/>
      <c r="I47" s="294"/>
      <c r="J47" s="306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</row>
    <row r="48" spans="1:24" ht="14.4" x14ac:dyDescent="0.3">
      <c r="A48" s="307"/>
      <c r="B48" s="309"/>
      <c r="C48" s="310"/>
      <c r="D48" s="310"/>
      <c r="E48" s="312"/>
      <c r="F48" s="312"/>
      <c r="G48" s="312"/>
      <c r="H48" s="311"/>
      <c r="I48" s="294"/>
      <c r="J48" s="306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</row>
    <row r="49" spans="1:24" ht="14.4" x14ac:dyDescent="0.3">
      <c r="A49" s="307"/>
      <c r="B49" s="309"/>
      <c r="C49" s="310"/>
      <c r="D49" s="310"/>
      <c r="E49" s="312"/>
      <c r="F49" s="312"/>
      <c r="G49" s="312"/>
      <c r="H49" s="311"/>
      <c r="I49" s="294"/>
      <c r="J49" s="306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</row>
    <row r="50" spans="1:24" ht="14.4" x14ac:dyDescent="0.3">
      <c r="A50" s="307"/>
      <c r="B50" s="309"/>
      <c r="C50" s="310"/>
      <c r="D50" s="310"/>
      <c r="E50" s="312"/>
      <c r="F50" s="312"/>
      <c r="G50" s="312"/>
      <c r="H50" s="311"/>
      <c r="J50" s="306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</row>
    <row r="51" spans="1:24" ht="14.4" x14ac:dyDescent="0.3">
      <c r="A51" s="307"/>
      <c r="B51" s="309"/>
      <c r="C51" s="310"/>
      <c r="D51" s="310"/>
      <c r="E51" s="312"/>
      <c r="F51" s="312"/>
      <c r="G51" s="312"/>
      <c r="H51" s="311"/>
      <c r="J51" s="306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</row>
    <row r="52" spans="1:24" ht="14.4" x14ac:dyDescent="0.3">
      <c r="A52" s="307"/>
      <c r="B52" s="309"/>
      <c r="C52" s="310"/>
      <c r="D52" s="310"/>
      <c r="E52" s="312"/>
      <c r="F52" s="312"/>
      <c r="G52" s="312"/>
      <c r="H52" s="311"/>
      <c r="J52" s="306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</row>
    <row r="53" spans="1:24" ht="14.4" x14ac:dyDescent="0.3">
      <c r="A53" s="307"/>
      <c r="B53" s="309"/>
      <c r="C53" s="310"/>
      <c r="D53" s="310"/>
      <c r="E53" s="312"/>
      <c r="F53" s="312"/>
      <c r="G53" s="312"/>
      <c r="H53" s="311"/>
      <c r="J53" s="306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</row>
    <row r="54" spans="1:24" ht="14.4" x14ac:dyDescent="0.3">
      <c r="A54" s="307"/>
      <c r="B54" s="309"/>
      <c r="C54" s="310"/>
      <c r="D54" s="310"/>
      <c r="E54" s="312"/>
      <c r="F54" s="312"/>
      <c r="G54" s="312"/>
      <c r="H54" s="311"/>
      <c r="J54" s="306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</row>
    <row r="55" spans="1:24" ht="3.75" customHeight="1" x14ac:dyDescent="0.3">
      <c r="A55" s="307"/>
      <c r="B55" s="309"/>
      <c r="C55" s="310"/>
      <c r="D55" s="310"/>
      <c r="E55" s="312"/>
      <c r="F55" s="312"/>
      <c r="G55" s="312"/>
      <c r="H55" s="311"/>
      <c r="J55" s="306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</row>
    <row r="56" spans="1:24" ht="14.4" x14ac:dyDescent="0.3">
      <c r="A56" s="307"/>
      <c r="B56" s="309"/>
      <c r="C56" s="310"/>
      <c r="D56" s="310"/>
      <c r="E56" s="312"/>
      <c r="F56" s="312"/>
      <c r="G56" s="312"/>
      <c r="H56" s="311"/>
      <c r="J56" s="306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</row>
    <row r="57" spans="1:24" ht="11.25" customHeight="1" x14ac:dyDescent="0.3">
      <c r="A57" s="307"/>
      <c r="B57" s="309"/>
      <c r="C57" s="310"/>
      <c r="D57" s="310"/>
      <c r="E57" s="312"/>
      <c r="F57" s="312"/>
      <c r="G57" s="312"/>
      <c r="H57" s="311"/>
      <c r="J57" s="306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</row>
    <row r="58" spans="1:24" ht="14.4" x14ac:dyDescent="0.3">
      <c r="A58" s="307"/>
      <c r="B58" s="309"/>
      <c r="C58" s="310"/>
      <c r="D58" s="310"/>
      <c r="E58" s="312"/>
      <c r="F58" s="312"/>
      <c r="G58" s="312"/>
      <c r="H58" s="311"/>
      <c r="J58" s="306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</row>
    <row r="59" spans="1:24" ht="14.4" x14ac:dyDescent="0.3">
      <c r="A59" s="307"/>
      <c r="B59" s="309"/>
      <c r="C59" s="310"/>
      <c r="D59" s="310"/>
      <c r="E59" s="312"/>
      <c r="F59" s="312"/>
      <c r="G59" s="312"/>
      <c r="H59" s="311"/>
      <c r="J59" s="306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</row>
    <row r="60" spans="1:24" ht="14.4" x14ac:dyDescent="0.3">
      <c r="A60" s="307"/>
      <c r="B60" s="309"/>
      <c r="C60" s="307"/>
      <c r="D60" s="307"/>
      <c r="E60" s="312"/>
      <c r="F60" s="312"/>
      <c r="G60" s="312"/>
      <c r="H60" s="311"/>
      <c r="J60" s="306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</row>
    <row r="61" spans="1:24" ht="14.4" x14ac:dyDescent="0.3">
      <c r="A61" s="307"/>
      <c r="B61" s="309"/>
      <c r="C61" s="307"/>
      <c r="D61" s="307"/>
      <c r="E61" s="312"/>
      <c r="F61" s="312"/>
      <c r="G61" s="312"/>
      <c r="H61" s="311"/>
      <c r="J61" s="306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</row>
    <row r="62" spans="1:24" ht="14.4" x14ac:dyDescent="0.3">
      <c r="A62" s="307"/>
      <c r="B62" s="309"/>
      <c r="C62" s="307"/>
      <c r="D62" s="307"/>
      <c r="E62" s="312"/>
      <c r="F62" s="312"/>
      <c r="G62" s="312"/>
      <c r="H62" s="311"/>
      <c r="J62" s="306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</row>
    <row r="63" spans="1:24" ht="14.4" x14ac:dyDescent="0.3">
      <c r="A63" s="307"/>
      <c r="B63" s="309"/>
      <c r="C63" s="307"/>
      <c r="D63" s="307"/>
      <c r="E63" s="312"/>
      <c r="F63" s="312"/>
      <c r="G63" s="312"/>
      <c r="H63" s="311"/>
      <c r="J63" s="306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</row>
    <row r="64" spans="1:24" ht="14.4" x14ac:dyDescent="0.3">
      <c r="A64" s="307"/>
      <c r="B64" s="309"/>
      <c r="C64" s="307"/>
      <c r="D64" s="307"/>
      <c r="E64" s="312"/>
      <c r="F64" s="312"/>
      <c r="G64" s="312"/>
      <c r="H64" s="311"/>
      <c r="J64" s="306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</row>
    <row r="65" spans="1:24" ht="14.4" x14ac:dyDescent="0.3">
      <c r="A65" s="307"/>
      <c r="B65" s="309"/>
      <c r="C65" s="307"/>
      <c r="D65" s="307"/>
      <c r="E65" s="312"/>
      <c r="F65" s="312"/>
      <c r="G65" s="312"/>
      <c r="H65" s="311"/>
      <c r="J65" s="306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</row>
    <row r="66" spans="1:24" ht="14.4" x14ac:dyDescent="0.3">
      <c r="A66" s="307"/>
      <c r="B66" s="309"/>
      <c r="C66" s="307"/>
      <c r="D66" s="307"/>
      <c r="E66" s="312"/>
      <c r="F66" s="312"/>
      <c r="G66" s="312"/>
      <c r="H66" s="311"/>
      <c r="J66" s="306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</row>
    <row r="67" spans="1:24" ht="14.4" x14ac:dyDescent="0.3">
      <c r="A67" s="307"/>
      <c r="B67" s="309"/>
      <c r="C67" s="307"/>
      <c r="D67" s="307"/>
      <c r="E67" s="312"/>
      <c r="F67" s="312"/>
      <c r="G67" s="312"/>
      <c r="H67" s="311"/>
      <c r="J67" s="306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</row>
    <row r="68" spans="1:24" ht="14.4" x14ac:dyDescent="0.3">
      <c r="A68" s="307"/>
      <c r="B68" s="309"/>
      <c r="C68" s="307"/>
      <c r="D68" s="307"/>
      <c r="E68" s="312"/>
      <c r="F68" s="312"/>
      <c r="G68" s="312"/>
      <c r="H68" s="311"/>
      <c r="J68" s="306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</row>
    <row r="69" spans="1:24" ht="14.4" x14ac:dyDescent="0.3">
      <c r="A69" s="307"/>
      <c r="B69" s="309"/>
      <c r="C69" s="307"/>
      <c r="D69" s="307"/>
      <c r="E69" s="312"/>
      <c r="F69" s="312"/>
      <c r="G69" s="312"/>
      <c r="H69" s="311"/>
      <c r="J69" s="306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</row>
    <row r="70" spans="1:24" ht="14.4" x14ac:dyDescent="0.3">
      <c r="A70" s="307"/>
      <c r="B70" s="309"/>
      <c r="C70" s="307"/>
      <c r="D70" s="307"/>
      <c r="E70" s="312"/>
      <c r="F70" s="312"/>
      <c r="G70" s="312"/>
      <c r="H70" s="311"/>
      <c r="J70" s="306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</row>
    <row r="71" spans="1:24" x14ac:dyDescent="0.25">
      <c r="A71" s="294"/>
      <c r="B71" s="313"/>
      <c r="C71" s="294"/>
      <c r="D71" s="294"/>
      <c r="E71" s="314"/>
      <c r="F71" s="314"/>
      <c r="G71" s="314"/>
      <c r="H71" s="311"/>
      <c r="J71" s="306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</row>
    <row r="72" spans="1:24" x14ac:dyDescent="0.25">
      <c r="A72" s="294"/>
      <c r="B72" s="313"/>
      <c r="C72" s="294"/>
      <c r="D72" s="294"/>
      <c r="E72" s="314"/>
      <c r="F72" s="314"/>
      <c r="G72" s="314"/>
      <c r="H72" s="311"/>
      <c r="J72" s="306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</row>
    <row r="73" spans="1:24" x14ac:dyDescent="0.25">
      <c r="A73" s="294"/>
      <c r="B73" s="313"/>
      <c r="C73" s="294"/>
      <c r="D73" s="294"/>
      <c r="E73" s="314"/>
      <c r="F73" s="314"/>
      <c r="G73" s="314"/>
      <c r="H73" s="311"/>
      <c r="J73" s="306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</row>
    <row r="74" spans="1:24" x14ac:dyDescent="0.25">
      <c r="A74" s="294"/>
      <c r="B74" s="313"/>
      <c r="C74" s="294"/>
      <c r="D74" s="294"/>
      <c r="E74" s="314"/>
      <c r="F74" s="314"/>
      <c r="G74" s="314"/>
      <c r="H74" s="311"/>
      <c r="J74" s="306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</row>
    <row r="75" spans="1:24" x14ac:dyDescent="0.25">
      <c r="A75" s="294"/>
      <c r="B75" s="313"/>
      <c r="C75" s="294"/>
      <c r="D75" s="294"/>
      <c r="E75" s="314"/>
      <c r="F75" s="314"/>
      <c r="G75" s="314"/>
      <c r="H75" s="311"/>
      <c r="J75" s="306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</row>
    <row r="76" spans="1:24" x14ac:dyDescent="0.25">
      <c r="A76" s="294"/>
      <c r="B76" s="313"/>
      <c r="C76" s="294"/>
      <c r="D76" s="294"/>
      <c r="E76" s="314"/>
      <c r="F76" s="314"/>
      <c r="G76" s="314"/>
      <c r="H76" s="311"/>
      <c r="J76" s="306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</row>
    <row r="77" spans="1:24" x14ac:dyDescent="0.25">
      <c r="A77" s="294"/>
      <c r="B77" s="313"/>
      <c r="C77" s="294"/>
      <c r="D77" s="294"/>
      <c r="E77" s="314"/>
      <c r="F77" s="314"/>
      <c r="G77" s="314"/>
      <c r="H77" s="311"/>
      <c r="J77" s="306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</row>
    <row r="78" spans="1:24" x14ac:dyDescent="0.25">
      <c r="A78" s="294"/>
      <c r="B78" s="313"/>
      <c r="C78" s="294"/>
      <c r="D78" s="294"/>
      <c r="E78" s="314"/>
      <c r="F78" s="314"/>
      <c r="G78" s="314"/>
      <c r="H78" s="311"/>
      <c r="J78" s="306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</row>
    <row r="79" spans="1:24" x14ac:dyDescent="0.25">
      <c r="A79" s="294"/>
      <c r="B79" s="313"/>
      <c r="C79" s="294"/>
      <c r="D79" s="294"/>
      <c r="E79" s="314"/>
      <c r="F79" s="314"/>
      <c r="G79" s="314"/>
      <c r="H79" s="311"/>
      <c r="J79" s="306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</row>
    <row r="80" spans="1:24" x14ac:dyDescent="0.25">
      <c r="A80" s="294"/>
      <c r="B80" s="313"/>
      <c r="C80" s="294"/>
      <c r="D80" s="294"/>
      <c r="E80" s="314"/>
      <c r="F80" s="314"/>
      <c r="G80" s="314"/>
      <c r="H80" s="311"/>
      <c r="J80" s="306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</row>
    <row r="81" spans="1:24" x14ac:dyDescent="0.25">
      <c r="A81" s="294"/>
      <c r="B81" s="313"/>
      <c r="C81" s="294"/>
      <c r="D81" s="294"/>
      <c r="E81" s="314"/>
      <c r="F81" s="314"/>
      <c r="G81" s="314"/>
      <c r="H81" s="311"/>
      <c r="J81" s="306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</row>
    <row r="82" spans="1:24" x14ac:dyDescent="0.25">
      <c r="A82" s="294"/>
      <c r="B82" s="313"/>
      <c r="C82" s="294"/>
      <c r="D82" s="294"/>
      <c r="E82" s="314"/>
      <c r="F82" s="314"/>
      <c r="G82" s="314"/>
      <c r="H82" s="311"/>
      <c r="J82" s="306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</row>
    <row r="83" spans="1:24" x14ac:dyDescent="0.25">
      <c r="A83" s="294"/>
      <c r="B83" s="313"/>
      <c r="C83" s="294"/>
      <c r="D83" s="294"/>
      <c r="E83" s="314"/>
      <c r="F83" s="314"/>
      <c r="G83" s="314"/>
      <c r="H83" s="311"/>
      <c r="J83" s="306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</row>
    <row r="84" spans="1:24" x14ac:dyDescent="0.25">
      <c r="A84" s="294"/>
      <c r="B84" s="313"/>
      <c r="C84" s="294"/>
      <c r="D84" s="294"/>
      <c r="E84" s="314"/>
      <c r="F84" s="314"/>
      <c r="G84" s="314"/>
      <c r="H84" s="311"/>
      <c r="J84" s="306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</row>
    <row r="85" spans="1:24" x14ac:dyDescent="0.25">
      <c r="A85" s="294"/>
      <c r="B85" s="313"/>
      <c r="C85" s="294"/>
      <c r="D85" s="294"/>
      <c r="E85" s="314"/>
      <c r="F85" s="314"/>
      <c r="G85" s="314"/>
      <c r="H85" s="311"/>
      <c r="J85" s="306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</row>
    <row r="86" spans="1:24" x14ac:dyDescent="0.25">
      <c r="A86" s="294"/>
      <c r="B86" s="313"/>
      <c r="C86" s="294"/>
      <c r="D86" s="294"/>
      <c r="E86" s="314"/>
      <c r="F86" s="314"/>
      <c r="G86" s="314"/>
      <c r="H86" s="311"/>
      <c r="J86" s="306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</row>
    <row r="87" spans="1:24" x14ac:dyDescent="0.25">
      <c r="A87" s="294"/>
      <c r="B87" s="313"/>
      <c r="C87" s="294"/>
      <c r="D87" s="294"/>
      <c r="E87" s="314"/>
      <c r="F87" s="314"/>
      <c r="G87" s="314"/>
      <c r="H87" s="311"/>
      <c r="J87" s="306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</row>
    <row r="88" spans="1:24" x14ac:dyDescent="0.25">
      <c r="A88" s="294"/>
      <c r="B88" s="313"/>
      <c r="C88" s="294"/>
      <c r="D88" s="294"/>
      <c r="E88" s="314"/>
      <c r="F88" s="314"/>
      <c r="G88" s="314"/>
      <c r="H88" s="311"/>
      <c r="J88" s="306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</row>
    <row r="89" spans="1:24" x14ac:dyDescent="0.25">
      <c r="A89" s="294"/>
      <c r="B89" s="313"/>
      <c r="C89" s="294"/>
      <c r="D89" s="294"/>
      <c r="E89" s="314"/>
      <c r="F89" s="314"/>
      <c r="G89" s="314"/>
      <c r="H89" s="311"/>
      <c r="J89" s="306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</row>
    <row r="90" spans="1:24" x14ac:dyDescent="0.25">
      <c r="A90" s="294"/>
      <c r="B90" s="313"/>
      <c r="C90" s="294"/>
      <c r="D90" s="294"/>
      <c r="E90" s="314"/>
      <c r="F90" s="314"/>
      <c r="G90" s="314"/>
      <c r="H90" s="311"/>
      <c r="J90" s="306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</row>
    <row r="91" spans="1:24" x14ac:dyDescent="0.25">
      <c r="A91" s="294"/>
      <c r="B91" s="313"/>
      <c r="C91" s="294"/>
      <c r="D91" s="294"/>
      <c r="E91" s="314"/>
      <c r="F91" s="314"/>
      <c r="G91" s="314"/>
      <c r="H91" s="311"/>
      <c r="J91" s="306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</row>
    <row r="92" spans="1:24" x14ac:dyDescent="0.25">
      <c r="A92" s="294"/>
      <c r="B92" s="313"/>
      <c r="C92" s="294"/>
      <c r="D92" s="294"/>
      <c r="E92" s="314"/>
      <c r="F92" s="314"/>
      <c r="G92" s="314"/>
      <c r="H92" s="311"/>
      <c r="J92" s="306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</row>
    <row r="93" spans="1:24" x14ac:dyDescent="0.25">
      <c r="A93" s="294"/>
      <c r="B93" s="313"/>
      <c r="C93" s="294"/>
      <c r="D93" s="294"/>
      <c r="E93" s="314"/>
      <c r="F93" s="314"/>
      <c r="G93" s="314"/>
      <c r="H93" s="311"/>
      <c r="J93" s="306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</row>
    <row r="94" spans="1:24" x14ac:dyDescent="0.25">
      <c r="A94" s="294"/>
      <c r="B94" s="313"/>
      <c r="C94" s="294"/>
      <c r="D94" s="294"/>
      <c r="E94" s="314"/>
      <c r="F94" s="314"/>
      <c r="G94" s="314"/>
      <c r="H94" s="311"/>
      <c r="J94" s="306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</row>
    <row r="95" spans="1:24" x14ac:dyDescent="0.25">
      <c r="A95" s="294"/>
      <c r="B95" s="313"/>
      <c r="C95" s="294"/>
      <c r="D95" s="294"/>
      <c r="E95" s="314"/>
      <c r="F95" s="314"/>
      <c r="G95" s="314"/>
      <c r="H95" s="311"/>
      <c r="J95" s="306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</row>
    <row r="96" spans="1:24" x14ac:dyDescent="0.25">
      <c r="A96" s="294"/>
      <c r="B96" s="313"/>
      <c r="C96" s="294"/>
      <c r="D96" s="294"/>
      <c r="E96" s="314"/>
      <c r="F96" s="314"/>
      <c r="G96" s="314"/>
      <c r="H96" s="311"/>
      <c r="J96" s="306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</row>
    <row r="97" spans="1:24" x14ac:dyDescent="0.25">
      <c r="A97" s="294"/>
      <c r="B97" s="313"/>
      <c r="C97" s="294"/>
      <c r="D97" s="294"/>
      <c r="E97" s="314"/>
      <c r="F97" s="314"/>
      <c r="G97" s="314"/>
      <c r="H97" s="311"/>
      <c r="J97" s="306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</row>
    <row r="98" spans="1:24" x14ac:dyDescent="0.25">
      <c r="A98" s="294"/>
      <c r="B98" s="313"/>
      <c r="C98" s="294"/>
      <c r="D98" s="294"/>
      <c r="E98" s="314"/>
      <c r="F98" s="314"/>
      <c r="G98" s="314"/>
      <c r="H98" s="311"/>
      <c r="J98" s="306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</row>
    <row r="99" spans="1:24" x14ac:dyDescent="0.25">
      <c r="A99" s="294"/>
      <c r="B99" s="313"/>
      <c r="C99" s="294"/>
      <c r="D99" s="294"/>
      <c r="E99" s="314"/>
      <c r="F99" s="314"/>
      <c r="G99" s="314"/>
      <c r="H99" s="311"/>
      <c r="I99" s="314"/>
      <c r="J99" s="306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</row>
    <row r="100" spans="1:24" x14ac:dyDescent="0.25">
      <c r="A100" s="294"/>
      <c r="B100" s="313"/>
      <c r="C100" s="294"/>
      <c r="D100" s="294"/>
      <c r="E100" s="314"/>
      <c r="F100" s="314"/>
      <c r="G100" s="314"/>
      <c r="H100" s="311"/>
      <c r="I100" s="314"/>
      <c r="J100" s="306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</row>
    <row r="101" spans="1:24" x14ac:dyDescent="0.25">
      <c r="A101" s="294"/>
      <c r="B101" s="313"/>
      <c r="C101" s="294"/>
      <c r="D101" s="294"/>
      <c r="E101" s="314"/>
      <c r="F101" s="314"/>
      <c r="G101" s="314"/>
      <c r="H101" s="311"/>
      <c r="I101" s="314"/>
      <c r="J101" s="306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</row>
    <row r="102" spans="1:24" x14ac:dyDescent="0.25">
      <c r="A102" s="294"/>
      <c r="B102" s="313"/>
      <c r="C102" s="294"/>
      <c r="D102" s="294"/>
      <c r="E102" s="314"/>
      <c r="F102" s="314"/>
      <c r="G102" s="314"/>
      <c r="H102" s="311"/>
      <c r="I102" s="314"/>
      <c r="J102" s="306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</row>
    <row r="103" spans="1:24" x14ac:dyDescent="0.25">
      <c r="A103" s="294"/>
      <c r="B103" s="313"/>
      <c r="C103" s="294"/>
      <c r="D103" s="294"/>
      <c r="E103" s="314"/>
      <c r="F103" s="314"/>
      <c r="G103" s="314"/>
      <c r="H103" s="311"/>
      <c r="I103" s="314"/>
      <c r="J103" s="306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</row>
    <row r="104" spans="1:24" x14ac:dyDescent="0.25">
      <c r="A104" s="294"/>
      <c r="B104" s="313"/>
      <c r="C104" s="294"/>
      <c r="D104" s="294"/>
      <c r="E104" s="314"/>
      <c r="F104" s="314"/>
      <c r="G104" s="314"/>
      <c r="H104" s="311"/>
      <c r="I104" s="314"/>
      <c r="J104" s="306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</row>
    <row r="105" spans="1:24" x14ac:dyDescent="0.25">
      <c r="A105" s="294"/>
      <c r="B105" s="313"/>
      <c r="C105" s="294"/>
      <c r="D105" s="294"/>
      <c r="E105" s="314"/>
      <c r="F105" s="314"/>
      <c r="G105" s="314"/>
      <c r="H105" s="311"/>
      <c r="I105" s="314"/>
      <c r="J105" s="306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</row>
    <row r="106" spans="1:24" x14ac:dyDescent="0.25">
      <c r="A106" s="294"/>
      <c r="B106" s="313"/>
      <c r="C106" s="294"/>
      <c r="D106" s="294"/>
      <c r="E106" s="314"/>
      <c r="F106" s="314"/>
      <c r="G106" s="314"/>
      <c r="H106" s="311"/>
      <c r="I106" s="314"/>
      <c r="J106" s="306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</row>
    <row r="107" spans="1:24" x14ac:dyDescent="0.25">
      <c r="A107" s="294"/>
      <c r="B107" s="313"/>
      <c r="C107" s="294"/>
      <c r="D107" s="294"/>
      <c r="E107" s="314"/>
      <c r="F107" s="314"/>
      <c r="G107" s="314"/>
      <c r="H107" s="311"/>
      <c r="I107" s="314"/>
      <c r="J107" s="306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</row>
    <row r="108" spans="1:24" x14ac:dyDescent="0.25">
      <c r="A108" s="294"/>
      <c r="B108" s="313"/>
      <c r="C108" s="294"/>
      <c r="D108" s="294"/>
      <c r="E108" s="314"/>
      <c r="F108" s="314"/>
      <c r="G108" s="314"/>
      <c r="H108" s="311"/>
      <c r="I108" s="314"/>
      <c r="J108" s="306"/>
      <c r="K108" s="294"/>
      <c r="L108" s="294"/>
      <c r="M108" s="294"/>
      <c r="N108" s="294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</row>
    <row r="109" spans="1:24" x14ac:dyDescent="0.25">
      <c r="A109" s="294"/>
      <c r="B109" s="313"/>
      <c r="C109" s="294"/>
      <c r="D109" s="294"/>
      <c r="E109" s="314"/>
      <c r="F109" s="314"/>
      <c r="G109" s="314"/>
      <c r="H109" s="311"/>
      <c r="I109" s="314"/>
      <c r="J109" s="306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</row>
    <row r="110" spans="1:24" x14ac:dyDescent="0.25">
      <c r="A110" s="294"/>
      <c r="B110" s="313"/>
      <c r="C110" s="294"/>
      <c r="D110" s="294"/>
      <c r="E110" s="314"/>
      <c r="F110" s="314"/>
      <c r="G110" s="314"/>
      <c r="H110" s="311"/>
      <c r="I110" s="314"/>
      <c r="J110" s="306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</row>
    <row r="111" spans="1:24" x14ac:dyDescent="0.25">
      <c r="A111" s="294"/>
      <c r="B111" s="313"/>
      <c r="C111" s="294"/>
      <c r="D111" s="294"/>
      <c r="E111" s="314"/>
      <c r="F111" s="314"/>
      <c r="G111" s="314"/>
      <c r="H111" s="311"/>
      <c r="I111" s="314"/>
      <c r="J111" s="306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</row>
    <row r="112" spans="1:24" x14ac:dyDescent="0.25">
      <c r="A112" s="294"/>
      <c r="B112" s="313"/>
      <c r="C112" s="294"/>
      <c r="D112" s="294"/>
      <c r="E112" s="314"/>
      <c r="F112" s="314"/>
      <c r="G112" s="314"/>
      <c r="H112" s="311"/>
      <c r="I112" s="314"/>
      <c r="J112" s="306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</row>
    <row r="113" spans="1:24" x14ac:dyDescent="0.25">
      <c r="A113" s="294"/>
      <c r="B113" s="313"/>
      <c r="C113" s="294"/>
      <c r="D113" s="294"/>
      <c r="E113" s="314"/>
      <c r="F113" s="314"/>
      <c r="G113" s="314"/>
      <c r="H113" s="311"/>
      <c r="I113" s="314"/>
      <c r="J113" s="306"/>
      <c r="K113" s="294"/>
      <c r="L113" s="294"/>
      <c r="M113" s="294"/>
      <c r="N113" s="294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</row>
    <row r="114" spans="1:24" x14ac:dyDescent="0.25">
      <c r="A114" s="294"/>
      <c r="B114" s="313"/>
      <c r="C114" s="294"/>
      <c r="D114" s="294"/>
      <c r="E114" s="314"/>
      <c r="F114" s="314"/>
      <c r="G114" s="314"/>
      <c r="H114" s="311"/>
      <c r="I114" s="314"/>
      <c r="J114" s="306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</row>
    <row r="115" spans="1:24" x14ac:dyDescent="0.25">
      <c r="A115" s="294"/>
      <c r="B115" s="313"/>
      <c r="C115" s="294"/>
      <c r="D115" s="294"/>
      <c r="E115" s="314"/>
      <c r="F115" s="314"/>
      <c r="G115" s="314"/>
      <c r="H115" s="311"/>
      <c r="I115" s="314"/>
      <c r="J115" s="306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</row>
    <row r="116" spans="1:24" x14ac:dyDescent="0.25">
      <c r="A116" s="294"/>
      <c r="B116" s="313"/>
      <c r="C116" s="294"/>
      <c r="D116" s="294"/>
      <c r="E116" s="314"/>
      <c r="F116" s="314"/>
      <c r="G116" s="314"/>
      <c r="H116" s="311"/>
      <c r="I116" s="314"/>
      <c r="J116" s="306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</row>
    <row r="117" spans="1:24" x14ac:dyDescent="0.25">
      <c r="A117" s="294"/>
      <c r="B117" s="313"/>
      <c r="C117" s="294"/>
      <c r="D117" s="294"/>
      <c r="E117" s="314"/>
      <c r="F117" s="314"/>
      <c r="G117" s="314"/>
      <c r="H117" s="311"/>
      <c r="I117" s="314"/>
      <c r="J117" s="306"/>
      <c r="K117" s="294"/>
      <c r="L117" s="294"/>
      <c r="M117" s="294"/>
      <c r="N117" s="294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</row>
    <row r="118" spans="1:24" x14ac:dyDescent="0.25">
      <c r="A118" s="294"/>
      <c r="B118" s="313"/>
      <c r="C118" s="294"/>
      <c r="D118" s="294"/>
      <c r="E118" s="314"/>
      <c r="F118" s="314"/>
      <c r="G118" s="314"/>
      <c r="H118" s="311"/>
      <c r="I118" s="314"/>
      <c r="J118" s="306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</row>
    <row r="119" spans="1:24" x14ac:dyDescent="0.25">
      <c r="A119" s="294"/>
      <c r="B119" s="313"/>
      <c r="C119" s="294"/>
      <c r="D119" s="294"/>
      <c r="E119" s="314"/>
      <c r="F119" s="314"/>
      <c r="G119" s="314"/>
      <c r="H119" s="311"/>
      <c r="I119" s="314"/>
      <c r="J119" s="306"/>
      <c r="K119" s="294"/>
      <c r="L119" s="294"/>
      <c r="M119" s="294"/>
      <c r="N119" s="294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</row>
    <row r="120" spans="1:24" x14ac:dyDescent="0.25">
      <c r="A120" s="294"/>
      <c r="B120" s="313"/>
      <c r="C120" s="294"/>
      <c r="D120" s="294"/>
      <c r="E120" s="314"/>
      <c r="F120" s="314"/>
      <c r="G120" s="314"/>
      <c r="H120" s="311"/>
      <c r="I120" s="314"/>
      <c r="J120" s="306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</row>
    <row r="121" spans="1:24" x14ac:dyDescent="0.25">
      <c r="A121" s="294"/>
      <c r="B121" s="313"/>
      <c r="C121" s="294"/>
      <c r="D121" s="294"/>
      <c r="E121" s="314"/>
      <c r="F121" s="314"/>
      <c r="G121" s="314"/>
      <c r="H121" s="311"/>
      <c r="I121" s="314"/>
      <c r="J121" s="306"/>
      <c r="K121" s="294"/>
      <c r="L121" s="294"/>
      <c r="M121" s="294"/>
      <c r="N121" s="294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</row>
    <row r="122" spans="1:24" x14ac:dyDescent="0.25">
      <c r="A122" s="294"/>
      <c r="B122" s="313"/>
      <c r="C122" s="294"/>
      <c r="D122" s="294"/>
      <c r="E122" s="314"/>
      <c r="F122" s="314"/>
      <c r="G122" s="314"/>
      <c r="H122" s="311"/>
      <c r="I122" s="314"/>
      <c r="J122" s="306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</row>
    <row r="123" spans="1:24" x14ac:dyDescent="0.25">
      <c r="A123" s="294"/>
      <c r="B123" s="313"/>
      <c r="C123" s="294"/>
      <c r="D123" s="294"/>
      <c r="E123" s="314"/>
      <c r="F123" s="314"/>
      <c r="G123" s="314"/>
      <c r="H123" s="311"/>
      <c r="I123" s="314"/>
      <c r="J123" s="306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</row>
    <row r="124" spans="1:24" x14ac:dyDescent="0.25">
      <c r="A124" s="294"/>
      <c r="B124" s="313"/>
      <c r="C124" s="294"/>
      <c r="D124" s="294"/>
      <c r="E124" s="314"/>
      <c r="F124" s="314"/>
      <c r="G124" s="314"/>
      <c r="H124" s="311"/>
      <c r="I124" s="314"/>
      <c r="J124" s="306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</row>
    <row r="125" spans="1:24" x14ac:dyDescent="0.25">
      <c r="A125" s="294"/>
      <c r="B125" s="313"/>
      <c r="C125" s="294"/>
      <c r="D125" s="294"/>
      <c r="E125" s="314"/>
      <c r="F125" s="314"/>
      <c r="G125" s="314"/>
      <c r="H125" s="311"/>
      <c r="I125" s="314"/>
      <c r="J125" s="306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</row>
    <row r="126" spans="1:24" x14ac:dyDescent="0.25">
      <c r="A126" s="294"/>
      <c r="B126" s="313"/>
      <c r="C126" s="294"/>
      <c r="D126" s="294"/>
      <c r="E126" s="314"/>
      <c r="F126" s="314"/>
      <c r="G126" s="314"/>
      <c r="H126" s="311"/>
      <c r="I126" s="314"/>
      <c r="J126" s="306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</row>
    <row r="127" spans="1:24" x14ac:dyDescent="0.25">
      <c r="A127" s="294"/>
      <c r="B127" s="313"/>
      <c r="C127" s="294"/>
      <c r="D127" s="294"/>
      <c r="E127" s="314"/>
      <c r="F127" s="314"/>
      <c r="G127" s="314"/>
      <c r="H127" s="311"/>
      <c r="I127" s="314"/>
      <c r="J127" s="306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</row>
    <row r="128" spans="1:24" x14ac:dyDescent="0.25">
      <c r="A128" s="294"/>
      <c r="B128" s="313"/>
      <c r="C128" s="294"/>
      <c r="D128" s="294"/>
      <c r="E128" s="314"/>
      <c r="F128" s="314"/>
      <c r="G128" s="314"/>
      <c r="H128" s="311"/>
      <c r="I128" s="314"/>
      <c r="J128" s="306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</row>
    <row r="129" spans="1:24" x14ac:dyDescent="0.25">
      <c r="A129" s="294"/>
      <c r="B129" s="313"/>
      <c r="C129" s="294"/>
      <c r="D129" s="294"/>
      <c r="E129" s="314"/>
      <c r="F129" s="314"/>
      <c r="G129" s="314"/>
      <c r="H129" s="311"/>
      <c r="I129" s="314"/>
      <c r="J129" s="306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</row>
    <row r="130" spans="1:24" x14ac:dyDescent="0.25">
      <c r="A130" s="294"/>
      <c r="B130" s="313"/>
      <c r="C130" s="294"/>
      <c r="D130" s="294"/>
      <c r="E130" s="314"/>
      <c r="F130" s="314"/>
      <c r="G130" s="314"/>
      <c r="H130" s="311"/>
      <c r="I130" s="314"/>
      <c r="J130" s="306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</row>
    <row r="131" spans="1:24" x14ac:dyDescent="0.25">
      <c r="A131" s="294"/>
      <c r="B131" s="313"/>
      <c r="C131" s="294"/>
      <c r="D131" s="294"/>
      <c r="E131" s="314"/>
      <c r="F131" s="314"/>
      <c r="G131" s="314"/>
      <c r="H131" s="311"/>
      <c r="I131" s="314"/>
      <c r="J131" s="306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</row>
    <row r="132" spans="1:24" x14ac:dyDescent="0.25">
      <c r="A132" s="294"/>
      <c r="B132" s="313"/>
      <c r="C132" s="294"/>
      <c r="D132" s="294"/>
      <c r="E132" s="314"/>
      <c r="F132" s="314"/>
      <c r="G132" s="314"/>
      <c r="H132" s="311"/>
      <c r="I132" s="314"/>
      <c r="J132" s="306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</row>
    <row r="133" spans="1:24" x14ac:dyDescent="0.25">
      <c r="A133" s="294"/>
      <c r="B133" s="313"/>
      <c r="C133" s="294"/>
      <c r="D133" s="294"/>
      <c r="E133" s="314"/>
      <c r="F133" s="314"/>
      <c r="G133" s="314"/>
      <c r="H133" s="311"/>
      <c r="I133" s="314"/>
      <c r="J133" s="306"/>
      <c r="K133" s="294"/>
      <c r="L133" s="294"/>
      <c r="M133" s="294"/>
      <c r="N133" s="294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</row>
    <row r="134" spans="1:24" x14ac:dyDescent="0.25">
      <c r="A134" s="294"/>
      <c r="B134" s="313"/>
      <c r="C134" s="294"/>
      <c r="D134" s="294"/>
      <c r="E134" s="314"/>
      <c r="F134" s="314"/>
      <c r="G134" s="314"/>
      <c r="H134" s="311"/>
      <c r="I134" s="314"/>
      <c r="J134" s="306"/>
      <c r="K134" s="294"/>
      <c r="L134" s="294"/>
      <c r="M134" s="294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</row>
    <row r="135" spans="1:24" x14ac:dyDescent="0.25">
      <c r="A135" s="294"/>
      <c r="B135" s="313"/>
      <c r="C135" s="294"/>
      <c r="D135" s="294"/>
      <c r="E135" s="314"/>
      <c r="F135" s="314"/>
      <c r="G135" s="314"/>
      <c r="H135" s="311"/>
      <c r="I135" s="314"/>
      <c r="J135" s="306"/>
      <c r="K135" s="294"/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</row>
    <row r="136" spans="1:24" x14ac:dyDescent="0.25">
      <c r="A136" s="294"/>
      <c r="B136" s="313"/>
      <c r="C136" s="294"/>
      <c r="D136" s="294"/>
      <c r="E136" s="314"/>
      <c r="F136" s="314"/>
      <c r="G136" s="314"/>
      <c r="H136" s="311"/>
      <c r="I136" s="314"/>
      <c r="J136" s="306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</row>
    <row r="137" spans="1:24" x14ac:dyDescent="0.25">
      <c r="A137" s="294"/>
      <c r="B137" s="313"/>
      <c r="C137" s="294"/>
      <c r="D137" s="294"/>
      <c r="E137" s="314"/>
      <c r="F137" s="314"/>
      <c r="G137" s="314"/>
      <c r="H137" s="311"/>
      <c r="I137" s="314"/>
      <c r="J137" s="306"/>
      <c r="K137" s="294"/>
      <c r="L137" s="294"/>
      <c r="M137" s="294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</row>
    <row r="138" spans="1:24" x14ac:dyDescent="0.25">
      <c r="A138" s="294"/>
      <c r="B138" s="313"/>
      <c r="C138" s="294"/>
      <c r="D138" s="294"/>
      <c r="E138" s="314"/>
      <c r="F138" s="314"/>
      <c r="G138" s="314"/>
      <c r="H138" s="311"/>
      <c r="I138" s="314"/>
      <c r="J138" s="306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</row>
    <row r="139" spans="1:24" x14ac:dyDescent="0.25">
      <c r="A139" s="294"/>
      <c r="B139" s="313"/>
      <c r="C139" s="294"/>
      <c r="D139" s="294"/>
      <c r="E139" s="314"/>
      <c r="F139" s="314"/>
      <c r="G139" s="314"/>
      <c r="H139" s="311"/>
      <c r="I139" s="314"/>
      <c r="J139" s="306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</row>
    <row r="140" spans="1:24" x14ac:dyDescent="0.25">
      <c r="A140" s="294"/>
      <c r="B140" s="313"/>
      <c r="C140" s="294"/>
      <c r="D140" s="294"/>
      <c r="E140" s="314"/>
      <c r="F140" s="314"/>
      <c r="G140" s="314"/>
      <c r="H140" s="311"/>
      <c r="I140" s="314"/>
      <c r="J140" s="306"/>
      <c r="K140" s="294"/>
      <c r="L140" s="294"/>
      <c r="M140" s="294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</row>
    <row r="141" spans="1:24" x14ac:dyDescent="0.25">
      <c r="A141" s="294"/>
      <c r="B141" s="313"/>
      <c r="C141" s="294"/>
      <c r="D141" s="294"/>
      <c r="E141" s="314"/>
      <c r="F141" s="314"/>
      <c r="G141" s="314"/>
      <c r="H141" s="311"/>
      <c r="I141" s="314"/>
      <c r="J141" s="306"/>
      <c r="K141" s="294"/>
      <c r="L141" s="294"/>
      <c r="M141" s="294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</row>
    <row r="142" spans="1:24" x14ac:dyDescent="0.25">
      <c r="A142" s="294"/>
      <c r="B142" s="313"/>
      <c r="C142" s="294"/>
      <c r="D142" s="294"/>
      <c r="E142" s="314"/>
      <c r="F142" s="314"/>
      <c r="G142" s="314"/>
      <c r="H142" s="311"/>
      <c r="I142" s="314"/>
      <c r="J142" s="306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</row>
    <row r="143" spans="1:24" x14ac:dyDescent="0.25">
      <c r="A143" s="294"/>
      <c r="B143" s="313"/>
      <c r="C143" s="294"/>
      <c r="D143" s="294"/>
      <c r="E143" s="314"/>
      <c r="F143" s="314"/>
      <c r="G143" s="314"/>
      <c r="H143" s="311"/>
      <c r="I143" s="314"/>
      <c r="J143" s="306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</row>
    <row r="144" spans="1:24" x14ac:dyDescent="0.25">
      <c r="A144" s="294"/>
      <c r="B144" s="313"/>
      <c r="C144" s="294"/>
      <c r="D144" s="294"/>
      <c r="E144" s="314"/>
      <c r="F144" s="314"/>
      <c r="G144" s="314"/>
      <c r="H144" s="311"/>
      <c r="I144" s="314"/>
      <c r="J144" s="306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</row>
    <row r="145" spans="1:24" x14ac:dyDescent="0.25">
      <c r="A145" s="294"/>
      <c r="B145" s="313"/>
      <c r="C145" s="294"/>
      <c r="D145" s="294"/>
      <c r="E145" s="314"/>
      <c r="F145" s="314"/>
      <c r="G145" s="314"/>
      <c r="H145" s="311"/>
      <c r="I145" s="314"/>
      <c r="J145" s="306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</row>
    <row r="146" spans="1:24" x14ac:dyDescent="0.25">
      <c r="A146" s="294"/>
      <c r="B146" s="313"/>
      <c r="C146" s="294"/>
      <c r="D146" s="294"/>
      <c r="E146" s="314"/>
      <c r="F146" s="314"/>
      <c r="G146" s="314"/>
      <c r="H146" s="311"/>
      <c r="I146" s="314"/>
      <c r="J146" s="306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</row>
    <row r="147" spans="1:24" x14ac:dyDescent="0.25">
      <c r="A147" s="294"/>
      <c r="B147" s="313"/>
      <c r="C147" s="294"/>
      <c r="D147" s="294"/>
      <c r="E147" s="314"/>
      <c r="F147" s="314"/>
      <c r="G147" s="314"/>
      <c r="H147" s="311"/>
      <c r="I147" s="314"/>
      <c r="J147" s="306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</row>
    <row r="148" spans="1:24" x14ac:dyDescent="0.25">
      <c r="A148" s="294"/>
      <c r="B148" s="313"/>
      <c r="C148" s="294"/>
      <c r="D148" s="294"/>
      <c r="E148" s="314"/>
      <c r="F148" s="314"/>
      <c r="G148" s="314"/>
      <c r="H148" s="311"/>
      <c r="I148" s="314"/>
      <c r="J148" s="306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</row>
    <row r="149" spans="1:24" x14ac:dyDescent="0.25">
      <c r="A149" s="294"/>
      <c r="B149" s="313"/>
      <c r="C149" s="294"/>
      <c r="D149" s="294"/>
      <c r="E149" s="314"/>
      <c r="F149" s="314"/>
      <c r="G149" s="314"/>
      <c r="H149" s="311"/>
      <c r="I149" s="314"/>
      <c r="J149" s="306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</row>
    <row r="150" spans="1:24" x14ac:dyDescent="0.25">
      <c r="A150" s="294"/>
      <c r="B150" s="313"/>
      <c r="C150" s="294"/>
      <c r="D150" s="294"/>
      <c r="E150" s="314"/>
      <c r="F150" s="314"/>
      <c r="G150" s="314"/>
      <c r="H150" s="311"/>
      <c r="I150" s="314"/>
      <c r="J150" s="306"/>
      <c r="K150" s="294"/>
      <c r="L150" s="294"/>
      <c r="M150" s="294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</row>
    <row r="151" spans="1:24" x14ac:dyDescent="0.25">
      <c r="A151" s="294"/>
      <c r="B151" s="313"/>
      <c r="C151" s="294"/>
      <c r="D151" s="294"/>
      <c r="E151" s="314"/>
      <c r="F151" s="314"/>
      <c r="G151" s="314"/>
      <c r="H151" s="311"/>
      <c r="I151" s="314"/>
      <c r="J151" s="306"/>
      <c r="K151" s="294"/>
      <c r="L151" s="294"/>
      <c r="M151" s="294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</row>
    <row r="152" spans="1:24" x14ac:dyDescent="0.25">
      <c r="A152" s="294"/>
      <c r="B152" s="313"/>
      <c r="C152" s="294"/>
      <c r="D152" s="294"/>
      <c r="E152" s="314"/>
      <c r="F152" s="314"/>
      <c r="G152" s="314"/>
      <c r="H152" s="311"/>
      <c r="I152" s="314"/>
      <c r="J152" s="306"/>
      <c r="K152" s="294"/>
      <c r="L152" s="294"/>
      <c r="M152" s="294"/>
      <c r="N152" s="294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</row>
    <row r="153" spans="1:24" x14ac:dyDescent="0.25">
      <c r="A153" s="294"/>
      <c r="B153" s="313"/>
      <c r="C153" s="294"/>
      <c r="D153" s="294"/>
      <c r="E153" s="314"/>
      <c r="F153" s="314"/>
      <c r="G153" s="314"/>
      <c r="H153" s="311"/>
      <c r="I153" s="314"/>
      <c r="J153" s="306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</row>
    <row r="154" spans="1:24" x14ac:dyDescent="0.25">
      <c r="A154" s="294"/>
      <c r="B154" s="313"/>
      <c r="C154" s="294"/>
      <c r="D154" s="294"/>
      <c r="E154" s="314"/>
      <c r="F154" s="314"/>
      <c r="G154" s="314"/>
      <c r="H154" s="311"/>
      <c r="I154" s="314"/>
      <c r="J154" s="306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</row>
    <row r="155" spans="1:24" x14ac:dyDescent="0.25">
      <c r="A155" s="294"/>
      <c r="B155" s="313"/>
      <c r="C155" s="294"/>
      <c r="D155" s="294"/>
      <c r="E155" s="314"/>
      <c r="F155" s="314"/>
      <c r="G155" s="314"/>
      <c r="H155" s="311"/>
      <c r="I155" s="314"/>
      <c r="J155" s="306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</row>
    <row r="156" spans="1:24" x14ac:dyDescent="0.25">
      <c r="A156" s="294"/>
      <c r="B156" s="313"/>
      <c r="C156" s="294"/>
      <c r="D156" s="294"/>
      <c r="E156" s="314"/>
      <c r="F156" s="314"/>
      <c r="G156" s="314"/>
      <c r="H156" s="311"/>
      <c r="I156" s="314"/>
      <c r="J156" s="306"/>
      <c r="K156" s="294"/>
      <c r="L156" s="294"/>
      <c r="M156" s="294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</row>
    <row r="157" spans="1:24" x14ac:dyDescent="0.25">
      <c r="A157" s="294"/>
      <c r="B157" s="313"/>
      <c r="C157" s="294"/>
      <c r="D157" s="294"/>
      <c r="E157" s="314"/>
      <c r="F157" s="314"/>
      <c r="G157" s="314"/>
      <c r="H157" s="311"/>
      <c r="I157" s="314"/>
      <c r="J157" s="306"/>
      <c r="K157" s="294"/>
      <c r="L157" s="294"/>
      <c r="M157" s="294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</row>
    <row r="158" spans="1:24" x14ac:dyDescent="0.25">
      <c r="A158" s="294"/>
      <c r="B158" s="313"/>
      <c r="C158" s="294"/>
      <c r="D158" s="294"/>
      <c r="E158" s="314"/>
      <c r="F158" s="314"/>
      <c r="G158" s="314"/>
      <c r="H158" s="311"/>
      <c r="I158" s="314"/>
      <c r="J158" s="306"/>
      <c r="K158" s="294"/>
      <c r="L158" s="294"/>
      <c r="M158" s="294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</row>
    <row r="159" spans="1:24" x14ac:dyDescent="0.25">
      <c r="A159" s="294"/>
      <c r="B159" s="313"/>
      <c r="C159" s="294"/>
      <c r="D159" s="294"/>
      <c r="E159" s="314"/>
      <c r="F159" s="314"/>
      <c r="G159" s="314"/>
      <c r="H159" s="311"/>
      <c r="I159" s="314"/>
      <c r="J159" s="306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</row>
    <row r="160" spans="1:24" x14ac:dyDescent="0.25">
      <c r="A160" s="294"/>
      <c r="B160" s="313"/>
      <c r="C160" s="294"/>
      <c r="D160" s="294"/>
      <c r="E160" s="314"/>
      <c r="F160" s="314"/>
      <c r="G160" s="314"/>
      <c r="H160" s="311"/>
      <c r="I160" s="314"/>
      <c r="J160" s="306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</row>
    <row r="161" spans="1:24" x14ac:dyDescent="0.25">
      <c r="A161" s="294"/>
      <c r="B161" s="313"/>
      <c r="C161" s="294"/>
      <c r="D161" s="294"/>
      <c r="E161" s="314"/>
      <c r="F161" s="314"/>
      <c r="G161" s="314"/>
      <c r="H161" s="311"/>
      <c r="I161" s="314"/>
      <c r="J161" s="306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</row>
    <row r="162" spans="1:24" x14ac:dyDescent="0.25">
      <c r="A162" s="294"/>
      <c r="B162" s="313"/>
      <c r="C162" s="294"/>
      <c r="D162" s="294"/>
      <c r="E162" s="314"/>
      <c r="F162" s="314"/>
      <c r="G162" s="314"/>
      <c r="H162" s="311"/>
      <c r="I162" s="314"/>
      <c r="J162" s="306"/>
      <c r="K162" s="294"/>
      <c r="L162" s="294"/>
      <c r="M162" s="294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</row>
    <row r="163" spans="1:24" x14ac:dyDescent="0.25">
      <c r="A163" s="294"/>
      <c r="B163" s="313"/>
      <c r="C163" s="294"/>
      <c r="D163" s="294"/>
      <c r="E163" s="314"/>
      <c r="F163" s="314"/>
      <c r="G163" s="314"/>
      <c r="H163" s="311"/>
      <c r="I163" s="314"/>
      <c r="J163" s="306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</row>
    <row r="164" spans="1:24" x14ac:dyDescent="0.25">
      <c r="A164" s="294"/>
      <c r="B164" s="313"/>
      <c r="C164" s="294"/>
      <c r="D164" s="294"/>
      <c r="E164" s="314"/>
      <c r="F164" s="314"/>
      <c r="G164" s="314"/>
      <c r="H164" s="311"/>
      <c r="I164" s="314"/>
      <c r="J164" s="306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</row>
    <row r="165" spans="1:24" x14ac:dyDescent="0.25">
      <c r="A165" s="294"/>
      <c r="B165" s="313"/>
      <c r="C165" s="294"/>
      <c r="D165" s="294"/>
      <c r="E165" s="314"/>
      <c r="F165" s="314"/>
      <c r="G165" s="314"/>
      <c r="H165" s="311"/>
      <c r="I165" s="314"/>
      <c r="J165" s="306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</row>
    <row r="166" spans="1:24" x14ac:dyDescent="0.25">
      <c r="A166" s="294"/>
      <c r="B166" s="313"/>
      <c r="C166" s="294"/>
      <c r="D166" s="294"/>
      <c r="E166" s="314"/>
      <c r="F166" s="314"/>
      <c r="G166" s="314"/>
      <c r="H166" s="311"/>
      <c r="I166" s="314"/>
      <c r="J166" s="306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</row>
    <row r="167" spans="1:24" x14ac:dyDescent="0.25">
      <c r="A167" s="294"/>
      <c r="B167" s="313"/>
      <c r="C167" s="294"/>
      <c r="D167" s="294"/>
      <c r="E167" s="314"/>
      <c r="F167" s="314"/>
      <c r="G167" s="314"/>
      <c r="H167" s="311"/>
      <c r="I167" s="314"/>
      <c r="J167" s="306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</row>
    <row r="168" spans="1:24" x14ac:dyDescent="0.25">
      <c r="A168" s="294"/>
      <c r="B168" s="313"/>
      <c r="C168" s="294"/>
      <c r="D168" s="294"/>
      <c r="E168" s="314"/>
      <c r="F168" s="314"/>
      <c r="G168" s="314"/>
      <c r="H168" s="311"/>
      <c r="I168" s="314"/>
      <c r="J168" s="306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</row>
    <row r="169" spans="1:24" x14ac:dyDescent="0.25">
      <c r="A169" s="294"/>
      <c r="B169" s="313"/>
      <c r="C169" s="294"/>
      <c r="D169" s="294"/>
      <c r="E169" s="314"/>
      <c r="F169" s="314"/>
      <c r="G169" s="314"/>
      <c r="H169" s="311"/>
      <c r="I169" s="314"/>
      <c r="J169" s="306"/>
      <c r="K169" s="294"/>
      <c r="L169" s="294"/>
      <c r="M169" s="294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</row>
    <row r="170" spans="1:24" x14ac:dyDescent="0.25">
      <c r="A170" s="294"/>
      <c r="B170" s="313"/>
      <c r="C170" s="294"/>
      <c r="D170" s="294"/>
      <c r="E170" s="314"/>
      <c r="F170" s="314"/>
      <c r="G170" s="314"/>
      <c r="H170" s="311"/>
      <c r="I170" s="314"/>
      <c r="J170" s="306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</row>
    <row r="171" spans="1:24" x14ac:dyDescent="0.25">
      <c r="A171" s="294"/>
      <c r="B171" s="313"/>
      <c r="C171" s="294"/>
      <c r="D171" s="294"/>
      <c r="E171" s="314"/>
      <c r="F171" s="314"/>
      <c r="G171" s="314"/>
      <c r="H171" s="311"/>
      <c r="I171" s="314"/>
      <c r="J171" s="306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</row>
    <row r="172" spans="1:24" x14ac:dyDescent="0.25">
      <c r="A172" s="294"/>
      <c r="B172" s="313"/>
      <c r="C172" s="294"/>
      <c r="D172" s="294"/>
      <c r="E172" s="314"/>
      <c r="F172" s="314"/>
      <c r="G172" s="314"/>
      <c r="H172" s="311"/>
      <c r="I172" s="314"/>
      <c r="J172" s="306"/>
      <c r="K172" s="294"/>
      <c r="L172" s="294"/>
      <c r="M172" s="294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</row>
    <row r="173" spans="1:24" x14ac:dyDescent="0.25">
      <c r="A173" s="294"/>
      <c r="B173" s="313"/>
      <c r="C173" s="294"/>
      <c r="D173" s="294"/>
      <c r="E173" s="314"/>
      <c r="F173" s="314"/>
      <c r="G173" s="314"/>
      <c r="H173" s="311"/>
      <c r="I173" s="314"/>
      <c r="J173" s="306"/>
      <c r="K173" s="294"/>
      <c r="L173" s="294"/>
      <c r="M173" s="294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</row>
    <row r="174" spans="1:24" x14ac:dyDescent="0.25">
      <c r="A174" s="294"/>
      <c r="B174" s="313"/>
      <c r="C174" s="294"/>
      <c r="D174" s="294"/>
      <c r="E174" s="314"/>
      <c r="F174" s="314"/>
      <c r="G174" s="314"/>
      <c r="H174" s="311"/>
      <c r="I174" s="314"/>
      <c r="J174" s="306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</row>
    <row r="175" spans="1:24" x14ac:dyDescent="0.25">
      <c r="A175" s="294"/>
      <c r="B175" s="313"/>
      <c r="C175" s="294"/>
      <c r="D175" s="294"/>
      <c r="E175" s="314"/>
      <c r="F175" s="314"/>
      <c r="G175" s="314"/>
      <c r="H175" s="311"/>
      <c r="I175" s="314"/>
      <c r="J175" s="306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</row>
    <row r="176" spans="1:24" x14ac:dyDescent="0.25">
      <c r="A176" s="294"/>
      <c r="B176" s="313"/>
      <c r="C176" s="294"/>
      <c r="D176" s="294"/>
      <c r="E176" s="314"/>
      <c r="F176" s="314"/>
      <c r="G176" s="314"/>
      <c r="H176" s="311"/>
      <c r="I176" s="314"/>
      <c r="J176" s="306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</row>
    <row r="177" spans="1:24" x14ac:dyDescent="0.25">
      <c r="A177" s="294"/>
      <c r="B177" s="313"/>
      <c r="C177" s="294"/>
      <c r="D177" s="294"/>
      <c r="E177" s="314"/>
      <c r="F177" s="314"/>
      <c r="G177" s="314"/>
      <c r="H177" s="311"/>
      <c r="I177" s="314"/>
      <c r="J177" s="306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</row>
    <row r="178" spans="1:24" x14ac:dyDescent="0.25">
      <c r="A178" s="294"/>
      <c r="B178" s="313"/>
      <c r="C178" s="294"/>
      <c r="D178" s="294"/>
      <c r="E178" s="314"/>
      <c r="F178" s="314"/>
      <c r="G178" s="314"/>
      <c r="H178" s="311"/>
      <c r="I178" s="314"/>
      <c r="J178" s="306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</row>
    <row r="179" spans="1:24" x14ac:dyDescent="0.25">
      <c r="A179" s="294"/>
      <c r="B179" s="313"/>
      <c r="C179" s="294"/>
      <c r="D179" s="294"/>
      <c r="E179" s="314"/>
      <c r="F179" s="314"/>
      <c r="G179" s="314"/>
      <c r="H179" s="311"/>
      <c r="I179" s="314"/>
      <c r="J179" s="306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</row>
    <row r="180" spans="1:24" x14ac:dyDescent="0.25">
      <c r="A180" s="294"/>
      <c r="B180" s="313"/>
      <c r="C180" s="294"/>
      <c r="D180" s="294"/>
      <c r="E180" s="314"/>
      <c r="F180" s="314"/>
      <c r="G180" s="314"/>
      <c r="H180" s="311"/>
      <c r="I180" s="314"/>
      <c r="J180" s="306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</row>
    <row r="181" spans="1:24" x14ac:dyDescent="0.25">
      <c r="A181" s="294"/>
      <c r="B181" s="313"/>
      <c r="C181" s="294"/>
      <c r="D181" s="294"/>
      <c r="E181" s="314"/>
      <c r="F181" s="314"/>
      <c r="G181" s="314"/>
      <c r="H181" s="311"/>
      <c r="I181" s="314"/>
      <c r="J181" s="306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</row>
    <row r="182" spans="1:24" x14ac:dyDescent="0.25">
      <c r="A182" s="294"/>
      <c r="B182" s="313"/>
      <c r="C182" s="294"/>
      <c r="D182" s="294"/>
      <c r="E182" s="314"/>
      <c r="F182" s="314"/>
      <c r="G182" s="314"/>
      <c r="H182" s="311"/>
      <c r="I182" s="314"/>
      <c r="J182" s="306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</row>
    <row r="183" spans="1:24" x14ac:dyDescent="0.25">
      <c r="A183" s="294"/>
      <c r="B183" s="313"/>
      <c r="C183" s="294"/>
      <c r="D183" s="294"/>
      <c r="E183" s="314"/>
      <c r="F183" s="314"/>
      <c r="G183" s="314"/>
      <c r="H183" s="311"/>
      <c r="I183" s="314"/>
      <c r="J183" s="306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</row>
    <row r="184" spans="1:24" x14ac:dyDescent="0.25">
      <c r="A184" s="294"/>
      <c r="B184" s="313"/>
      <c r="C184" s="294"/>
      <c r="D184" s="294"/>
      <c r="E184" s="314"/>
      <c r="F184" s="314"/>
      <c r="G184" s="314"/>
      <c r="H184" s="311"/>
      <c r="I184" s="314"/>
      <c r="J184" s="306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</row>
    <row r="185" spans="1:24" x14ac:dyDescent="0.25">
      <c r="A185" s="294"/>
      <c r="B185" s="313"/>
      <c r="C185" s="294"/>
      <c r="D185" s="294"/>
      <c r="E185" s="314"/>
      <c r="F185" s="314"/>
      <c r="G185" s="314"/>
      <c r="H185" s="311"/>
      <c r="I185" s="314"/>
      <c r="J185" s="306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</row>
    <row r="186" spans="1:24" x14ac:dyDescent="0.25">
      <c r="A186" s="294"/>
      <c r="B186" s="313"/>
      <c r="C186" s="294"/>
      <c r="D186" s="294"/>
      <c r="E186" s="314"/>
      <c r="F186" s="314"/>
      <c r="G186" s="314"/>
      <c r="H186" s="311"/>
      <c r="I186" s="314"/>
      <c r="J186" s="306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</row>
    <row r="187" spans="1:24" x14ac:dyDescent="0.25">
      <c r="A187" s="294"/>
      <c r="B187" s="313"/>
      <c r="C187" s="294"/>
      <c r="D187" s="294"/>
      <c r="E187" s="314"/>
      <c r="F187" s="314"/>
      <c r="G187" s="314"/>
      <c r="H187" s="311"/>
      <c r="I187" s="314"/>
      <c r="J187" s="306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</row>
    <row r="188" spans="1:24" x14ac:dyDescent="0.25">
      <c r="A188" s="294"/>
      <c r="B188" s="313"/>
      <c r="C188" s="294"/>
      <c r="D188" s="294"/>
      <c r="E188" s="314"/>
      <c r="F188" s="314"/>
      <c r="G188" s="314"/>
      <c r="H188" s="311"/>
      <c r="I188" s="314"/>
      <c r="J188" s="306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</row>
    <row r="189" spans="1:24" x14ac:dyDescent="0.25">
      <c r="A189" s="294"/>
      <c r="B189" s="313"/>
      <c r="C189" s="294"/>
      <c r="D189" s="294"/>
      <c r="E189" s="314"/>
      <c r="F189" s="314"/>
      <c r="G189" s="314"/>
      <c r="H189" s="311"/>
      <c r="I189" s="314"/>
      <c r="J189" s="306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</row>
    <row r="190" spans="1:24" x14ac:dyDescent="0.25">
      <c r="A190" s="294"/>
      <c r="B190" s="313"/>
      <c r="C190" s="294"/>
      <c r="D190" s="294"/>
      <c r="E190" s="314"/>
      <c r="F190" s="314"/>
      <c r="G190" s="314"/>
      <c r="H190" s="311"/>
      <c r="I190" s="314"/>
      <c r="J190" s="306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</row>
    <row r="191" spans="1:24" x14ac:dyDescent="0.25">
      <c r="A191" s="294"/>
      <c r="B191" s="313"/>
      <c r="C191" s="294"/>
      <c r="D191" s="294"/>
      <c r="E191" s="314"/>
      <c r="F191" s="314"/>
      <c r="G191" s="314"/>
      <c r="H191" s="311"/>
      <c r="I191" s="314"/>
      <c r="J191" s="306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</row>
    <row r="192" spans="1:24" x14ac:dyDescent="0.25">
      <c r="A192" s="294"/>
      <c r="B192" s="313"/>
      <c r="C192" s="294"/>
      <c r="D192" s="294"/>
      <c r="E192" s="314"/>
      <c r="F192" s="314"/>
      <c r="G192" s="314"/>
      <c r="H192" s="311"/>
      <c r="I192" s="314"/>
      <c r="J192" s="306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</row>
    <row r="193" spans="1:24" x14ac:dyDescent="0.25">
      <c r="A193" s="294"/>
      <c r="B193" s="313"/>
      <c r="C193" s="294"/>
      <c r="D193" s="294"/>
      <c r="E193" s="314"/>
      <c r="F193" s="314"/>
      <c r="G193" s="314"/>
      <c r="H193" s="311"/>
      <c r="I193" s="314"/>
      <c r="J193" s="306"/>
      <c r="K193" s="294"/>
      <c r="L193" s="294"/>
      <c r="M193" s="294"/>
      <c r="N193" s="294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</row>
    <row r="194" spans="1:24" x14ac:dyDescent="0.25">
      <c r="A194" s="294"/>
      <c r="B194" s="313"/>
      <c r="C194" s="294"/>
      <c r="D194" s="294"/>
      <c r="E194" s="314"/>
      <c r="F194" s="314"/>
      <c r="G194" s="314"/>
      <c r="H194" s="311"/>
      <c r="I194" s="314"/>
      <c r="J194" s="306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</row>
    <row r="195" spans="1:24" x14ac:dyDescent="0.25">
      <c r="A195" s="294"/>
      <c r="B195" s="313"/>
      <c r="C195" s="294"/>
      <c r="D195" s="294"/>
      <c r="E195" s="314"/>
      <c r="F195" s="314"/>
      <c r="G195" s="314"/>
      <c r="H195" s="311"/>
      <c r="I195" s="314"/>
      <c r="J195" s="306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</row>
    <row r="196" spans="1:24" x14ac:dyDescent="0.25">
      <c r="A196" s="294"/>
      <c r="B196" s="313"/>
      <c r="C196" s="294"/>
      <c r="D196" s="294"/>
      <c r="E196" s="314"/>
      <c r="F196" s="314"/>
      <c r="G196" s="314"/>
      <c r="H196" s="311"/>
      <c r="I196" s="314"/>
      <c r="J196" s="306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</row>
    <row r="197" spans="1:24" x14ac:dyDescent="0.25">
      <c r="A197" s="294"/>
      <c r="B197" s="313"/>
      <c r="C197" s="294"/>
      <c r="D197" s="294"/>
      <c r="E197" s="314"/>
      <c r="F197" s="314"/>
      <c r="G197" s="314"/>
      <c r="H197" s="311"/>
      <c r="I197" s="314"/>
      <c r="J197" s="306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</row>
    <row r="198" spans="1:24" x14ac:dyDescent="0.25">
      <c r="A198" s="294"/>
      <c r="B198" s="313"/>
      <c r="C198" s="294"/>
      <c r="D198" s="294"/>
      <c r="E198" s="314"/>
      <c r="F198" s="314"/>
      <c r="G198" s="314"/>
      <c r="H198" s="311"/>
      <c r="I198" s="314"/>
      <c r="J198" s="306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</row>
    <row r="199" spans="1:24" x14ac:dyDescent="0.25">
      <c r="A199" s="294"/>
      <c r="B199" s="313"/>
      <c r="C199" s="294"/>
      <c r="D199" s="294"/>
      <c r="E199" s="314"/>
      <c r="F199" s="314"/>
      <c r="G199" s="314"/>
      <c r="H199" s="311"/>
      <c r="I199" s="314"/>
      <c r="J199" s="306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</row>
    <row r="200" spans="1:24" x14ac:dyDescent="0.25">
      <c r="A200" s="294"/>
      <c r="B200" s="313"/>
      <c r="C200" s="294"/>
      <c r="D200" s="294"/>
      <c r="E200" s="314"/>
      <c r="F200" s="314"/>
      <c r="G200" s="314"/>
      <c r="H200" s="311"/>
      <c r="I200" s="314"/>
      <c r="J200" s="306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</row>
    <row r="201" spans="1:24" x14ac:dyDescent="0.25">
      <c r="A201" s="294"/>
      <c r="B201" s="313"/>
      <c r="C201" s="294"/>
      <c r="D201" s="294"/>
      <c r="E201" s="314"/>
      <c r="F201" s="314"/>
      <c r="G201" s="314"/>
      <c r="H201" s="311"/>
      <c r="I201" s="314"/>
      <c r="J201" s="306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</row>
    <row r="202" spans="1:24" x14ac:dyDescent="0.25">
      <c r="A202" s="294"/>
      <c r="B202" s="313"/>
      <c r="C202" s="294"/>
      <c r="D202" s="294"/>
      <c r="E202" s="314"/>
      <c r="F202" s="314"/>
      <c r="G202" s="314"/>
      <c r="H202" s="311"/>
      <c r="I202" s="314"/>
      <c r="J202" s="306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</row>
    <row r="203" spans="1:24" x14ac:dyDescent="0.25">
      <c r="A203" s="294"/>
      <c r="B203" s="313"/>
      <c r="C203" s="294"/>
      <c r="D203" s="294"/>
      <c r="E203" s="314"/>
      <c r="F203" s="314"/>
      <c r="G203" s="314"/>
      <c r="H203" s="311"/>
      <c r="I203" s="314"/>
      <c r="J203" s="306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</row>
    <row r="204" spans="1:24" x14ac:dyDescent="0.25">
      <c r="A204" s="294"/>
      <c r="B204" s="313"/>
      <c r="C204" s="294"/>
      <c r="D204" s="294"/>
      <c r="E204" s="314"/>
      <c r="F204" s="314"/>
      <c r="G204" s="314"/>
      <c r="H204" s="311"/>
      <c r="I204" s="314"/>
      <c r="J204" s="306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</row>
    <row r="205" spans="1:24" x14ac:dyDescent="0.25">
      <c r="A205" s="294"/>
      <c r="B205" s="313"/>
      <c r="C205" s="294"/>
      <c r="D205" s="294"/>
      <c r="E205" s="314"/>
      <c r="F205" s="314"/>
      <c r="G205" s="314"/>
      <c r="H205" s="311"/>
      <c r="I205" s="314"/>
      <c r="J205" s="306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</row>
    <row r="206" spans="1:24" x14ac:dyDescent="0.25">
      <c r="A206" s="294"/>
      <c r="B206" s="313"/>
      <c r="C206" s="294"/>
      <c r="D206" s="294"/>
      <c r="E206" s="314"/>
      <c r="F206" s="314"/>
      <c r="G206" s="314"/>
      <c r="H206" s="311"/>
      <c r="I206" s="314"/>
      <c r="J206" s="306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</row>
    <row r="207" spans="1:24" x14ac:dyDescent="0.25">
      <c r="A207" s="294"/>
      <c r="B207" s="313"/>
      <c r="C207" s="294"/>
      <c r="D207" s="294"/>
      <c r="E207" s="314"/>
      <c r="F207" s="314"/>
      <c r="G207" s="314"/>
      <c r="H207" s="311"/>
      <c r="I207" s="314"/>
      <c r="J207" s="306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</row>
    <row r="208" spans="1:24" x14ac:dyDescent="0.25">
      <c r="A208" s="294"/>
      <c r="B208" s="313"/>
      <c r="C208" s="294"/>
      <c r="D208" s="294"/>
      <c r="E208" s="314"/>
      <c r="F208" s="314"/>
      <c r="G208" s="314"/>
      <c r="H208" s="311"/>
      <c r="I208" s="314"/>
      <c r="J208" s="306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</row>
    <row r="209" spans="1:24" x14ac:dyDescent="0.25">
      <c r="A209" s="294"/>
      <c r="B209" s="313"/>
      <c r="C209" s="294"/>
      <c r="D209" s="294"/>
      <c r="E209" s="314"/>
      <c r="F209" s="314"/>
      <c r="G209" s="314"/>
      <c r="H209" s="311"/>
      <c r="I209" s="314"/>
      <c r="J209" s="306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</row>
    <row r="210" spans="1:24" x14ac:dyDescent="0.25">
      <c r="A210" s="294"/>
      <c r="B210" s="313"/>
      <c r="C210" s="294"/>
      <c r="D210" s="294"/>
      <c r="E210" s="314"/>
      <c r="F210" s="314"/>
      <c r="G210" s="314"/>
      <c r="H210" s="311"/>
      <c r="I210" s="314"/>
      <c r="J210" s="306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</row>
    <row r="211" spans="1:24" x14ac:dyDescent="0.25">
      <c r="A211" s="294"/>
      <c r="B211" s="313"/>
      <c r="C211" s="294"/>
      <c r="D211" s="294"/>
      <c r="E211" s="314"/>
      <c r="F211" s="314"/>
      <c r="G211" s="314"/>
      <c r="H211" s="311"/>
      <c r="I211" s="314"/>
      <c r="J211" s="306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</row>
    <row r="212" spans="1:24" x14ac:dyDescent="0.25">
      <c r="A212" s="294"/>
      <c r="B212" s="313"/>
      <c r="C212" s="294"/>
      <c r="D212" s="294"/>
      <c r="E212" s="314"/>
      <c r="F212" s="314"/>
      <c r="G212" s="314"/>
      <c r="H212" s="311"/>
      <c r="I212" s="314"/>
      <c r="J212" s="306"/>
      <c r="K212" s="294"/>
      <c r="L212" s="294"/>
      <c r="M212" s="294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</row>
    <row r="213" spans="1:24" x14ac:dyDescent="0.25">
      <c r="A213" s="294"/>
      <c r="B213" s="313"/>
      <c r="C213" s="294"/>
      <c r="D213" s="294"/>
      <c r="E213" s="314"/>
      <c r="F213" s="314"/>
      <c r="G213" s="314"/>
      <c r="H213" s="311"/>
      <c r="I213" s="314"/>
      <c r="J213" s="306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</row>
    <row r="214" spans="1:24" x14ac:dyDescent="0.25">
      <c r="A214" s="294"/>
      <c r="B214" s="313"/>
      <c r="C214" s="294"/>
      <c r="D214" s="294"/>
      <c r="E214" s="314"/>
      <c r="F214" s="314"/>
      <c r="G214" s="314"/>
      <c r="H214" s="311"/>
      <c r="I214" s="314"/>
      <c r="J214" s="306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</row>
    <row r="215" spans="1:24" x14ac:dyDescent="0.25">
      <c r="A215" s="294"/>
      <c r="B215" s="313"/>
      <c r="C215" s="294"/>
      <c r="D215" s="294"/>
      <c r="E215" s="314"/>
      <c r="F215" s="314"/>
      <c r="G215" s="314"/>
      <c r="H215" s="311"/>
      <c r="I215" s="314"/>
      <c r="J215" s="306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</row>
    <row r="216" spans="1:24" x14ac:dyDescent="0.25">
      <c r="A216" s="294"/>
      <c r="B216" s="313"/>
      <c r="C216" s="294"/>
      <c r="D216" s="294"/>
      <c r="E216" s="314"/>
      <c r="F216" s="314"/>
      <c r="G216" s="314"/>
      <c r="H216" s="311"/>
      <c r="I216" s="314"/>
      <c r="J216" s="306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</row>
    <row r="217" spans="1:24" x14ac:dyDescent="0.25">
      <c r="A217" s="294"/>
      <c r="B217" s="313"/>
      <c r="C217" s="294"/>
      <c r="D217" s="294"/>
      <c r="E217" s="314"/>
      <c r="F217" s="314"/>
      <c r="G217" s="314"/>
      <c r="H217" s="311"/>
      <c r="I217" s="314"/>
      <c r="J217" s="306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</row>
    <row r="218" spans="1:24" x14ac:dyDescent="0.25">
      <c r="A218" s="294"/>
      <c r="B218" s="313"/>
      <c r="C218" s="294"/>
      <c r="D218" s="294"/>
      <c r="E218" s="314"/>
      <c r="F218" s="314"/>
      <c r="G218" s="314"/>
      <c r="H218" s="311"/>
      <c r="I218" s="314"/>
      <c r="J218" s="306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</row>
    <row r="219" spans="1:24" x14ac:dyDescent="0.25">
      <c r="A219" s="294"/>
      <c r="B219" s="313"/>
      <c r="C219" s="294"/>
      <c r="D219" s="294"/>
      <c r="E219" s="314"/>
      <c r="F219" s="314"/>
      <c r="G219" s="314"/>
      <c r="H219" s="311"/>
      <c r="I219" s="314"/>
      <c r="J219" s="306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</row>
    <row r="220" spans="1:24" x14ac:dyDescent="0.25">
      <c r="A220" s="294"/>
      <c r="B220" s="313"/>
      <c r="C220" s="294"/>
      <c r="D220" s="294"/>
      <c r="E220" s="314"/>
      <c r="F220" s="314"/>
      <c r="G220" s="314"/>
      <c r="H220" s="311"/>
      <c r="I220" s="314"/>
      <c r="J220" s="306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</row>
    <row r="221" spans="1:24" x14ac:dyDescent="0.25">
      <c r="A221" s="294"/>
      <c r="B221" s="313"/>
      <c r="C221" s="294"/>
      <c r="D221" s="294"/>
      <c r="E221" s="314"/>
      <c r="F221" s="314"/>
      <c r="G221" s="314"/>
      <c r="H221" s="311"/>
      <c r="I221" s="314"/>
      <c r="J221" s="306"/>
      <c r="K221" s="294"/>
      <c r="L221" s="294"/>
      <c r="M221" s="294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</row>
    <row r="222" spans="1:24" x14ac:dyDescent="0.25">
      <c r="A222" s="294"/>
      <c r="B222" s="313"/>
      <c r="C222" s="294"/>
      <c r="D222" s="294"/>
      <c r="E222" s="314"/>
      <c r="F222" s="314"/>
      <c r="G222" s="314"/>
      <c r="H222" s="311"/>
      <c r="I222" s="314"/>
      <c r="J222" s="306"/>
      <c r="K222" s="294"/>
      <c r="L222" s="294"/>
      <c r="M222" s="294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</row>
    <row r="223" spans="1:24" x14ac:dyDescent="0.25">
      <c r="A223" s="294"/>
      <c r="B223" s="313"/>
      <c r="C223" s="294"/>
      <c r="D223" s="294"/>
      <c r="E223" s="314"/>
      <c r="F223" s="314"/>
      <c r="G223" s="314"/>
      <c r="H223" s="311"/>
      <c r="I223" s="314"/>
      <c r="J223" s="306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</row>
    <row r="224" spans="1:24" x14ac:dyDescent="0.25">
      <c r="A224" s="294"/>
      <c r="B224" s="313"/>
      <c r="C224" s="294"/>
      <c r="D224" s="294"/>
      <c r="E224" s="314"/>
      <c r="F224" s="314"/>
      <c r="G224" s="314"/>
      <c r="H224" s="311"/>
      <c r="I224" s="314"/>
      <c r="J224" s="306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</row>
    <row r="225" spans="1:24" x14ac:dyDescent="0.25">
      <c r="A225" s="294"/>
      <c r="B225" s="313"/>
      <c r="C225" s="294"/>
      <c r="D225" s="294"/>
      <c r="E225" s="314"/>
      <c r="F225" s="314"/>
      <c r="G225" s="314"/>
      <c r="H225" s="311"/>
      <c r="I225" s="314"/>
      <c r="J225" s="306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</row>
    <row r="226" spans="1:24" x14ac:dyDescent="0.25">
      <c r="A226" s="294"/>
      <c r="B226" s="313"/>
      <c r="C226" s="294"/>
      <c r="D226" s="294"/>
      <c r="E226" s="314"/>
      <c r="F226" s="314"/>
      <c r="G226" s="314"/>
      <c r="H226" s="311"/>
      <c r="I226" s="314"/>
      <c r="J226" s="306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</row>
    <row r="227" spans="1:24" x14ac:dyDescent="0.25">
      <c r="A227" s="294"/>
      <c r="B227" s="313"/>
      <c r="C227" s="294"/>
      <c r="D227" s="294"/>
      <c r="E227" s="314"/>
      <c r="F227" s="314"/>
      <c r="G227" s="314"/>
      <c r="H227" s="311"/>
      <c r="I227" s="314"/>
      <c r="J227" s="306"/>
      <c r="K227" s="294"/>
      <c r="L227" s="294"/>
      <c r="M227" s="294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</row>
    <row r="228" spans="1:24" x14ac:dyDescent="0.25">
      <c r="A228" s="294"/>
      <c r="B228" s="313"/>
      <c r="C228" s="294"/>
      <c r="D228" s="294"/>
      <c r="E228" s="314"/>
      <c r="F228" s="314"/>
      <c r="G228" s="314"/>
      <c r="H228" s="311"/>
      <c r="I228" s="314"/>
      <c r="J228" s="306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</row>
    <row r="229" spans="1:24" x14ac:dyDescent="0.25">
      <c r="A229" s="294"/>
      <c r="B229" s="313"/>
      <c r="C229" s="294"/>
      <c r="D229" s="294"/>
      <c r="E229" s="314"/>
      <c r="F229" s="314"/>
      <c r="G229" s="314"/>
      <c r="H229" s="311"/>
      <c r="I229" s="314"/>
      <c r="J229" s="306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</row>
    <row r="230" spans="1:24" x14ac:dyDescent="0.25">
      <c r="A230" s="294"/>
      <c r="B230" s="313"/>
      <c r="C230" s="294"/>
      <c r="D230" s="294"/>
      <c r="E230" s="314"/>
      <c r="F230" s="314"/>
      <c r="G230" s="314"/>
      <c r="H230" s="311"/>
      <c r="I230" s="314"/>
      <c r="J230" s="306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</row>
    <row r="231" spans="1:24" x14ac:dyDescent="0.25">
      <c r="A231" s="294"/>
      <c r="B231" s="313"/>
      <c r="C231" s="294"/>
      <c r="D231" s="294"/>
      <c r="E231" s="314"/>
      <c r="F231" s="314"/>
      <c r="G231" s="314"/>
      <c r="H231" s="311"/>
      <c r="I231" s="314"/>
      <c r="J231" s="306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</row>
    <row r="232" spans="1:24" x14ac:dyDescent="0.25">
      <c r="A232" s="294"/>
      <c r="B232" s="313"/>
      <c r="C232" s="294"/>
      <c r="D232" s="294"/>
      <c r="E232" s="314"/>
      <c r="F232" s="314"/>
      <c r="G232" s="314"/>
      <c r="H232" s="311"/>
      <c r="I232" s="314"/>
      <c r="J232" s="306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</row>
    <row r="233" spans="1:24" x14ac:dyDescent="0.25">
      <c r="A233" s="294"/>
      <c r="B233" s="313"/>
      <c r="C233" s="294"/>
      <c r="D233" s="294"/>
      <c r="E233" s="314"/>
      <c r="F233" s="314"/>
      <c r="G233" s="314"/>
      <c r="H233" s="311"/>
      <c r="I233" s="314"/>
      <c r="J233" s="306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</row>
    <row r="234" spans="1:24" x14ac:dyDescent="0.25">
      <c r="A234" s="294"/>
      <c r="B234" s="313"/>
      <c r="C234" s="294"/>
      <c r="D234" s="294"/>
      <c r="E234" s="314"/>
      <c r="F234" s="314"/>
      <c r="G234" s="314"/>
      <c r="H234" s="311"/>
      <c r="I234" s="314"/>
      <c r="J234" s="306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</row>
    <row r="235" spans="1:24" x14ac:dyDescent="0.25">
      <c r="A235" s="294"/>
      <c r="B235" s="313"/>
      <c r="C235" s="294"/>
      <c r="D235" s="294"/>
      <c r="E235" s="314"/>
      <c r="F235" s="314"/>
      <c r="G235" s="314"/>
      <c r="H235" s="311"/>
      <c r="I235" s="314"/>
      <c r="J235" s="306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</row>
    <row r="236" spans="1:24" x14ac:dyDescent="0.25">
      <c r="A236" s="294"/>
      <c r="B236" s="313"/>
      <c r="C236" s="294"/>
      <c r="D236" s="294"/>
      <c r="E236" s="314"/>
      <c r="F236" s="314"/>
      <c r="G236" s="314"/>
      <c r="H236" s="311"/>
      <c r="I236" s="314"/>
      <c r="J236" s="306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</row>
    <row r="237" spans="1:24" x14ac:dyDescent="0.25">
      <c r="A237" s="294"/>
      <c r="B237" s="313"/>
      <c r="C237" s="294"/>
      <c r="D237" s="294"/>
      <c r="E237" s="314"/>
      <c r="F237" s="314"/>
      <c r="G237" s="314"/>
      <c r="H237" s="311"/>
      <c r="I237" s="314"/>
      <c r="J237" s="306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</row>
    <row r="238" spans="1:24" x14ac:dyDescent="0.25">
      <c r="A238" s="294"/>
      <c r="B238" s="313"/>
      <c r="C238" s="294"/>
      <c r="D238" s="294"/>
      <c r="E238" s="314"/>
      <c r="F238" s="314"/>
      <c r="G238" s="314"/>
      <c r="H238" s="311"/>
      <c r="I238" s="314"/>
      <c r="J238" s="306"/>
      <c r="K238" s="294"/>
      <c r="L238" s="294"/>
      <c r="M238" s="294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</row>
    <row r="239" spans="1:24" x14ac:dyDescent="0.25">
      <c r="A239" s="294"/>
      <c r="B239" s="313"/>
      <c r="C239" s="294"/>
      <c r="D239" s="294"/>
      <c r="E239" s="314"/>
      <c r="F239" s="314"/>
      <c r="G239" s="314"/>
      <c r="H239" s="311"/>
      <c r="I239" s="314"/>
      <c r="J239" s="306"/>
      <c r="K239" s="294"/>
      <c r="L239" s="294"/>
      <c r="M239" s="294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</row>
    <row r="240" spans="1:24" x14ac:dyDescent="0.25">
      <c r="A240" s="294"/>
      <c r="B240" s="313"/>
      <c r="C240" s="294"/>
      <c r="D240" s="294"/>
      <c r="E240" s="314"/>
      <c r="F240" s="314"/>
      <c r="G240" s="314"/>
      <c r="H240" s="311"/>
      <c r="I240" s="314"/>
      <c r="J240" s="306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</row>
    <row r="241" spans="1:24" x14ac:dyDescent="0.25">
      <c r="A241" s="294"/>
      <c r="B241" s="313"/>
      <c r="C241" s="294"/>
      <c r="D241" s="294"/>
      <c r="E241" s="314"/>
      <c r="F241" s="314"/>
      <c r="G241" s="314"/>
      <c r="H241" s="311"/>
      <c r="I241" s="314"/>
      <c r="J241" s="306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</row>
    <row r="242" spans="1:24" x14ac:dyDescent="0.25">
      <c r="A242" s="294"/>
      <c r="B242" s="313"/>
      <c r="C242" s="294"/>
      <c r="D242" s="294"/>
      <c r="E242" s="314"/>
      <c r="F242" s="314"/>
      <c r="G242" s="314"/>
      <c r="H242" s="311"/>
      <c r="I242" s="314"/>
      <c r="J242" s="306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</row>
    <row r="243" spans="1:24" x14ac:dyDescent="0.25">
      <c r="A243" s="294"/>
      <c r="B243" s="313"/>
      <c r="C243" s="294"/>
      <c r="D243" s="294"/>
      <c r="E243" s="314"/>
      <c r="F243" s="314"/>
      <c r="G243" s="314"/>
      <c r="H243" s="311"/>
      <c r="I243" s="314"/>
      <c r="J243" s="306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</row>
    <row r="244" spans="1:24" x14ac:dyDescent="0.25">
      <c r="A244" s="294"/>
      <c r="B244" s="313"/>
      <c r="C244" s="294"/>
      <c r="D244" s="294"/>
      <c r="E244" s="314"/>
      <c r="F244" s="314"/>
      <c r="G244" s="314"/>
      <c r="H244" s="311"/>
      <c r="I244" s="314"/>
      <c r="J244" s="306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</row>
    <row r="245" spans="1:24" x14ac:dyDescent="0.25">
      <c r="A245" s="294"/>
      <c r="B245" s="313"/>
      <c r="C245" s="294"/>
      <c r="D245" s="294"/>
      <c r="E245" s="314"/>
      <c r="F245" s="314"/>
      <c r="G245" s="314"/>
      <c r="H245" s="311"/>
      <c r="I245" s="314"/>
      <c r="J245" s="306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</row>
    <row r="246" spans="1:24" x14ac:dyDescent="0.25">
      <c r="A246" s="294"/>
      <c r="B246" s="313"/>
      <c r="C246" s="294"/>
      <c r="D246" s="294"/>
      <c r="E246" s="314"/>
      <c r="F246" s="314"/>
      <c r="G246" s="314"/>
      <c r="H246" s="311"/>
      <c r="I246" s="314"/>
      <c r="J246" s="306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</row>
    <row r="247" spans="1:24" x14ac:dyDescent="0.25">
      <c r="A247" s="294"/>
      <c r="B247" s="313"/>
      <c r="C247" s="294"/>
      <c r="D247" s="294"/>
      <c r="E247" s="314"/>
      <c r="F247" s="314"/>
      <c r="G247" s="314"/>
      <c r="H247" s="311"/>
      <c r="I247" s="314"/>
      <c r="J247" s="306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</row>
    <row r="248" spans="1:24" x14ac:dyDescent="0.25">
      <c r="A248" s="294"/>
      <c r="B248" s="313"/>
      <c r="C248" s="294"/>
      <c r="D248" s="294"/>
      <c r="E248" s="314"/>
      <c r="F248" s="314"/>
      <c r="G248" s="314"/>
      <c r="H248" s="311"/>
      <c r="I248" s="314"/>
      <c r="J248" s="306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</row>
    <row r="249" spans="1:24" x14ac:dyDescent="0.25">
      <c r="A249" s="294"/>
      <c r="B249" s="313"/>
      <c r="C249" s="294"/>
      <c r="D249" s="294"/>
      <c r="E249" s="314"/>
      <c r="F249" s="314"/>
      <c r="G249" s="314"/>
      <c r="H249" s="311"/>
      <c r="I249" s="314"/>
      <c r="J249" s="306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</row>
    <row r="250" spans="1:24" x14ac:dyDescent="0.25">
      <c r="A250" s="294"/>
      <c r="B250" s="313"/>
      <c r="C250" s="294"/>
      <c r="D250" s="294"/>
      <c r="E250" s="314"/>
      <c r="F250" s="314"/>
      <c r="G250" s="314"/>
      <c r="H250" s="311"/>
      <c r="I250" s="314"/>
      <c r="J250" s="306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</row>
    <row r="251" spans="1:24" x14ac:dyDescent="0.25">
      <c r="A251" s="294"/>
      <c r="B251" s="313"/>
      <c r="C251" s="294"/>
      <c r="D251" s="294"/>
      <c r="E251" s="314"/>
      <c r="F251" s="314"/>
      <c r="G251" s="314"/>
      <c r="H251" s="311"/>
      <c r="I251" s="314"/>
      <c r="J251" s="306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</row>
    <row r="252" spans="1:24" x14ac:dyDescent="0.25">
      <c r="A252" s="294"/>
      <c r="B252" s="313"/>
      <c r="C252" s="294"/>
      <c r="D252" s="294"/>
      <c r="E252" s="314"/>
      <c r="F252" s="314"/>
      <c r="G252" s="314"/>
      <c r="H252" s="311"/>
      <c r="I252" s="314"/>
      <c r="J252" s="306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</row>
    <row r="253" spans="1:24" x14ac:dyDescent="0.25">
      <c r="A253" s="294"/>
      <c r="B253" s="313"/>
      <c r="C253" s="294"/>
      <c r="D253" s="294"/>
      <c r="E253" s="314"/>
      <c r="F253" s="314"/>
      <c r="G253" s="314"/>
      <c r="H253" s="311"/>
      <c r="I253" s="314"/>
      <c r="J253" s="306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</row>
    <row r="254" spans="1:24" x14ac:dyDescent="0.25">
      <c r="A254" s="294"/>
      <c r="B254" s="313"/>
      <c r="C254" s="294"/>
      <c r="D254" s="294"/>
      <c r="E254" s="314"/>
      <c r="F254" s="314"/>
      <c r="G254" s="314"/>
      <c r="H254" s="311"/>
      <c r="I254" s="314"/>
      <c r="J254" s="306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</row>
    <row r="255" spans="1:24" x14ac:dyDescent="0.25">
      <c r="A255" s="294"/>
      <c r="B255" s="313"/>
      <c r="C255" s="294"/>
      <c r="D255" s="294"/>
      <c r="E255" s="314"/>
      <c r="F255" s="314"/>
      <c r="G255" s="314"/>
      <c r="H255" s="311"/>
      <c r="I255" s="314"/>
      <c r="J255" s="306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</row>
    <row r="256" spans="1:24" x14ac:dyDescent="0.25">
      <c r="A256" s="294"/>
      <c r="B256" s="313"/>
      <c r="C256" s="294"/>
      <c r="D256" s="294"/>
      <c r="E256" s="314"/>
      <c r="F256" s="314"/>
      <c r="G256" s="314"/>
      <c r="H256" s="311"/>
      <c r="I256" s="314"/>
      <c r="J256" s="306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</row>
    <row r="257" spans="1:24" x14ac:dyDescent="0.25">
      <c r="A257" s="294"/>
      <c r="B257" s="313"/>
      <c r="C257" s="294"/>
      <c r="D257" s="294"/>
      <c r="E257" s="314"/>
      <c r="F257" s="314"/>
      <c r="G257" s="314"/>
      <c r="H257" s="311"/>
      <c r="I257" s="314"/>
      <c r="J257" s="306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</row>
    <row r="258" spans="1:24" x14ac:dyDescent="0.25">
      <c r="A258" s="294"/>
      <c r="B258" s="313"/>
      <c r="C258" s="294"/>
      <c r="D258" s="294"/>
      <c r="E258" s="314"/>
      <c r="F258" s="314"/>
      <c r="G258" s="314"/>
      <c r="H258" s="311"/>
      <c r="I258" s="314"/>
      <c r="J258" s="306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</row>
    <row r="259" spans="1:24" x14ac:dyDescent="0.25">
      <c r="A259" s="294"/>
      <c r="B259" s="313"/>
      <c r="C259" s="294"/>
      <c r="D259" s="294"/>
      <c r="E259" s="314"/>
      <c r="F259" s="314"/>
      <c r="G259" s="314"/>
      <c r="H259" s="311"/>
      <c r="I259" s="314"/>
      <c r="J259" s="306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</row>
    <row r="260" spans="1:24" x14ac:dyDescent="0.25">
      <c r="A260" s="294"/>
      <c r="B260" s="313"/>
      <c r="C260" s="294"/>
      <c r="D260" s="294"/>
      <c r="E260" s="314"/>
      <c r="F260" s="314"/>
      <c r="G260" s="314"/>
      <c r="H260" s="311"/>
      <c r="I260" s="314"/>
      <c r="J260" s="306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</row>
    <row r="261" spans="1:24" x14ac:dyDescent="0.25">
      <c r="A261" s="294"/>
      <c r="B261" s="313"/>
      <c r="C261" s="294"/>
      <c r="D261" s="294"/>
      <c r="E261" s="314"/>
      <c r="F261" s="314"/>
      <c r="G261" s="314"/>
      <c r="H261" s="311"/>
      <c r="I261" s="314"/>
      <c r="J261" s="306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</row>
    <row r="262" spans="1:24" x14ac:dyDescent="0.25">
      <c r="A262" s="294"/>
      <c r="B262" s="313"/>
      <c r="C262" s="294"/>
      <c r="D262" s="294"/>
      <c r="E262" s="314"/>
      <c r="F262" s="314"/>
      <c r="G262" s="314"/>
      <c r="H262" s="311"/>
      <c r="I262" s="314"/>
      <c r="J262" s="306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</row>
    <row r="263" spans="1:24" x14ac:dyDescent="0.25">
      <c r="A263" s="294"/>
      <c r="B263" s="313"/>
      <c r="C263" s="294"/>
      <c r="D263" s="294"/>
      <c r="E263" s="314"/>
      <c r="F263" s="314"/>
      <c r="G263" s="314"/>
      <c r="H263" s="311"/>
      <c r="I263" s="314"/>
      <c r="J263" s="306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</row>
    <row r="264" spans="1:24" x14ac:dyDescent="0.25">
      <c r="A264" s="294"/>
      <c r="B264" s="313"/>
      <c r="C264" s="294"/>
      <c r="D264" s="294"/>
      <c r="E264" s="314"/>
      <c r="F264" s="314"/>
      <c r="G264" s="314"/>
      <c r="H264" s="311"/>
      <c r="I264" s="314"/>
      <c r="J264" s="306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</row>
    <row r="265" spans="1:24" x14ac:dyDescent="0.25">
      <c r="A265" s="294"/>
      <c r="B265" s="313"/>
      <c r="C265" s="294"/>
      <c r="D265" s="294"/>
      <c r="E265" s="314"/>
      <c r="F265" s="314"/>
      <c r="G265" s="314"/>
      <c r="H265" s="311"/>
      <c r="I265" s="314"/>
      <c r="J265" s="306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</row>
    <row r="266" spans="1:24" x14ac:dyDescent="0.25">
      <c r="A266" s="294"/>
      <c r="B266" s="313"/>
      <c r="C266" s="294"/>
      <c r="D266" s="294"/>
      <c r="E266" s="314"/>
      <c r="F266" s="314"/>
      <c r="G266" s="314"/>
      <c r="H266" s="311"/>
      <c r="I266" s="314"/>
      <c r="J266" s="306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</row>
    <row r="267" spans="1:24" x14ac:dyDescent="0.25">
      <c r="A267" s="294"/>
      <c r="B267" s="313"/>
      <c r="C267" s="294"/>
      <c r="D267" s="294"/>
      <c r="E267" s="314"/>
      <c r="F267" s="314"/>
      <c r="G267" s="314"/>
      <c r="H267" s="311"/>
      <c r="I267" s="314"/>
      <c r="J267" s="306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</row>
    <row r="268" spans="1:24" x14ac:dyDescent="0.25">
      <c r="A268" s="294"/>
      <c r="B268" s="313"/>
      <c r="C268" s="294"/>
      <c r="D268" s="294"/>
      <c r="E268" s="314"/>
      <c r="F268" s="314"/>
      <c r="G268" s="314"/>
      <c r="H268" s="311"/>
      <c r="I268" s="314"/>
      <c r="J268" s="306"/>
      <c r="K268" s="294"/>
      <c r="L268" s="294"/>
      <c r="M268" s="294"/>
      <c r="N268" s="294"/>
      <c r="O268" s="294"/>
      <c r="P268" s="294"/>
      <c r="Q268" s="294"/>
      <c r="R268" s="294"/>
      <c r="S268" s="294"/>
      <c r="T268" s="294"/>
      <c r="U268" s="294"/>
      <c r="V268" s="294"/>
      <c r="W268" s="294"/>
      <c r="X268" s="294"/>
    </row>
    <row r="269" spans="1:24" x14ac:dyDescent="0.25">
      <c r="A269" s="294"/>
      <c r="B269" s="313"/>
      <c r="C269" s="294"/>
      <c r="D269" s="294"/>
      <c r="E269" s="314"/>
      <c r="F269" s="314"/>
      <c r="G269" s="314"/>
      <c r="H269" s="311"/>
      <c r="I269" s="314"/>
      <c r="J269" s="306"/>
      <c r="K269" s="294"/>
      <c r="L269" s="294"/>
      <c r="M269" s="294"/>
      <c r="N269" s="294"/>
      <c r="O269" s="294"/>
      <c r="P269" s="294"/>
      <c r="Q269" s="294"/>
      <c r="R269" s="294"/>
      <c r="S269" s="294"/>
      <c r="T269" s="294"/>
      <c r="U269" s="294"/>
      <c r="V269" s="294"/>
      <c r="W269" s="294"/>
      <c r="X269" s="294"/>
    </row>
    <row r="270" spans="1:24" x14ac:dyDescent="0.25">
      <c r="A270" s="294"/>
      <c r="B270" s="313"/>
      <c r="C270" s="294"/>
      <c r="D270" s="294"/>
      <c r="E270" s="314"/>
      <c r="F270" s="314"/>
      <c r="G270" s="314"/>
      <c r="H270" s="311"/>
      <c r="I270" s="314"/>
      <c r="J270" s="306"/>
      <c r="K270" s="294"/>
      <c r="L270" s="294"/>
      <c r="M270" s="294"/>
      <c r="N270" s="294"/>
      <c r="O270" s="294"/>
      <c r="P270" s="294"/>
      <c r="Q270" s="294"/>
      <c r="R270" s="294"/>
      <c r="S270" s="294"/>
      <c r="T270" s="294"/>
      <c r="U270" s="294"/>
      <c r="V270" s="294"/>
      <c r="W270" s="294"/>
      <c r="X270" s="294"/>
    </row>
    <row r="271" spans="1:24" x14ac:dyDescent="0.25">
      <c r="A271" s="294"/>
      <c r="B271" s="313"/>
      <c r="C271" s="294"/>
      <c r="D271" s="294"/>
      <c r="E271" s="314"/>
      <c r="F271" s="314"/>
      <c r="G271" s="314"/>
      <c r="H271" s="311"/>
      <c r="I271" s="314"/>
      <c r="J271" s="306"/>
      <c r="K271" s="294"/>
      <c r="L271" s="294"/>
      <c r="M271" s="294"/>
      <c r="N271" s="294"/>
      <c r="O271" s="294"/>
      <c r="P271" s="294"/>
      <c r="Q271" s="294"/>
      <c r="R271" s="294"/>
      <c r="S271" s="294"/>
      <c r="T271" s="294"/>
      <c r="U271" s="294"/>
      <c r="V271" s="294"/>
      <c r="W271" s="294"/>
      <c r="X271" s="294"/>
    </row>
    <row r="272" spans="1:24" x14ac:dyDescent="0.25">
      <c r="A272" s="294"/>
      <c r="B272" s="313"/>
      <c r="C272" s="294"/>
      <c r="D272" s="294"/>
      <c r="E272" s="314"/>
      <c r="F272" s="314"/>
      <c r="G272" s="314"/>
      <c r="H272" s="311"/>
      <c r="I272" s="314"/>
      <c r="J272" s="306"/>
      <c r="K272" s="294"/>
      <c r="L272" s="294"/>
      <c r="M272" s="294"/>
      <c r="N272" s="294"/>
      <c r="O272" s="294"/>
      <c r="P272" s="294"/>
      <c r="Q272" s="294"/>
      <c r="R272" s="294"/>
      <c r="S272" s="294"/>
      <c r="T272" s="294"/>
      <c r="U272" s="294"/>
      <c r="V272" s="294"/>
      <c r="W272" s="294"/>
      <c r="X272" s="294"/>
    </row>
    <row r="273" spans="1:24" x14ac:dyDescent="0.25">
      <c r="A273" s="294"/>
      <c r="B273" s="313"/>
      <c r="C273" s="294"/>
      <c r="D273" s="294"/>
      <c r="E273" s="314"/>
      <c r="F273" s="314"/>
      <c r="G273" s="314"/>
      <c r="H273" s="311"/>
      <c r="I273" s="314"/>
      <c r="J273" s="306"/>
      <c r="K273" s="294"/>
      <c r="L273" s="294"/>
      <c r="M273" s="294"/>
      <c r="N273" s="294"/>
      <c r="O273" s="294"/>
      <c r="P273" s="294"/>
      <c r="Q273" s="294"/>
      <c r="R273" s="294"/>
      <c r="S273" s="294"/>
      <c r="T273" s="294"/>
      <c r="U273" s="294"/>
      <c r="V273" s="294"/>
      <c r="W273" s="294"/>
      <c r="X273" s="294"/>
    </row>
    <row r="274" spans="1:24" x14ac:dyDescent="0.25">
      <c r="A274" s="294"/>
      <c r="B274" s="313"/>
      <c r="C274" s="294"/>
      <c r="D274" s="294"/>
      <c r="E274" s="314"/>
      <c r="F274" s="314"/>
      <c r="G274" s="314"/>
      <c r="H274" s="311"/>
      <c r="I274" s="314"/>
      <c r="J274" s="306"/>
      <c r="K274" s="294"/>
      <c r="L274" s="294"/>
      <c r="M274" s="294"/>
      <c r="N274" s="294"/>
      <c r="O274" s="294"/>
      <c r="P274" s="294"/>
      <c r="Q274" s="294"/>
      <c r="R274" s="294"/>
      <c r="S274" s="294"/>
      <c r="T274" s="294"/>
      <c r="U274" s="294"/>
      <c r="V274" s="294"/>
      <c r="W274" s="294"/>
      <c r="X274" s="294"/>
    </row>
    <row r="275" spans="1:24" x14ac:dyDescent="0.25">
      <c r="A275" s="294"/>
      <c r="B275" s="313"/>
      <c r="C275" s="294"/>
      <c r="D275" s="294"/>
      <c r="E275" s="314"/>
      <c r="F275" s="314"/>
      <c r="G275" s="314"/>
      <c r="H275" s="311"/>
      <c r="I275" s="314"/>
      <c r="J275" s="306"/>
      <c r="K275" s="294"/>
      <c r="L275" s="294"/>
      <c r="M275" s="294"/>
      <c r="N275" s="294"/>
      <c r="O275" s="294"/>
      <c r="P275" s="294"/>
      <c r="Q275" s="294"/>
      <c r="R275" s="294"/>
      <c r="S275" s="294"/>
      <c r="T275" s="294"/>
      <c r="U275" s="294"/>
      <c r="V275" s="294"/>
      <c r="W275" s="294"/>
      <c r="X275" s="294"/>
    </row>
    <row r="276" spans="1:24" x14ac:dyDescent="0.25">
      <c r="A276" s="294"/>
      <c r="B276" s="313"/>
      <c r="C276" s="294"/>
      <c r="D276" s="294"/>
      <c r="E276" s="314"/>
      <c r="F276" s="314"/>
      <c r="G276" s="314"/>
      <c r="H276" s="311"/>
      <c r="I276" s="314"/>
      <c r="J276" s="306"/>
      <c r="K276" s="294"/>
      <c r="L276" s="294"/>
      <c r="M276" s="294"/>
      <c r="N276" s="294"/>
      <c r="O276" s="294"/>
      <c r="P276" s="294"/>
      <c r="Q276" s="294"/>
      <c r="R276" s="294"/>
      <c r="S276" s="294"/>
      <c r="T276" s="294"/>
      <c r="U276" s="294"/>
      <c r="V276" s="294"/>
      <c r="W276" s="294"/>
      <c r="X276" s="294"/>
    </row>
    <row r="277" spans="1:24" x14ac:dyDescent="0.25">
      <c r="A277" s="294"/>
      <c r="B277" s="313"/>
      <c r="C277" s="294"/>
      <c r="D277" s="294"/>
      <c r="E277" s="314"/>
      <c r="F277" s="314"/>
      <c r="G277" s="314"/>
      <c r="H277" s="311"/>
      <c r="I277" s="314"/>
      <c r="J277" s="306"/>
      <c r="K277" s="294"/>
      <c r="L277" s="294"/>
      <c r="M277" s="294"/>
      <c r="N277" s="294"/>
      <c r="O277" s="294"/>
      <c r="P277" s="294"/>
      <c r="Q277" s="294"/>
      <c r="R277" s="294"/>
      <c r="S277" s="294"/>
      <c r="T277" s="294"/>
      <c r="U277" s="294"/>
      <c r="V277" s="294"/>
      <c r="W277" s="294"/>
      <c r="X277" s="294"/>
    </row>
    <row r="278" spans="1:24" x14ac:dyDescent="0.25">
      <c r="A278" s="294"/>
      <c r="B278" s="313"/>
      <c r="C278" s="294"/>
      <c r="D278" s="294"/>
      <c r="E278" s="314"/>
      <c r="F278" s="314"/>
      <c r="G278" s="314"/>
      <c r="H278" s="311"/>
      <c r="I278" s="314"/>
      <c r="J278" s="306"/>
      <c r="K278" s="294"/>
      <c r="L278" s="294"/>
      <c r="M278" s="294"/>
      <c r="N278" s="294"/>
      <c r="O278" s="294"/>
      <c r="P278" s="294"/>
      <c r="Q278" s="294"/>
      <c r="R278" s="294"/>
      <c r="S278" s="294"/>
      <c r="T278" s="294"/>
      <c r="U278" s="294"/>
      <c r="V278" s="294"/>
      <c r="W278" s="294"/>
      <c r="X278" s="294"/>
    </row>
    <row r="279" spans="1:24" x14ac:dyDescent="0.25">
      <c r="A279" s="294"/>
      <c r="B279" s="313"/>
      <c r="C279" s="294"/>
      <c r="D279" s="294"/>
      <c r="E279" s="314"/>
      <c r="F279" s="314"/>
      <c r="G279" s="314"/>
      <c r="H279" s="311"/>
      <c r="I279" s="314"/>
      <c r="J279" s="306"/>
      <c r="K279" s="294"/>
      <c r="L279" s="294"/>
      <c r="M279" s="294"/>
      <c r="N279" s="294"/>
      <c r="O279" s="294"/>
      <c r="P279" s="294"/>
      <c r="Q279" s="294"/>
      <c r="R279" s="294"/>
      <c r="S279" s="294"/>
      <c r="T279" s="294"/>
      <c r="U279" s="294"/>
      <c r="V279" s="294"/>
      <c r="W279" s="294"/>
      <c r="X279" s="294"/>
    </row>
    <row r="280" spans="1:24" x14ac:dyDescent="0.25">
      <c r="A280" s="294"/>
      <c r="B280" s="313"/>
      <c r="C280" s="294"/>
      <c r="D280" s="294"/>
      <c r="E280" s="314"/>
      <c r="F280" s="314"/>
      <c r="G280" s="314"/>
      <c r="H280" s="311"/>
      <c r="I280" s="314"/>
      <c r="J280" s="306"/>
      <c r="K280" s="294"/>
      <c r="L280" s="294"/>
      <c r="M280" s="294"/>
      <c r="N280" s="294"/>
      <c r="O280" s="294"/>
      <c r="P280" s="294"/>
      <c r="Q280" s="294"/>
      <c r="R280" s="294"/>
      <c r="S280" s="294"/>
      <c r="T280" s="294"/>
      <c r="U280" s="294"/>
      <c r="V280" s="294"/>
      <c r="W280" s="294"/>
      <c r="X280" s="294"/>
    </row>
    <row r="281" spans="1:24" x14ac:dyDescent="0.25">
      <c r="A281" s="294"/>
      <c r="B281" s="313"/>
      <c r="C281" s="294"/>
      <c r="D281" s="294"/>
      <c r="E281" s="314"/>
      <c r="F281" s="314"/>
      <c r="G281" s="314"/>
      <c r="H281" s="311"/>
      <c r="I281" s="314"/>
      <c r="J281" s="306"/>
      <c r="K281" s="294"/>
      <c r="L281" s="294"/>
      <c r="M281" s="294"/>
      <c r="N281" s="294"/>
      <c r="O281" s="294"/>
      <c r="P281" s="294"/>
      <c r="Q281" s="294"/>
      <c r="R281" s="294"/>
      <c r="S281" s="294"/>
      <c r="T281" s="294"/>
      <c r="U281" s="294"/>
      <c r="V281" s="294"/>
      <c r="W281" s="294"/>
      <c r="X281" s="294"/>
    </row>
    <row r="282" spans="1:24" x14ac:dyDescent="0.25">
      <c r="A282" s="294"/>
      <c r="B282" s="313"/>
      <c r="C282" s="294"/>
      <c r="D282" s="294"/>
      <c r="E282" s="314"/>
      <c r="F282" s="314"/>
      <c r="G282" s="314"/>
      <c r="H282" s="311"/>
      <c r="I282" s="314"/>
      <c r="J282" s="306"/>
      <c r="K282" s="294"/>
      <c r="L282" s="294"/>
      <c r="M282" s="294"/>
      <c r="N282" s="294"/>
      <c r="O282" s="294"/>
      <c r="P282" s="294"/>
      <c r="Q282" s="294"/>
      <c r="R282" s="294"/>
      <c r="S282" s="294"/>
      <c r="T282" s="294"/>
      <c r="U282" s="294"/>
      <c r="V282" s="294"/>
      <c r="W282" s="294"/>
      <c r="X282" s="294"/>
    </row>
    <row r="283" spans="1:24" x14ac:dyDescent="0.25">
      <c r="A283" s="294"/>
      <c r="B283" s="313"/>
      <c r="C283" s="294"/>
      <c r="D283" s="294"/>
      <c r="E283" s="314"/>
      <c r="F283" s="314"/>
      <c r="G283" s="314"/>
      <c r="H283" s="311"/>
      <c r="I283" s="314"/>
      <c r="J283" s="306"/>
      <c r="K283" s="294"/>
      <c r="L283" s="294"/>
      <c r="M283" s="294"/>
      <c r="N283" s="294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</row>
    <row r="284" spans="1:24" x14ac:dyDescent="0.25">
      <c r="A284" s="294"/>
      <c r="B284" s="313"/>
      <c r="C284" s="294"/>
      <c r="D284" s="294"/>
      <c r="E284" s="314"/>
      <c r="F284" s="314"/>
      <c r="G284" s="314"/>
      <c r="H284" s="311"/>
      <c r="I284" s="314"/>
      <c r="J284" s="306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</row>
    <row r="285" spans="1:24" x14ac:dyDescent="0.25">
      <c r="A285" s="294"/>
      <c r="B285" s="313"/>
      <c r="C285" s="294"/>
      <c r="D285" s="294"/>
      <c r="E285" s="314"/>
      <c r="F285" s="314"/>
      <c r="G285" s="314"/>
      <c r="H285" s="311"/>
      <c r="I285" s="314"/>
      <c r="J285" s="306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</row>
    <row r="286" spans="1:24" x14ac:dyDescent="0.25">
      <c r="A286" s="294"/>
      <c r="B286" s="313"/>
      <c r="C286" s="294"/>
      <c r="D286" s="294"/>
      <c r="E286" s="314"/>
      <c r="F286" s="314"/>
      <c r="G286" s="314"/>
      <c r="H286" s="311"/>
      <c r="I286" s="314"/>
      <c r="J286" s="306"/>
      <c r="K286" s="294"/>
      <c r="L286" s="294"/>
      <c r="M286" s="294"/>
      <c r="N286" s="294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</row>
    <row r="287" spans="1:24" x14ac:dyDescent="0.25">
      <c r="A287" s="294"/>
      <c r="B287" s="313"/>
      <c r="C287" s="294"/>
      <c r="D287" s="294"/>
      <c r="E287" s="314"/>
      <c r="F287" s="314"/>
      <c r="G287" s="314"/>
      <c r="H287" s="311"/>
      <c r="I287" s="314"/>
      <c r="J287" s="306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</row>
    <row r="288" spans="1:24" x14ac:dyDescent="0.25">
      <c r="A288" s="294"/>
      <c r="B288" s="313"/>
      <c r="C288" s="294"/>
      <c r="D288" s="294"/>
      <c r="E288" s="314"/>
      <c r="F288" s="314"/>
      <c r="G288" s="314"/>
      <c r="H288" s="311"/>
      <c r="I288" s="314"/>
      <c r="J288" s="306"/>
      <c r="K288" s="294"/>
      <c r="L288" s="294"/>
      <c r="M288" s="294"/>
      <c r="N288" s="294"/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</row>
    <row r="289" spans="1:24" x14ac:dyDescent="0.25">
      <c r="A289" s="294"/>
      <c r="B289" s="313"/>
      <c r="C289" s="294"/>
      <c r="D289" s="294"/>
      <c r="E289" s="314"/>
      <c r="F289" s="314"/>
      <c r="G289" s="314"/>
      <c r="H289" s="311"/>
      <c r="I289" s="314"/>
      <c r="J289" s="306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</row>
    <row r="290" spans="1:24" x14ac:dyDescent="0.25">
      <c r="A290" s="294"/>
      <c r="B290" s="313"/>
      <c r="C290" s="294"/>
      <c r="D290" s="294"/>
      <c r="E290" s="314"/>
      <c r="F290" s="314"/>
      <c r="G290" s="314"/>
      <c r="H290" s="311"/>
      <c r="I290" s="314"/>
      <c r="J290" s="306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</row>
    <row r="291" spans="1:24" x14ac:dyDescent="0.25">
      <c r="A291" s="294"/>
      <c r="B291" s="313"/>
      <c r="C291" s="294"/>
      <c r="D291" s="294"/>
      <c r="E291" s="314"/>
      <c r="F291" s="314"/>
      <c r="G291" s="314"/>
      <c r="H291" s="311"/>
      <c r="I291" s="314"/>
      <c r="J291" s="306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</row>
    <row r="292" spans="1:24" x14ac:dyDescent="0.25">
      <c r="A292" s="294"/>
      <c r="B292" s="313"/>
      <c r="C292" s="294"/>
      <c r="D292" s="294"/>
      <c r="E292" s="314"/>
      <c r="F292" s="314"/>
      <c r="G292" s="314"/>
      <c r="H292" s="311"/>
      <c r="I292" s="314"/>
      <c r="J292" s="306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</row>
    <row r="293" spans="1:24" x14ac:dyDescent="0.25">
      <c r="A293" s="294"/>
      <c r="B293" s="313"/>
      <c r="C293" s="294"/>
      <c r="D293" s="294"/>
      <c r="E293" s="314"/>
      <c r="F293" s="314"/>
      <c r="G293" s="314"/>
      <c r="H293" s="311"/>
      <c r="I293" s="314"/>
      <c r="J293" s="306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</row>
    <row r="294" spans="1:24" x14ac:dyDescent="0.25">
      <c r="A294" s="294"/>
      <c r="B294" s="313"/>
      <c r="C294" s="294"/>
      <c r="D294" s="294"/>
      <c r="E294" s="314"/>
      <c r="F294" s="314"/>
      <c r="G294" s="314"/>
      <c r="H294" s="311"/>
      <c r="I294" s="314"/>
      <c r="J294" s="306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</row>
    <row r="295" spans="1:24" x14ac:dyDescent="0.25">
      <c r="A295" s="294"/>
      <c r="B295" s="313"/>
      <c r="C295" s="294"/>
      <c r="D295" s="294"/>
      <c r="E295" s="314"/>
      <c r="F295" s="314"/>
      <c r="G295" s="314"/>
      <c r="H295" s="311"/>
      <c r="I295" s="314"/>
      <c r="J295" s="306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</row>
    <row r="296" spans="1:24" x14ac:dyDescent="0.25">
      <c r="A296" s="294"/>
      <c r="B296" s="313"/>
      <c r="C296" s="294"/>
      <c r="D296" s="294"/>
      <c r="E296" s="314"/>
      <c r="F296" s="314"/>
      <c r="G296" s="314"/>
      <c r="H296" s="311"/>
      <c r="I296" s="314"/>
      <c r="J296" s="306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</row>
    <row r="297" spans="1:24" x14ac:dyDescent="0.25">
      <c r="A297" s="294"/>
      <c r="B297" s="313"/>
      <c r="C297" s="294"/>
      <c r="D297" s="294"/>
      <c r="E297" s="314"/>
      <c r="F297" s="314"/>
      <c r="G297" s="314"/>
      <c r="H297" s="311"/>
      <c r="I297" s="314"/>
      <c r="J297" s="306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</row>
    <row r="298" spans="1:24" x14ac:dyDescent="0.25">
      <c r="A298" s="294"/>
      <c r="B298" s="313"/>
      <c r="C298" s="294"/>
      <c r="D298" s="294"/>
      <c r="E298" s="314"/>
      <c r="F298" s="314"/>
      <c r="G298" s="314"/>
      <c r="H298" s="311"/>
      <c r="I298" s="314"/>
      <c r="J298" s="306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</row>
    <row r="299" spans="1:24" x14ac:dyDescent="0.25">
      <c r="A299" s="294"/>
      <c r="B299" s="313"/>
      <c r="C299" s="294"/>
      <c r="D299" s="294"/>
      <c r="E299" s="314"/>
      <c r="F299" s="314"/>
      <c r="G299" s="314"/>
      <c r="H299" s="311"/>
      <c r="I299" s="314"/>
      <c r="J299" s="306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</row>
    <row r="300" spans="1:24" x14ac:dyDescent="0.25">
      <c r="A300" s="294"/>
      <c r="B300" s="313"/>
      <c r="C300" s="294"/>
      <c r="D300" s="294"/>
      <c r="E300" s="314"/>
      <c r="F300" s="314"/>
      <c r="G300" s="314"/>
      <c r="H300" s="311"/>
      <c r="I300" s="314"/>
      <c r="J300" s="306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</row>
    <row r="301" spans="1:24" x14ac:dyDescent="0.25">
      <c r="A301" s="294"/>
      <c r="B301" s="313"/>
      <c r="C301" s="294"/>
      <c r="D301" s="294"/>
      <c r="E301" s="314"/>
      <c r="F301" s="314"/>
      <c r="G301" s="314"/>
      <c r="H301" s="311"/>
      <c r="I301" s="314"/>
      <c r="J301" s="306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</row>
    <row r="302" spans="1:24" x14ac:dyDescent="0.25">
      <c r="A302" s="294"/>
      <c r="B302" s="313"/>
      <c r="C302" s="294"/>
      <c r="D302" s="294"/>
      <c r="E302" s="314"/>
      <c r="F302" s="314"/>
      <c r="G302" s="314"/>
      <c r="H302" s="311"/>
      <c r="I302" s="314"/>
      <c r="J302" s="306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</row>
    <row r="303" spans="1:24" x14ac:dyDescent="0.25">
      <c r="A303" s="294"/>
      <c r="B303" s="313"/>
      <c r="C303" s="294"/>
      <c r="D303" s="294"/>
      <c r="E303" s="314"/>
      <c r="F303" s="314"/>
      <c r="G303" s="314"/>
      <c r="H303" s="311"/>
      <c r="I303" s="314"/>
      <c r="J303" s="306"/>
      <c r="K303" s="294"/>
      <c r="L303" s="294"/>
      <c r="M303" s="294"/>
      <c r="N303" s="294"/>
      <c r="O303" s="294"/>
      <c r="P303" s="294"/>
      <c r="Q303" s="294"/>
      <c r="R303" s="294"/>
      <c r="S303" s="294"/>
      <c r="T303" s="294"/>
      <c r="U303" s="294"/>
      <c r="V303" s="294"/>
      <c r="W303" s="294"/>
      <c r="X303" s="294"/>
    </row>
    <row r="304" spans="1:24" x14ac:dyDescent="0.25">
      <c r="A304" s="294"/>
      <c r="B304" s="313"/>
      <c r="C304" s="294"/>
      <c r="D304" s="294"/>
      <c r="E304" s="314"/>
      <c r="F304" s="314"/>
      <c r="G304" s="314"/>
      <c r="H304" s="311"/>
      <c r="I304" s="314"/>
      <c r="J304" s="306"/>
      <c r="K304" s="294"/>
      <c r="L304" s="294"/>
      <c r="M304" s="294"/>
      <c r="N304" s="294"/>
      <c r="O304" s="294"/>
      <c r="P304" s="294"/>
      <c r="Q304" s="294"/>
      <c r="R304" s="294"/>
      <c r="S304" s="294"/>
      <c r="T304" s="294"/>
      <c r="U304" s="294"/>
      <c r="V304" s="294"/>
      <c r="W304" s="294"/>
      <c r="X304" s="294"/>
    </row>
    <row r="305" spans="1:24" x14ac:dyDescent="0.25">
      <c r="A305" s="294"/>
      <c r="B305" s="313"/>
      <c r="C305" s="294"/>
      <c r="D305" s="294"/>
      <c r="E305" s="314"/>
      <c r="F305" s="314"/>
      <c r="G305" s="314"/>
      <c r="H305" s="311"/>
      <c r="I305" s="314"/>
      <c r="J305" s="306"/>
      <c r="K305" s="294"/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  <c r="V305" s="294"/>
      <c r="W305" s="294"/>
      <c r="X305" s="294"/>
    </row>
    <row r="306" spans="1:24" x14ac:dyDescent="0.25">
      <c r="A306" s="294"/>
      <c r="B306" s="313"/>
      <c r="C306" s="294"/>
      <c r="D306" s="294"/>
      <c r="E306" s="314"/>
      <c r="F306" s="314"/>
      <c r="G306" s="314"/>
      <c r="H306" s="311"/>
      <c r="I306" s="314"/>
      <c r="J306" s="306"/>
      <c r="K306" s="294"/>
      <c r="L306" s="294"/>
      <c r="M306" s="294"/>
      <c r="N306" s="294"/>
      <c r="O306" s="294"/>
      <c r="P306" s="294"/>
      <c r="Q306" s="294"/>
      <c r="R306" s="294"/>
      <c r="S306" s="294"/>
      <c r="T306" s="294"/>
      <c r="U306" s="294"/>
      <c r="V306" s="294"/>
      <c r="W306" s="294"/>
      <c r="X306" s="294"/>
    </row>
    <row r="307" spans="1:24" x14ac:dyDescent="0.25">
      <c r="A307" s="294"/>
      <c r="B307" s="313"/>
      <c r="C307" s="294"/>
      <c r="D307" s="294"/>
      <c r="E307" s="314"/>
      <c r="F307" s="314"/>
      <c r="G307" s="314"/>
      <c r="H307" s="311"/>
      <c r="I307" s="314"/>
      <c r="J307" s="306"/>
      <c r="K307" s="294"/>
      <c r="L307" s="294"/>
      <c r="M307" s="294"/>
      <c r="N307" s="294"/>
      <c r="O307" s="294"/>
      <c r="P307" s="294"/>
      <c r="Q307" s="294"/>
      <c r="R307" s="294"/>
      <c r="S307" s="294"/>
      <c r="T307" s="294"/>
      <c r="U307" s="294"/>
      <c r="V307" s="294"/>
      <c r="W307" s="294"/>
      <c r="X307" s="294"/>
    </row>
    <row r="308" spans="1:24" x14ac:dyDescent="0.25">
      <c r="A308" s="294"/>
      <c r="B308" s="313"/>
      <c r="C308" s="294"/>
      <c r="D308" s="294"/>
      <c r="E308" s="314"/>
      <c r="F308" s="314"/>
      <c r="G308" s="314"/>
      <c r="H308" s="311"/>
      <c r="I308" s="314"/>
      <c r="J308" s="306"/>
      <c r="K308" s="294"/>
      <c r="L308" s="294"/>
      <c r="M308" s="294"/>
      <c r="N308" s="294"/>
      <c r="O308" s="294"/>
      <c r="P308" s="294"/>
      <c r="Q308" s="294"/>
      <c r="R308" s="294"/>
      <c r="S308" s="294"/>
      <c r="T308" s="294"/>
      <c r="U308" s="294"/>
      <c r="V308" s="294"/>
      <c r="W308" s="294"/>
      <c r="X308" s="294"/>
    </row>
    <row r="309" spans="1:24" x14ac:dyDescent="0.25">
      <c r="A309" s="294"/>
      <c r="B309" s="313"/>
      <c r="C309" s="294"/>
      <c r="D309" s="294"/>
      <c r="E309" s="314"/>
      <c r="F309" s="314"/>
      <c r="G309" s="314"/>
      <c r="H309" s="311"/>
      <c r="I309" s="314"/>
      <c r="J309" s="306"/>
      <c r="K309" s="294"/>
      <c r="L309" s="294"/>
      <c r="M309" s="294"/>
      <c r="N309" s="294"/>
      <c r="O309" s="294"/>
      <c r="P309" s="294"/>
      <c r="Q309" s="294"/>
      <c r="R309" s="294"/>
      <c r="S309" s="294"/>
      <c r="T309" s="294"/>
      <c r="U309" s="294"/>
      <c r="V309" s="294"/>
      <c r="W309" s="294"/>
      <c r="X309" s="294"/>
    </row>
    <row r="310" spans="1:24" x14ac:dyDescent="0.25">
      <c r="A310" s="294"/>
      <c r="B310" s="313"/>
      <c r="C310" s="294"/>
      <c r="D310" s="294"/>
      <c r="E310" s="314"/>
      <c r="F310" s="314"/>
      <c r="G310" s="314"/>
      <c r="H310" s="311"/>
      <c r="I310" s="314"/>
      <c r="J310" s="306"/>
      <c r="K310" s="294"/>
      <c r="L310" s="294"/>
      <c r="M310" s="294"/>
      <c r="N310" s="294"/>
      <c r="O310" s="294"/>
      <c r="P310" s="294"/>
      <c r="Q310" s="294"/>
      <c r="R310" s="294"/>
      <c r="S310" s="294"/>
      <c r="T310" s="294"/>
      <c r="U310" s="294"/>
      <c r="V310" s="294"/>
      <c r="W310" s="294"/>
      <c r="X310" s="294"/>
    </row>
    <row r="311" spans="1:24" x14ac:dyDescent="0.25">
      <c r="A311" s="294"/>
      <c r="B311" s="313"/>
      <c r="C311" s="294"/>
      <c r="D311" s="294"/>
      <c r="E311" s="314"/>
      <c r="F311" s="314"/>
      <c r="G311" s="314"/>
      <c r="H311" s="311"/>
      <c r="I311" s="314"/>
      <c r="J311" s="306"/>
      <c r="K311" s="294"/>
      <c r="L311" s="294"/>
      <c r="M311" s="294"/>
      <c r="N311" s="294"/>
      <c r="O311" s="294"/>
      <c r="P311" s="294"/>
      <c r="Q311" s="294"/>
      <c r="R311" s="294"/>
      <c r="S311" s="294"/>
      <c r="T311" s="294"/>
      <c r="U311" s="294"/>
      <c r="V311" s="294"/>
      <c r="W311" s="294"/>
      <c r="X311" s="294"/>
    </row>
    <row r="312" spans="1:24" x14ac:dyDescent="0.25">
      <c r="A312" s="294"/>
      <c r="B312" s="313"/>
      <c r="C312" s="294"/>
      <c r="D312" s="294"/>
      <c r="E312" s="314"/>
      <c r="F312" s="314"/>
      <c r="G312" s="314"/>
      <c r="H312" s="311"/>
      <c r="I312" s="314"/>
      <c r="J312" s="306"/>
      <c r="K312" s="294"/>
      <c r="L312" s="294"/>
      <c r="M312" s="294"/>
      <c r="N312" s="294"/>
      <c r="O312" s="294"/>
      <c r="P312" s="294"/>
      <c r="Q312" s="294"/>
      <c r="R312" s="294"/>
      <c r="S312" s="294"/>
      <c r="T312" s="294"/>
      <c r="U312" s="294"/>
      <c r="V312" s="294"/>
      <c r="W312" s="294"/>
      <c r="X312" s="294"/>
    </row>
    <row r="313" spans="1:24" x14ac:dyDescent="0.25">
      <c r="A313" s="294"/>
      <c r="B313" s="313"/>
      <c r="C313" s="294"/>
      <c r="D313" s="294"/>
      <c r="E313" s="314"/>
      <c r="F313" s="314"/>
      <c r="G313" s="314"/>
      <c r="H313" s="311"/>
      <c r="I313" s="314"/>
      <c r="J313" s="306"/>
      <c r="K313" s="294"/>
      <c r="L313" s="294"/>
      <c r="M313" s="294"/>
      <c r="N313" s="294"/>
      <c r="O313" s="294"/>
      <c r="P313" s="294"/>
      <c r="Q313" s="294"/>
      <c r="R313" s="294"/>
      <c r="S313" s="294"/>
      <c r="T313" s="294"/>
      <c r="U313" s="294"/>
      <c r="V313" s="294"/>
      <c r="W313" s="294"/>
      <c r="X313" s="294"/>
    </row>
    <row r="314" spans="1:24" x14ac:dyDescent="0.25">
      <c r="A314" s="294"/>
      <c r="B314" s="313"/>
      <c r="C314" s="294"/>
      <c r="D314" s="294"/>
      <c r="E314" s="314"/>
      <c r="F314" s="314"/>
      <c r="G314" s="314"/>
      <c r="H314" s="311"/>
      <c r="I314" s="314"/>
      <c r="J314" s="306"/>
      <c r="K314" s="294"/>
      <c r="L314" s="294"/>
      <c r="M314" s="294"/>
      <c r="N314" s="294"/>
      <c r="O314" s="294"/>
      <c r="P314" s="294"/>
      <c r="Q314" s="294"/>
      <c r="R314" s="294"/>
      <c r="S314" s="294"/>
      <c r="T314" s="294"/>
      <c r="U314" s="294"/>
      <c r="V314" s="294"/>
      <c r="W314" s="294"/>
      <c r="X314" s="294"/>
    </row>
    <row r="315" spans="1:24" x14ac:dyDescent="0.25">
      <c r="A315" s="294"/>
      <c r="B315" s="313"/>
      <c r="C315" s="294"/>
      <c r="D315" s="294"/>
      <c r="E315" s="314"/>
      <c r="F315" s="314"/>
      <c r="G315" s="314"/>
      <c r="H315" s="311"/>
      <c r="I315" s="314"/>
      <c r="J315" s="306"/>
      <c r="K315" s="294"/>
      <c r="L315" s="294"/>
      <c r="M315" s="294"/>
      <c r="N315" s="294"/>
      <c r="O315" s="294"/>
      <c r="P315" s="294"/>
      <c r="Q315" s="294"/>
      <c r="R315" s="294"/>
      <c r="S315" s="294"/>
      <c r="T315" s="294"/>
      <c r="U315" s="294"/>
      <c r="V315" s="294"/>
      <c r="W315" s="294"/>
      <c r="X315" s="294"/>
    </row>
    <row r="316" spans="1:24" x14ac:dyDescent="0.25">
      <c r="A316" s="294"/>
      <c r="B316" s="313"/>
      <c r="C316" s="294"/>
      <c r="D316" s="294"/>
      <c r="E316" s="314"/>
      <c r="F316" s="314"/>
      <c r="G316" s="314"/>
      <c r="H316" s="311"/>
      <c r="I316" s="314"/>
      <c r="J316" s="306"/>
      <c r="K316" s="294"/>
      <c r="L316" s="294"/>
      <c r="M316" s="294"/>
      <c r="N316" s="294"/>
      <c r="O316" s="294"/>
      <c r="P316" s="294"/>
      <c r="Q316" s="294"/>
      <c r="R316" s="294"/>
      <c r="S316" s="294"/>
      <c r="T316" s="294"/>
      <c r="U316" s="294"/>
      <c r="V316" s="294"/>
      <c r="W316" s="294"/>
      <c r="X316" s="294"/>
    </row>
    <row r="317" spans="1:24" x14ac:dyDescent="0.25">
      <c r="A317" s="294"/>
      <c r="B317" s="313"/>
      <c r="C317" s="294"/>
      <c r="D317" s="294"/>
      <c r="E317" s="314"/>
      <c r="F317" s="314"/>
      <c r="G317" s="314"/>
      <c r="H317" s="311"/>
      <c r="I317" s="314"/>
      <c r="J317" s="306"/>
      <c r="K317" s="294"/>
      <c r="L317" s="294"/>
      <c r="M317" s="294"/>
      <c r="N317" s="294"/>
      <c r="O317" s="294"/>
      <c r="P317" s="294"/>
      <c r="Q317" s="294"/>
      <c r="R317" s="294"/>
      <c r="S317" s="294"/>
      <c r="T317" s="294"/>
      <c r="U317" s="294"/>
      <c r="V317" s="294"/>
      <c r="W317" s="294"/>
      <c r="X317" s="294"/>
    </row>
    <row r="318" spans="1:24" x14ac:dyDescent="0.25">
      <c r="A318" s="294"/>
      <c r="B318" s="313"/>
      <c r="C318" s="294"/>
      <c r="D318" s="294"/>
      <c r="E318" s="314"/>
      <c r="F318" s="314"/>
      <c r="G318" s="314"/>
      <c r="H318" s="311"/>
      <c r="I318" s="314"/>
      <c r="J318" s="306"/>
      <c r="K318" s="294"/>
      <c r="L318" s="294"/>
      <c r="M318" s="294"/>
      <c r="N318" s="294"/>
      <c r="O318" s="294"/>
      <c r="P318" s="294"/>
      <c r="Q318" s="294"/>
      <c r="R318" s="294"/>
      <c r="S318" s="294"/>
      <c r="T318" s="294"/>
      <c r="U318" s="294"/>
      <c r="V318" s="294"/>
      <c r="W318" s="294"/>
      <c r="X318" s="294"/>
    </row>
    <row r="319" spans="1:24" x14ac:dyDescent="0.25">
      <c r="A319" s="294"/>
      <c r="B319" s="313"/>
      <c r="C319" s="294"/>
      <c r="D319" s="294"/>
      <c r="E319" s="314"/>
      <c r="F319" s="314"/>
      <c r="G319" s="314"/>
      <c r="H319" s="311"/>
      <c r="I319" s="314"/>
      <c r="J319" s="306"/>
      <c r="K319" s="294"/>
      <c r="L319" s="294"/>
      <c r="M319" s="294"/>
      <c r="N319" s="294"/>
      <c r="O319" s="294"/>
      <c r="P319" s="294"/>
      <c r="Q319" s="294"/>
      <c r="R319" s="294"/>
      <c r="S319" s="294"/>
      <c r="T319" s="294"/>
      <c r="U319" s="294"/>
      <c r="V319" s="294"/>
      <c r="W319" s="294"/>
      <c r="X319" s="294"/>
    </row>
    <row r="320" spans="1:24" x14ac:dyDescent="0.25">
      <c r="A320" s="294"/>
      <c r="B320" s="313"/>
      <c r="C320" s="294"/>
      <c r="D320" s="294"/>
      <c r="E320" s="314"/>
      <c r="F320" s="314"/>
      <c r="G320" s="314"/>
      <c r="H320" s="311"/>
      <c r="I320" s="314"/>
      <c r="J320" s="306"/>
      <c r="K320" s="294"/>
      <c r="L320" s="294"/>
      <c r="M320" s="294"/>
      <c r="N320" s="294"/>
      <c r="O320" s="294"/>
      <c r="P320" s="294"/>
      <c r="Q320" s="294"/>
      <c r="R320" s="294"/>
      <c r="S320" s="294"/>
      <c r="T320" s="294"/>
      <c r="U320" s="294"/>
      <c r="V320" s="294"/>
      <c r="W320" s="294"/>
      <c r="X320" s="294"/>
    </row>
    <row r="321" spans="1:24" x14ac:dyDescent="0.25">
      <c r="A321" s="294"/>
      <c r="B321" s="313"/>
      <c r="C321" s="294"/>
      <c r="D321" s="294"/>
      <c r="E321" s="314"/>
      <c r="F321" s="314"/>
      <c r="G321" s="314"/>
      <c r="H321" s="311"/>
      <c r="I321" s="314"/>
      <c r="J321" s="306"/>
      <c r="K321" s="294"/>
      <c r="L321" s="294"/>
      <c r="M321" s="294"/>
      <c r="N321" s="294"/>
      <c r="O321" s="294"/>
      <c r="P321" s="294"/>
      <c r="Q321" s="294"/>
      <c r="R321" s="294"/>
      <c r="S321" s="294"/>
      <c r="T321" s="294"/>
      <c r="U321" s="294"/>
      <c r="V321" s="294"/>
      <c r="W321" s="294"/>
      <c r="X321" s="294"/>
    </row>
    <row r="322" spans="1:24" x14ac:dyDescent="0.25">
      <c r="A322" s="294"/>
      <c r="B322" s="313"/>
      <c r="C322" s="294"/>
      <c r="D322" s="294"/>
      <c r="E322" s="314"/>
      <c r="F322" s="314"/>
      <c r="G322" s="314"/>
      <c r="H322" s="311"/>
      <c r="I322" s="314"/>
      <c r="J322" s="306"/>
      <c r="K322" s="294"/>
      <c r="L322" s="294"/>
      <c r="M322" s="294"/>
      <c r="N322" s="294"/>
      <c r="O322" s="294"/>
      <c r="P322" s="294"/>
      <c r="Q322" s="294"/>
      <c r="R322" s="294"/>
      <c r="S322" s="294"/>
      <c r="T322" s="294"/>
      <c r="U322" s="294"/>
      <c r="V322" s="294"/>
      <c r="W322" s="294"/>
      <c r="X322" s="294"/>
    </row>
    <row r="323" spans="1:24" x14ac:dyDescent="0.25">
      <c r="A323" s="294"/>
      <c r="B323" s="313"/>
      <c r="C323" s="294"/>
      <c r="D323" s="294"/>
      <c r="E323" s="314"/>
      <c r="F323" s="314"/>
      <c r="G323" s="314"/>
      <c r="H323" s="311"/>
      <c r="I323" s="314"/>
      <c r="J323" s="306"/>
      <c r="K323" s="294"/>
      <c r="L323" s="294"/>
      <c r="M323" s="294"/>
      <c r="N323" s="294"/>
      <c r="O323" s="294"/>
      <c r="P323" s="294"/>
      <c r="Q323" s="294"/>
      <c r="R323" s="294"/>
      <c r="S323" s="294"/>
      <c r="T323" s="294"/>
      <c r="U323" s="294"/>
      <c r="V323" s="294"/>
      <c r="W323" s="294"/>
      <c r="X323" s="294"/>
    </row>
    <row r="324" spans="1:24" x14ac:dyDescent="0.25">
      <c r="A324" s="294"/>
      <c r="B324" s="313"/>
      <c r="C324" s="294"/>
      <c r="D324" s="294"/>
      <c r="E324" s="314"/>
      <c r="F324" s="314"/>
      <c r="G324" s="314"/>
      <c r="H324" s="311"/>
      <c r="I324" s="314"/>
      <c r="J324" s="306"/>
      <c r="K324" s="294"/>
      <c r="L324" s="294"/>
      <c r="M324" s="294"/>
      <c r="N324" s="294"/>
      <c r="O324" s="294"/>
      <c r="P324" s="294"/>
      <c r="Q324" s="294"/>
      <c r="R324" s="294"/>
      <c r="S324" s="294"/>
      <c r="T324" s="294"/>
      <c r="U324" s="294"/>
      <c r="V324" s="294"/>
      <c r="W324" s="294"/>
      <c r="X324" s="294"/>
    </row>
    <row r="325" spans="1:24" x14ac:dyDescent="0.25">
      <c r="A325" s="294"/>
      <c r="B325" s="313"/>
      <c r="C325" s="294"/>
      <c r="D325" s="294"/>
      <c r="E325" s="314"/>
      <c r="F325" s="314"/>
      <c r="G325" s="314"/>
      <c r="H325" s="311"/>
      <c r="I325" s="314"/>
      <c r="J325" s="306"/>
      <c r="K325" s="294"/>
      <c r="L325" s="294"/>
      <c r="M325" s="294"/>
      <c r="N325" s="294"/>
      <c r="O325" s="294"/>
      <c r="P325" s="294"/>
      <c r="Q325" s="294"/>
      <c r="R325" s="294"/>
      <c r="S325" s="294"/>
      <c r="T325" s="294"/>
      <c r="U325" s="294"/>
      <c r="V325" s="294"/>
      <c r="W325" s="294"/>
      <c r="X325" s="294"/>
    </row>
    <row r="326" spans="1:24" x14ac:dyDescent="0.25">
      <c r="A326" s="294"/>
      <c r="B326" s="313"/>
      <c r="C326" s="294"/>
      <c r="D326" s="294"/>
      <c r="E326" s="314"/>
      <c r="F326" s="314"/>
      <c r="G326" s="314"/>
      <c r="H326" s="311"/>
      <c r="I326" s="314"/>
      <c r="J326" s="306"/>
      <c r="K326" s="294"/>
      <c r="L326" s="294"/>
      <c r="M326" s="294"/>
      <c r="N326" s="294"/>
      <c r="O326" s="294"/>
      <c r="P326" s="294"/>
      <c r="Q326" s="294"/>
      <c r="R326" s="294"/>
      <c r="S326" s="294"/>
      <c r="T326" s="294"/>
      <c r="U326" s="294"/>
      <c r="V326" s="294"/>
      <c r="W326" s="294"/>
      <c r="X326" s="294"/>
    </row>
    <row r="327" spans="1:24" x14ac:dyDescent="0.25">
      <c r="A327" s="294"/>
      <c r="B327" s="313"/>
      <c r="C327" s="294"/>
      <c r="D327" s="294"/>
      <c r="E327" s="314"/>
      <c r="F327" s="314"/>
      <c r="G327" s="314"/>
      <c r="H327" s="311"/>
      <c r="I327" s="314"/>
      <c r="J327" s="306"/>
      <c r="K327" s="294"/>
      <c r="L327" s="294"/>
      <c r="M327" s="294"/>
      <c r="N327" s="294"/>
      <c r="O327" s="294"/>
      <c r="P327" s="294"/>
      <c r="Q327" s="294"/>
      <c r="R327" s="294"/>
      <c r="S327" s="294"/>
      <c r="T327" s="294"/>
      <c r="U327" s="294"/>
      <c r="V327" s="294"/>
      <c r="W327" s="294"/>
      <c r="X327" s="294"/>
    </row>
    <row r="328" spans="1:24" x14ac:dyDescent="0.25">
      <c r="A328" s="294"/>
      <c r="B328" s="313"/>
      <c r="C328" s="294"/>
      <c r="D328" s="294"/>
      <c r="E328" s="314"/>
      <c r="F328" s="314"/>
      <c r="G328" s="314"/>
      <c r="H328" s="311"/>
      <c r="I328" s="314"/>
      <c r="J328" s="306"/>
      <c r="K328" s="294"/>
      <c r="L328" s="294"/>
      <c r="M328" s="294"/>
      <c r="N328" s="294"/>
      <c r="O328" s="294"/>
      <c r="P328" s="294"/>
      <c r="Q328" s="294"/>
      <c r="R328" s="294"/>
      <c r="S328" s="294"/>
      <c r="T328" s="294"/>
      <c r="U328" s="294"/>
      <c r="V328" s="294"/>
      <c r="W328" s="294"/>
      <c r="X328" s="294"/>
    </row>
    <row r="329" spans="1:24" x14ac:dyDescent="0.25">
      <c r="A329" s="294"/>
      <c r="B329" s="313"/>
      <c r="C329" s="294"/>
      <c r="D329" s="294"/>
      <c r="E329" s="314"/>
      <c r="F329" s="314"/>
      <c r="G329" s="314"/>
      <c r="H329" s="311"/>
      <c r="I329" s="314"/>
      <c r="J329" s="306"/>
      <c r="K329" s="294"/>
      <c r="L329" s="294"/>
      <c r="M329" s="294"/>
      <c r="N329" s="294"/>
      <c r="O329" s="294"/>
      <c r="P329" s="294"/>
      <c r="Q329" s="294"/>
      <c r="R329" s="294"/>
      <c r="S329" s="294"/>
      <c r="T329" s="294"/>
      <c r="U329" s="294"/>
      <c r="V329" s="294"/>
      <c r="W329" s="294"/>
      <c r="X329" s="294"/>
    </row>
    <row r="330" spans="1:24" x14ac:dyDescent="0.25">
      <c r="A330" s="294"/>
      <c r="B330" s="313"/>
      <c r="C330" s="294"/>
      <c r="D330" s="294"/>
      <c r="E330" s="314"/>
      <c r="F330" s="314"/>
      <c r="G330" s="314"/>
      <c r="H330" s="311"/>
      <c r="I330" s="314"/>
      <c r="J330" s="306"/>
      <c r="K330" s="294"/>
      <c r="L330" s="294"/>
      <c r="M330" s="294"/>
      <c r="N330" s="294"/>
      <c r="O330" s="294"/>
      <c r="P330" s="294"/>
      <c r="Q330" s="294"/>
      <c r="R330" s="294"/>
      <c r="S330" s="294"/>
      <c r="T330" s="294"/>
      <c r="U330" s="294"/>
      <c r="V330" s="294"/>
      <c r="W330" s="294"/>
      <c r="X330" s="294"/>
    </row>
    <row r="331" spans="1:24" x14ac:dyDescent="0.25">
      <c r="A331" s="294"/>
      <c r="B331" s="313"/>
      <c r="C331" s="294"/>
      <c r="D331" s="294"/>
      <c r="E331" s="314"/>
      <c r="F331" s="314"/>
      <c r="G331" s="314"/>
      <c r="H331" s="311"/>
      <c r="I331" s="314"/>
      <c r="J331" s="306"/>
      <c r="K331" s="294"/>
      <c r="L331" s="294"/>
      <c r="M331" s="294"/>
      <c r="N331" s="294"/>
      <c r="O331" s="294"/>
      <c r="P331" s="294"/>
      <c r="Q331" s="294"/>
      <c r="R331" s="294"/>
      <c r="S331" s="294"/>
      <c r="T331" s="294"/>
      <c r="U331" s="294"/>
      <c r="V331" s="294"/>
      <c r="W331" s="294"/>
      <c r="X331" s="294"/>
    </row>
    <row r="332" spans="1:24" x14ac:dyDescent="0.25">
      <c r="A332" s="294"/>
      <c r="B332" s="313"/>
      <c r="C332" s="294"/>
      <c r="D332" s="294"/>
      <c r="E332" s="314"/>
      <c r="F332" s="314"/>
      <c r="G332" s="314"/>
      <c r="H332" s="311"/>
      <c r="I332" s="314"/>
      <c r="J332" s="306"/>
      <c r="K332" s="294"/>
      <c r="L332" s="294"/>
      <c r="M332" s="294"/>
      <c r="N332" s="294"/>
      <c r="O332" s="294"/>
      <c r="P332" s="294"/>
      <c r="Q332" s="294"/>
      <c r="R332" s="294"/>
      <c r="S332" s="294"/>
      <c r="T332" s="294"/>
      <c r="U332" s="294"/>
      <c r="V332" s="294"/>
      <c r="W332" s="294"/>
      <c r="X332" s="294"/>
    </row>
    <row r="333" spans="1:24" x14ac:dyDescent="0.25">
      <c r="A333" s="294"/>
      <c r="B333" s="313"/>
      <c r="C333" s="294"/>
      <c r="D333" s="294"/>
      <c r="E333" s="314"/>
      <c r="F333" s="314"/>
      <c r="G333" s="314"/>
      <c r="H333" s="311"/>
      <c r="I333" s="314"/>
      <c r="J333" s="306"/>
      <c r="K333" s="294"/>
      <c r="L333" s="294"/>
      <c r="M333" s="294"/>
      <c r="N333" s="294"/>
      <c r="O333" s="294"/>
      <c r="P333" s="294"/>
      <c r="Q333" s="294"/>
      <c r="R333" s="294"/>
      <c r="S333" s="294"/>
      <c r="T333" s="294"/>
      <c r="U333" s="294"/>
      <c r="V333" s="294"/>
      <c r="W333" s="294"/>
      <c r="X333" s="294"/>
    </row>
    <row r="334" spans="1:24" x14ac:dyDescent="0.25">
      <c r="A334" s="294"/>
      <c r="B334" s="313"/>
      <c r="C334" s="294"/>
      <c r="D334" s="294"/>
      <c r="E334" s="314"/>
      <c r="F334" s="314"/>
      <c r="G334" s="314"/>
      <c r="H334" s="311"/>
      <c r="I334" s="314"/>
      <c r="J334" s="306"/>
      <c r="K334" s="294"/>
      <c r="L334" s="294"/>
      <c r="M334" s="294"/>
      <c r="N334" s="294"/>
      <c r="O334" s="294"/>
      <c r="P334" s="294"/>
      <c r="Q334" s="294"/>
      <c r="R334" s="294"/>
      <c r="S334" s="294"/>
      <c r="T334" s="294"/>
      <c r="U334" s="294"/>
      <c r="V334" s="294"/>
      <c r="W334" s="294"/>
      <c r="X334" s="294"/>
    </row>
    <row r="335" spans="1:24" x14ac:dyDescent="0.25">
      <c r="A335" s="294"/>
      <c r="B335" s="313"/>
      <c r="C335" s="294"/>
      <c r="D335" s="294"/>
      <c r="E335" s="314"/>
      <c r="F335" s="314"/>
      <c r="G335" s="314"/>
      <c r="H335" s="311"/>
      <c r="I335" s="314"/>
      <c r="J335" s="306"/>
      <c r="K335" s="294"/>
      <c r="L335" s="294"/>
      <c r="M335" s="294"/>
      <c r="N335" s="294"/>
      <c r="O335" s="294"/>
      <c r="P335" s="294"/>
      <c r="Q335" s="294"/>
      <c r="R335" s="294"/>
      <c r="S335" s="294"/>
      <c r="T335" s="294"/>
      <c r="U335" s="294"/>
      <c r="V335" s="294"/>
      <c r="W335" s="294"/>
      <c r="X335" s="294"/>
    </row>
    <row r="336" spans="1:24" x14ac:dyDescent="0.25">
      <c r="A336" s="294"/>
      <c r="B336" s="313"/>
      <c r="C336" s="294"/>
      <c r="D336" s="294"/>
      <c r="E336" s="314"/>
      <c r="F336" s="314"/>
      <c r="G336" s="314"/>
      <c r="H336" s="311"/>
      <c r="I336" s="314"/>
      <c r="J336" s="306"/>
      <c r="K336" s="294"/>
      <c r="L336" s="294"/>
      <c r="M336" s="294"/>
      <c r="N336" s="294"/>
      <c r="O336" s="294"/>
      <c r="P336" s="294"/>
      <c r="Q336" s="294"/>
      <c r="R336" s="294"/>
      <c r="S336" s="294"/>
      <c r="T336" s="294"/>
      <c r="U336" s="294"/>
      <c r="V336" s="294"/>
      <c r="W336" s="294"/>
      <c r="X336" s="294"/>
    </row>
    <row r="337" spans="1:24" x14ac:dyDescent="0.25">
      <c r="A337" s="294"/>
      <c r="B337" s="313"/>
      <c r="C337" s="294"/>
      <c r="D337" s="294"/>
      <c r="E337" s="314"/>
      <c r="F337" s="314"/>
      <c r="G337" s="314"/>
      <c r="H337" s="311"/>
      <c r="I337" s="314"/>
      <c r="J337" s="306"/>
      <c r="K337" s="294"/>
      <c r="L337" s="294"/>
      <c r="M337" s="294"/>
      <c r="N337" s="294"/>
      <c r="O337" s="294"/>
      <c r="P337" s="294"/>
      <c r="Q337" s="294"/>
      <c r="R337" s="294"/>
      <c r="S337" s="294"/>
      <c r="T337" s="294"/>
      <c r="U337" s="294"/>
      <c r="V337" s="294"/>
      <c r="W337" s="294"/>
      <c r="X337" s="294"/>
    </row>
    <row r="338" spans="1:24" x14ac:dyDescent="0.25">
      <c r="A338" s="294"/>
      <c r="B338" s="313"/>
      <c r="C338" s="294"/>
      <c r="D338" s="294"/>
      <c r="E338" s="314"/>
      <c r="F338" s="314"/>
      <c r="G338" s="314"/>
      <c r="H338" s="311"/>
      <c r="I338" s="314"/>
      <c r="J338" s="306"/>
      <c r="K338" s="294"/>
      <c r="L338" s="294"/>
      <c r="M338" s="294"/>
      <c r="N338" s="294"/>
      <c r="O338" s="294"/>
      <c r="P338" s="294"/>
      <c r="Q338" s="294"/>
      <c r="R338" s="294"/>
      <c r="S338" s="294"/>
      <c r="T338" s="294"/>
      <c r="U338" s="294"/>
      <c r="V338" s="294"/>
      <c r="W338" s="294"/>
      <c r="X338" s="294"/>
    </row>
    <row r="339" spans="1:24" x14ac:dyDescent="0.25">
      <c r="A339" s="294"/>
      <c r="B339" s="313"/>
      <c r="C339" s="294"/>
      <c r="D339" s="294"/>
      <c r="E339" s="314"/>
      <c r="F339" s="314"/>
      <c r="G339" s="314"/>
      <c r="H339" s="311"/>
      <c r="I339" s="314"/>
      <c r="J339" s="306"/>
      <c r="K339" s="294"/>
      <c r="L339" s="294"/>
      <c r="M339" s="294"/>
      <c r="N339" s="294"/>
      <c r="O339" s="294"/>
      <c r="P339" s="294"/>
      <c r="Q339" s="294"/>
      <c r="R339" s="294"/>
      <c r="S339" s="294"/>
      <c r="T339" s="294"/>
      <c r="U339" s="294"/>
      <c r="V339" s="294"/>
      <c r="W339" s="294"/>
      <c r="X339" s="294"/>
    </row>
    <row r="340" spans="1:24" x14ac:dyDescent="0.25">
      <c r="A340" s="294"/>
      <c r="B340" s="313"/>
      <c r="C340" s="294"/>
      <c r="D340" s="294"/>
      <c r="E340" s="314"/>
      <c r="F340" s="314"/>
      <c r="G340" s="314"/>
      <c r="H340" s="311"/>
      <c r="I340" s="314"/>
      <c r="J340" s="306"/>
      <c r="K340" s="294"/>
      <c r="L340" s="294"/>
      <c r="M340" s="294"/>
      <c r="N340" s="294"/>
      <c r="O340" s="294"/>
      <c r="P340" s="294"/>
      <c r="Q340" s="294"/>
      <c r="R340" s="294"/>
      <c r="S340" s="294"/>
      <c r="T340" s="294"/>
      <c r="U340" s="294"/>
      <c r="V340" s="294"/>
      <c r="W340" s="294"/>
      <c r="X340" s="294"/>
    </row>
    <row r="341" spans="1:24" x14ac:dyDescent="0.25">
      <c r="A341" s="294"/>
      <c r="B341" s="313"/>
      <c r="C341" s="294"/>
      <c r="D341" s="294"/>
      <c r="E341" s="314"/>
      <c r="F341" s="314"/>
      <c r="G341" s="314"/>
      <c r="H341" s="311"/>
      <c r="I341" s="314"/>
      <c r="J341" s="306"/>
      <c r="K341" s="294"/>
      <c r="L341" s="294"/>
      <c r="M341" s="294"/>
      <c r="N341" s="294"/>
      <c r="O341" s="294"/>
      <c r="P341" s="294"/>
      <c r="Q341" s="294"/>
      <c r="R341" s="294"/>
      <c r="S341" s="294"/>
      <c r="T341" s="294"/>
      <c r="U341" s="294"/>
      <c r="V341" s="294"/>
      <c r="W341" s="294"/>
      <c r="X341" s="294"/>
    </row>
    <row r="342" spans="1:24" x14ac:dyDescent="0.25">
      <c r="A342" s="294"/>
      <c r="B342" s="313"/>
      <c r="C342" s="294"/>
      <c r="D342" s="294"/>
      <c r="E342" s="314"/>
      <c r="F342" s="314"/>
      <c r="G342" s="314"/>
      <c r="H342" s="311"/>
      <c r="I342" s="314"/>
      <c r="J342" s="306"/>
      <c r="K342" s="294"/>
      <c r="L342" s="294"/>
      <c r="M342" s="294"/>
      <c r="N342" s="294"/>
      <c r="O342" s="294"/>
      <c r="P342" s="294"/>
      <c r="Q342" s="294"/>
      <c r="R342" s="294"/>
      <c r="S342" s="294"/>
      <c r="T342" s="294"/>
      <c r="U342" s="294"/>
      <c r="V342" s="294"/>
      <c r="W342" s="294"/>
      <c r="X342" s="294"/>
    </row>
    <row r="343" spans="1:24" x14ac:dyDescent="0.25">
      <c r="A343" s="294"/>
      <c r="B343" s="313"/>
      <c r="C343" s="294"/>
      <c r="D343" s="294"/>
      <c r="E343" s="314"/>
      <c r="F343" s="314"/>
      <c r="G343" s="314"/>
      <c r="H343" s="311"/>
      <c r="I343" s="314"/>
      <c r="J343" s="306"/>
      <c r="K343" s="294"/>
      <c r="L343" s="294"/>
      <c r="M343" s="294"/>
      <c r="N343" s="294"/>
      <c r="O343" s="294"/>
      <c r="P343" s="294"/>
      <c r="Q343" s="294"/>
      <c r="R343" s="294"/>
      <c r="S343" s="294"/>
      <c r="T343" s="294"/>
      <c r="U343" s="294"/>
      <c r="V343" s="294"/>
      <c r="W343" s="294"/>
      <c r="X343" s="294"/>
    </row>
    <row r="344" spans="1:24" x14ac:dyDescent="0.25">
      <c r="A344" s="294"/>
      <c r="B344" s="313"/>
      <c r="C344" s="294"/>
      <c r="D344" s="294"/>
      <c r="E344" s="314"/>
      <c r="F344" s="314"/>
      <c r="G344" s="314"/>
      <c r="H344" s="311"/>
      <c r="I344" s="314"/>
      <c r="J344" s="306"/>
      <c r="K344" s="294"/>
      <c r="L344" s="294"/>
      <c r="M344" s="294"/>
      <c r="N344" s="294"/>
      <c r="O344" s="294"/>
      <c r="P344" s="294"/>
      <c r="Q344" s="294"/>
      <c r="R344" s="294"/>
      <c r="S344" s="294"/>
      <c r="T344" s="294"/>
      <c r="U344" s="294"/>
      <c r="V344" s="294"/>
      <c r="W344" s="294"/>
      <c r="X344" s="294"/>
    </row>
    <row r="345" spans="1:24" x14ac:dyDescent="0.25">
      <c r="A345" s="294"/>
      <c r="B345" s="313"/>
      <c r="C345" s="294"/>
      <c r="D345" s="294"/>
      <c r="E345" s="314"/>
      <c r="F345" s="314"/>
      <c r="G345" s="314"/>
      <c r="H345" s="311"/>
      <c r="I345" s="314"/>
      <c r="J345" s="306"/>
      <c r="K345" s="294"/>
      <c r="L345" s="294"/>
      <c r="M345" s="294"/>
      <c r="N345" s="294"/>
      <c r="O345" s="294"/>
      <c r="P345" s="294"/>
      <c r="Q345" s="294"/>
      <c r="R345" s="294"/>
      <c r="S345" s="294"/>
      <c r="T345" s="294"/>
      <c r="U345" s="294"/>
      <c r="V345" s="294"/>
      <c r="W345" s="294"/>
      <c r="X345" s="294"/>
    </row>
    <row r="346" spans="1:24" x14ac:dyDescent="0.25">
      <c r="A346" s="294"/>
      <c r="B346" s="313"/>
      <c r="C346" s="294"/>
      <c r="D346" s="294"/>
      <c r="E346" s="314"/>
      <c r="F346" s="314"/>
      <c r="G346" s="314"/>
      <c r="H346" s="311"/>
      <c r="I346" s="314"/>
      <c r="J346" s="306"/>
      <c r="K346" s="294"/>
      <c r="L346" s="294"/>
      <c r="M346" s="294"/>
      <c r="N346" s="294"/>
      <c r="O346" s="294"/>
      <c r="P346" s="294"/>
      <c r="Q346" s="294"/>
      <c r="R346" s="294"/>
      <c r="S346" s="294"/>
      <c r="T346" s="294"/>
      <c r="U346" s="294"/>
      <c r="V346" s="294"/>
      <c r="W346" s="294"/>
      <c r="X346" s="294"/>
    </row>
    <row r="347" spans="1:24" x14ac:dyDescent="0.25">
      <c r="A347" s="294"/>
      <c r="B347" s="313"/>
      <c r="C347" s="294"/>
      <c r="D347" s="294"/>
      <c r="E347" s="314"/>
      <c r="F347" s="314"/>
      <c r="G347" s="314"/>
      <c r="H347" s="311"/>
      <c r="I347" s="314"/>
      <c r="J347" s="306"/>
      <c r="K347" s="294"/>
      <c r="L347" s="294"/>
      <c r="M347" s="294"/>
      <c r="N347" s="294"/>
      <c r="O347" s="294"/>
      <c r="P347" s="294"/>
      <c r="Q347" s="294"/>
      <c r="R347" s="294"/>
      <c r="S347" s="294"/>
      <c r="T347" s="294"/>
      <c r="U347" s="294"/>
      <c r="V347" s="294"/>
      <c r="W347" s="294"/>
      <c r="X347" s="294"/>
    </row>
    <row r="348" spans="1:24" x14ac:dyDescent="0.25">
      <c r="A348" s="294"/>
      <c r="B348" s="313"/>
      <c r="C348" s="294"/>
      <c r="D348" s="294"/>
      <c r="E348" s="314"/>
      <c r="F348" s="314"/>
      <c r="G348" s="314"/>
      <c r="H348" s="311"/>
      <c r="I348" s="314"/>
      <c r="J348" s="306"/>
      <c r="K348" s="294"/>
      <c r="L348" s="294"/>
      <c r="M348" s="294"/>
      <c r="N348" s="294"/>
      <c r="O348" s="294"/>
      <c r="P348" s="294"/>
      <c r="Q348" s="294"/>
      <c r="R348" s="294"/>
      <c r="S348" s="294"/>
      <c r="T348" s="294"/>
      <c r="U348" s="294"/>
      <c r="V348" s="294"/>
      <c r="W348" s="294"/>
      <c r="X348" s="294"/>
    </row>
    <row r="349" spans="1:24" x14ac:dyDescent="0.25">
      <c r="A349" s="294"/>
      <c r="B349" s="313"/>
      <c r="C349" s="294"/>
      <c r="D349" s="294"/>
      <c r="E349" s="314"/>
      <c r="F349" s="314"/>
      <c r="G349" s="314"/>
      <c r="H349" s="311"/>
      <c r="I349" s="314"/>
      <c r="J349" s="306"/>
      <c r="K349" s="294"/>
      <c r="L349" s="294"/>
      <c r="M349" s="294"/>
      <c r="N349" s="294"/>
      <c r="O349" s="294"/>
      <c r="P349" s="294"/>
      <c r="Q349" s="294"/>
      <c r="R349" s="294"/>
      <c r="S349" s="294"/>
      <c r="T349" s="294"/>
      <c r="U349" s="294"/>
      <c r="V349" s="294"/>
      <c r="W349" s="294"/>
      <c r="X349" s="294"/>
    </row>
    <row r="350" spans="1:24" x14ac:dyDescent="0.25">
      <c r="A350" s="294"/>
      <c r="B350" s="313"/>
      <c r="C350" s="294"/>
      <c r="D350" s="294"/>
      <c r="E350" s="314"/>
      <c r="F350" s="314"/>
      <c r="G350" s="314"/>
      <c r="H350" s="311"/>
      <c r="I350" s="314"/>
      <c r="J350" s="306"/>
      <c r="K350" s="294"/>
      <c r="L350" s="294"/>
      <c r="M350" s="294"/>
      <c r="N350" s="294"/>
      <c r="O350" s="294"/>
      <c r="P350" s="294"/>
      <c r="Q350" s="294"/>
      <c r="R350" s="294"/>
      <c r="S350" s="294"/>
      <c r="T350" s="294"/>
      <c r="U350" s="294"/>
      <c r="V350" s="294"/>
      <c r="W350" s="294"/>
      <c r="X350" s="294"/>
    </row>
    <row r="351" spans="1:24" x14ac:dyDescent="0.25">
      <c r="A351" s="294"/>
      <c r="B351" s="313"/>
      <c r="C351" s="294"/>
      <c r="D351" s="294"/>
      <c r="E351" s="314"/>
      <c r="F351" s="314"/>
      <c r="G351" s="314"/>
      <c r="H351" s="311"/>
      <c r="I351" s="314"/>
      <c r="J351" s="306"/>
      <c r="K351" s="294"/>
      <c r="L351" s="294"/>
      <c r="M351" s="294"/>
      <c r="N351" s="294"/>
      <c r="O351" s="294"/>
      <c r="P351" s="294"/>
      <c r="Q351" s="294"/>
      <c r="R351" s="294"/>
      <c r="S351" s="294"/>
      <c r="T351" s="294"/>
      <c r="U351" s="294"/>
      <c r="V351" s="294"/>
      <c r="W351" s="294"/>
      <c r="X351" s="294"/>
    </row>
    <row r="352" spans="1:24" x14ac:dyDescent="0.25">
      <c r="A352" s="294"/>
      <c r="B352" s="313"/>
      <c r="C352" s="294"/>
      <c r="D352" s="294"/>
      <c r="E352" s="314"/>
      <c r="F352" s="314"/>
      <c r="G352" s="314"/>
      <c r="H352" s="311"/>
      <c r="I352" s="314"/>
      <c r="J352" s="306"/>
      <c r="K352" s="294"/>
      <c r="L352" s="294"/>
      <c r="M352" s="294"/>
      <c r="N352" s="294"/>
      <c r="O352" s="294"/>
      <c r="P352" s="294"/>
      <c r="Q352" s="294"/>
      <c r="R352" s="294"/>
      <c r="S352" s="294"/>
      <c r="T352" s="294"/>
      <c r="U352" s="294"/>
      <c r="V352" s="294"/>
      <c r="W352" s="294"/>
      <c r="X352" s="294"/>
    </row>
    <row r="353" spans="1:24" x14ac:dyDescent="0.25">
      <c r="A353" s="294"/>
      <c r="B353" s="313"/>
      <c r="C353" s="294"/>
      <c r="D353" s="294"/>
      <c r="E353" s="314"/>
      <c r="F353" s="314"/>
      <c r="G353" s="314"/>
      <c r="H353" s="311"/>
      <c r="I353" s="314"/>
      <c r="J353" s="306"/>
      <c r="K353" s="294"/>
      <c r="L353" s="294"/>
      <c r="M353" s="294"/>
      <c r="N353" s="294"/>
      <c r="O353" s="294"/>
      <c r="P353" s="294"/>
      <c r="Q353" s="294"/>
      <c r="R353" s="294"/>
      <c r="S353" s="294"/>
      <c r="T353" s="294"/>
      <c r="U353" s="294"/>
      <c r="V353" s="294"/>
      <c r="W353" s="294"/>
      <c r="X353" s="294"/>
    </row>
    <row r="354" spans="1:24" x14ac:dyDescent="0.25">
      <c r="A354" s="294"/>
      <c r="B354" s="313"/>
      <c r="C354" s="294"/>
      <c r="D354" s="294"/>
      <c r="E354" s="314"/>
      <c r="F354" s="314"/>
      <c r="G354" s="314"/>
      <c r="H354" s="311"/>
      <c r="I354" s="314"/>
      <c r="J354" s="306"/>
      <c r="K354" s="294"/>
      <c r="L354" s="294"/>
      <c r="M354" s="294"/>
      <c r="N354" s="294"/>
      <c r="O354" s="294"/>
      <c r="P354" s="294"/>
      <c r="Q354" s="294"/>
      <c r="R354" s="294"/>
      <c r="S354" s="294"/>
      <c r="T354" s="294"/>
      <c r="U354" s="294"/>
      <c r="V354" s="294"/>
      <c r="W354" s="294"/>
      <c r="X354" s="294"/>
    </row>
    <row r="355" spans="1:24" x14ac:dyDescent="0.25">
      <c r="A355" s="294"/>
      <c r="B355" s="313"/>
      <c r="C355" s="294"/>
      <c r="D355" s="294"/>
      <c r="E355" s="314"/>
      <c r="F355" s="314"/>
      <c r="G355" s="314"/>
      <c r="H355" s="311"/>
      <c r="I355" s="314"/>
      <c r="J355" s="306"/>
      <c r="K355" s="294"/>
      <c r="L355" s="294"/>
      <c r="M355" s="294"/>
      <c r="N355" s="294"/>
      <c r="O355" s="294"/>
      <c r="P355" s="294"/>
      <c r="Q355" s="294"/>
      <c r="R355" s="294"/>
      <c r="S355" s="294"/>
      <c r="T355" s="294"/>
      <c r="U355" s="294"/>
      <c r="V355" s="294"/>
      <c r="W355" s="294"/>
      <c r="X355" s="294"/>
    </row>
    <row r="356" spans="1:24" x14ac:dyDescent="0.25">
      <c r="A356" s="294"/>
      <c r="B356" s="313"/>
      <c r="C356" s="294"/>
      <c r="D356" s="294"/>
      <c r="E356" s="314"/>
      <c r="F356" s="314"/>
      <c r="G356" s="314"/>
      <c r="H356" s="311"/>
      <c r="I356" s="314"/>
      <c r="J356" s="306"/>
      <c r="K356" s="294"/>
      <c r="L356" s="294"/>
      <c r="M356" s="294"/>
      <c r="N356" s="294"/>
      <c r="O356" s="294"/>
      <c r="P356" s="294"/>
      <c r="Q356" s="294"/>
      <c r="R356" s="294"/>
      <c r="S356" s="294"/>
      <c r="T356" s="294"/>
      <c r="U356" s="294"/>
      <c r="V356" s="294"/>
      <c r="W356" s="294"/>
      <c r="X356" s="294"/>
    </row>
    <row r="357" spans="1:24" x14ac:dyDescent="0.25">
      <c r="A357" s="294"/>
      <c r="B357" s="313"/>
      <c r="C357" s="294"/>
      <c r="D357" s="294"/>
      <c r="E357" s="314"/>
      <c r="F357" s="314"/>
      <c r="G357" s="314"/>
      <c r="H357" s="311"/>
      <c r="I357" s="314"/>
      <c r="J357" s="306"/>
      <c r="K357" s="294"/>
      <c r="L357" s="294"/>
      <c r="M357" s="294"/>
      <c r="N357" s="294"/>
      <c r="O357" s="294"/>
      <c r="P357" s="294"/>
      <c r="Q357" s="294"/>
      <c r="R357" s="294"/>
      <c r="S357" s="294"/>
      <c r="T357" s="294"/>
      <c r="U357" s="294"/>
      <c r="V357" s="294"/>
      <c r="W357" s="294"/>
      <c r="X357" s="294"/>
    </row>
    <row r="358" spans="1:24" x14ac:dyDescent="0.25">
      <c r="A358" s="294"/>
      <c r="B358" s="313"/>
      <c r="C358" s="294"/>
      <c r="D358" s="294"/>
      <c r="E358" s="314"/>
      <c r="F358" s="314"/>
      <c r="G358" s="314"/>
      <c r="H358" s="311"/>
      <c r="I358" s="314"/>
      <c r="J358" s="306"/>
      <c r="K358" s="294"/>
      <c r="L358" s="294"/>
      <c r="M358" s="294"/>
      <c r="N358" s="294"/>
      <c r="O358" s="294"/>
      <c r="P358" s="294"/>
      <c r="Q358" s="294"/>
      <c r="R358" s="294"/>
      <c r="S358" s="294"/>
      <c r="T358" s="294"/>
      <c r="U358" s="294"/>
      <c r="V358" s="294"/>
      <c r="W358" s="294"/>
      <c r="X358" s="294"/>
    </row>
    <row r="359" spans="1:24" x14ac:dyDescent="0.25">
      <c r="A359" s="294"/>
      <c r="B359" s="313"/>
      <c r="C359" s="294"/>
      <c r="D359" s="294"/>
      <c r="E359" s="314"/>
      <c r="F359" s="314"/>
      <c r="G359" s="314"/>
      <c r="H359" s="311"/>
      <c r="I359" s="314"/>
      <c r="J359" s="306"/>
      <c r="K359" s="294"/>
      <c r="L359" s="294"/>
      <c r="M359" s="294"/>
      <c r="N359" s="294"/>
      <c r="O359" s="294"/>
      <c r="P359" s="294"/>
      <c r="Q359" s="294"/>
      <c r="R359" s="294"/>
      <c r="S359" s="294"/>
      <c r="T359" s="294"/>
      <c r="U359" s="294"/>
      <c r="V359" s="294"/>
      <c r="W359" s="294"/>
      <c r="X359" s="294"/>
    </row>
    <row r="360" spans="1:24" x14ac:dyDescent="0.25">
      <c r="A360" s="294"/>
      <c r="B360" s="313"/>
      <c r="C360" s="294"/>
      <c r="D360" s="294"/>
      <c r="E360" s="314"/>
      <c r="F360" s="314"/>
      <c r="G360" s="314"/>
      <c r="H360" s="311"/>
      <c r="I360" s="314"/>
      <c r="J360" s="306"/>
      <c r="K360" s="294"/>
      <c r="L360" s="294"/>
      <c r="M360" s="294"/>
      <c r="N360" s="294"/>
      <c r="O360" s="294"/>
      <c r="P360" s="294"/>
      <c r="Q360" s="294"/>
      <c r="R360" s="294"/>
      <c r="S360" s="294"/>
      <c r="T360" s="294"/>
      <c r="U360" s="294"/>
      <c r="V360" s="294"/>
      <c r="W360" s="294"/>
      <c r="X360" s="294"/>
    </row>
    <row r="361" spans="1:24" x14ac:dyDescent="0.25">
      <c r="A361" s="294"/>
      <c r="B361" s="313"/>
      <c r="C361" s="294"/>
      <c r="D361" s="294"/>
      <c r="E361" s="314"/>
      <c r="F361" s="314"/>
      <c r="G361" s="314"/>
      <c r="H361" s="311"/>
      <c r="I361" s="314"/>
      <c r="J361" s="306"/>
      <c r="K361" s="294"/>
      <c r="L361" s="294"/>
      <c r="M361" s="294"/>
      <c r="N361" s="294"/>
      <c r="O361" s="294"/>
      <c r="P361" s="294"/>
      <c r="Q361" s="294"/>
      <c r="R361" s="294"/>
      <c r="S361" s="294"/>
      <c r="T361" s="294"/>
      <c r="U361" s="294"/>
      <c r="V361" s="294"/>
      <c r="W361" s="294"/>
      <c r="X361" s="294"/>
    </row>
    <row r="362" spans="1:24" x14ac:dyDescent="0.25">
      <c r="A362" s="294"/>
      <c r="B362" s="313"/>
      <c r="C362" s="294"/>
      <c r="D362" s="294"/>
      <c r="E362" s="314"/>
      <c r="F362" s="314"/>
      <c r="G362" s="314"/>
      <c r="H362" s="311"/>
      <c r="I362" s="314"/>
      <c r="J362" s="306"/>
      <c r="K362" s="294"/>
      <c r="L362" s="294"/>
      <c r="M362" s="294"/>
      <c r="N362" s="294"/>
      <c r="O362" s="294"/>
      <c r="P362" s="294"/>
      <c r="Q362" s="294"/>
      <c r="R362" s="294"/>
      <c r="S362" s="294"/>
      <c r="T362" s="294"/>
      <c r="U362" s="294"/>
      <c r="V362" s="294"/>
      <c r="W362" s="294"/>
      <c r="X362" s="294"/>
    </row>
    <row r="363" spans="1:24" x14ac:dyDescent="0.25">
      <c r="A363" s="294"/>
      <c r="B363" s="313"/>
      <c r="C363" s="294"/>
      <c r="D363" s="294"/>
      <c r="E363" s="314"/>
      <c r="F363" s="314"/>
      <c r="G363" s="314"/>
      <c r="H363" s="311"/>
      <c r="I363" s="314"/>
      <c r="J363" s="306"/>
      <c r="K363" s="294"/>
      <c r="L363" s="294"/>
      <c r="M363" s="294"/>
      <c r="N363" s="294"/>
      <c r="O363" s="294"/>
      <c r="P363" s="294"/>
      <c r="Q363" s="294"/>
      <c r="R363" s="294"/>
      <c r="S363" s="294"/>
      <c r="T363" s="294"/>
      <c r="U363" s="294"/>
      <c r="V363" s="294"/>
      <c r="W363" s="294"/>
      <c r="X363" s="294"/>
    </row>
    <row r="364" spans="1:24" x14ac:dyDescent="0.25">
      <c r="A364" s="294"/>
      <c r="B364" s="313"/>
      <c r="C364" s="294"/>
      <c r="D364" s="294"/>
      <c r="E364" s="314"/>
      <c r="F364" s="314"/>
      <c r="G364" s="314"/>
      <c r="H364" s="311"/>
      <c r="I364" s="314"/>
      <c r="J364" s="306"/>
      <c r="K364" s="294"/>
      <c r="L364" s="294"/>
      <c r="M364" s="294"/>
      <c r="N364" s="294"/>
      <c r="O364" s="294"/>
      <c r="P364" s="294"/>
      <c r="Q364" s="294"/>
      <c r="R364" s="294"/>
      <c r="S364" s="294"/>
      <c r="T364" s="294"/>
      <c r="U364" s="294"/>
      <c r="V364" s="294"/>
      <c r="W364" s="294"/>
      <c r="X364" s="294"/>
    </row>
    <row r="365" spans="1:24" x14ac:dyDescent="0.25">
      <c r="A365" s="294"/>
      <c r="B365" s="313"/>
      <c r="C365" s="294"/>
      <c r="D365" s="294"/>
      <c r="E365" s="314"/>
      <c r="F365" s="314"/>
      <c r="G365" s="314"/>
      <c r="H365" s="311"/>
      <c r="I365" s="314"/>
      <c r="J365" s="306"/>
      <c r="K365" s="294"/>
      <c r="L365" s="294"/>
      <c r="M365" s="294"/>
      <c r="N365" s="294"/>
      <c r="O365" s="294"/>
      <c r="P365" s="294"/>
      <c r="Q365" s="294"/>
      <c r="R365" s="294"/>
      <c r="S365" s="294"/>
      <c r="T365" s="294"/>
      <c r="U365" s="294"/>
      <c r="V365" s="294"/>
      <c r="W365" s="294"/>
      <c r="X365" s="294"/>
    </row>
    <row r="366" spans="1:24" x14ac:dyDescent="0.25">
      <c r="A366" s="294"/>
      <c r="B366" s="313"/>
      <c r="C366" s="294"/>
      <c r="D366" s="294"/>
      <c r="E366" s="314"/>
      <c r="F366" s="314"/>
      <c r="G366" s="314"/>
      <c r="H366" s="311"/>
      <c r="I366" s="314"/>
      <c r="J366" s="306"/>
      <c r="K366" s="294"/>
      <c r="L366" s="294"/>
      <c r="M366" s="294"/>
      <c r="N366" s="294"/>
      <c r="O366" s="294"/>
      <c r="P366" s="294"/>
      <c r="Q366" s="294"/>
      <c r="R366" s="294"/>
      <c r="S366" s="294"/>
      <c r="T366" s="294"/>
      <c r="U366" s="294"/>
      <c r="V366" s="294"/>
      <c r="W366" s="294"/>
      <c r="X366" s="294"/>
    </row>
    <row r="367" spans="1:24" x14ac:dyDescent="0.25">
      <c r="A367" s="294"/>
      <c r="B367" s="313"/>
      <c r="C367" s="294"/>
      <c r="D367" s="294"/>
      <c r="E367" s="314"/>
      <c r="F367" s="314"/>
      <c r="G367" s="314"/>
      <c r="H367" s="311"/>
      <c r="I367" s="314"/>
      <c r="J367" s="306"/>
      <c r="K367" s="294"/>
      <c r="L367" s="294"/>
      <c r="M367" s="294"/>
      <c r="N367" s="294"/>
      <c r="O367" s="294"/>
      <c r="P367" s="294"/>
      <c r="Q367" s="294"/>
      <c r="R367" s="294"/>
      <c r="S367" s="294"/>
      <c r="T367" s="294"/>
      <c r="U367" s="294"/>
      <c r="V367" s="294"/>
      <c r="W367" s="294"/>
      <c r="X367" s="294"/>
    </row>
    <row r="368" spans="1:24" x14ac:dyDescent="0.25">
      <c r="A368" s="294"/>
      <c r="B368" s="313"/>
      <c r="C368" s="294"/>
      <c r="D368" s="294"/>
      <c r="E368" s="314"/>
      <c r="F368" s="314"/>
      <c r="G368" s="314"/>
      <c r="H368" s="311"/>
      <c r="I368" s="314"/>
      <c r="J368" s="306"/>
      <c r="K368" s="294"/>
      <c r="L368" s="294"/>
      <c r="M368" s="294"/>
      <c r="N368" s="294"/>
      <c r="O368" s="294"/>
      <c r="P368" s="294"/>
      <c r="Q368" s="294"/>
      <c r="R368" s="294"/>
      <c r="S368" s="294"/>
      <c r="T368" s="294"/>
      <c r="U368" s="294"/>
      <c r="V368" s="294"/>
      <c r="W368" s="294"/>
      <c r="X368" s="294"/>
    </row>
    <row r="369" spans="1:24" x14ac:dyDescent="0.25">
      <c r="A369" s="294"/>
      <c r="B369" s="313"/>
      <c r="C369" s="294"/>
      <c r="D369" s="294"/>
      <c r="E369" s="314"/>
      <c r="F369" s="314"/>
      <c r="G369" s="314"/>
      <c r="H369" s="311"/>
      <c r="I369" s="314"/>
      <c r="J369" s="306"/>
      <c r="K369" s="294"/>
      <c r="L369" s="294"/>
      <c r="M369" s="294"/>
      <c r="N369" s="294"/>
      <c r="O369" s="294"/>
      <c r="P369" s="294"/>
      <c r="Q369" s="294"/>
      <c r="R369" s="294"/>
      <c r="S369" s="294"/>
      <c r="T369" s="294"/>
      <c r="U369" s="294"/>
      <c r="V369" s="294"/>
      <c r="W369" s="294"/>
      <c r="X369" s="294"/>
    </row>
    <row r="370" spans="1:24" x14ac:dyDescent="0.25">
      <c r="A370" s="294"/>
      <c r="B370" s="313"/>
      <c r="C370" s="294"/>
      <c r="D370" s="294"/>
      <c r="E370" s="314"/>
      <c r="F370" s="314"/>
      <c r="G370" s="314"/>
      <c r="H370" s="311"/>
      <c r="I370" s="314"/>
      <c r="J370" s="306"/>
      <c r="K370" s="294"/>
      <c r="L370" s="294"/>
      <c r="M370" s="294"/>
      <c r="N370" s="294"/>
      <c r="O370" s="294"/>
      <c r="P370" s="294"/>
      <c r="Q370" s="294"/>
      <c r="R370" s="294"/>
      <c r="S370" s="294"/>
      <c r="T370" s="294"/>
      <c r="U370" s="294"/>
      <c r="V370" s="294"/>
      <c r="W370" s="294"/>
      <c r="X370" s="294"/>
    </row>
    <row r="371" spans="1:24" x14ac:dyDescent="0.25">
      <c r="A371" s="294"/>
      <c r="B371" s="313"/>
      <c r="C371" s="294"/>
      <c r="D371" s="294"/>
      <c r="E371" s="314"/>
      <c r="F371" s="314"/>
      <c r="G371" s="314"/>
      <c r="H371" s="311"/>
      <c r="I371" s="314"/>
      <c r="J371" s="306"/>
      <c r="K371" s="294"/>
      <c r="L371" s="294"/>
      <c r="M371" s="294"/>
      <c r="N371" s="294"/>
      <c r="O371" s="294"/>
      <c r="P371" s="294"/>
      <c r="Q371" s="294"/>
      <c r="R371" s="294"/>
      <c r="S371" s="294"/>
      <c r="T371" s="294"/>
      <c r="U371" s="294"/>
      <c r="V371" s="294"/>
      <c r="W371" s="294"/>
      <c r="X371" s="294"/>
    </row>
    <row r="372" spans="1:24" x14ac:dyDescent="0.25">
      <c r="A372" s="294"/>
      <c r="B372" s="313"/>
      <c r="C372" s="294"/>
      <c r="D372" s="294"/>
      <c r="E372" s="314"/>
      <c r="F372" s="314"/>
      <c r="G372" s="314"/>
      <c r="H372" s="311"/>
      <c r="I372" s="314"/>
      <c r="J372" s="306"/>
      <c r="K372" s="294"/>
      <c r="L372" s="294"/>
      <c r="M372" s="294"/>
      <c r="N372" s="294"/>
      <c r="O372" s="294"/>
      <c r="P372" s="294"/>
      <c r="Q372" s="294"/>
      <c r="R372" s="294"/>
      <c r="S372" s="294"/>
      <c r="T372" s="294"/>
      <c r="U372" s="294"/>
      <c r="V372" s="294"/>
      <c r="W372" s="294"/>
      <c r="X372" s="294"/>
    </row>
    <row r="373" spans="1:24" x14ac:dyDescent="0.25">
      <c r="A373" s="294"/>
      <c r="B373" s="313"/>
      <c r="C373" s="294"/>
      <c r="D373" s="294"/>
      <c r="E373" s="314"/>
      <c r="F373" s="314"/>
      <c r="G373" s="314"/>
      <c r="H373" s="311"/>
      <c r="I373" s="314"/>
      <c r="J373" s="306"/>
      <c r="K373" s="294"/>
      <c r="L373" s="294"/>
      <c r="M373" s="294"/>
      <c r="N373" s="294"/>
      <c r="O373" s="294"/>
      <c r="P373" s="294"/>
      <c r="Q373" s="294"/>
      <c r="R373" s="294"/>
      <c r="S373" s="294"/>
      <c r="T373" s="294"/>
      <c r="U373" s="294"/>
      <c r="V373" s="294"/>
      <c r="W373" s="294"/>
      <c r="X373" s="294"/>
    </row>
    <row r="374" spans="1:24" x14ac:dyDescent="0.25">
      <c r="A374" s="294"/>
      <c r="B374" s="313"/>
      <c r="C374" s="294"/>
      <c r="D374" s="294"/>
      <c r="E374" s="314"/>
      <c r="F374" s="314"/>
      <c r="G374" s="314"/>
      <c r="H374" s="311"/>
      <c r="I374" s="314"/>
      <c r="J374" s="306"/>
      <c r="K374" s="294"/>
      <c r="L374" s="294"/>
      <c r="M374" s="294"/>
      <c r="N374" s="294"/>
      <c r="O374" s="294"/>
      <c r="P374" s="294"/>
      <c r="Q374" s="294"/>
      <c r="R374" s="294"/>
      <c r="S374" s="294"/>
      <c r="T374" s="294"/>
      <c r="U374" s="294"/>
      <c r="V374" s="294"/>
      <c r="W374" s="294"/>
      <c r="X374" s="294"/>
    </row>
    <row r="375" spans="1:24" x14ac:dyDescent="0.25">
      <c r="A375" s="294"/>
      <c r="B375" s="313"/>
      <c r="C375" s="294"/>
      <c r="D375" s="294"/>
      <c r="E375" s="314"/>
      <c r="F375" s="314"/>
      <c r="G375" s="314"/>
      <c r="H375" s="311"/>
      <c r="I375" s="314"/>
      <c r="J375" s="306"/>
      <c r="K375" s="294"/>
      <c r="L375" s="294"/>
      <c r="M375" s="294"/>
      <c r="N375" s="294"/>
      <c r="O375" s="294"/>
      <c r="P375" s="294"/>
      <c r="Q375" s="294"/>
      <c r="R375" s="294"/>
      <c r="S375" s="294"/>
      <c r="T375" s="294"/>
      <c r="U375" s="294"/>
      <c r="V375" s="294"/>
      <c r="W375" s="294"/>
      <c r="X375" s="294"/>
    </row>
    <row r="376" spans="1:24" x14ac:dyDescent="0.25">
      <c r="A376" s="294"/>
      <c r="B376" s="313"/>
      <c r="C376" s="294"/>
      <c r="D376" s="294"/>
      <c r="E376" s="314"/>
      <c r="F376" s="314"/>
      <c r="G376" s="314"/>
      <c r="H376" s="311"/>
      <c r="I376" s="314"/>
      <c r="J376" s="306"/>
      <c r="K376" s="294"/>
      <c r="L376" s="294"/>
      <c r="M376" s="294"/>
      <c r="N376" s="294"/>
      <c r="O376" s="294"/>
      <c r="P376" s="294"/>
      <c r="Q376" s="294"/>
      <c r="R376" s="294"/>
      <c r="S376" s="294"/>
      <c r="T376" s="294"/>
      <c r="U376" s="294"/>
      <c r="V376" s="294"/>
      <c r="W376" s="294"/>
      <c r="X376" s="294"/>
    </row>
    <row r="377" spans="1:24" x14ac:dyDescent="0.25">
      <c r="A377" s="294"/>
      <c r="B377" s="313"/>
      <c r="C377" s="294"/>
      <c r="D377" s="294"/>
      <c r="E377" s="314"/>
      <c r="F377" s="314"/>
      <c r="G377" s="314"/>
      <c r="H377" s="311"/>
      <c r="I377" s="314"/>
      <c r="J377" s="306"/>
      <c r="K377" s="294"/>
      <c r="L377" s="294"/>
      <c r="M377" s="294"/>
      <c r="N377" s="294"/>
      <c r="O377" s="294"/>
      <c r="P377" s="294"/>
      <c r="Q377" s="294"/>
      <c r="R377" s="294"/>
      <c r="S377" s="294"/>
      <c r="T377" s="294"/>
      <c r="U377" s="294"/>
      <c r="V377" s="294"/>
      <c r="W377" s="294"/>
      <c r="X377" s="294"/>
    </row>
    <row r="378" spans="1:24" x14ac:dyDescent="0.25">
      <c r="A378" s="294"/>
      <c r="B378" s="313"/>
      <c r="C378" s="294"/>
      <c r="D378" s="294"/>
      <c r="E378" s="314"/>
      <c r="F378" s="314"/>
      <c r="G378" s="314"/>
      <c r="H378" s="311"/>
      <c r="I378" s="314"/>
      <c r="J378" s="306"/>
      <c r="K378" s="294"/>
      <c r="L378" s="294"/>
      <c r="M378" s="294"/>
      <c r="N378" s="294"/>
      <c r="O378" s="294"/>
      <c r="P378" s="294"/>
      <c r="Q378" s="294"/>
      <c r="R378" s="294"/>
      <c r="S378" s="294"/>
      <c r="T378" s="294"/>
      <c r="U378" s="294"/>
      <c r="V378" s="294"/>
      <c r="W378" s="294"/>
      <c r="X378" s="294"/>
    </row>
    <row r="379" spans="1:24" x14ac:dyDescent="0.25">
      <c r="A379" s="294"/>
      <c r="B379" s="313"/>
      <c r="C379" s="294"/>
      <c r="D379" s="294"/>
      <c r="E379" s="314"/>
      <c r="F379" s="314"/>
      <c r="G379" s="314"/>
      <c r="H379" s="311"/>
      <c r="I379" s="314"/>
      <c r="J379" s="306"/>
      <c r="K379" s="294"/>
      <c r="L379" s="294"/>
      <c r="M379" s="294"/>
      <c r="N379" s="294"/>
      <c r="O379" s="294"/>
      <c r="P379" s="294"/>
      <c r="Q379" s="294"/>
      <c r="R379" s="294"/>
      <c r="S379" s="294"/>
      <c r="T379" s="294"/>
      <c r="U379" s="294"/>
      <c r="V379" s="294"/>
      <c r="W379" s="294"/>
      <c r="X379" s="294"/>
    </row>
    <row r="380" spans="1:24" x14ac:dyDescent="0.25">
      <c r="A380" s="294"/>
      <c r="B380" s="313"/>
      <c r="C380" s="294"/>
      <c r="D380" s="294"/>
      <c r="E380" s="314"/>
      <c r="F380" s="314"/>
      <c r="G380" s="314"/>
      <c r="H380" s="311"/>
      <c r="I380" s="314"/>
      <c r="J380" s="306"/>
      <c r="K380" s="294"/>
      <c r="L380" s="294"/>
      <c r="M380" s="294"/>
      <c r="N380" s="294"/>
      <c r="O380" s="294"/>
      <c r="P380" s="294"/>
      <c r="Q380" s="294"/>
      <c r="R380" s="294"/>
      <c r="S380" s="294"/>
      <c r="T380" s="294"/>
      <c r="U380" s="294"/>
      <c r="V380" s="294"/>
      <c r="W380" s="294"/>
      <c r="X380" s="294"/>
    </row>
    <row r="381" spans="1:24" x14ac:dyDescent="0.25">
      <c r="A381" s="294"/>
      <c r="B381" s="313"/>
      <c r="C381" s="294"/>
      <c r="D381" s="294"/>
      <c r="E381" s="314"/>
      <c r="F381" s="314"/>
      <c r="G381" s="314"/>
      <c r="H381" s="311"/>
      <c r="I381" s="314"/>
      <c r="J381" s="306"/>
      <c r="K381" s="294"/>
      <c r="L381" s="294"/>
      <c r="M381" s="294"/>
      <c r="N381" s="294"/>
      <c r="O381" s="294"/>
      <c r="P381" s="294"/>
      <c r="Q381" s="294"/>
      <c r="R381" s="294"/>
      <c r="S381" s="294"/>
      <c r="T381" s="294"/>
      <c r="U381" s="294"/>
      <c r="V381" s="294"/>
      <c r="W381" s="294"/>
      <c r="X381" s="294"/>
    </row>
    <row r="382" spans="1:24" x14ac:dyDescent="0.25">
      <c r="A382" s="294"/>
      <c r="B382" s="313"/>
      <c r="C382" s="294"/>
      <c r="D382" s="294"/>
      <c r="E382" s="314"/>
      <c r="F382" s="314"/>
      <c r="G382" s="314"/>
      <c r="H382" s="311"/>
      <c r="I382" s="314"/>
      <c r="J382" s="306"/>
      <c r="K382" s="294"/>
      <c r="L382" s="294"/>
      <c r="M382" s="294"/>
      <c r="N382" s="294"/>
      <c r="O382" s="294"/>
      <c r="P382" s="294"/>
      <c r="Q382" s="294"/>
      <c r="R382" s="294"/>
      <c r="S382" s="294"/>
      <c r="T382" s="294"/>
      <c r="U382" s="294"/>
      <c r="V382" s="294"/>
      <c r="W382" s="294"/>
      <c r="X382" s="294"/>
    </row>
    <row r="383" spans="1:24" x14ac:dyDescent="0.25">
      <c r="A383" s="294"/>
      <c r="B383" s="313"/>
      <c r="C383" s="294"/>
      <c r="D383" s="294"/>
      <c r="E383" s="314"/>
      <c r="F383" s="314"/>
      <c r="G383" s="314"/>
      <c r="H383" s="311"/>
      <c r="I383" s="314"/>
      <c r="J383" s="306"/>
      <c r="K383" s="294"/>
      <c r="L383" s="294"/>
      <c r="M383" s="294"/>
      <c r="N383" s="294"/>
      <c r="O383" s="294"/>
      <c r="P383" s="294"/>
      <c r="Q383" s="294"/>
      <c r="R383" s="294"/>
      <c r="S383" s="294"/>
      <c r="T383" s="294"/>
      <c r="U383" s="294"/>
      <c r="V383" s="294"/>
      <c r="W383" s="294"/>
      <c r="X383" s="294"/>
    </row>
    <row r="384" spans="1:24" x14ac:dyDescent="0.25">
      <c r="A384" s="294"/>
      <c r="B384" s="313"/>
      <c r="C384" s="294"/>
      <c r="D384" s="294"/>
      <c r="E384" s="314"/>
      <c r="F384" s="314"/>
      <c r="G384" s="314"/>
      <c r="H384" s="311"/>
      <c r="I384" s="314"/>
      <c r="J384" s="306"/>
      <c r="K384" s="294"/>
      <c r="L384" s="294"/>
      <c r="M384" s="294"/>
      <c r="N384" s="294"/>
      <c r="O384" s="294"/>
      <c r="P384" s="294"/>
      <c r="Q384" s="294"/>
      <c r="R384" s="294"/>
      <c r="S384" s="294"/>
      <c r="T384" s="294"/>
      <c r="U384" s="294"/>
      <c r="V384" s="294"/>
      <c r="W384" s="294"/>
      <c r="X384" s="294"/>
    </row>
    <row r="385" spans="1:24" x14ac:dyDescent="0.25">
      <c r="A385" s="294"/>
      <c r="B385" s="313"/>
      <c r="C385" s="294"/>
      <c r="D385" s="294"/>
      <c r="E385" s="314"/>
      <c r="F385" s="314"/>
      <c r="G385" s="314"/>
      <c r="H385" s="311"/>
      <c r="I385" s="314"/>
      <c r="J385" s="306"/>
      <c r="K385" s="294"/>
      <c r="L385" s="294"/>
      <c r="M385" s="294"/>
      <c r="N385" s="294"/>
      <c r="O385" s="294"/>
      <c r="P385" s="294"/>
      <c r="Q385" s="294"/>
      <c r="R385" s="294"/>
      <c r="S385" s="294"/>
      <c r="T385" s="294"/>
      <c r="U385" s="294"/>
      <c r="V385" s="294"/>
      <c r="W385" s="294"/>
      <c r="X385" s="294"/>
    </row>
    <row r="386" spans="1:24" x14ac:dyDescent="0.25">
      <c r="A386" s="294"/>
      <c r="B386" s="313"/>
      <c r="C386" s="294"/>
      <c r="D386" s="294"/>
      <c r="E386" s="314"/>
      <c r="F386" s="314"/>
      <c r="G386" s="314"/>
      <c r="H386" s="311"/>
      <c r="I386" s="314"/>
      <c r="J386" s="306"/>
      <c r="K386" s="294"/>
      <c r="L386" s="294"/>
      <c r="M386" s="294"/>
      <c r="N386" s="294"/>
      <c r="O386" s="294"/>
      <c r="P386" s="294"/>
      <c r="Q386" s="294"/>
      <c r="R386" s="294"/>
      <c r="S386" s="294"/>
      <c r="T386" s="294"/>
      <c r="U386" s="294"/>
      <c r="V386" s="294"/>
      <c r="W386" s="294"/>
      <c r="X386" s="294"/>
    </row>
    <row r="387" spans="1:24" x14ac:dyDescent="0.25">
      <c r="A387" s="294"/>
      <c r="B387" s="313"/>
      <c r="C387" s="294"/>
      <c r="D387" s="294"/>
      <c r="E387" s="314"/>
      <c r="F387" s="314"/>
      <c r="G387" s="314"/>
      <c r="H387" s="311"/>
      <c r="I387" s="314"/>
      <c r="J387" s="306"/>
      <c r="K387" s="294"/>
      <c r="L387" s="294"/>
      <c r="M387" s="294"/>
      <c r="N387" s="294"/>
      <c r="O387" s="294"/>
      <c r="P387" s="294"/>
      <c r="Q387" s="294"/>
      <c r="R387" s="294"/>
      <c r="S387" s="294"/>
      <c r="T387" s="294"/>
      <c r="U387" s="294"/>
      <c r="V387" s="294"/>
      <c r="W387" s="294"/>
      <c r="X387" s="294"/>
    </row>
    <row r="388" spans="1:24" x14ac:dyDescent="0.25">
      <c r="A388" s="294"/>
      <c r="B388" s="313"/>
      <c r="C388" s="294"/>
      <c r="D388" s="294"/>
      <c r="E388" s="314"/>
      <c r="F388" s="314"/>
      <c r="G388" s="314"/>
      <c r="H388" s="311"/>
      <c r="I388" s="314"/>
      <c r="J388" s="306"/>
      <c r="K388" s="294"/>
      <c r="L388" s="294"/>
      <c r="M388" s="294"/>
      <c r="N388" s="294"/>
      <c r="O388" s="294"/>
      <c r="P388" s="294"/>
      <c r="Q388" s="294"/>
      <c r="R388" s="294"/>
      <c r="S388" s="294"/>
      <c r="T388" s="294"/>
      <c r="U388" s="294"/>
      <c r="V388" s="294"/>
      <c r="W388" s="294"/>
      <c r="X388" s="294"/>
    </row>
    <row r="389" spans="1:24" x14ac:dyDescent="0.25">
      <c r="A389" s="294"/>
      <c r="B389" s="313"/>
      <c r="C389" s="294"/>
      <c r="D389" s="294"/>
      <c r="E389" s="314"/>
      <c r="F389" s="314"/>
      <c r="G389" s="314"/>
      <c r="H389" s="311"/>
      <c r="I389" s="314"/>
      <c r="J389" s="306"/>
      <c r="K389" s="294"/>
      <c r="L389" s="294"/>
      <c r="M389" s="294"/>
      <c r="N389" s="294"/>
      <c r="O389" s="294"/>
      <c r="P389" s="294"/>
      <c r="Q389" s="294"/>
      <c r="R389" s="294"/>
      <c r="S389" s="294"/>
      <c r="T389" s="294"/>
      <c r="U389" s="294"/>
      <c r="V389" s="294"/>
      <c r="W389" s="294"/>
      <c r="X389" s="294"/>
    </row>
    <row r="390" spans="1:24" x14ac:dyDescent="0.25">
      <c r="A390" s="294"/>
      <c r="B390" s="313"/>
      <c r="C390" s="294"/>
      <c r="D390" s="294"/>
      <c r="E390" s="314"/>
      <c r="F390" s="314"/>
      <c r="G390" s="314"/>
      <c r="H390" s="311"/>
      <c r="I390" s="314"/>
      <c r="J390" s="306"/>
      <c r="K390" s="294"/>
      <c r="L390" s="294"/>
      <c r="M390" s="294"/>
      <c r="N390" s="294"/>
      <c r="O390" s="294"/>
      <c r="P390" s="294"/>
      <c r="Q390" s="294"/>
      <c r="R390" s="294"/>
      <c r="S390" s="294"/>
      <c r="T390" s="294"/>
      <c r="U390" s="294"/>
      <c r="V390" s="294"/>
      <c r="W390" s="294"/>
      <c r="X390" s="294"/>
    </row>
    <row r="391" spans="1:24" x14ac:dyDescent="0.25">
      <c r="A391" s="294"/>
      <c r="B391" s="313"/>
      <c r="C391" s="294"/>
      <c r="D391" s="294"/>
      <c r="E391" s="314"/>
      <c r="F391" s="314"/>
      <c r="G391" s="314"/>
      <c r="H391" s="311"/>
      <c r="I391" s="314"/>
      <c r="J391" s="306"/>
      <c r="K391" s="294"/>
      <c r="L391" s="294"/>
      <c r="M391" s="294"/>
      <c r="N391" s="294"/>
      <c r="O391" s="294"/>
      <c r="P391" s="294"/>
      <c r="Q391" s="294"/>
      <c r="R391" s="294"/>
      <c r="S391" s="294"/>
      <c r="T391" s="294"/>
      <c r="U391" s="294"/>
      <c r="V391" s="294"/>
      <c r="W391" s="294"/>
      <c r="X391" s="294"/>
    </row>
    <row r="392" spans="1:24" x14ac:dyDescent="0.25">
      <c r="A392" s="294"/>
      <c r="B392" s="313"/>
      <c r="C392" s="294"/>
      <c r="D392" s="294"/>
      <c r="E392" s="314"/>
      <c r="F392" s="314"/>
      <c r="G392" s="314"/>
      <c r="H392" s="311"/>
      <c r="I392" s="314"/>
      <c r="J392" s="306"/>
      <c r="K392" s="294"/>
      <c r="L392" s="294"/>
      <c r="M392" s="294"/>
      <c r="N392" s="294"/>
      <c r="O392" s="294"/>
      <c r="P392" s="294"/>
      <c r="Q392" s="294"/>
      <c r="R392" s="294"/>
      <c r="S392" s="294"/>
      <c r="T392" s="294"/>
      <c r="U392" s="294"/>
      <c r="V392" s="294"/>
      <c r="W392" s="294"/>
      <c r="X392" s="294"/>
    </row>
    <row r="393" spans="1:24" x14ac:dyDescent="0.25">
      <c r="A393" s="294"/>
      <c r="B393" s="313"/>
      <c r="C393" s="294"/>
      <c r="D393" s="294"/>
      <c r="E393" s="314"/>
      <c r="F393" s="314"/>
      <c r="G393" s="314"/>
      <c r="H393" s="311"/>
      <c r="I393" s="314"/>
      <c r="J393" s="306"/>
      <c r="K393" s="294"/>
      <c r="L393" s="294"/>
      <c r="M393" s="294"/>
      <c r="N393" s="294"/>
      <c r="O393" s="294"/>
      <c r="P393" s="294"/>
      <c r="Q393" s="294"/>
      <c r="R393" s="294"/>
      <c r="S393" s="294"/>
      <c r="T393" s="294"/>
      <c r="U393" s="294"/>
      <c r="V393" s="294"/>
      <c r="W393" s="294"/>
      <c r="X393" s="294"/>
    </row>
    <row r="394" spans="1:24" x14ac:dyDescent="0.25">
      <c r="A394" s="294"/>
      <c r="B394" s="313"/>
      <c r="C394" s="294"/>
      <c r="D394" s="294"/>
      <c r="E394" s="314"/>
      <c r="F394" s="314"/>
      <c r="G394" s="314"/>
      <c r="H394" s="311"/>
      <c r="I394" s="314"/>
      <c r="J394" s="306"/>
      <c r="K394" s="294"/>
      <c r="L394" s="294"/>
      <c r="M394" s="294"/>
      <c r="N394" s="294"/>
      <c r="O394" s="294"/>
      <c r="P394" s="294"/>
      <c r="Q394" s="294"/>
      <c r="R394" s="294"/>
      <c r="S394" s="294"/>
      <c r="T394" s="294"/>
      <c r="U394" s="294"/>
      <c r="V394" s="294"/>
      <c r="W394" s="294"/>
      <c r="X394" s="294"/>
    </row>
    <row r="395" spans="1:24" x14ac:dyDescent="0.25">
      <c r="A395" s="294"/>
      <c r="B395" s="313"/>
      <c r="C395" s="294"/>
      <c r="D395" s="294"/>
      <c r="E395" s="314"/>
      <c r="F395" s="314"/>
      <c r="G395" s="314"/>
      <c r="H395" s="311"/>
      <c r="I395" s="314"/>
      <c r="J395" s="306"/>
      <c r="K395" s="294"/>
      <c r="L395" s="294"/>
      <c r="M395" s="294"/>
      <c r="N395" s="294"/>
      <c r="O395" s="294"/>
      <c r="P395" s="294"/>
      <c r="Q395" s="294"/>
      <c r="R395" s="294"/>
      <c r="S395" s="294"/>
      <c r="T395" s="294"/>
      <c r="U395" s="294"/>
      <c r="V395" s="294"/>
      <c r="W395" s="294"/>
      <c r="X395" s="294"/>
    </row>
    <row r="396" spans="1:24" x14ac:dyDescent="0.25">
      <c r="A396" s="294"/>
      <c r="B396" s="313"/>
      <c r="C396" s="294"/>
      <c r="D396" s="294"/>
      <c r="E396" s="314"/>
      <c r="F396" s="314"/>
      <c r="G396" s="314"/>
      <c r="H396" s="311"/>
      <c r="I396" s="314"/>
      <c r="J396" s="306"/>
      <c r="K396" s="294"/>
      <c r="L396" s="294"/>
      <c r="M396" s="294"/>
      <c r="N396" s="294"/>
      <c r="O396" s="294"/>
      <c r="P396" s="294"/>
      <c r="Q396" s="294"/>
      <c r="R396" s="294"/>
      <c r="S396" s="294"/>
      <c r="T396" s="294"/>
      <c r="U396" s="294"/>
      <c r="V396" s="294"/>
      <c r="W396" s="294"/>
      <c r="X396" s="294"/>
    </row>
    <row r="397" spans="1:24" x14ac:dyDescent="0.25">
      <c r="A397" s="294"/>
      <c r="B397" s="313"/>
      <c r="C397" s="294"/>
      <c r="D397" s="294"/>
      <c r="E397" s="314"/>
      <c r="F397" s="314"/>
      <c r="G397" s="314"/>
      <c r="H397" s="311"/>
      <c r="I397" s="314"/>
      <c r="J397" s="306"/>
      <c r="K397" s="294"/>
      <c r="L397" s="294"/>
      <c r="M397" s="294"/>
      <c r="N397" s="294"/>
      <c r="O397" s="294"/>
      <c r="P397" s="294"/>
      <c r="Q397" s="294"/>
      <c r="R397" s="294"/>
      <c r="S397" s="294"/>
      <c r="T397" s="294"/>
      <c r="U397" s="294"/>
      <c r="V397" s="294"/>
      <c r="W397" s="294"/>
      <c r="X397" s="294"/>
    </row>
    <row r="398" spans="1:24" x14ac:dyDescent="0.25">
      <c r="A398" s="294"/>
      <c r="B398" s="313"/>
      <c r="C398" s="294"/>
      <c r="D398" s="294"/>
      <c r="E398" s="314"/>
      <c r="F398" s="314"/>
      <c r="G398" s="314"/>
      <c r="H398" s="311"/>
      <c r="I398" s="314"/>
      <c r="J398" s="306"/>
      <c r="K398" s="294"/>
      <c r="L398" s="294"/>
      <c r="M398" s="294"/>
      <c r="N398" s="294"/>
      <c r="O398" s="294"/>
      <c r="P398" s="294"/>
      <c r="Q398" s="294"/>
      <c r="R398" s="294"/>
      <c r="S398" s="294"/>
      <c r="T398" s="294"/>
      <c r="U398" s="294"/>
      <c r="V398" s="294"/>
      <c r="W398" s="294"/>
      <c r="X398" s="294"/>
    </row>
    <row r="399" spans="1:24" x14ac:dyDescent="0.25">
      <c r="A399" s="294"/>
      <c r="B399" s="313"/>
      <c r="C399" s="294"/>
      <c r="D399" s="294"/>
      <c r="E399" s="314"/>
      <c r="F399" s="314"/>
      <c r="G399" s="314"/>
      <c r="H399" s="311"/>
      <c r="I399" s="314"/>
      <c r="J399" s="306"/>
      <c r="K399" s="294"/>
      <c r="L399" s="294"/>
      <c r="M399" s="294"/>
      <c r="N399" s="294"/>
      <c r="O399" s="294"/>
      <c r="P399" s="294"/>
      <c r="Q399" s="294"/>
      <c r="R399" s="294"/>
      <c r="S399" s="294"/>
      <c r="T399" s="294"/>
      <c r="U399" s="294"/>
      <c r="V399" s="294"/>
      <c r="W399" s="294"/>
      <c r="X399" s="294"/>
    </row>
    <row r="400" spans="1:24" x14ac:dyDescent="0.25">
      <c r="A400" s="294"/>
      <c r="B400" s="313"/>
      <c r="C400" s="294"/>
      <c r="D400" s="294"/>
      <c r="E400" s="314"/>
      <c r="F400" s="314"/>
      <c r="G400" s="314"/>
      <c r="H400" s="311"/>
      <c r="I400" s="314"/>
      <c r="J400" s="306"/>
      <c r="K400" s="294"/>
      <c r="L400" s="294"/>
      <c r="M400" s="294"/>
      <c r="N400" s="294"/>
      <c r="O400" s="294"/>
      <c r="P400" s="294"/>
      <c r="Q400" s="294"/>
      <c r="R400" s="294"/>
      <c r="S400" s="294"/>
      <c r="T400" s="294"/>
      <c r="U400" s="294"/>
      <c r="V400" s="294"/>
      <c r="W400" s="294"/>
      <c r="X400" s="294"/>
    </row>
    <row r="401" spans="1:24" x14ac:dyDescent="0.25">
      <c r="A401" s="294"/>
      <c r="B401" s="313"/>
      <c r="C401" s="294"/>
      <c r="D401" s="294"/>
      <c r="E401" s="314"/>
      <c r="F401" s="314"/>
      <c r="G401" s="314"/>
      <c r="H401" s="311"/>
      <c r="I401" s="314"/>
      <c r="J401" s="306"/>
      <c r="K401" s="294"/>
      <c r="L401" s="294"/>
      <c r="M401" s="294"/>
      <c r="N401" s="294"/>
      <c r="O401" s="294"/>
      <c r="P401" s="294"/>
      <c r="Q401" s="294"/>
      <c r="R401" s="294"/>
      <c r="S401" s="294"/>
      <c r="T401" s="294"/>
      <c r="U401" s="294"/>
      <c r="V401" s="294"/>
      <c r="W401" s="294"/>
      <c r="X401" s="294"/>
    </row>
    <row r="402" spans="1:24" x14ac:dyDescent="0.25">
      <c r="A402" s="294"/>
      <c r="B402" s="313"/>
      <c r="C402" s="294"/>
      <c r="D402" s="294"/>
      <c r="E402" s="314"/>
      <c r="F402" s="314"/>
      <c r="G402" s="314"/>
      <c r="H402" s="311"/>
      <c r="I402" s="314"/>
      <c r="J402" s="306"/>
      <c r="K402" s="294"/>
      <c r="L402" s="294"/>
      <c r="M402" s="294"/>
      <c r="N402" s="294"/>
      <c r="O402" s="294"/>
      <c r="P402" s="294"/>
      <c r="Q402" s="294"/>
      <c r="R402" s="294"/>
      <c r="S402" s="294"/>
      <c r="T402" s="294"/>
      <c r="U402" s="294"/>
      <c r="V402" s="294"/>
      <c r="W402" s="294"/>
      <c r="X402" s="294"/>
    </row>
    <row r="403" spans="1:24" x14ac:dyDescent="0.25">
      <c r="A403" s="294"/>
      <c r="B403" s="313"/>
      <c r="C403" s="294"/>
      <c r="D403" s="294"/>
      <c r="E403" s="314"/>
      <c r="F403" s="314"/>
      <c r="G403" s="314"/>
      <c r="H403" s="311"/>
      <c r="I403" s="314"/>
      <c r="J403" s="306"/>
      <c r="K403" s="294"/>
      <c r="L403" s="294"/>
      <c r="M403" s="294"/>
      <c r="N403" s="294"/>
      <c r="O403" s="294"/>
      <c r="P403" s="294"/>
      <c r="Q403" s="294"/>
      <c r="R403" s="294"/>
      <c r="S403" s="294"/>
      <c r="T403" s="294"/>
      <c r="U403" s="294"/>
      <c r="V403" s="294"/>
      <c r="W403" s="294"/>
      <c r="X403" s="294"/>
    </row>
    <row r="404" spans="1:24" x14ac:dyDescent="0.25">
      <c r="A404" s="294"/>
      <c r="B404" s="313"/>
      <c r="C404" s="294"/>
      <c r="D404" s="294"/>
      <c r="E404" s="314"/>
      <c r="F404" s="314"/>
      <c r="G404" s="314"/>
      <c r="H404" s="311"/>
      <c r="I404" s="314"/>
      <c r="J404" s="306"/>
      <c r="K404" s="294"/>
      <c r="L404" s="294"/>
      <c r="M404" s="294"/>
      <c r="N404" s="294"/>
      <c r="O404" s="294"/>
      <c r="P404" s="294"/>
      <c r="Q404" s="294"/>
      <c r="R404" s="294"/>
      <c r="S404" s="294"/>
      <c r="T404" s="294"/>
      <c r="U404" s="294"/>
      <c r="V404" s="294"/>
      <c r="W404" s="294"/>
      <c r="X404" s="294"/>
    </row>
    <row r="405" spans="1:24" x14ac:dyDescent="0.25">
      <c r="A405" s="294"/>
      <c r="B405" s="313"/>
      <c r="C405" s="294"/>
      <c r="D405" s="294"/>
      <c r="E405" s="314"/>
      <c r="F405" s="314"/>
      <c r="G405" s="314"/>
      <c r="H405" s="311"/>
      <c r="I405" s="314"/>
      <c r="J405" s="306"/>
      <c r="K405" s="294"/>
      <c r="L405" s="294"/>
      <c r="M405" s="294"/>
      <c r="N405" s="294"/>
      <c r="O405" s="294"/>
      <c r="P405" s="294"/>
      <c r="Q405" s="294"/>
      <c r="R405" s="294"/>
      <c r="S405" s="294"/>
      <c r="T405" s="294"/>
      <c r="U405" s="294"/>
      <c r="V405" s="294"/>
      <c r="W405" s="294"/>
      <c r="X405" s="294"/>
    </row>
    <row r="406" spans="1:24" x14ac:dyDescent="0.25">
      <c r="A406" s="294"/>
      <c r="B406" s="313"/>
      <c r="C406" s="294"/>
      <c r="D406" s="294"/>
      <c r="E406" s="314"/>
      <c r="F406" s="314"/>
      <c r="G406" s="314"/>
      <c r="H406" s="311"/>
      <c r="I406" s="314"/>
      <c r="J406" s="306"/>
      <c r="K406" s="294"/>
      <c r="L406" s="294"/>
      <c r="M406" s="294"/>
      <c r="N406" s="294"/>
      <c r="O406" s="294"/>
      <c r="P406" s="294"/>
      <c r="Q406" s="294"/>
      <c r="R406" s="294"/>
      <c r="S406" s="294"/>
      <c r="T406" s="294"/>
      <c r="U406" s="294"/>
      <c r="V406" s="294"/>
      <c r="W406" s="294"/>
      <c r="X406" s="294"/>
    </row>
    <row r="407" spans="1:24" x14ac:dyDescent="0.25">
      <c r="A407" s="294"/>
      <c r="B407" s="313"/>
      <c r="C407" s="294"/>
      <c r="D407" s="294"/>
      <c r="E407" s="314"/>
      <c r="F407" s="314"/>
      <c r="G407" s="314"/>
      <c r="H407" s="311"/>
      <c r="I407" s="314"/>
      <c r="J407" s="306"/>
      <c r="K407" s="294"/>
      <c r="L407" s="294"/>
      <c r="M407" s="294"/>
      <c r="N407" s="294"/>
      <c r="O407" s="294"/>
      <c r="P407" s="294"/>
      <c r="Q407" s="294"/>
      <c r="R407" s="294"/>
      <c r="S407" s="294"/>
      <c r="T407" s="294"/>
      <c r="U407" s="294"/>
      <c r="V407" s="294"/>
      <c r="W407" s="294"/>
      <c r="X407" s="294"/>
    </row>
    <row r="408" spans="1:24" x14ac:dyDescent="0.25">
      <c r="A408" s="294"/>
      <c r="B408" s="313"/>
      <c r="C408" s="294"/>
      <c r="D408" s="294"/>
      <c r="E408" s="314"/>
      <c r="F408" s="314"/>
      <c r="G408" s="314"/>
      <c r="H408" s="311"/>
      <c r="I408" s="314"/>
      <c r="J408" s="306"/>
      <c r="K408" s="294"/>
      <c r="L408" s="294"/>
      <c r="M408" s="294"/>
      <c r="N408" s="294"/>
      <c r="O408" s="294"/>
      <c r="P408" s="294"/>
      <c r="Q408" s="294"/>
      <c r="R408" s="294"/>
      <c r="S408" s="294"/>
      <c r="T408" s="294"/>
      <c r="U408" s="294"/>
      <c r="V408" s="294"/>
      <c r="W408" s="294"/>
      <c r="X408" s="294"/>
    </row>
    <row r="409" spans="1:24" x14ac:dyDescent="0.25">
      <c r="A409" s="294"/>
      <c r="B409" s="313"/>
      <c r="C409" s="294"/>
      <c r="D409" s="294"/>
      <c r="E409" s="314"/>
      <c r="F409" s="314"/>
      <c r="G409" s="314"/>
      <c r="H409" s="311"/>
      <c r="I409" s="314"/>
      <c r="J409" s="306"/>
      <c r="K409" s="294"/>
      <c r="L409" s="294"/>
      <c r="M409" s="294"/>
      <c r="N409" s="294"/>
      <c r="O409" s="294"/>
      <c r="P409" s="294"/>
      <c r="Q409" s="294"/>
      <c r="R409" s="294"/>
      <c r="S409" s="294"/>
      <c r="T409" s="294"/>
      <c r="U409" s="294"/>
      <c r="V409" s="294"/>
      <c r="W409" s="294"/>
      <c r="X409" s="294"/>
    </row>
    <row r="410" spans="1:24" x14ac:dyDescent="0.25">
      <c r="A410" s="294"/>
      <c r="B410" s="313"/>
      <c r="C410" s="294"/>
      <c r="D410" s="294"/>
      <c r="E410" s="314"/>
      <c r="F410" s="314"/>
      <c r="G410" s="314"/>
      <c r="H410" s="311"/>
      <c r="I410" s="314"/>
      <c r="J410" s="306"/>
      <c r="K410" s="294"/>
      <c r="L410" s="294"/>
      <c r="M410" s="294"/>
      <c r="N410" s="294"/>
      <c r="O410" s="294"/>
      <c r="P410" s="294"/>
      <c r="Q410" s="294"/>
      <c r="R410" s="294"/>
      <c r="S410" s="294"/>
      <c r="T410" s="294"/>
      <c r="U410" s="294"/>
      <c r="V410" s="294"/>
      <c r="W410" s="294"/>
      <c r="X410" s="294"/>
    </row>
    <row r="411" spans="1:24" x14ac:dyDescent="0.25">
      <c r="A411" s="294"/>
      <c r="B411" s="313"/>
      <c r="C411" s="294"/>
      <c r="D411" s="294"/>
      <c r="E411" s="314"/>
      <c r="F411" s="314"/>
      <c r="G411" s="314"/>
      <c r="H411" s="311"/>
      <c r="I411" s="314"/>
      <c r="J411" s="306"/>
      <c r="K411" s="294"/>
      <c r="L411" s="294"/>
      <c r="M411" s="294"/>
      <c r="N411" s="294"/>
      <c r="O411" s="294"/>
      <c r="P411" s="294"/>
      <c r="Q411" s="294"/>
      <c r="R411" s="294"/>
      <c r="S411" s="294"/>
      <c r="T411" s="294"/>
      <c r="U411" s="294"/>
      <c r="V411" s="294"/>
      <c r="W411" s="294"/>
      <c r="X411" s="294"/>
    </row>
    <row r="412" spans="1:24" x14ac:dyDescent="0.25">
      <c r="A412" s="294"/>
      <c r="B412" s="313"/>
      <c r="C412" s="294"/>
      <c r="D412" s="294"/>
      <c r="E412" s="314"/>
      <c r="F412" s="314"/>
      <c r="G412" s="314"/>
      <c r="H412" s="311"/>
      <c r="I412" s="314"/>
      <c r="J412" s="306"/>
      <c r="K412" s="294"/>
      <c r="L412" s="294"/>
      <c r="M412" s="294"/>
      <c r="N412" s="294"/>
      <c r="O412" s="294"/>
      <c r="P412" s="294"/>
      <c r="Q412" s="294"/>
      <c r="R412" s="294"/>
      <c r="S412" s="294"/>
      <c r="T412" s="294"/>
      <c r="U412" s="294"/>
      <c r="V412" s="294"/>
      <c r="W412" s="294"/>
      <c r="X412" s="294"/>
    </row>
    <row r="413" spans="1:24" x14ac:dyDescent="0.25">
      <c r="A413" s="294"/>
      <c r="B413" s="313"/>
      <c r="C413" s="294"/>
      <c r="D413" s="294"/>
      <c r="E413" s="314"/>
      <c r="F413" s="314"/>
      <c r="G413" s="314"/>
      <c r="H413" s="311"/>
      <c r="I413" s="314"/>
      <c r="J413" s="306"/>
      <c r="K413" s="294"/>
      <c r="L413" s="294"/>
      <c r="M413" s="294"/>
      <c r="N413" s="294"/>
      <c r="O413" s="294"/>
      <c r="P413" s="294"/>
      <c r="Q413" s="294"/>
      <c r="R413" s="294"/>
      <c r="S413" s="294"/>
      <c r="T413" s="294"/>
      <c r="U413" s="294"/>
      <c r="V413" s="294"/>
      <c r="W413" s="294"/>
      <c r="X413" s="294"/>
    </row>
    <row r="414" spans="1:24" x14ac:dyDescent="0.25">
      <c r="A414" s="294"/>
      <c r="B414" s="313"/>
      <c r="C414" s="294"/>
      <c r="D414" s="294"/>
      <c r="E414" s="314"/>
      <c r="F414" s="314"/>
      <c r="G414" s="314"/>
      <c r="H414" s="311"/>
      <c r="I414" s="314"/>
      <c r="J414" s="306"/>
      <c r="K414" s="294"/>
      <c r="L414" s="294"/>
      <c r="M414" s="294"/>
      <c r="N414" s="294"/>
      <c r="O414" s="294"/>
      <c r="P414" s="294"/>
      <c r="Q414" s="294"/>
      <c r="R414" s="294"/>
      <c r="S414" s="294"/>
      <c r="T414" s="294"/>
      <c r="U414" s="294"/>
      <c r="V414" s="294"/>
      <c r="W414" s="294"/>
      <c r="X414" s="294"/>
    </row>
    <row r="415" spans="1:24" x14ac:dyDescent="0.25">
      <c r="A415" s="294"/>
      <c r="B415" s="313"/>
      <c r="C415" s="294"/>
      <c r="D415" s="294"/>
      <c r="E415" s="314"/>
      <c r="F415" s="314"/>
      <c r="G415" s="314"/>
      <c r="H415" s="311"/>
      <c r="I415" s="314"/>
      <c r="J415" s="306"/>
      <c r="K415" s="294"/>
      <c r="L415" s="294"/>
      <c r="M415" s="294"/>
      <c r="N415" s="294"/>
      <c r="O415" s="294"/>
      <c r="P415" s="294"/>
      <c r="Q415" s="294"/>
      <c r="R415" s="294"/>
      <c r="S415" s="294"/>
      <c r="T415" s="294"/>
      <c r="U415" s="294"/>
      <c r="V415" s="294"/>
      <c r="W415" s="294"/>
      <c r="X415" s="294"/>
    </row>
    <row r="416" spans="1:24" x14ac:dyDescent="0.25">
      <c r="A416" s="294"/>
      <c r="B416" s="313"/>
      <c r="C416" s="294"/>
      <c r="D416" s="294"/>
      <c r="E416" s="314"/>
      <c r="F416" s="314"/>
      <c r="G416" s="314"/>
      <c r="H416" s="311"/>
      <c r="I416" s="314"/>
      <c r="J416" s="306"/>
      <c r="K416" s="294"/>
      <c r="L416" s="294"/>
      <c r="M416" s="294"/>
      <c r="N416" s="294"/>
      <c r="O416" s="294"/>
      <c r="P416" s="294"/>
      <c r="Q416" s="294"/>
      <c r="R416" s="294"/>
      <c r="S416" s="294"/>
      <c r="T416" s="294"/>
      <c r="U416" s="294"/>
      <c r="V416" s="294"/>
      <c r="W416" s="294"/>
      <c r="X416" s="294"/>
    </row>
    <row r="417" spans="1:24" x14ac:dyDescent="0.25">
      <c r="A417" s="294"/>
      <c r="B417" s="313"/>
      <c r="C417" s="294"/>
      <c r="D417" s="294"/>
      <c r="E417" s="314"/>
      <c r="F417" s="314"/>
      <c r="G417" s="314"/>
      <c r="H417" s="311"/>
      <c r="I417" s="314"/>
      <c r="J417" s="306"/>
      <c r="K417" s="294"/>
      <c r="L417" s="294"/>
      <c r="M417" s="294"/>
      <c r="N417" s="294"/>
      <c r="O417" s="294"/>
      <c r="P417" s="294"/>
      <c r="Q417" s="294"/>
      <c r="R417" s="294"/>
      <c r="S417" s="294"/>
      <c r="T417" s="294"/>
      <c r="U417" s="294"/>
      <c r="V417" s="294"/>
      <c r="W417" s="294"/>
      <c r="X417" s="294"/>
    </row>
    <row r="418" spans="1:24" x14ac:dyDescent="0.25">
      <c r="A418" s="294"/>
      <c r="B418" s="313"/>
      <c r="C418" s="294"/>
      <c r="D418" s="294"/>
      <c r="E418" s="314"/>
      <c r="F418" s="314"/>
      <c r="G418" s="314"/>
      <c r="H418" s="311"/>
      <c r="I418" s="314"/>
      <c r="J418" s="306"/>
      <c r="K418" s="294"/>
      <c r="L418" s="294"/>
      <c r="M418" s="294"/>
      <c r="N418" s="294"/>
      <c r="O418" s="294"/>
      <c r="P418" s="294"/>
      <c r="Q418" s="294"/>
      <c r="R418" s="294"/>
      <c r="S418" s="294"/>
      <c r="T418" s="294"/>
      <c r="U418" s="294"/>
      <c r="V418" s="294"/>
      <c r="W418" s="294"/>
      <c r="X418" s="294"/>
    </row>
    <row r="419" spans="1:24" x14ac:dyDescent="0.25">
      <c r="A419" s="294"/>
      <c r="B419" s="313"/>
      <c r="C419" s="294"/>
      <c r="D419" s="294"/>
      <c r="E419" s="314"/>
      <c r="F419" s="314"/>
      <c r="G419" s="314"/>
      <c r="H419" s="311"/>
      <c r="I419" s="314"/>
      <c r="J419" s="306"/>
      <c r="K419" s="294"/>
      <c r="L419" s="294"/>
      <c r="M419" s="294"/>
      <c r="N419" s="294"/>
      <c r="O419" s="294"/>
      <c r="P419" s="294"/>
      <c r="Q419" s="294"/>
      <c r="R419" s="294"/>
      <c r="S419" s="294"/>
      <c r="T419" s="294"/>
      <c r="U419" s="294"/>
      <c r="V419" s="294"/>
      <c r="W419" s="294"/>
      <c r="X419" s="294"/>
    </row>
    <row r="420" spans="1:24" x14ac:dyDescent="0.25">
      <c r="A420" s="294"/>
      <c r="B420" s="313"/>
      <c r="C420" s="294"/>
      <c r="D420" s="294"/>
      <c r="E420" s="314"/>
      <c r="F420" s="314"/>
      <c r="G420" s="314"/>
      <c r="H420" s="311"/>
      <c r="I420" s="314"/>
      <c r="J420" s="306"/>
      <c r="K420" s="294"/>
      <c r="L420" s="294"/>
      <c r="M420" s="294"/>
      <c r="N420" s="294"/>
      <c r="O420" s="294"/>
      <c r="P420" s="294"/>
      <c r="Q420" s="294"/>
      <c r="R420" s="294"/>
      <c r="S420" s="294"/>
      <c r="T420" s="294"/>
      <c r="U420" s="294"/>
      <c r="V420" s="294"/>
      <c r="W420" s="294"/>
      <c r="X420" s="294"/>
    </row>
    <row r="421" spans="1:24" x14ac:dyDescent="0.25">
      <c r="A421" s="294"/>
      <c r="B421" s="313"/>
      <c r="C421" s="294"/>
      <c r="D421" s="294"/>
      <c r="E421" s="314"/>
      <c r="F421" s="314"/>
      <c r="G421" s="314"/>
      <c r="H421" s="311"/>
      <c r="I421" s="314"/>
      <c r="J421" s="306"/>
      <c r="K421" s="294"/>
      <c r="L421" s="294"/>
      <c r="M421" s="294"/>
      <c r="N421" s="294"/>
      <c r="O421" s="294"/>
      <c r="P421" s="294"/>
      <c r="Q421" s="294"/>
      <c r="R421" s="294"/>
      <c r="S421" s="294"/>
      <c r="T421" s="294"/>
      <c r="U421" s="294"/>
      <c r="V421" s="294"/>
      <c r="W421" s="294"/>
      <c r="X421" s="294"/>
    </row>
    <row r="422" spans="1:24" x14ac:dyDescent="0.25">
      <c r="A422" s="294"/>
      <c r="B422" s="313"/>
      <c r="C422" s="294"/>
      <c r="D422" s="294"/>
      <c r="E422" s="314"/>
      <c r="F422" s="314"/>
      <c r="G422" s="314"/>
      <c r="H422" s="311"/>
      <c r="I422" s="314"/>
      <c r="J422" s="306"/>
      <c r="K422" s="294"/>
      <c r="L422" s="294"/>
      <c r="M422" s="294"/>
      <c r="N422" s="294"/>
      <c r="O422" s="294"/>
      <c r="P422" s="294"/>
      <c r="Q422" s="294"/>
      <c r="R422" s="294"/>
      <c r="S422" s="294"/>
      <c r="T422" s="294"/>
      <c r="U422" s="294"/>
      <c r="V422" s="294"/>
      <c r="W422" s="294"/>
      <c r="X422" s="294"/>
    </row>
    <row r="423" spans="1:24" x14ac:dyDescent="0.25">
      <c r="A423" s="294"/>
      <c r="B423" s="313"/>
      <c r="C423" s="294"/>
      <c r="D423" s="294"/>
      <c r="E423" s="314"/>
      <c r="F423" s="314"/>
      <c r="G423" s="314"/>
      <c r="H423" s="311"/>
      <c r="I423" s="314"/>
      <c r="J423" s="306"/>
      <c r="K423" s="294"/>
      <c r="L423" s="294"/>
      <c r="M423" s="294"/>
      <c r="N423" s="294"/>
      <c r="O423" s="294"/>
      <c r="P423" s="294"/>
      <c r="Q423" s="294"/>
      <c r="R423" s="294"/>
      <c r="S423" s="294"/>
      <c r="T423" s="294"/>
      <c r="U423" s="294"/>
      <c r="V423" s="294"/>
      <c r="W423" s="294"/>
      <c r="X423" s="294"/>
    </row>
    <row r="424" spans="1:24" x14ac:dyDescent="0.25">
      <c r="A424" s="294"/>
      <c r="B424" s="313"/>
      <c r="C424" s="294"/>
      <c r="D424" s="294"/>
      <c r="E424" s="314"/>
      <c r="F424" s="314"/>
      <c r="G424" s="314"/>
      <c r="H424" s="311"/>
      <c r="I424" s="314"/>
      <c r="J424" s="306"/>
      <c r="K424" s="294"/>
      <c r="L424" s="294"/>
      <c r="M424" s="294"/>
      <c r="N424" s="294"/>
      <c r="O424" s="294"/>
      <c r="P424" s="294"/>
      <c r="Q424" s="294"/>
      <c r="R424" s="294"/>
      <c r="S424" s="294"/>
      <c r="T424" s="294"/>
      <c r="U424" s="294"/>
      <c r="V424" s="294"/>
      <c r="W424" s="294"/>
      <c r="X424" s="294"/>
    </row>
    <row r="425" spans="1:24" x14ac:dyDescent="0.25">
      <c r="A425" s="294"/>
      <c r="B425" s="313"/>
      <c r="C425" s="294"/>
      <c r="D425" s="294"/>
      <c r="E425" s="314"/>
      <c r="F425" s="314"/>
      <c r="G425" s="314"/>
      <c r="H425" s="311"/>
      <c r="I425" s="314"/>
      <c r="J425" s="306"/>
      <c r="K425" s="294"/>
      <c r="L425" s="294"/>
      <c r="M425" s="294"/>
      <c r="N425" s="294"/>
      <c r="O425" s="294"/>
      <c r="P425" s="294"/>
      <c r="Q425" s="294"/>
      <c r="R425" s="294"/>
      <c r="S425" s="294"/>
      <c r="T425" s="294"/>
      <c r="U425" s="294"/>
      <c r="V425" s="294"/>
      <c r="W425" s="294"/>
      <c r="X425" s="294"/>
    </row>
    <row r="426" spans="1:24" x14ac:dyDescent="0.25">
      <c r="A426" s="294"/>
      <c r="B426" s="313"/>
      <c r="C426" s="294"/>
      <c r="D426" s="294"/>
      <c r="E426" s="314"/>
      <c r="F426" s="314"/>
      <c r="G426" s="314"/>
      <c r="H426" s="311"/>
      <c r="I426" s="314"/>
      <c r="J426" s="306"/>
      <c r="K426" s="294"/>
      <c r="L426" s="294"/>
      <c r="M426" s="294"/>
      <c r="N426" s="294"/>
      <c r="O426" s="294"/>
      <c r="P426" s="294"/>
      <c r="Q426" s="294"/>
      <c r="R426" s="294"/>
      <c r="S426" s="294"/>
      <c r="T426" s="294"/>
      <c r="U426" s="294"/>
      <c r="V426" s="294"/>
      <c r="W426" s="294"/>
      <c r="X426" s="294"/>
    </row>
    <row r="427" spans="1:24" x14ac:dyDescent="0.25">
      <c r="A427" s="294"/>
      <c r="B427" s="313"/>
      <c r="C427" s="294"/>
      <c r="D427" s="294"/>
      <c r="E427" s="314"/>
      <c r="F427" s="314"/>
      <c r="G427" s="314"/>
      <c r="H427" s="311"/>
      <c r="I427" s="314"/>
      <c r="J427" s="306"/>
      <c r="K427" s="294"/>
      <c r="L427" s="294"/>
      <c r="M427" s="294"/>
      <c r="N427" s="294"/>
      <c r="O427" s="294"/>
      <c r="P427" s="294"/>
      <c r="Q427" s="294"/>
      <c r="R427" s="294"/>
      <c r="S427" s="294"/>
      <c r="T427" s="294"/>
      <c r="U427" s="294"/>
      <c r="V427" s="294"/>
      <c r="W427" s="294"/>
      <c r="X427" s="294"/>
    </row>
    <row r="428" spans="1:24" x14ac:dyDescent="0.25">
      <c r="A428" s="294"/>
      <c r="B428" s="313"/>
      <c r="C428" s="294"/>
      <c r="D428" s="294"/>
      <c r="E428" s="314"/>
      <c r="F428" s="314"/>
      <c r="G428" s="314"/>
      <c r="H428" s="311"/>
      <c r="I428" s="314"/>
      <c r="J428" s="306"/>
      <c r="K428" s="294"/>
      <c r="L428" s="294"/>
      <c r="M428" s="294"/>
      <c r="N428" s="294"/>
      <c r="O428" s="294"/>
      <c r="P428" s="294"/>
      <c r="Q428" s="294"/>
      <c r="R428" s="294"/>
      <c r="S428" s="294"/>
      <c r="T428" s="294"/>
      <c r="U428" s="294"/>
      <c r="V428" s="294"/>
      <c r="W428" s="294"/>
      <c r="X428" s="294"/>
    </row>
    <row r="429" spans="1:24" x14ac:dyDescent="0.25">
      <c r="A429" s="294"/>
      <c r="B429" s="313"/>
      <c r="C429" s="294"/>
      <c r="D429" s="294"/>
      <c r="E429" s="314"/>
      <c r="F429" s="314"/>
      <c r="G429" s="314"/>
      <c r="H429" s="311"/>
      <c r="I429" s="314"/>
      <c r="J429" s="306"/>
      <c r="K429" s="294"/>
      <c r="L429" s="294"/>
      <c r="M429" s="294"/>
      <c r="N429" s="294"/>
      <c r="O429" s="294"/>
      <c r="P429" s="294"/>
      <c r="Q429" s="294"/>
      <c r="R429" s="294"/>
      <c r="S429" s="294"/>
      <c r="T429" s="294"/>
      <c r="U429" s="294"/>
      <c r="V429" s="294"/>
      <c r="W429" s="294"/>
      <c r="X429" s="294"/>
    </row>
    <row r="430" spans="1:24" x14ac:dyDescent="0.25">
      <c r="A430" s="294"/>
      <c r="B430" s="313"/>
      <c r="C430" s="294"/>
      <c r="D430" s="294"/>
      <c r="E430" s="314"/>
      <c r="F430" s="314"/>
      <c r="G430" s="314"/>
      <c r="H430" s="311"/>
      <c r="I430" s="314"/>
      <c r="J430" s="306"/>
      <c r="K430" s="294"/>
      <c r="L430" s="294"/>
      <c r="M430" s="294"/>
      <c r="N430" s="294"/>
      <c r="O430" s="294"/>
      <c r="P430" s="294"/>
      <c r="Q430" s="294"/>
      <c r="R430" s="294"/>
      <c r="S430" s="294"/>
      <c r="T430" s="294"/>
      <c r="U430" s="294"/>
      <c r="V430" s="294"/>
      <c r="W430" s="294"/>
      <c r="X430" s="294"/>
    </row>
    <row r="431" spans="1:24" x14ac:dyDescent="0.25">
      <c r="A431" s="294"/>
      <c r="B431" s="313"/>
      <c r="C431" s="294"/>
      <c r="D431" s="294"/>
      <c r="E431" s="314"/>
      <c r="F431" s="314"/>
      <c r="G431" s="314"/>
      <c r="H431" s="311"/>
      <c r="I431" s="314"/>
      <c r="J431" s="306"/>
      <c r="K431" s="294"/>
      <c r="L431" s="294"/>
      <c r="M431" s="294"/>
      <c r="N431" s="294"/>
      <c r="O431" s="294"/>
      <c r="P431" s="294"/>
      <c r="Q431" s="294"/>
      <c r="R431" s="294"/>
      <c r="S431" s="294"/>
      <c r="T431" s="294"/>
      <c r="U431" s="294"/>
      <c r="V431" s="294"/>
      <c r="W431" s="294"/>
      <c r="X431" s="294"/>
    </row>
    <row r="432" spans="1:24" x14ac:dyDescent="0.25">
      <c r="A432" s="294"/>
      <c r="B432" s="313"/>
      <c r="C432" s="294"/>
      <c r="D432" s="294"/>
      <c r="E432" s="314"/>
      <c r="F432" s="314"/>
      <c r="G432" s="314"/>
      <c r="H432" s="311"/>
      <c r="I432" s="314"/>
      <c r="J432" s="306"/>
      <c r="K432" s="294"/>
      <c r="L432" s="294"/>
      <c r="M432" s="294"/>
      <c r="N432" s="294"/>
      <c r="O432" s="294"/>
      <c r="P432" s="294"/>
      <c r="Q432" s="294"/>
      <c r="R432" s="294"/>
      <c r="S432" s="294"/>
      <c r="T432" s="294"/>
      <c r="U432" s="294"/>
      <c r="V432" s="294"/>
      <c r="W432" s="294"/>
      <c r="X432" s="294"/>
    </row>
    <row r="433" spans="1:24" x14ac:dyDescent="0.25">
      <c r="A433" s="294"/>
      <c r="B433" s="313"/>
      <c r="C433" s="294"/>
      <c r="D433" s="294"/>
      <c r="E433" s="314"/>
      <c r="F433" s="314"/>
      <c r="G433" s="314"/>
      <c r="H433" s="311"/>
      <c r="I433" s="314"/>
      <c r="J433" s="306"/>
      <c r="K433" s="294"/>
      <c r="L433" s="294"/>
      <c r="M433" s="294"/>
      <c r="N433" s="294"/>
      <c r="O433" s="294"/>
      <c r="P433" s="294"/>
      <c r="Q433" s="294"/>
      <c r="R433" s="294"/>
      <c r="S433" s="294"/>
      <c r="T433" s="294"/>
      <c r="U433" s="294"/>
      <c r="V433" s="294"/>
      <c r="W433" s="294"/>
      <c r="X433" s="294"/>
    </row>
    <row r="434" spans="1:24" x14ac:dyDescent="0.25">
      <c r="A434" s="294"/>
      <c r="B434" s="313"/>
      <c r="C434" s="294"/>
      <c r="D434" s="294"/>
      <c r="E434" s="314"/>
      <c r="F434" s="314"/>
      <c r="G434" s="314"/>
      <c r="H434" s="311"/>
      <c r="I434" s="314"/>
      <c r="J434" s="306"/>
      <c r="K434" s="294"/>
      <c r="L434" s="294"/>
      <c r="M434" s="294"/>
      <c r="N434" s="294"/>
      <c r="O434" s="294"/>
      <c r="P434" s="294"/>
      <c r="Q434" s="294"/>
      <c r="R434" s="294"/>
      <c r="S434" s="294"/>
      <c r="T434" s="294"/>
      <c r="U434" s="294"/>
      <c r="V434" s="294"/>
      <c r="W434" s="294"/>
      <c r="X434" s="294"/>
    </row>
    <row r="435" spans="1:24" x14ac:dyDescent="0.25">
      <c r="A435" s="294"/>
      <c r="B435" s="313"/>
      <c r="C435" s="294"/>
      <c r="D435" s="294"/>
      <c r="E435" s="314"/>
      <c r="F435" s="314"/>
      <c r="G435" s="314"/>
      <c r="H435" s="311"/>
      <c r="I435" s="314"/>
      <c r="J435" s="306"/>
      <c r="K435" s="294"/>
      <c r="L435" s="294"/>
      <c r="M435" s="294"/>
      <c r="N435" s="294"/>
      <c r="O435" s="294"/>
      <c r="P435" s="294"/>
      <c r="Q435" s="294"/>
      <c r="R435" s="294"/>
      <c r="S435" s="294"/>
      <c r="T435" s="294"/>
      <c r="U435" s="294"/>
      <c r="V435" s="294"/>
      <c r="W435" s="294"/>
      <c r="X435" s="294"/>
    </row>
    <row r="436" spans="1:24" x14ac:dyDescent="0.25">
      <c r="A436" s="294"/>
      <c r="B436" s="313"/>
      <c r="C436" s="294"/>
      <c r="D436" s="294"/>
      <c r="E436" s="314"/>
      <c r="F436" s="314"/>
      <c r="G436" s="314"/>
      <c r="H436" s="311"/>
      <c r="I436" s="314"/>
      <c r="J436" s="306"/>
      <c r="K436" s="294"/>
      <c r="L436" s="294"/>
      <c r="M436" s="294"/>
      <c r="N436" s="294"/>
      <c r="O436" s="294"/>
      <c r="P436" s="294"/>
      <c r="Q436" s="294"/>
      <c r="R436" s="294"/>
      <c r="S436" s="294"/>
      <c r="T436" s="294"/>
      <c r="U436" s="294"/>
      <c r="V436" s="294"/>
      <c r="W436" s="294"/>
      <c r="X436" s="294"/>
    </row>
    <row r="437" spans="1:24" x14ac:dyDescent="0.25">
      <c r="A437" s="294"/>
      <c r="B437" s="313"/>
      <c r="C437" s="294"/>
      <c r="D437" s="294"/>
      <c r="E437" s="314"/>
      <c r="F437" s="314"/>
      <c r="G437" s="314"/>
      <c r="H437" s="311"/>
      <c r="I437" s="314"/>
      <c r="J437" s="306"/>
      <c r="K437" s="294"/>
      <c r="L437" s="294"/>
      <c r="M437" s="294"/>
      <c r="N437" s="294"/>
      <c r="O437" s="294"/>
      <c r="P437" s="294"/>
      <c r="Q437" s="294"/>
      <c r="R437" s="294"/>
      <c r="S437" s="294"/>
      <c r="T437" s="294"/>
      <c r="U437" s="294"/>
      <c r="V437" s="294"/>
      <c r="W437" s="294"/>
      <c r="X437" s="294"/>
    </row>
    <row r="438" spans="1:24" x14ac:dyDescent="0.25">
      <c r="A438" s="294"/>
      <c r="B438" s="313"/>
      <c r="C438" s="294"/>
      <c r="D438" s="294"/>
      <c r="E438" s="314"/>
      <c r="F438" s="314"/>
      <c r="G438" s="314"/>
      <c r="H438" s="311"/>
      <c r="I438" s="314"/>
      <c r="J438" s="306"/>
      <c r="K438" s="294"/>
      <c r="L438" s="294"/>
      <c r="M438" s="294"/>
      <c r="N438" s="294"/>
      <c r="O438" s="294"/>
      <c r="P438" s="294"/>
      <c r="Q438" s="294"/>
      <c r="R438" s="294"/>
      <c r="S438" s="294"/>
      <c r="T438" s="294"/>
      <c r="U438" s="294"/>
      <c r="V438" s="294"/>
      <c r="W438" s="294"/>
      <c r="X438" s="294"/>
    </row>
    <row r="439" spans="1:24" x14ac:dyDescent="0.25">
      <c r="A439" s="294"/>
      <c r="B439" s="313"/>
      <c r="C439" s="294"/>
      <c r="D439" s="294"/>
      <c r="E439" s="314"/>
      <c r="F439" s="314"/>
      <c r="G439" s="314"/>
      <c r="H439" s="311"/>
      <c r="I439" s="314"/>
      <c r="J439" s="306"/>
      <c r="K439" s="294"/>
      <c r="L439" s="294"/>
      <c r="M439" s="294"/>
      <c r="N439" s="294"/>
      <c r="O439" s="294"/>
      <c r="P439" s="294"/>
      <c r="Q439" s="294"/>
      <c r="R439" s="294"/>
      <c r="S439" s="294"/>
      <c r="T439" s="294"/>
      <c r="U439" s="294"/>
      <c r="V439" s="294"/>
      <c r="W439" s="294"/>
      <c r="X439" s="294"/>
    </row>
    <row r="440" spans="1:24" x14ac:dyDescent="0.25">
      <c r="A440" s="294"/>
      <c r="B440" s="313"/>
      <c r="C440" s="294"/>
      <c r="D440" s="294"/>
      <c r="E440" s="314"/>
      <c r="F440" s="314"/>
      <c r="G440" s="314"/>
      <c r="H440" s="311"/>
      <c r="I440" s="314"/>
      <c r="J440" s="306"/>
      <c r="K440" s="294"/>
      <c r="L440" s="294"/>
      <c r="M440" s="294"/>
      <c r="N440" s="294"/>
      <c r="O440" s="294"/>
      <c r="P440" s="294"/>
      <c r="Q440" s="294"/>
      <c r="R440" s="294"/>
      <c r="S440" s="294"/>
      <c r="T440" s="294"/>
      <c r="U440" s="294"/>
      <c r="V440" s="294"/>
      <c r="W440" s="294"/>
      <c r="X440" s="294"/>
    </row>
    <row r="441" spans="1:24" x14ac:dyDescent="0.25">
      <c r="A441" s="294"/>
      <c r="B441" s="313"/>
      <c r="C441" s="294"/>
      <c r="D441" s="294"/>
      <c r="E441" s="314"/>
      <c r="F441" s="314"/>
      <c r="G441" s="314"/>
      <c r="H441" s="311"/>
      <c r="I441" s="314"/>
      <c r="J441" s="306"/>
      <c r="K441" s="294"/>
      <c r="L441" s="294"/>
      <c r="M441" s="294"/>
      <c r="N441" s="294"/>
      <c r="O441" s="294"/>
      <c r="P441" s="294"/>
      <c r="Q441" s="294"/>
      <c r="R441" s="294"/>
      <c r="S441" s="294"/>
      <c r="T441" s="294"/>
      <c r="U441" s="294"/>
      <c r="V441" s="294"/>
      <c r="W441" s="294"/>
      <c r="X441" s="294"/>
    </row>
    <row r="442" spans="1:24" x14ac:dyDescent="0.25">
      <c r="A442" s="294"/>
      <c r="B442" s="313"/>
      <c r="C442" s="294"/>
      <c r="D442" s="294"/>
      <c r="E442" s="314"/>
      <c r="F442" s="314"/>
      <c r="G442" s="314"/>
      <c r="H442" s="311"/>
      <c r="I442" s="314"/>
      <c r="J442" s="306"/>
      <c r="K442" s="294"/>
      <c r="L442" s="294"/>
      <c r="M442" s="294"/>
      <c r="N442" s="294"/>
      <c r="O442" s="294"/>
      <c r="P442" s="294"/>
      <c r="Q442" s="294"/>
      <c r="R442" s="294"/>
      <c r="S442" s="294"/>
      <c r="T442" s="294"/>
      <c r="U442" s="294"/>
      <c r="V442" s="294"/>
      <c r="W442" s="294"/>
      <c r="X442" s="294"/>
    </row>
    <row r="443" spans="1:24" x14ac:dyDescent="0.25">
      <c r="A443" s="294"/>
      <c r="B443" s="313"/>
      <c r="C443" s="294"/>
      <c r="D443" s="294"/>
      <c r="E443" s="314"/>
      <c r="F443" s="314"/>
      <c r="G443" s="314"/>
      <c r="H443" s="311"/>
      <c r="I443" s="314"/>
      <c r="J443" s="306"/>
      <c r="K443" s="294"/>
      <c r="L443" s="294"/>
      <c r="M443" s="294"/>
      <c r="N443" s="294"/>
      <c r="O443" s="294"/>
      <c r="P443" s="294"/>
      <c r="Q443" s="294"/>
      <c r="R443" s="294"/>
      <c r="S443" s="294"/>
      <c r="T443" s="294"/>
      <c r="U443" s="294"/>
      <c r="V443" s="294"/>
      <c r="W443" s="294"/>
      <c r="X443" s="294"/>
    </row>
    <row r="444" spans="1:24" x14ac:dyDescent="0.25">
      <c r="A444" s="294"/>
      <c r="B444" s="313"/>
      <c r="C444" s="294"/>
      <c r="D444" s="294"/>
      <c r="E444" s="314"/>
      <c r="F444" s="314"/>
      <c r="G444" s="314"/>
      <c r="H444" s="311"/>
      <c r="I444" s="314"/>
      <c r="J444" s="306"/>
      <c r="K444" s="294"/>
      <c r="L444" s="294"/>
      <c r="M444" s="294"/>
      <c r="N444" s="294"/>
      <c r="O444" s="294"/>
      <c r="P444" s="294"/>
      <c r="Q444" s="294"/>
      <c r="R444" s="294"/>
      <c r="S444" s="294"/>
      <c r="T444" s="294"/>
      <c r="U444" s="294"/>
      <c r="V444" s="294"/>
      <c r="W444" s="294"/>
      <c r="X444" s="294"/>
    </row>
    <row r="445" spans="1:24" x14ac:dyDescent="0.25">
      <c r="A445" s="294"/>
      <c r="B445" s="313"/>
      <c r="C445" s="294"/>
      <c r="D445" s="294"/>
      <c r="E445" s="314"/>
      <c r="F445" s="314"/>
      <c r="G445" s="314"/>
      <c r="H445" s="311"/>
      <c r="I445" s="314"/>
      <c r="J445" s="306"/>
      <c r="K445" s="294"/>
      <c r="L445" s="294"/>
      <c r="M445" s="294"/>
      <c r="N445" s="294"/>
      <c r="O445" s="294"/>
      <c r="P445" s="294"/>
      <c r="Q445" s="294"/>
      <c r="R445" s="294"/>
      <c r="S445" s="294"/>
      <c r="T445" s="294"/>
      <c r="U445" s="294"/>
      <c r="V445" s="294"/>
      <c r="W445" s="294"/>
      <c r="X445" s="294"/>
    </row>
    <row r="446" spans="1:24" x14ac:dyDescent="0.25">
      <c r="A446" s="294"/>
      <c r="B446" s="313"/>
      <c r="C446" s="294"/>
      <c r="D446" s="294"/>
      <c r="E446" s="314"/>
      <c r="F446" s="314"/>
      <c r="G446" s="314"/>
      <c r="H446" s="311"/>
      <c r="I446" s="314"/>
      <c r="J446" s="306"/>
      <c r="K446" s="294"/>
      <c r="L446" s="294"/>
      <c r="M446" s="294"/>
      <c r="N446" s="294"/>
      <c r="O446" s="294"/>
      <c r="P446" s="294"/>
      <c r="Q446" s="294"/>
      <c r="R446" s="294"/>
      <c r="S446" s="294"/>
      <c r="T446" s="294"/>
      <c r="U446" s="294"/>
      <c r="V446" s="294"/>
      <c r="W446" s="294"/>
      <c r="X446" s="294"/>
    </row>
    <row r="447" spans="1:24" x14ac:dyDescent="0.25">
      <c r="A447" s="294"/>
      <c r="B447" s="313"/>
      <c r="C447" s="294"/>
      <c r="D447" s="294"/>
      <c r="E447" s="314"/>
      <c r="F447" s="314"/>
      <c r="G447" s="314"/>
      <c r="H447" s="311"/>
      <c r="I447" s="314"/>
      <c r="J447" s="306"/>
      <c r="K447" s="294"/>
      <c r="L447" s="294"/>
      <c r="M447" s="294"/>
      <c r="N447" s="294"/>
      <c r="O447" s="294"/>
      <c r="P447" s="294"/>
      <c r="Q447" s="294"/>
      <c r="R447" s="294"/>
      <c r="S447" s="294"/>
      <c r="T447" s="294"/>
      <c r="U447" s="294"/>
      <c r="V447" s="294"/>
      <c r="W447" s="294"/>
      <c r="X447" s="294"/>
    </row>
    <row r="448" spans="1:24" x14ac:dyDescent="0.25">
      <c r="A448" s="294"/>
      <c r="B448" s="313"/>
      <c r="C448" s="294"/>
      <c r="D448" s="294"/>
      <c r="E448" s="314"/>
      <c r="F448" s="314"/>
      <c r="G448" s="314"/>
      <c r="H448" s="311"/>
      <c r="I448" s="314"/>
      <c r="J448" s="306"/>
      <c r="K448" s="294"/>
      <c r="L448" s="294"/>
      <c r="M448" s="294"/>
      <c r="N448" s="294"/>
      <c r="O448" s="294"/>
      <c r="P448" s="294"/>
      <c r="Q448" s="294"/>
      <c r="R448" s="294"/>
      <c r="S448" s="294"/>
      <c r="T448" s="294"/>
      <c r="U448" s="294"/>
      <c r="V448" s="294"/>
      <c r="W448" s="294"/>
      <c r="X448" s="294"/>
    </row>
    <row r="449" spans="1:24" x14ac:dyDescent="0.25">
      <c r="A449" s="294"/>
      <c r="B449" s="313"/>
      <c r="C449" s="294"/>
      <c r="D449" s="294"/>
      <c r="E449" s="314"/>
      <c r="F449" s="314"/>
      <c r="G449" s="314"/>
      <c r="H449" s="311"/>
      <c r="I449" s="314"/>
      <c r="J449" s="306"/>
      <c r="K449" s="294"/>
      <c r="L449" s="294"/>
      <c r="M449" s="294"/>
      <c r="N449" s="294"/>
      <c r="O449" s="294"/>
      <c r="P449" s="294"/>
      <c r="Q449" s="294"/>
      <c r="R449" s="294"/>
      <c r="S449" s="294"/>
      <c r="T449" s="294"/>
      <c r="U449" s="294"/>
      <c r="V449" s="294"/>
      <c r="W449" s="294"/>
      <c r="X449" s="294"/>
    </row>
    <row r="450" spans="1:24" x14ac:dyDescent="0.25">
      <c r="A450" s="294"/>
      <c r="B450" s="313"/>
      <c r="C450" s="294"/>
      <c r="D450" s="294"/>
      <c r="E450" s="314"/>
      <c r="F450" s="314"/>
      <c r="G450" s="314"/>
      <c r="H450" s="311"/>
      <c r="I450" s="314"/>
      <c r="J450" s="306"/>
      <c r="K450" s="294"/>
      <c r="L450" s="294"/>
      <c r="M450" s="294"/>
      <c r="N450" s="294"/>
      <c r="O450" s="294"/>
      <c r="P450" s="294"/>
      <c r="Q450" s="294"/>
      <c r="R450" s="294"/>
      <c r="S450" s="294"/>
      <c r="T450" s="294"/>
      <c r="U450" s="294"/>
      <c r="V450" s="294"/>
      <c r="W450" s="294"/>
      <c r="X450" s="294"/>
    </row>
    <row r="451" spans="1:24" x14ac:dyDescent="0.25">
      <c r="A451" s="294"/>
      <c r="B451" s="313"/>
      <c r="C451" s="294"/>
      <c r="D451" s="294"/>
      <c r="E451" s="314"/>
      <c r="F451" s="314"/>
      <c r="G451" s="314"/>
      <c r="H451" s="311"/>
      <c r="I451" s="314"/>
      <c r="J451" s="306"/>
      <c r="K451" s="294"/>
      <c r="L451" s="294"/>
      <c r="M451" s="294"/>
      <c r="N451" s="294"/>
      <c r="O451" s="294"/>
      <c r="P451" s="294"/>
      <c r="Q451" s="294"/>
      <c r="R451" s="294"/>
      <c r="S451" s="294"/>
      <c r="T451" s="294"/>
      <c r="U451" s="294"/>
      <c r="V451" s="294"/>
      <c r="W451" s="294"/>
      <c r="X451" s="294"/>
    </row>
    <row r="452" spans="1:24" x14ac:dyDescent="0.25">
      <c r="A452" s="294"/>
      <c r="B452" s="313"/>
      <c r="C452" s="294"/>
      <c r="D452" s="294"/>
      <c r="E452" s="314"/>
      <c r="F452" s="314"/>
      <c r="G452" s="314"/>
      <c r="H452" s="311"/>
      <c r="I452" s="314"/>
      <c r="J452" s="306"/>
      <c r="K452" s="294"/>
      <c r="L452" s="294"/>
      <c r="M452" s="294"/>
      <c r="N452" s="294"/>
      <c r="O452" s="294"/>
      <c r="P452" s="294"/>
      <c r="Q452" s="294"/>
      <c r="R452" s="294"/>
      <c r="S452" s="294"/>
      <c r="T452" s="294"/>
      <c r="U452" s="294"/>
      <c r="V452" s="294"/>
      <c r="W452" s="294"/>
      <c r="X452" s="294"/>
    </row>
    <row r="453" spans="1:24" x14ac:dyDescent="0.25">
      <c r="A453" s="294"/>
      <c r="B453" s="313"/>
      <c r="C453" s="294"/>
      <c r="D453" s="294"/>
      <c r="E453" s="314"/>
      <c r="F453" s="314"/>
      <c r="G453" s="314"/>
      <c r="H453" s="311"/>
      <c r="I453" s="314"/>
      <c r="J453" s="306"/>
      <c r="K453" s="294"/>
      <c r="L453" s="294"/>
      <c r="M453" s="294"/>
      <c r="N453" s="294"/>
      <c r="O453" s="294"/>
      <c r="P453" s="294"/>
      <c r="Q453" s="294"/>
      <c r="R453" s="294"/>
      <c r="S453" s="294"/>
      <c r="T453" s="294"/>
      <c r="U453" s="294"/>
      <c r="V453" s="294"/>
      <c r="W453" s="294"/>
      <c r="X453" s="294"/>
    </row>
    <row r="454" spans="1:24" x14ac:dyDescent="0.25">
      <c r="A454" s="294"/>
      <c r="B454" s="313"/>
      <c r="C454" s="294"/>
      <c r="D454" s="294"/>
      <c r="E454" s="314"/>
      <c r="F454" s="314"/>
      <c r="G454" s="314"/>
      <c r="H454" s="311"/>
      <c r="I454" s="314"/>
      <c r="J454" s="306"/>
      <c r="K454" s="294"/>
      <c r="L454" s="294"/>
      <c r="M454" s="294"/>
      <c r="N454" s="294"/>
      <c r="O454" s="294"/>
      <c r="P454" s="294"/>
      <c r="Q454" s="294"/>
      <c r="R454" s="294"/>
      <c r="S454" s="294"/>
      <c r="T454" s="294"/>
      <c r="U454" s="294"/>
      <c r="V454" s="294"/>
      <c r="W454" s="294"/>
      <c r="X454" s="294"/>
    </row>
    <row r="455" spans="1:24" x14ac:dyDescent="0.25">
      <c r="A455" s="294"/>
      <c r="B455" s="313"/>
      <c r="C455" s="294"/>
      <c r="D455" s="294"/>
      <c r="E455" s="314"/>
      <c r="F455" s="314"/>
      <c r="G455" s="314"/>
      <c r="H455" s="311"/>
      <c r="I455" s="314"/>
      <c r="J455" s="306"/>
      <c r="K455" s="294"/>
      <c r="L455" s="294"/>
      <c r="M455" s="294"/>
      <c r="N455" s="294"/>
      <c r="O455" s="294"/>
      <c r="P455" s="294"/>
      <c r="Q455" s="294"/>
      <c r="R455" s="294"/>
      <c r="S455" s="294"/>
      <c r="T455" s="294"/>
      <c r="U455" s="294"/>
      <c r="V455" s="294"/>
      <c r="W455" s="294"/>
      <c r="X455" s="294"/>
    </row>
    <row r="456" spans="1:24" x14ac:dyDescent="0.25">
      <c r="A456" s="294"/>
      <c r="B456" s="313"/>
      <c r="C456" s="294"/>
      <c r="D456" s="294"/>
      <c r="E456" s="314"/>
      <c r="F456" s="314"/>
      <c r="G456" s="314"/>
      <c r="H456" s="311"/>
      <c r="I456" s="314"/>
      <c r="J456" s="306"/>
      <c r="K456" s="294"/>
      <c r="L456" s="294"/>
      <c r="M456" s="294"/>
      <c r="N456" s="294"/>
      <c r="O456" s="294"/>
      <c r="P456" s="294"/>
      <c r="Q456" s="294"/>
      <c r="R456" s="294"/>
      <c r="S456" s="294"/>
      <c r="T456" s="294"/>
      <c r="U456" s="294"/>
      <c r="V456" s="294"/>
      <c r="W456" s="294"/>
      <c r="X456" s="294"/>
    </row>
    <row r="457" spans="1:24" x14ac:dyDescent="0.25">
      <c r="A457" s="294"/>
      <c r="B457" s="313"/>
      <c r="C457" s="294"/>
      <c r="D457" s="294"/>
      <c r="E457" s="314"/>
      <c r="F457" s="314"/>
      <c r="G457" s="314"/>
      <c r="H457" s="311"/>
      <c r="I457" s="314"/>
      <c r="J457" s="306"/>
      <c r="K457" s="294"/>
      <c r="L457" s="294"/>
      <c r="M457" s="294"/>
      <c r="N457" s="294"/>
      <c r="O457" s="294"/>
      <c r="P457" s="294"/>
      <c r="Q457" s="294"/>
      <c r="R457" s="294"/>
      <c r="S457" s="294"/>
      <c r="T457" s="294"/>
      <c r="U457" s="294"/>
      <c r="V457" s="294"/>
      <c r="W457" s="294"/>
      <c r="X457" s="294"/>
    </row>
    <row r="458" spans="1:24" x14ac:dyDescent="0.25">
      <c r="A458" s="294"/>
      <c r="B458" s="313"/>
      <c r="C458" s="294"/>
      <c r="D458" s="294"/>
      <c r="E458" s="314"/>
      <c r="F458" s="306"/>
      <c r="G458" s="314"/>
      <c r="H458" s="311"/>
      <c r="I458" s="314"/>
      <c r="J458" s="306"/>
      <c r="K458" s="294"/>
      <c r="L458" s="294"/>
      <c r="M458" s="294"/>
      <c r="N458" s="294"/>
      <c r="O458" s="294"/>
      <c r="P458" s="294"/>
      <c r="Q458" s="294"/>
      <c r="R458" s="294"/>
      <c r="S458" s="294"/>
      <c r="T458" s="294"/>
      <c r="U458" s="294"/>
      <c r="V458" s="294"/>
      <c r="W458" s="294"/>
      <c r="X458" s="294"/>
    </row>
    <row r="459" spans="1:24" x14ac:dyDescent="0.25">
      <c r="A459" s="294"/>
      <c r="B459" s="313"/>
      <c r="C459" s="294"/>
      <c r="D459" s="294"/>
      <c r="E459" s="306"/>
      <c r="F459" s="306"/>
      <c r="G459" s="306"/>
      <c r="H459" s="311"/>
      <c r="I459" s="306"/>
      <c r="J459" s="306"/>
      <c r="K459" s="294"/>
      <c r="L459" s="294"/>
      <c r="M459" s="294"/>
      <c r="N459" s="294"/>
      <c r="O459" s="294"/>
      <c r="P459" s="294"/>
      <c r="Q459" s="294"/>
      <c r="R459" s="294"/>
      <c r="S459" s="294"/>
      <c r="T459" s="294"/>
      <c r="U459" s="294"/>
      <c r="V459" s="294"/>
      <c r="W459" s="294"/>
      <c r="X459" s="294"/>
    </row>
    <row r="460" spans="1:24" x14ac:dyDescent="0.25">
      <c r="A460" s="294"/>
      <c r="B460" s="313"/>
      <c r="C460" s="294"/>
      <c r="D460" s="294"/>
      <c r="E460" s="306"/>
      <c r="F460" s="306"/>
      <c r="G460" s="306"/>
      <c r="H460" s="311"/>
      <c r="I460" s="306"/>
      <c r="J460" s="306"/>
      <c r="K460" s="294"/>
      <c r="L460" s="294"/>
      <c r="M460" s="294"/>
      <c r="N460" s="294"/>
      <c r="O460" s="294"/>
      <c r="P460" s="294"/>
      <c r="Q460" s="294"/>
      <c r="R460" s="294"/>
      <c r="S460" s="294"/>
      <c r="T460" s="294"/>
      <c r="U460" s="294"/>
      <c r="V460" s="294"/>
      <c r="W460" s="294"/>
      <c r="X460" s="294"/>
    </row>
    <row r="461" spans="1:24" x14ac:dyDescent="0.25">
      <c r="A461" s="294"/>
      <c r="B461" s="313"/>
      <c r="C461" s="294"/>
      <c r="D461" s="294"/>
      <c r="E461" s="306"/>
      <c r="F461" s="306"/>
      <c r="G461" s="306"/>
      <c r="H461" s="311"/>
      <c r="I461" s="306"/>
      <c r="J461" s="306"/>
      <c r="K461" s="294"/>
      <c r="L461" s="294"/>
      <c r="M461" s="294"/>
      <c r="N461" s="294"/>
      <c r="O461" s="294"/>
      <c r="P461" s="294"/>
      <c r="Q461" s="294"/>
      <c r="R461" s="294"/>
      <c r="S461" s="294"/>
      <c r="T461" s="294"/>
      <c r="U461" s="294"/>
      <c r="V461" s="294"/>
      <c r="W461" s="294"/>
      <c r="X461" s="294"/>
    </row>
    <row r="462" spans="1:24" x14ac:dyDescent="0.25">
      <c r="A462" s="294"/>
      <c r="B462" s="313"/>
      <c r="C462" s="294"/>
      <c r="D462" s="294"/>
      <c r="E462" s="306"/>
      <c r="F462" s="306"/>
      <c r="G462" s="306"/>
      <c r="H462" s="311"/>
      <c r="I462" s="306"/>
      <c r="J462" s="306"/>
      <c r="K462" s="294"/>
      <c r="L462" s="294"/>
      <c r="M462" s="294"/>
      <c r="N462" s="294"/>
      <c r="O462" s="294"/>
      <c r="P462" s="294"/>
      <c r="Q462" s="294"/>
      <c r="R462" s="294"/>
      <c r="S462" s="294"/>
      <c r="T462" s="294"/>
      <c r="U462" s="294"/>
      <c r="V462" s="294"/>
      <c r="W462" s="294"/>
      <c r="X462" s="294"/>
    </row>
    <row r="463" spans="1:24" x14ac:dyDescent="0.25">
      <c r="A463" s="294"/>
      <c r="B463" s="313"/>
      <c r="C463" s="294"/>
      <c r="D463" s="294"/>
      <c r="E463" s="306"/>
      <c r="F463" s="306"/>
      <c r="G463" s="306"/>
      <c r="H463" s="311"/>
      <c r="I463" s="306"/>
      <c r="J463" s="306"/>
      <c r="K463" s="294"/>
      <c r="L463" s="294"/>
      <c r="M463" s="294"/>
      <c r="N463" s="294"/>
      <c r="O463" s="294"/>
      <c r="P463" s="294"/>
      <c r="Q463" s="294"/>
      <c r="R463" s="294"/>
      <c r="S463" s="294"/>
      <c r="T463" s="294"/>
      <c r="U463" s="294"/>
      <c r="V463" s="294"/>
      <c r="W463" s="294"/>
      <c r="X463" s="294"/>
    </row>
    <row r="464" spans="1:24" x14ac:dyDescent="0.25">
      <c r="A464" s="294"/>
      <c r="B464" s="313"/>
      <c r="C464" s="294"/>
      <c r="D464" s="294"/>
      <c r="E464" s="306"/>
      <c r="F464" s="306"/>
      <c r="G464" s="306"/>
      <c r="H464" s="311"/>
      <c r="I464" s="306"/>
      <c r="J464" s="306"/>
      <c r="K464" s="294"/>
      <c r="L464" s="294"/>
      <c r="M464" s="294"/>
      <c r="N464" s="294"/>
      <c r="O464" s="294"/>
      <c r="P464" s="294"/>
      <c r="Q464" s="294"/>
      <c r="R464" s="294"/>
      <c r="S464" s="294"/>
      <c r="T464" s="294"/>
      <c r="U464" s="294"/>
      <c r="V464" s="294"/>
      <c r="W464" s="294"/>
      <c r="X464" s="294"/>
    </row>
    <row r="465" spans="1:24" x14ac:dyDescent="0.25">
      <c r="A465" s="294"/>
      <c r="B465" s="313"/>
      <c r="C465" s="294"/>
      <c r="D465" s="294"/>
      <c r="E465" s="306"/>
      <c r="F465" s="306"/>
      <c r="G465" s="306"/>
      <c r="H465" s="311"/>
      <c r="I465" s="306"/>
      <c r="J465" s="306"/>
      <c r="K465" s="294"/>
      <c r="L465" s="294"/>
      <c r="M465" s="294"/>
      <c r="N465" s="294"/>
      <c r="O465" s="294"/>
      <c r="P465" s="294"/>
      <c r="Q465" s="294"/>
      <c r="R465" s="294"/>
      <c r="S465" s="294"/>
      <c r="T465" s="294"/>
      <c r="U465" s="294"/>
      <c r="V465" s="294"/>
      <c r="W465" s="294"/>
      <c r="X465" s="294"/>
    </row>
    <row r="466" spans="1:24" x14ac:dyDescent="0.25">
      <c r="A466" s="294"/>
      <c r="B466" s="313"/>
      <c r="C466" s="294"/>
      <c r="D466" s="294"/>
      <c r="E466" s="306"/>
      <c r="F466" s="306"/>
      <c r="G466" s="306"/>
      <c r="H466" s="311"/>
      <c r="I466" s="306"/>
      <c r="J466" s="306"/>
      <c r="K466" s="294"/>
      <c r="L466" s="294"/>
      <c r="M466" s="294"/>
      <c r="N466" s="294"/>
      <c r="O466" s="294"/>
      <c r="P466" s="294"/>
      <c r="Q466" s="294"/>
      <c r="R466" s="294"/>
      <c r="S466" s="294"/>
      <c r="T466" s="294"/>
      <c r="U466" s="294"/>
      <c r="V466" s="294"/>
      <c r="W466" s="294"/>
      <c r="X466" s="294"/>
    </row>
    <row r="467" spans="1:24" x14ac:dyDescent="0.25">
      <c r="A467" s="294"/>
      <c r="B467" s="313"/>
      <c r="C467" s="294"/>
      <c r="D467" s="294"/>
      <c r="E467" s="306"/>
      <c r="F467" s="306"/>
      <c r="G467" s="306"/>
      <c r="H467" s="311"/>
      <c r="I467" s="306"/>
      <c r="J467" s="306"/>
      <c r="K467" s="294"/>
      <c r="L467" s="294"/>
      <c r="M467" s="294"/>
      <c r="N467" s="294"/>
      <c r="O467" s="294"/>
      <c r="P467" s="294"/>
      <c r="Q467" s="294"/>
      <c r="R467" s="294"/>
      <c r="S467" s="294"/>
      <c r="T467" s="294"/>
      <c r="U467" s="294"/>
      <c r="V467" s="294"/>
      <c r="W467" s="294"/>
      <c r="X467" s="294"/>
    </row>
    <row r="468" spans="1:24" x14ac:dyDescent="0.25">
      <c r="A468" s="294"/>
      <c r="B468" s="313"/>
      <c r="C468" s="294"/>
      <c r="D468" s="294"/>
      <c r="E468" s="306"/>
      <c r="F468" s="306"/>
      <c r="G468" s="306"/>
      <c r="H468" s="311"/>
      <c r="I468" s="306"/>
      <c r="J468" s="306"/>
      <c r="K468" s="294"/>
      <c r="L468" s="294"/>
      <c r="M468" s="294"/>
      <c r="N468" s="294"/>
      <c r="O468" s="294"/>
      <c r="P468" s="294"/>
      <c r="Q468" s="294"/>
      <c r="R468" s="294"/>
      <c r="S468" s="294"/>
      <c r="T468" s="294"/>
      <c r="U468" s="294"/>
      <c r="V468" s="294"/>
      <c r="W468" s="294"/>
      <c r="X468" s="294"/>
    </row>
    <row r="469" spans="1:24" x14ac:dyDescent="0.25">
      <c r="A469" s="294"/>
      <c r="B469" s="313"/>
      <c r="C469" s="294"/>
      <c r="D469" s="294"/>
      <c r="E469" s="306"/>
      <c r="F469" s="306"/>
      <c r="G469" s="306"/>
      <c r="H469" s="311"/>
      <c r="I469" s="306"/>
      <c r="J469" s="306"/>
      <c r="K469" s="294"/>
      <c r="L469" s="294"/>
      <c r="M469" s="294"/>
      <c r="N469" s="294"/>
      <c r="O469" s="294"/>
      <c r="P469" s="294"/>
      <c r="Q469" s="294"/>
      <c r="R469" s="294"/>
      <c r="S469" s="294"/>
      <c r="T469" s="294"/>
      <c r="U469" s="294"/>
      <c r="V469" s="294"/>
      <c r="W469" s="294"/>
      <c r="X469" s="294"/>
    </row>
    <row r="470" spans="1:24" x14ac:dyDescent="0.25">
      <c r="A470" s="294"/>
      <c r="B470" s="313"/>
      <c r="C470" s="294"/>
      <c r="D470" s="294"/>
      <c r="E470" s="306"/>
      <c r="F470" s="306"/>
      <c r="G470" s="306"/>
      <c r="H470" s="311"/>
      <c r="I470" s="306"/>
      <c r="J470" s="306"/>
      <c r="K470" s="294"/>
      <c r="L470" s="294"/>
      <c r="M470" s="294"/>
      <c r="N470" s="294"/>
      <c r="O470" s="294"/>
      <c r="P470" s="294"/>
      <c r="Q470" s="294"/>
      <c r="R470" s="294"/>
      <c r="S470" s="294"/>
      <c r="T470" s="294"/>
      <c r="U470" s="294"/>
      <c r="V470" s="294"/>
      <c r="W470" s="294"/>
      <c r="X470" s="294"/>
    </row>
    <row r="471" spans="1:24" x14ac:dyDescent="0.25">
      <c r="A471" s="294"/>
      <c r="B471" s="313"/>
      <c r="C471" s="294"/>
      <c r="D471" s="294"/>
      <c r="E471" s="306"/>
      <c r="F471" s="306"/>
      <c r="G471" s="306"/>
      <c r="H471" s="311"/>
      <c r="I471" s="306"/>
      <c r="J471" s="306"/>
      <c r="K471" s="294"/>
      <c r="L471" s="294"/>
      <c r="M471" s="294"/>
      <c r="N471" s="294"/>
      <c r="O471" s="294"/>
      <c r="P471" s="294"/>
      <c r="Q471" s="294"/>
      <c r="R471" s="294"/>
      <c r="S471" s="294"/>
      <c r="T471" s="294"/>
      <c r="U471" s="294"/>
      <c r="V471" s="294"/>
      <c r="W471" s="294"/>
      <c r="X471" s="294"/>
    </row>
    <row r="472" spans="1:24" x14ac:dyDescent="0.25">
      <c r="A472" s="294"/>
      <c r="B472" s="313"/>
      <c r="C472" s="294"/>
      <c r="D472" s="294"/>
      <c r="E472" s="306"/>
      <c r="F472" s="306"/>
      <c r="G472" s="306"/>
      <c r="H472" s="311"/>
      <c r="I472" s="306"/>
      <c r="J472" s="306"/>
      <c r="K472" s="294"/>
      <c r="L472" s="294"/>
      <c r="M472" s="294"/>
      <c r="N472" s="294"/>
      <c r="O472" s="294"/>
      <c r="P472" s="294"/>
      <c r="Q472" s="294"/>
      <c r="R472" s="294"/>
      <c r="S472" s="294"/>
      <c r="T472" s="294"/>
      <c r="U472" s="294"/>
      <c r="V472" s="294"/>
      <c r="W472" s="294"/>
      <c r="X472" s="294"/>
    </row>
    <row r="473" spans="1:24" x14ac:dyDescent="0.25">
      <c r="A473" s="294"/>
      <c r="B473" s="313"/>
      <c r="C473" s="294"/>
      <c r="D473" s="294"/>
      <c r="E473" s="306"/>
      <c r="F473" s="306"/>
      <c r="G473" s="306"/>
      <c r="H473" s="311"/>
      <c r="I473" s="306"/>
      <c r="J473" s="306"/>
      <c r="K473" s="294"/>
      <c r="L473" s="294"/>
      <c r="M473" s="294"/>
      <c r="N473" s="294"/>
      <c r="O473" s="294"/>
      <c r="P473" s="294"/>
      <c r="Q473" s="294"/>
      <c r="R473" s="294"/>
      <c r="S473" s="294"/>
      <c r="T473" s="294"/>
      <c r="U473" s="294"/>
      <c r="V473" s="294"/>
      <c r="W473" s="294"/>
      <c r="X473" s="294"/>
    </row>
    <row r="474" spans="1:24" x14ac:dyDescent="0.25">
      <c r="A474" s="294"/>
      <c r="B474" s="313"/>
      <c r="C474" s="294"/>
      <c r="D474" s="294"/>
      <c r="E474" s="306"/>
      <c r="F474" s="306"/>
      <c r="G474" s="306"/>
      <c r="H474" s="311"/>
      <c r="I474" s="306"/>
      <c r="J474" s="306"/>
      <c r="K474" s="294"/>
      <c r="L474" s="294"/>
      <c r="M474" s="294"/>
      <c r="N474" s="294"/>
      <c r="O474" s="294"/>
      <c r="P474" s="294"/>
      <c r="Q474" s="294"/>
      <c r="R474" s="294"/>
      <c r="S474" s="294"/>
      <c r="T474" s="294"/>
      <c r="U474" s="294"/>
      <c r="V474" s="294"/>
      <c r="W474" s="294"/>
      <c r="X474" s="294"/>
    </row>
    <row r="475" spans="1:24" x14ac:dyDescent="0.25">
      <c r="A475" s="294"/>
      <c r="B475" s="313"/>
      <c r="C475" s="294"/>
      <c r="D475" s="294"/>
      <c r="E475" s="306"/>
      <c r="F475" s="306"/>
      <c r="G475" s="306"/>
      <c r="H475" s="311"/>
      <c r="I475" s="306"/>
      <c r="J475" s="306"/>
      <c r="K475" s="294"/>
      <c r="L475" s="294"/>
      <c r="M475" s="294"/>
      <c r="N475" s="294"/>
      <c r="O475" s="294"/>
      <c r="P475" s="294"/>
      <c r="Q475" s="294"/>
      <c r="R475" s="294"/>
      <c r="S475" s="294"/>
      <c r="T475" s="294"/>
      <c r="U475" s="294"/>
      <c r="V475" s="294"/>
      <c r="W475" s="294"/>
      <c r="X475" s="294"/>
    </row>
    <row r="476" spans="1:24" x14ac:dyDescent="0.25">
      <c r="A476" s="294"/>
      <c r="B476" s="313"/>
      <c r="C476" s="294"/>
      <c r="D476" s="294"/>
      <c r="E476" s="306"/>
      <c r="F476" s="306"/>
      <c r="G476" s="306"/>
      <c r="H476" s="311"/>
      <c r="I476" s="306"/>
      <c r="J476" s="306"/>
      <c r="K476" s="294"/>
      <c r="L476" s="294"/>
      <c r="M476" s="294"/>
      <c r="N476" s="294"/>
      <c r="O476" s="294"/>
      <c r="P476" s="294"/>
      <c r="Q476" s="294"/>
      <c r="R476" s="294"/>
      <c r="S476" s="294"/>
      <c r="T476" s="294"/>
      <c r="U476" s="294"/>
      <c r="V476" s="294"/>
      <c r="W476" s="294"/>
      <c r="X476" s="294"/>
    </row>
    <row r="477" spans="1:24" x14ac:dyDescent="0.25">
      <c r="A477" s="294"/>
      <c r="B477" s="313"/>
      <c r="C477" s="294"/>
      <c r="D477" s="294"/>
      <c r="E477" s="306"/>
      <c r="F477" s="306"/>
      <c r="G477" s="306"/>
      <c r="H477" s="311"/>
      <c r="I477" s="306"/>
      <c r="J477" s="306"/>
      <c r="K477" s="294"/>
      <c r="L477" s="294"/>
      <c r="M477" s="294"/>
      <c r="N477" s="294"/>
      <c r="O477" s="294"/>
      <c r="P477" s="294"/>
      <c r="Q477" s="294"/>
      <c r="R477" s="294"/>
      <c r="S477" s="294"/>
      <c r="T477" s="294"/>
      <c r="U477" s="294"/>
      <c r="V477" s="294"/>
      <c r="W477" s="294"/>
      <c r="X477" s="294"/>
    </row>
    <row r="478" spans="1:24" x14ac:dyDescent="0.25">
      <c r="A478" s="294"/>
      <c r="B478" s="313"/>
      <c r="C478" s="294"/>
      <c r="D478" s="294"/>
      <c r="E478" s="306"/>
      <c r="F478" s="306"/>
      <c r="G478" s="306"/>
      <c r="H478" s="311"/>
      <c r="I478" s="306"/>
      <c r="J478" s="306"/>
      <c r="K478" s="294"/>
      <c r="L478" s="294"/>
      <c r="M478" s="294"/>
      <c r="N478" s="294"/>
      <c r="O478" s="294"/>
      <c r="P478" s="294"/>
      <c r="Q478" s="294"/>
      <c r="R478" s="294"/>
      <c r="S478" s="294"/>
      <c r="T478" s="294"/>
      <c r="U478" s="294"/>
      <c r="V478" s="294"/>
      <c r="W478" s="294"/>
      <c r="X478" s="294"/>
    </row>
    <row r="479" spans="1:24" x14ac:dyDescent="0.25">
      <c r="A479" s="294"/>
      <c r="B479" s="313"/>
      <c r="C479" s="294"/>
      <c r="D479" s="294"/>
      <c r="E479" s="306"/>
      <c r="F479" s="306"/>
      <c r="G479" s="306"/>
      <c r="H479" s="311"/>
      <c r="I479" s="306"/>
      <c r="J479" s="306"/>
      <c r="K479" s="294"/>
      <c r="L479" s="294"/>
      <c r="M479" s="294"/>
      <c r="N479" s="294"/>
      <c r="O479" s="294"/>
      <c r="P479" s="294"/>
      <c r="Q479" s="294"/>
      <c r="R479" s="294"/>
      <c r="S479" s="294"/>
      <c r="T479" s="294"/>
      <c r="U479" s="294"/>
      <c r="V479" s="294"/>
      <c r="W479" s="294"/>
      <c r="X479" s="294"/>
    </row>
    <row r="480" spans="1:24" x14ac:dyDescent="0.25">
      <c r="A480" s="294"/>
      <c r="B480" s="313"/>
      <c r="C480" s="294"/>
      <c r="D480" s="294"/>
      <c r="E480" s="306"/>
      <c r="F480" s="306"/>
      <c r="G480" s="306"/>
      <c r="H480" s="311"/>
      <c r="I480" s="306"/>
      <c r="J480" s="306"/>
      <c r="K480" s="294"/>
      <c r="L480" s="294"/>
      <c r="M480" s="294"/>
      <c r="N480" s="294"/>
      <c r="O480" s="294"/>
      <c r="P480" s="294"/>
      <c r="Q480" s="294"/>
      <c r="R480" s="294"/>
      <c r="S480" s="294"/>
      <c r="T480" s="294"/>
      <c r="U480" s="294"/>
      <c r="V480" s="294"/>
      <c r="W480" s="294"/>
      <c r="X480" s="294"/>
    </row>
    <row r="481" spans="1:24" x14ac:dyDescent="0.25">
      <c r="A481" s="294"/>
      <c r="B481" s="313"/>
      <c r="C481" s="294"/>
      <c r="D481" s="294"/>
      <c r="E481" s="306"/>
      <c r="F481" s="306"/>
      <c r="G481" s="306"/>
      <c r="H481" s="311"/>
      <c r="I481" s="306"/>
      <c r="J481" s="306"/>
      <c r="K481" s="294"/>
      <c r="L481" s="294"/>
      <c r="M481" s="294"/>
      <c r="N481" s="294"/>
      <c r="O481" s="294"/>
      <c r="P481" s="294"/>
      <c r="Q481" s="294"/>
      <c r="R481" s="294"/>
      <c r="S481" s="294"/>
      <c r="T481" s="294"/>
      <c r="U481" s="294"/>
      <c r="V481" s="294"/>
      <c r="W481" s="294"/>
      <c r="X481" s="294"/>
    </row>
    <row r="482" spans="1:24" x14ac:dyDescent="0.25">
      <c r="A482" s="294"/>
      <c r="B482" s="313"/>
      <c r="C482" s="294"/>
      <c r="D482" s="294"/>
      <c r="E482" s="306"/>
      <c r="F482" s="306"/>
      <c r="G482" s="306"/>
      <c r="H482" s="311"/>
      <c r="I482" s="306"/>
      <c r="J482" s="306"/>
      <c r="K482" s="294"/>
      <c r="L482" s="294"/>
      <c r="M482" s="294"/>
      <c r="N482" s="294"/>
      <c r="O482" s="294"/>
      <c r="P482" s="294"/>
      <c r="Q482" s="294"/>
      <c r="R482" s="294"/>
      <c r="S482" s="294"/>
      <c r="T482" s="294"/>
      <c r="U482" s="294"/>
      <c r="V482" s="294"/>
      <c r="W482" s="294"/>
      <c r="X482" s="294"/>
    </row>
    <row r="483" spans="1:24" x14ac:dyDescent="0.25">
      <c r="A483" s="294"/>
      <c r="B483" s="313"/>
      <c r="C483" s="294"/>
      <c r="D483" s="294"/>
      <c r="E483" s="306"/>
      <c r="F483" s="306"/>
      <c r="G483" s="306"/>
      <c r="H483" s="311"/>
      <c r="I483" s="306"/>
      <c r="J483" s="306"/>
      <c r="K483" s="294"/>
      <c r="L483" s="294"/>
      <c r="M483" s="294"/>
      <c r="N483" s="294"/>
      <c r="O483" s="294"/>
      <c r="P483" s="294"/>
      <c r="Q483" s="294"/>
      <c r="R483" s="294"/>
      <c r="S483" s="294"/>
      <c r="T483" s="294"/>
      <c r="U483" s="294"/>
      <c r="V483" s="294"/>
      <c r="W483" s="294"/>
      <c r="X483" s="294"/>
    </row>
    <row r="484" spans="1:24" x14ac:dyDescent="0.25">
      <c r="A484" s="294"/>
      <c r="B484" s="313"/>
      <c r="C484" s="294"/>
      <c r="D484" s="294"/>
      <c r="E484" s="306"/>
      <c r="F484" s="306"/>
      <c r="G484" s="306"/>
      <c r="H484" s="311"/>
      <c r="I484" s="306"/>
      <c r="J484" s="306"/>
      <c r="K484" s="294"/>
      <c r="L484" s="294"/>
      <c r="M484" s="294"/>
      <c r="N484" s="294"/>
      <c r="O484" s="294"/>
      <c r="P484" s="294"/>
      <c r="Q484" s="294"/>
      <c r="R484" s="294"/>
      <c r="S484" s="294"/>
      <c r="T484" s="294"/>
      <c r="U484" s="294"/>
      <c r="V484" s="294"/>
      <c r="W484" s="294"/>
      <c r="X484" s="294"/>
    </row>
    <row r="485" spans="1:24" x14ac:dyDescent="0.25">
      <c r="A485" s="294"/>
      <c r="B485" s="313"/>
      <c r="C485" s="294"/>
      <c r="D485" s="294"/>
      <c r="E485" s="306"/>
      <c r="F485" s="306"/>
      <c r="G485" s="306"/>
      <c r="H485" s="311"/>
      <c r="I485" s="306"/>
      <c r="J485" s="306"/>
      <c r="K485" s="294"/>
      <c r="L485" s="294"/>
      <c r="M485" s="294"/>
      <c r="N485" s="294"/>
      <c r="O485" s="294"/>
      <c r="P485" s="294"/>
      <c r="Q485" s="294"/>
      <c r="R485" s="294"/>
      <c r="S485" s="294"/>
      <c r="T485" s="294"/>
      <c r="U485" s="294"/>
      <c r="V485" s="294"/>
      <c r="W485" s="294"/>
      <c r="X485" s="294"/>
    </row>
    <row r="486" spans="1:24" x14ac:dyDescent="0.25">
      <c r="A486" s="294"/>
      <c r="B486" s="313"/>
      <c r="C486" s="294"/>
      <c r="D486" s="294"/>
      <c r="E486" s="306"/>
      <c r="F486" s="306"/>
      <c r="G486" s="306"/>
      <c r="H486" s="311"/>
      <c r="I486" s="306"/>
      <c r="J486" s="306"/>
      <c r="K486" s="294"/>
      <c r="L486" s="294"/>
      <c r="M486" s="294"/>
      <c r="N486" s="294"/>
      <c r="O486" s="294"/>
      <c r="P486" s="294"/>
      <c r="Q486" s="294"/>
      <c r="R486" s="294"/>
      <c r="S486" s="294"/>
      <c r="T486" s="294"/>
      <c r="U486" s="294"/>
      <c r="V486" s="294"/>
      <c r="W486" s="294"/>
      <c r="X486" s="294"/>
    </row>
    <row r="487" spans="1:24" x14ac:dyDescent="0.25">
      <c r="A487" s="294"/>
      <c r="B487" s="313"/>
      <c r="C487" s="294"/>
      <c r="D487" s="294"/>
      <c r="E487" s="306"/>
      <c r="F487" s="306"/>
      <c r="G487" s="306"/>
      <c r="H487" s="311"/>
      <c r="I487" s="306"/>
      <c r="J487" s="306"/>
      <c r="K487" s="294"/>
      <c r="L487" s="294"/>
      <c r="M487" s="294"/>
      <c r="N487" s="294"/>
      <c r="O487" s="294"/>
      <c r="P487" s="294"/>
      <c r="Q487" s="294"/>
      <c r="R487" s="294"/>
      <c r="S487" s="294"/>
      <c r="T487" s="294"/>
      <c r="U487" s="294"/>
      <c r="V487" s="294"/>
      <c r="W487" s="294"/>
      <c r="X487" s="294"/>
    </row>
    <row r="488" spans="1:24" x14ac:dyDescent="0.25">
      <c r="A488" s="294"/>
      <c r="B488" s="313"/>
      <c r="C488" s="294"/>
      <c r="D488" s="294"/>
      <c r="E488" s="306"/>
      <c r="F488" s="306"/>
      <c r="G488" s="306"/>
      <c r="H488" s="311"/>
      <c r="I488" s="306"/>
      <c r="J488" s="306"/>
      <c r="K488" s="294"/>
      <c r="L488" s="294"/>
      <c r="M488" s="294"/>
      <c r="N488" s="294"/>
      <c r="O488" s="294"/>
      <c r="P488" s="294"/>
      <c r="Q488" s="294"/>
      <c r="R488" s="294"/>
      <c r="S488" s="294"/>
      <c r="T488" s="294"/>
      <c r="U488" s="294"/>
      <c r="V488" s="294"/>
      <c r="W488" s="294"/>
      <c r="X488" s="294"/>
    </row>
    <row r="489" spans="1:24" x14ac:dyDescent="0.25">
      <c r="A489" s="294"/>
      <c r="B489" s="313"/>
      <c r="C489" s="294"/>
      <c r="D489" s="294"/>
      <c r="E489" s="306"/>
      <c r="F489" s="306"/>
      <c r="G489" s="306"/>
      <c r="H489" s="311"/>
      <c r="I489" s="306"/>
      <c r="J489" s="306"/>
      <c r="K489" s="294"/>
      <c r="L489" s="294"/>
      <c r="M489" s="294"/>
      <c r="N489" s="294"/>
      <c r="O489" s="294"/>
      <c r="P489" s="294"/>
      <c r="Q489" s="294"/>
      <c r="R489" s="294"/>
      <c r="S489" s="294"/>
      <c r="T489" s="294"/>
      <c r="U489" s="294"/>
      <c r="V489" s="294"/>
      <c r="W489" s="294"/>
      <c r="X489" s="294"/>
    </row>
    <row r="490" spans="1:24" x14ac:dyDescent="0.25">
      <c r="A490" s="294"/>
      <c r="B490" s="313"/>
      <c r="C490" s="294"/>
      <c r="D490" s="294"/>
      <c r="E490" s="306"/>
      <c r="F490" s="306"/>
      <c r="G490" s="306"/>
      <c r="H490" s="311"/>
      <c r="I490" s="306"/>
      <c r="J490" s="306"/>
      <c r="K490" s="294"/>
      <c r="L490" s="294"/>
      <c r="M490" s="294"/>
      <c r="N490" s="294"/>
      <c r="O490" s="294"/>
      <c r="P490" s="294"/>
      <c r="Q490" s="294"/>
      <c r="R490" s="294"/>
      <c r="S490" s="294"/>
      <c r="T490" s="294"/>
      <c r="U490" s="294"/>
      <c r="V490" s="294"/>
      <c r="W490" s="294"/>
      <c r="X490" s="294"/>
    </row>
    <row r="491" spans="1:24" x14ac:dyDescent="0.25">
      <c r="A491" s="294"/>
      <c r="B491" s="313"/>
      <c r="C491" s="294"/>
      <c r="D491" s="294"/>
      <c r="E491" s="306"/>
      <c r="F491" s="306"/>
      <c r="G491" s="306"/>
      <c r="H491" s="311"/>
      <c r="I491" s="306"/>
      <c r="J491" s="306"/>
      <c r="K491" s="294"/>
      <c r="L491" s="294"/>
      <c r="M491" s="294"/>
      <c r="N491" s="294"/>
      <c r="O491" s="294"/>
      <c r="P491" s="294"/>
      <c r="Q491" s="294"/>
      <c r="R491" s="294"/>
      <c r="S491" s="294"/>
      <c r="T491" s="294"/>
      <c r="U491" s="294"/>
      <c r="V491" s="294"/>
      <c r="W491" s="294"/>
      <c r="X491" s="294"/>
    </row>
    <row r="492" spans="1:24" x14ac:dyDescent="0.25">
      <c r="A492" s="294"/>
      <c r="B492" s="313"/>
      <c r="C492" s="294"/>
      <c r="D492" s="294"/>
      <c r="E492" s="306"/>
      <c r="F492" s="306"/>
      <c r="G492" s="306"/>
      <c r="H492" s="311"/>
      <c r="I492" s="306"/>
      <c r="J492" s="306"/>
      <c r="K492" s="294"/>
      <c r="L492" s="294"/>
      <c r="M492" s="294"/>
      <c r="N492" s="294"/>
      <c r="O492" s="294"/>
      <c r="P492" s="294"/>
      <c r="Q492" s="294"/>
      <c r="R492" s="294"/>
      <c r="S492" s="294"/>
      <c r="T492" s="294"/>
      <c r="U492" s="294"/>
      <c r="V492" s="294"/>
      <c r="W492" s="294"/>
      <c r="X492" s="294"/>
    </row>
    <row r="493" spans="1:24" x14ac:dyDescent="0.25">
      <c r="A493" s="294"/>
      <c r="B493" s="313"/>
      <c r="C493" s="294"/>
      <c r="D493" s="294"/>
      <c r="E493" s="306"/>
      <c r="F493" s="306"/>
      <c r="G493" s="306"/>
      <c r="H493" s="311"/>
      <c r="I493" s="306"/>
      <c r="J493" s="306"/>
      <c r="K493" s="294"/>
      <c r="L493" s="294"/>
      <c r="M493" s="294"/>
      <c r="N493" s="294"/>
      <c r="O493" s="294"/>
      <c r="P493" s="294"/>
      <c r="Q493" s="294"/>
      <c r="R493" s="294"/>
      <c r="S493" s="294"/>
      <c r="T493" s="294"/>
      <c r="U493" s="294"/>
      <c r="V493" s="294"/>
      <c r="W493" s="294"/>
      <c r="X493" s="294"/>
    </row>
    <row r="494" spans="1:24" x14ac:dyDescent="0.25">
      <c r="A494" s="294"/>
      <c r="B494" s="313"/>
      <c r="C494" s="294"/>
      <c r="D494" s="294"/>
      <c r="E494" s="306"/>
      <c r="F494" s="306"/>
      <c r="G494" s="306"/>
      <c r="H494" s="311"/>
      <c r="I494" s="306"/>
      <c r="J494" s="306"/>
      <c r="K494" s="294"/>
      <c r="L494" s="294"/>
      <c r="M494" s="294"/>
      <c r="N494" s="294"/>
      <c r="O494" s="294"/>
      <c r="P494" s="294"/>
      <c r="Q494" s="294"/>
      <c r="R494" s="294"/>
      <c r="S494" s="294"/>
      <c r="T494" s="294"/>
      <c r="U494" s="294"/>
      <c r="V494" s="294"/>
      <c r="W494" s="294"/>
      <c r="X494" s="294"/>
    </row>
    <row r="495" spans="1:24" x14ac:dyDescent="0.25">
      <c r="A495" s="294"/>
      <c r="B495" s="313"/>
      <c r="C495" s="294"/>
      <c r="D495" s="294"/>
      <c r="E495" s="306"/>
      <c r="F495" s="306"/>
      <c r="G495" s="306"/>
      <c r="H495" s="311"/>
      <c r="I495" s="306"/>
      <c r="J495" s="306"/>
      <c r="K495" s="294"/>
      <c r="L495" s="294"/>
      <c r="M495" s="294"/>
      <c r="N495" s="294"/>
      <c r="O495" s="294"/>
      <c r="P495" s="294"/>
      <c r="Q495" s="294"/>
      <c r="R495" s="294"/>
      <c r="S495" s="294"/>
      <c r="T495" s="294"/>
      <c r="U495" s="294"/>
      <c r="V495" s="294"/>
      <c r="W495" s="294"/>
      <c r="X495" s="294"/>
    </row>
    <row r="496" spans="1:24" x14ac:dyDescent="0.25">
      <c r="A496" s="294"/>
      <c r="B496" s="313"/>
      <c r="C496" s="294"/>
      <c r="D496" s="294"/>
      <c r="E496" s="306"/>
      <c r="F496" s="306"/>
      <c r="G496" s="306"/>
      <c r="H496" s="311"/>
      <c r="I496" s="306"/>
      <c r="J496" s="306"/>
      <c r="K496" s="294"/>
      <c r="L496" s="294"/>
      <c r="M496" s="294"/>
      <c r="N496" s="294"/>
      <c r="O496" s="294"/>
      <c r="P496" s="294"/>
      <c r="Q496" s="294"/>
      <c r="R496" s="294"/>
      <c r="S496" s="294"/>
      <c r="T496" s="294"/>
      <c r="U496" s="294"/>
      <c r="V496" s="294"/>
      <c r="W496" s="294"/>
      <c r="X496" s="294"/>
    </row>
    <row r="497" spans="1:24" x14ac:dyDescent="0.25">
      <c r="A497" s="294"/>
      <c r="B497" s="313"/>
      <c r="C497" s="294"/>
      <c r="D497" s="294"/>
      <c r="E497" s="306"/>
      <c r="F497" s="306"/>
      <c r="G497" s="306"/>
      <c r="H497" s="311"/>
      <c r="I497" s="306"/>
      <c r="J497" s="306"/>
      <c r="K497" s="294"/>
      <c r="L497" s="294"/>
      <c r="M497" s="294"/>
      <c r="N497" s="294"/>
      <c r="O497" s="294"/>
      <c r="P497" s="294"/>
      <c r="Q497" s="294"/>
      <c r="R497" s="294"/>
      <c r="S497" s="294"/>
      <c r="T497" s="294"/>
      <c r="U497" s="294"/>
      <c r="V497" s="294"/>
      <c r="W497" s="294"/>
      <c r="X497" s="294"/>
    </row>
    <row r="498" spans="1:24" x14ac:dyDescent="0.25">
      <c r="A498" s="294"/>
      <c r="B498" s="313"/>
      <c r="C498" s="294"/>
      <c r="D498" s="294"/>
      <c r="E498" s="306"/>
      <c r="F498" s="306"/>
      <c r="G498" s="306"/>
      <c r="H498" s="311"/>
      <c r="I498" s="306"/>
      <c r="J498" s="306"/>
      <c r="K498" s="294"/>
      <c r="L498" s="294"/>
      <c r="M498" s="294"/>
      <c r="N498" s="294"/>
      <c r="O498" s="294"/>
      <c r="P498" s="294"/>
      <c r="Q498" s="294"/>
      <c r="R498" s="294"/>
      <c r="S498" s="294"/>
      <c r="T498" s="294"/>
      <c r="U498" s="294"/>
      <c r="V498" s="294"/>
      <c r="W498" s="294"/>
      <c r="X498" s="294"/>
    </row>
    <row r="499" spans="1:24" x14ac:dyDescent="0.25">
      <c r="A499" s="294"/>
      <c r="B499" s="313"/>
      <c r="C499" s="294"/>
      <c r="D499" s="294"/>
      <c r="E499" s="306"/>
      <c r="F499" s="306"/>
      <c r="G499" s="306"/>
      <c r="H499" s="311"/>
      <c r="I499" s="306"/>
      <c r="J499" s="306"/>
      <c r="K499" s="294"/>
      <c r="L499" s="294"/>
      <c r="M499" s="294"/>
      <c r="N499" s="294"/>
      <c r="O499" s="294"/>
      <c r="P499" s="294"/>
      <c r="Q499" s="294"/>
      <c r="R499" s="294"/>
      <c r="S499" s="294"/>
      <c r="T499" s="294"/>
      <c r="U499" s="294"/>
      <c r="V499" s="294"/>
      <c r="W499" s="294"/>
      <c r="X499" s="294"/>
    </row>
    <row r="500" spans="1:24" x14ac:dyDescent="0.25">
      <c r="A500" s="294"/>
      <c r="B500" s="313"/>
      <c r="C500" s="294"/>
      <c r="D500" s="294"/>
      <c r="E500" s="306"/>
      <c r="F500" s="306"/>
      <c r="G500" s="306"/>
      <c r="H500" s="311"/>
      <c r="I500" s="306"/>
      <c r="J500" s="306"/>
      <c r="K500" s="294"/>
      <c r="L500" s="294"/>
      <c r="M500" s="294"/>
      <c r="N500" s="294"/>
      <c r="O500" s="294"/>
      <c r="P500" s="294"/>
      <c r="Q500" s="294"/>
      <c r="R500" s="294"/>
      <c r="S500" s="294"/>
      <c r="T500" s="294"/>
      <c r="U500" s="294"/>
      <c r="V500" s="294"/>
      <c r="W500" s="294"/>
      <c r="X500" s="294"/>
    </row>
    <row r="501" spans="1:24" x14ac:dyDescent="0.25">
      <c r="A501" s="294"/>
      <c r="B501" s="313"/>
      <c r="C501" s="294"/>
      <c r="D501" s="294"/>
      <c r="E501" s="306"/>
      <c r="F501" s="306"/>
      <c r="G501" s="306"/>
      <c r="H501" s="311"/>
      <c r="I501" s="306"/>
      <c r="J501" s="306"/>
      <c r="K501" s="294"/>
      <c r="L501" s="294"/>
      <c r="M501" s="294"/>
      <c r="N501" s="294"/>
      <c r="O501" s="294"/>
      <c r="P501" s="294"/>
      <c r="Q501" s="294"/>
      <c r="R501" s="294"/>
      <c r="S501" s="294"/>
      <c r="T501" s="294"/>
      <c r="U501" s="294"/>
      <c r="V501" s="294"/>
      <c r="W501" s="294"/>
      <c r="X501" s="294"/>
    </row>
    <row r="502" spans="1:24" x14ac:dyDescent="0.25">
      <c r="A502" s="294"/>
      <c r="B502" s="313"/>
      <c r="C502" s="294"/>
      <c r="D502" s="294"/>
      <c r="E502" s="306"/>
      <c r="F502" s="306"/>
      <c r="G502" s="306"/>
      <c r="H502" s="311"/>
      <c r="I502" s="306"/>
      <c r="J502" s="306"/>
      <c r="K502" s="294"/>
      <c r="L502" s="294"/>
      <c r="M502" s="294"/>
      <c r="N502" s="294"/>
      <c r="O502" s="294"/>
      <c r="P502" s="294"/>
      <c r="Q502" s="294"/>
      <c r="R502" s="294"/>
      <c r="S502" s="294"/>
      <c r="T502" s="294"/>
      <c r="U502" s="294"/>
      <c r="V502" s="294"/>
      <c r="W502" s="294"/>
      <c r="X502" s="294"/>
    </row>
    <row r="503" spans="1:24" x14ac:dyDescent="0.25">
      <c r="A503" s="294"/>
      <c r="B503" s="313"/>
      <c r="C503" s="294"/>
      <c r="D503" s="294"/>
      <c r="E503" s="306"/>
      <c r="F503" s="306"/>
      <c r="G503" s="306"/>
      <c r="H503" s="311"/>
      <c r="I503" s="306"/>
      <c r="J503" s="306"/>
      <c r="K503" s="294"/>
      <c r="L503" s="294"/>
      <c r="M503" s="294"/>
      <c r="N503" s="294"/>
      <c r="O503" s="294"/>
      <c r="P503" s="294"/>
      <c r="Q503" s="294"/>
      <c r="R503" s="294"/>
      <c r="S503" s="294"/>
      <c r="T503" s="294"/>
      <c r="U503" s="294"/>
      <c r="V503" s="294"/>
      <c r="W503" s="294"/>
      <c r="X503" s="294"/>
    </row>
    <row r="504" spans="1:24" x14ac:dyDescent="0.25">
      <c r="A504" s="294"/>
      <c r="B504" s="313"/>
      <c r="C504" s="294"/>
      <c r="D504" s="294"/>
      <c r="E504" s="306"/>
      <c r="F504" s="306"/>
      <c r="G504" s="306"/>
      <c r="H504" s="311"/>
      <c r="I504" s="306"/>
      <c r="J504" s="306"/>
      <c r="K504" s="294"/>
      <c r="L504" s="294"/>
      <c r="M504" s="294"/>
      <c r="N504" s="294"/>
      <c r="O504" s="294"/>
      <c r="P504" s="294"/>
      <c r="Q504" s="294"/>
      <c r="R504" s="294"/>
      <c r="S504" s="294"/>
      <c r="T504" s="294"/>
      <c r="U504" s="294"/>
      <c r="V504" s="294"/>
      <c r="W504" s="294"/>
      <c r="X504" s="294"/>
    </row>
    <row r="505" spans="1:24" x14ac:dyDescent="0.25">
      <c r="A505" s="294"/>
      <c r="B505" s="313"/>
      <c r="C505" s="294"/>
      <c r="D505" s="294"/>
      <c r="E505" s="306"/>
      <c r="F505" s="306"/>
      <c r="G505" s="306"/>
      <c r="H505" s="311"/>
      <c r="I505" s="306"/>
      <c r="J505" s="306"/>
      <c r="K505" s="294"/>
      <c r="L505" s="294"/>
      <c r="M505" s="294"/>
      <c r="N505" s="294"/>
      <c r="O505" s="294"/>
      <c r="P505" s="294"/>
      <c r="Q505" s="294"/>
      <c r="R505" s="294"/>
      <c r="S505" s="294"/>
      <c r="T505" s="294"/>
      <c r="U505" s="294"/>
      <c r="V505" s="294"/>
      <c r="W505" s="294"/>
      <c r="X505" s="294"/>
    </row>
    <row r="506" spans="1:24" x14ac:dyDescent="0.25">
      <c r="A506" s="294"/>
      <c r="B506" s="313"/>
      <c r="C506" s="294"/>
      <c r="D506" s="294"/>
      <c r="E506" s="306"/>
      <c r="F506" s="306"/>
      <c r="G506" s="306"/>
      <c r="H506" s="311"/>
      <c r="I506" s="306"/>
      <c r="J506" s="306"/>
      <c r="K506" s="294"/>
      <c r="L506" s="294"/>
      <c r="M506" s="294"/>
      <c r="N506" s="294"/>
      <c r="O506" s="294"/>
      <c r="P506" s="294"/>
      <c r="Q506" s="294"/>
      <c r="R506" s="294"/>
      <c r="S506" s="294"/>
      <c r="T506" s="294"/>
      <c r="U506" s="294"/>
      <c r="V506" s="294"/>
      <c r="W506" s="294"/>
      <c r="X506" s="294"/>
    </row>
    <row r="507" spans="1:24" x14ac:dyDescent="0.25">
      <c r="A507" s="294"/>
      <c r="B507" s="313"/>
      <c r="C507" s="294"/>
      <c r="D507" s="294"/>
      <c r="E507" s="306"/>
      <c r="F507" s="306"/>
      <c r="G507" s="306"/>
      <c r="H507" s="311"/>
      <c r="I507" s="306"/>
      <c r="J507" s="306"/>
      <c r="K507" s="294"/>
      <c r="L507" s="294"/>
      <c r="M507" s="294"/>
      <c r="N507" s="294"/>
      <c r="O507" s="294"/>
      <c r="P507" s="294"/>
      <c r="Q507" s="294"/>
      <c r="R507" s="294"/>
      <c r="S507" s="294"/>
      <c r="T507" s="294"/>
      <c r="U507" s="294"/>
      <c r="V507" s="294"/>
      <c r="W507" s="294"/>
      <c r="X507" s="294"/>
    </row>
    <row r="508" spans="1:24" x14ac:dyDescent="0.25">
      <c r="A508" s="294"/>
      <c r="B508" s="313"/>
      <c r="C508" s="294"/>
      <c r="D508" s="294"/>
      <c r="E508" s="306"/>
      <c r="F508" s="306"/>
      <c r="G508" s="306"/>
      <c r="H508" s="311"/>
      <c r="I508" s="306"/>
      <c r="J508" s="306"/>
      <c r="K508" s="294"/>
      <c r="L508" s="294"/>
      <c r="M508" s="294"/>
      <c r="N508" s="294"/>
      <c r="O508" s="294"/>
      <c r="P508" s="294"/>
      <c r="Q508" s="294"/>
      <c r="R508" s="294"/>
      <c r="S508" s="294"/>
      <c r="T508" s="294"/>
      <c r="U508" s="294"/>
      <c r="V508" s="294"/>
      <c r="W508" s="294"/>
      <c r="X508" s="294"/>
    </row>
    <row r="509" spans="1:24" x14ac:dyDescent="0.25">
      <c r="A509" s="294"/>
      <c r="B509" s="313"/>
      <c r="C509" s="294"/>
      <c r="D509" s="294"/>
      <c r="E509" s="306"/>
      <c r="F509" s="306"/>
      <c r="G509" s="306"/>
      <c r="H509" s="311"/>
      <c r="I509" s="306"/>
      <c r="J509" s="306"/>
      <c r="K509" s="294"/>
      <c r="L509" s="294"/>
      <c r="M509" s="294"/>
      <c r="N509" s="294"/>
      <c r="O509" s="294"/>
      <c r="P509" s="294"/>
      <c r="Q509" s="294"/>
      <c r="R509" s="294"/>
      <c r="S509" s="294"/>
      <c r="T509" s="294"/>
      <c r="U509" s="294"/>
      <c r="V509" s="294"/>
      <c r="W509" s="294"/>
      <c r="X509" s="294"/>
    </row>
    <row r="510" spans="1:24" x14ac:dyDescent="0.25">
      <c r="A510" s="294"/>
      <c r="B510" s="313"/>
      <c r="C510" s="294"/>
      <c r="D510" s="294"/>
      <c r="E510" s="306"/>
      <c r="F510" s="306"/>
      <c r="G510" s="306"/>
      <c r="H510" s="311"/>
      <c r="I510" s="306"/>
      <c r="J510" s="306"/>
      <c r="K510" s="294"/>
      <c r="L510" s="294"/>
      <c r="M510" s="294"/>
      <c r="N510" s="294"/>
      <c r="O510" s="294"/>
      <c r="P510" s="294"/>
      <c r="Q510" s="294"/>
      <c r="R510" s="294"/>
      <c r="S510" s="294"/>
      <c r="T510" s="294"/>
      <c r="U510" s="294"/>
      <c r="V510" s="294"/>
      <c r="W510" s="294"/>
      <c r="X510" s="294"/>
    </row>
    <row r="511" spans="1:24" x14ac:dyDescent="0.25">
      <c r="A511" s="294"/>
      <c r="B511" s="313"/>
      <c r="C511" s="294"/>
      <c r="D511" s="294"/>
      <c r="E511" s="306"/>
      <c r="F511" s="306"/>
      <c r="G511" s="306"/>
      <c r="H511" s="311"/>
      <c r="I511" s="306"/>
      <c r="J511" s="306"/>
      <c r="K511" s="294"/>
      <c r="L511" s="294"/>
      <c r="M511" s="294"/>
      <c r="N511" s="294"/>
      <c r="O511" s="294"/>
      <c r="P511" s="294"/>
      <c r="Q511" s="294"/>
      <c r="R511" s="294"/>
      <c r="S511" s="294"/>
      <c r="T511" s="294"/>
      <c r="U511" s="294"/>
      <c r="V511" s="294"/>
      <c r="W511" s="294"/>
      <c r="X511" s="294"/>
    </row>
    <row r="512" spans="1:24" x14ac:dyDescent="0.25">
      <c r="A512" s="294"/>
      <c r="B512" s="313"/>
      <c r="C512" s="294"/>
      <c r="D512" s="294"/>
      <c r="E512" s="306"/>
      <c r="F512" s="306"/>
      <c r="G512" s="306"/>
      <c r="H512" s="311"/>
      <c r="I512" s="306"/>
      <c r="J512" s="306"/>
      <c r="K512" s="294"/>
      <c r="L512" s="294"/>
      <c r="M512" s="294"/>
      <c r="N512" s="294"/>
      <c r="O512" s="294"/>
      <c r="P512" s="294"/>
      <c r="Q512" s="294"/>
      <c r="R512" s="294"/>
      <c r="S512" s="294"/>
      <c r="T512" s="294"/>
      <c r="U512" s="294"/>
      <c r="V512" s="294"/>
      <c r="W512" s="294"/>
      <c r="X512" s="294"/>
    </row>
    <row r="513" spans="1:24" x14ac:dyDescent="0.25">
      <c r="A513" s="294"/>
      <c r="B513" s="313"/>
      <c r="C513" s="294"/>
      <c r="D513" s="294"/>
      <c r="E513" s="306"/>
      <c r="F513" s="306"/>
      <c r="G513" s="306"/>
      <c r="H513" s="311"/>
      <c r="I513" s="306"/>
      <c r="J513" s="306"/>
      <c r="K513" s="294"/>
      <c r="L513" s="294"/>
      <c r="M513" s="294"/>
      <c r="N513" s="294"/>
      <c r="O513" s="294"/>
      <c r="P513" s="294"/>
      <c r="Q513" s="294"/>
      <c r="R513" s="294"/>
      <c r="S513" s="294"/>
      <c r="T513" s="294"/>
      <c r="U513" s="294"/>
      <c r="V513" s="294"/>
      <c r="W513" s="294"/>
      <c r="X513" s="294"/>
    </row>
    <row r="514" spans="1:24" x14ac:dyDescent="0.25">
      <c r="A514" s="294"/>
      <c r="B514" s="313"/>
      <c r="C514" s="294"/>
      <c r="D514" s="294"/>
      <c r="E514" s="306"/>
      <c r="F514" s="306"/>
      <c r="G514" s="306"/>
      <c r="H514" s="311"/>
      <c r="I514" s="306"/>
      <c r="J514" s="306"/>
      <c r="K514" s="294"/>
      <c r="L514" s="294"/>
      <c r="M514" s="294"/>
      <c r="N514" s="294"/>
      <c r="O514" s="294"/>
      <c r="P514" s="294"/>
      <c r="Q514" s="294"/>
      <c r="R514" s="294"/>
      <c r="S514" s="294"/>
      <c r="T514" s="294"/>
      <c r="U514" s="294"/>
      <c r="V514" s="294"/>
      <c r="W514" s="294"/>
      <c r="X514" s="294"/>
    </row>
    <row r="515" spans="1:24" x14ac:dyDescent="0.25">
      <c r="A515" s="294"/>
      <c r="B515" s="313"/>
      <c r="C515" s="294"/>
      <c r="D515" s="294"/>
      <c r="E515" s="306"/>
      <c r="F515" s="306"/>
      <c r="G515" s="306"/>
      <c r="H515" s="311"/>
      <c r="I515" s="306"/>
      <c r="J515" s="306"/>
      <c r="K515" s="294"/>
      <c r="L515" s="294"/>
      <c r="M515" s="294"/>
      <c r="N515" s="294"/>
      <c r="O515" s="294"/>
      <c r="P515" s="294"/>
      <c r="Q515" s="294"/>
      <c r="R515" s="294"/>
      <c r="S515" s="294"/>
      <c r="T515" s="294"/>
      <c r="U515" s="294"/>
      <c r="V515" s="294"/>
      <c r="W515" s="294"/>
      <c r="X515" s="294"/>
    </row>
    <row r="516" spans="1:24" x14ac:dyDescent="0.25">
      <c r="A516" s="294"/>
      <c r="B516" s="313"/>
      <c r="C516" s="294"/>
      <c r="D516" s="294"/>
      <c r="E516" s="306"/>
      <c r="F516" s="306"/>
      <c r="G516" s="306"/>
      <c r="H516" s="311"/>
      <c r="I516" s="306"/>
      <c r="J516" s="306"/>
      <c r="K516" s="294"/>
      <c r="L516" s="294"/>
      <c r="M516" s="294"/>
      <c r="N516" s="294"/>
      <c r="O516" s="294"/>
      <c r="P516" s="294"/>
      <c r="Q516" s="294"/>
      <c r="R516" s="294"/>
      <c r="S516" s="294"/>
      <c r="T516" s="294"/>
      <c r="U516" s="294"/>
      <c r="V516" s="294"/>
      <c r="W516" s="294"/>
      <c r="X516" s="294"/>
    </row>
    <row r="517" spans="1:24" x14ac:dyDescent="0.25">
      <c r="A517" s="294"/>
      <c r="B517" s="313"/>
      <c r="C517" s="294"/>
      <c r="D517" s="294"/>
      <c r="E517" s="306"/>
      <c r="F517" s="306"/>
      <c r="G517" s="306"/>
      <c r="H517" s="311"/>
      <c r="I517" s="306"/>
      <c r="J517" s="306"/>
      <c r="K517" s="294"/>
      <c r="L517" s="294"/>
      <c r="M517" s="294"/>
      <c r="N517" s="294"/>
      <c r="O517" s="294"/>
      <c r="P517" s="294"/>
      <c r="Q517" s="294"/>
      <c r="R517" s="294"/>
      <c r="S517" s="294"/>
      <c r="T517" s="294"/>
      <c r="U517" s="294"/>
      <c r="V517" s="294"/>
      <c r="W517" s="294"/>
      <c r="X517" s="294"/>
    </row>
    <row r="518" spans="1:24" x14ac:dyDescent="0.25">
      <c r="A518" s="294"/>
      <c r="B518" s="313"/>
      <c r="C518" s="294"/>
      <c r="D518" s="294"/>
      <c r="E518" s="306"/>
      <c r="F518" s="306"/>
      <c r="G518" s="306"/>
      <c r="H518" s="311"/>
      <c r="I518" s="306"/>
      <c r="J518" s="306"/>
      <c r="K518" s="294"/>
      <c r="L518" s="294"/>
      <c r="M518" s="294"/>
      <c r="N518" s="294"/>
      <c r="O518" s="294"/>
      <c r="P518" s="294"/>
      <c r="Q518" s="294"/>
      <c r="R518" s="294"/>
      <c r="S518" s="294"/>
      <c r="T518" s="294"/>
      <c r="U518" s="294"/>
      <c r="V518" s="294"/>
      <c r="W518" s="294"/>
      <c r="X518" s="294"/>
    </row>
    <row r="519" spans="1:24" x14ac:dyDescent="0.25">
      <c r="A519" s="294"/>
      <c r="B519" s="313"/>
      <c r="C519" s="294"/>
      <c r="D519" s="294"/>
      <c r="E519" s="306"/>
      <c r="F519" s="306"/>
      <c r="G519" s="306"/>
      <c r="H519" s="311"/>
      <c r="I519" s="306"/>
      <c r="J519" s="306"/>
      <c r="K519" s="294"/>
      <c r="L519" s="294"/>
      <c r="M519" s="294"/>
      <c r="N519" s="294"/>
      <c r="O519" s="294"/>
      <c r="P519" s="294"/>
      <c r="Q519" s="294"/>
      <c r="R519" s="294"/>
      <c r="S519" s="294"/>
      <c r="T519" s="294"/>
      <c r="U519" s="294"/>
      <c r="V519" s="294"/>
      <c r="W519" s="294"/>
      <c r="X519" s="294"/>
    </row>
    <row r="520" spans="1:24" x14ac:dyDescent="0.25">
      <c r="A520" s="294"/>
      <c r="B520" s="313"/>
      <c r="C520" s="294"/>
      <c r="D520" s="294"/>
      <c r="E520" s="306"/>
      <c r="F520" s="306"/>
      <c r="G520" s="306"/>
      <c r="H520" s="311"/>
      <c r="I520" s="306"/>
      <c r="J520" s="306"/>
      <c r="K520" s="294"/>
      <c r="L520" s="294"/>
      <c r="M520" s="294"/>
      <c r="N520" s="294"/>
      <c r="O520" s="294"/>
      <c r="P520" s="294"/>
      <c r="Q520" s="294"/>
      <c r="R520" s="294"/>
      <c r="S520" s="294"/>
      <c r="T520" s="294"/>
      <c r="U520" s="294"/>
      <c r="V520" s="294"/>
      <c r="W520" s="294"/>
      <c r="X520" s="294"/>
    </row>
    <row r="521" spans="1:24" x14ac:dyDescent="0.25">
      <c r="A521" s="294"/>
      <c r="B521" s="313"/>
      <c r="C521" s="294"/>
      <c r="D521" s="294"/>
      <c r="E521" s="306"/>
      <c r="F521" s="306"/>
      <c r="G521" s="306"/>
      <c r="H521" s="311"/>
      <c r="I521" s="306"/>
      <c r="J521" s="306"/>
      <c r="K521" s="294"/>
      <c r="L521" s="294"/>
      <c r="M521" s="294"/>
      <c r="N521" s="294"/>
      <c r="O521" s="294"/>
      <c r="P521" s="294"/>
      <c r="Q521" s="294"/>
      <c r="R521" s="294"/>
      <c r="S521" s="294"/>
      <c r="T521" s="294"/>
      <c r="U521" s="294"/>
      <c r="V521" s="294"/>
      <c r="W521" s="294"/>
      <c r="X521" s="294"/>
    </row>
    <row r="522" spans="1:24" x14ac:dyDescent="0.25">
      <c r="A522" s="294"/>
      <c r="B522" s="313"/>
      <c r="C522" s="294"/>
      <c r="D522" s="294"/>
      <c r="E522" s="306"/>
      <c r="F522" s="306"/>
      <c r="G522" s="306"/>
      <c r="H522" s="311"/>
      <c r="I522" s="306"/>
      <c r="J522" s="306"/>
      <c r="K522" s="294"/>
      <c r="L522" s="294"/>
      <c r="M522" s="294"/>
      <c r="N522" s="294"/>
      <c r="O522" s="294"/>
      <c r="P522" s="294"/>
      <c r="Q522" s="294"/>
      <c r="R522" s="294"/>
      <c r="S522" s="294"/>
      <c r="T522" s="294"/>
      <c r="U522" s="294"/>
      <c r="V522" s="294"/>
      <c r="W522" s="294"/>
      <c r="X522" s="294"/>
    </row>
    <row r="523" spans="1:24" x14ac:dyDescent="0.25">
      <c r="A523" s="294"/>
      <c r="B523" s="313"/>
      <c r="C523" s="294"/>
      <c r="D523" s="294"/>
      <c r="E523" s="306"/>
      <c r="F523" s="306"/>
      <c r="G523" s="306"/>
      <c r="H523" s="311"/>
      <c r="I523" s="306"/>
      <c r="J523" s="306"/>
      <c r="K523" s="294"/>
      <c r="L523" s="294"/>
      <c r="M523" s="294"/>
      <c r="N523" s="294"/>
      <c r="O523" s="294"/>
      <c r="P523" s="294"/>
      <c r="Q523" s="294"/>
      <c r="R523" s="294"/>
      <c r="S523" s="294"/>
      <c r="T523" s="294"/>
      <c r="U523" s="294"/>
      <c r="V523" s="294"/>
      <c r="W523" s="294"/>
      <c r="X523" s="294"/>
    </row>
    <row r="524" spans="1:24" x14ac:dyDescent="0.25">
      <c r="A524" s="294"/>
      <c r="B524" s="313"/>
      <c r="C524" s="294"/>
      <c r="D524" s="294"/>
      <c r="E524" s="306"/>
      <c r="F524" s="306"/>
      <c r="G524" s="306"/>
      <c r="H524" s="311"/>
      <c r="I524" s="306"/>
      <c r="J524" s="306"/>
      <c r="K524" s="294"/>
      <c r="L524" s="294"/>
      <c r="M524" s="294"/>
      <c r="N524" s="294"/>
      <c r="O524" s="294"/>
      <c r="P524" s="294"/>
      <c r="Q524" s="294"/>
      <c r="R524" s="294"/>
      <c r="S524" s="294"/>
      <c r="T524" s="294"/>
      <c r="U524" s="294"/>
      <c r="V524" s="294"/>
      <c r="W524" s="294"/>
      <c r="X524" s="294"/>
    </row>
    <row r="525" spans="1:24" x14ac:dyDescent="0.25">
      <c r="A525" s="294"/>
      <c r="B525" s="313"/>
      <c r="C525" s="294"/>
      <c r="D525" s="294"/>
      <c r="E525" s="306"/>
      <c r="F525" s="306"/>
      <c r="G525" s="306"/>
      <c r="H525" s="311"/>
      <c r="I525" s="306"/>
      <c r="J525" s="306"/>
      <c r="K525" s="294"/>
      <c r="L525" s="294"/>
      <c r="M525" s="294"/>
      <c r="N525" s="294"/>
      <c r="O525" s="294"/>
      <c r="P525" s="294"/>
      <c r="Q525" s="294"/>
      <c r="R525" s="294"/>
      <c r="S525" s="294"/>
      <c r="T525" s="294"/>
      <c r="U525" s="294"/>
      <c r="V525" s="294"/>
      <c r="W525" s="294"/>
      <c r="X525" s="294"/>
    </row>
    <row r="526" spans="1:24" x14ac:dyDescent="0.25">
      <c r="A526" s="294"/>
      <c r="B526" s="313"/>
      <c r="C526" s="294"/>
      <c r="D526" s="294"/>
      <c r="E526" s="306"/>
      <c r="F526" s="306"/>
      <c r="G526" s="306"/>
      <c r="H526" s="311"/>
      <c r="I526" s="306"/>
      <c r="J526" s="306"/>
      <c r="K526" s="294"/>
      <c r="L526" s="294"/>
      <c r="M526" s="294"/>
      <c r="N526" s="294"/>
      <c r="O526" s="294"/>
      <c r="P526" s="294"/>
      <c r="Q526" s="294"/>
      <c r="R526" s="294"/>
      <c r="S526" s="294"/>
      <c r="T526" s="294"/>
      <c r="U526" s="294"/>
      <c r="V526" s="294"/>
      <c r="W526" s="294"/>
      <c r="X526" s="294"/>
    </row>
    <row r="527" spans="1:24" x14ac:dyDescent="0.25">
      <c r="A527" s="294"/>
      <c r="B527" s="313"/>
      <c r="C527" s="294"/>
      <c r="D527" s="294"/>
      <c r="E527" s="306"/>
      <c r="F527" s="306"/>
      <c r="G527" s="306"/>
      <c r="H527" s="311"/>
      <c r="I527" s="306"/>
      <c r="J527" s="306"/>
      <c r="K527" s="294"/>
      <c r="L527" s="294"/>
      <c r="M527" s="294"/>
      <c r="N527" s="294"/>
      <c r="O527" s="294"/>
      <c r="P527" s="294"/>
      <c r="Q527" s="294"/>
      <c r="R527" s="294"/>
      <c r="S527" s="294"/>
      <c r="T527" s="294"/>
      <c r="U527" s="294"/>
      <c r="V527" s="294"/>
      <c r="W527" s="294"/>
      <c r="X527" s="294"/>
    </row>
    <row r="528" spans="1:24" x14ac:dyDescent="0.25">
      <c r="A528" s="294"/>
      <c r="B528" s="313"/>
      <c r="C528" s="294"/>
      <c r="D528" s="294"/>
      <c r="E528" s="306"/>
      <c r="F528" s="306"/>
      <c r="G528" s="306"/>
      <c r="H528" s="311"/>
      <c r="I528" s="306"/>
      <c r="J528" s="306"/>
      <c r="K528" s="294"/>
      <c r="L528" s="294"/>
      <c r="M528" s="294"/>
      <c r="N528" s="294"/>
      <c r="O528" s="294"/>
      <c r="P528" s="294"/>
      <c r="Q528" s="294"/>
      <c r="R528" s="294"/>
      <c r="S528" s="294"/>
      <c r="T528" s="294"/>
      <c r="U528" s="294"/>
      <c r="V528" s="294"/>
      <c r="W528" s="294"/>
      <c r="X528" s="294"/>
    </row>
    <row r="529" spans="1:24" x14ac:dyDescent="0.25">
      <c r="A529" s="294"/>
      <c r="B529" s="313"/>
      <c r="C529" s="294"/>
      <c r="D529" s="294"/>
      <c r="E529" s="306"/>
      <c r="F529" s="306"/>
      <c r="G529" s="306"/>
      <c r="H529" s="311"/>
      <c r="I529" s="306"/>
      <c r="J529" s="306"/>
      <c r="K529" s="294"/>
      <c r="L529" s="294"/>
      <c r="M529" s="294"/>
      <c r="N529" s="294"/>
      <c r="O529" s="294"/>
      <c r="P529" s="294"/>
      <c r="Q529" s="294"/>
      <c r="R529" s="294"/>
      <c r="S529" s="294"/>
      <c r="T529" s="294"/>
      <c r="U529" s="294"/>
      <c r="V529" s="294"/>
      <c r="W529" s="294"/>
      <c r="X529" s="294"/>
    </row>
    <row r="530" spans="1:24" x14ac:dyDescent="0.25">
      <c r="A530" s="294"/>
      <c r="B530" s="313"/>
      <c r="C530" s="294"/>
      <c r="D530" s="294"/>
      <c r="E530" s="306"/>
      <c r="F530" s="306"/>
      <c r="G530" s="306"/>
      <c r="H530" s="311"/>
      <c r="I530" s="306"/>
      <c r="J530" s="306"/>
      <c r="K530" s="294"/>
      <c r="L530" s="294"/>
      <c r="M530" s="294"/>
      <c r="N530" s="294"/>
      <c r="O530" s="294"/>
      <c r="P530" s="294"/>
      <c r="Q530" s="294"/>
      <c r="R530" s="294"/>
      <c r="S530" s="294"/>
      <c r="T530" s="294"/>
      <c r="U530" s="294"/>
      <c r="V530" s="294"/>
      <c r="W530" s="294"/>
      <c r="X530" s="294"/>
    </row>
    <row r="531" spans="1:24" x14ac:dyDescent="0.25">
      <c r="A531" s="294"/>
      <c r="B531" s="313"/>
      <c r="C531" s="294"/>
      <c r="D531" s="294"/>
      <c r="E531" s="306"/>
      <c r="F531" s="306"/>
      <c r="G531" s="306"/>
      <c r="H531" s="311"/>
      <c r="I531" s="306"/>
      <c r="J531" s="306"/>
      <c r="K531" s="294"/>
      <c r="L531" s="294"/>
      <c r="M531" s="294"/>
      <c r="N531" s="294"/>
      <c r="O531" s="294"/>
      <c r="P531" s="294"/>
      <c r="Q531" s="294"/>
      <c r="R531" s="294"/>
      <c r="S531" s="294"/>
      <c r="T531" s="294"/>
      <c r="U531" s="294"/>
      <c r="V531" s="294"/>
      <c r="W531" s="294"/>
      <c r="X531" s="294"/>
    </row>
    <row r="532" spans="1:24" x14ac:dyDescent="0.25">
      <c r="A532" s="294"/>
      <c r="B532" s="313"/>
      <c r="C532" s="294"/>
      <c r="D532" s="294"/>
      <c r="E532" s="306"/>
      <c r="F532" s="306"/>
      <c r="G532" s="306"/>
      <c r="H532" s="311"/>
      <c r="I532" s="306"/>
      <c r="J532" s="306"/>
      <c r="K532" s="294"/>
      <c r="L532" s="294"/>
      <c r="M532" s="294"/>
      <c r="N532" s="294"/>
      <c r="O532" s="294"/>
      <c r="P532" s="294"/>
      <c r="Q532" s="294"/>
      <c r="R532" s="294"/>
      <c r="S532" s="294"/>
      <c r="T532" s="294"/>
      <c r="U532" s="294"/>
      <c r="V532" s="294"/>
      <c r="W532" s="294"/>
      <c r="X532" s="294"/>
    </row>
    <row r="533" spans="1:24" x14ac:dyDescent="0.25">
      <c r="A533" s="294"/>
      <c r="B533" s="313"/>
      <c r="C533" s="294"/>
      <c r="D533" s="294"/>
      <c r="E533" s="306"/>
      <c r="F533" s="306"/>
      <c r="G533" s="306"/>
      <c r="H533" s="311"/>
      <c r="I533" s="306"/>
      <c r="J533" s="306"/>
      <c r="K533" s="294"/>
      <c r="L533" s="294"/>
      <c r="M533" s="294"/>
      <c r="N533" s="294"/>
      <c r="O533" s="294"/>
      <c r="P533" s="294"/>
      <c r="Q533" s="294"/>
      <c r="R533" s="294"/>
      <c r="S533" s="294"/>
      <c r="T533" s="294"/>
      <c r="U533" s="294"/>
      <c r="V533" s="294"/>
      <c r="W533" s="294"/>
      <c r="X533" s="294"/>
    </row>
    <row r="534" spans="1:24" x14ac:dyDescent="0.25">
      <c r="A534" s="294"/>
      <c r="B534" s="313"/>
      <c r="C534" s="294"/>
      <c r="D534" s="294"/>
      <c r="E534" s="306"/>
      <c r="F534" s="306"/>
      <c r="G534" s="306"/>
      <c r="H534" s="311"/>
      <c r="I534" s="306"/>
      <c r="J534" s="306"/>
      <c r="K534" s="294"/>
      <c r="L534" s="294"/>
      <c r="M534" s="294"/>
      <c r="N534" s="294"/>
      <c r="O534" s="294"/>
      <c r="P534" s="294"/>
      <c r="Q534" s="294"/>
      <c r="R534" s="294"/>
      <c r="S534" s="294"/>
      <c r="T534" s="294"/>
      <c r="U534" s="294"/>
      <c r="V534" s="294"/>
      <c r="W534" s="294"/>
      <c r="X534" s="294"/>
    </row>
    <row r="535" spans="1:24" x14ac:dyDescent="0.25">
      <c r="A535" s="294"/>
      <c r="B535" s="313"/>
      <c r="C535" s="294"/>
      <c r="D535" s="294"/>
      <c r="E535" s="306"/>
      <c r="F535" s="306"/>
      <c r="G535" s="306"/>
      <c r="H535" s="311"/>
      <c r="I535" s="306"/>
      <c r="J535" s="306"/>
      <c r="K535" s="294"/>
      <c r="L535" s="294"/>
      <c r="M535" s="294"/>
      <c r="N535" s="294"/>
      <c r="O535" s="294"/>
      <c r="P535" s="294"/>
      <c r="Q535" s="294"/>
      <c r="R535" s="294"/>
      <c r="S535" s="294"/>
      <c r="T535" s="294"/>
      <c r="U535" s="294"/>
      <c r="V535" s="294"/>
      <c r="W535" s="294"/>
      <c r="X535" s="294"/>
    </row>
    <row r="536" spans="1:24" x14ac:dyDescent="0.25">
      <c r="A536" s="294"/>
      <c r="B536" s="313"/>
      <c r="C536" s="294"/>
      <c r="D536" s="294"/>
      <c r="E536" s="306"/>
      <c r="F536" s="306"/>
      <c r="G536" s="306"/>
      <c r="H536" s="311"/>
      <c r="I536" s="306"/>
      <c r="J536" s="306"/>
      <c r="K536" s="294"/>
      <c r="L536" s="294"/>
      <c r="M536" s="294"/>
      <c r="N536" s="294"/>
      <c r="O536" s="294"/>
      <c r="P536" s="294"/>
      <c r="Q536" s="294"/>
      <c r="R536" s="294"/>
      <c r="S536" s="294"/>
      <c r="T536" s="294"/>
      <c r="U536" s="294"/>
      <c r="V536" s="294"/>
      <c r="W536" s="294"/>
      <c r="X536" s="294"/>
    </row>
    <row r="537" spans="1:24" x14ac:dyDescent="0.25">
      <c r="A537" s="294"/>
      <c r="B537" s="313"/>
      <c r="C537" s="294"/>
      <c r="D537" s="294"/>
      <c r="E537" s="306"/>
      <c r="F537" s="306"/>
      <c r="G537" s="306"/>
      <c r="H537" s="311"/>
      <c r="I537" s="306"/>
      <c r="J537" s="306"/>
      <c r="K537" s="294"/>
      <c r="L537" s="294"/>
      <c r="M537" s="294"/>
      <c r="N537" s="294"/>
      <c r="O537" s="294"/>
      <c r="P537" s="294"/>
      <c r="Q537" s="294"/>
      <c r="R537" s="294"/>
      <c r="S537" s="294"/>
      <c r="T537" s="294"/>
      <c r="U537" s="294"/>
      <c r="V537" s="294"/>
      <c r="W537" s="294"/>
      <c r="X537" s="294"/>
    </row>
    <row r="538" spans="1:24" x14ac:dyDescent="0.25">
      <c r="A538" s="294"/>
      <c r="B538" s="313"/>
      <c r="C538" s="294"/>
      <c r="D538" s="294"/>
      <c r="E538" s="306"/>
      <c r="F538" s="306"/>
      <c r="G538" s="306"/>
      <c r="H538" s="311"/>
      <c r="I538" s="306"/>
      <c r="J538" s="306"/>
      <c r="K538" s="294"/>
      <c r="L538" s="294"/>
      <c r="M538" s="294"/>
      <c r="N538" s="294"/>
      <c r="O538" s="294"/>
      <c r="P538" s="294"/>
      <c r="Q538" s="294"/>
      <c r="R538" s="294"/>
      <c r="S538" s="294"/>
      <c r="T538" s="294"/>
      <c r="U538" s="294"/>
      <c r="V538" s="294"/>
      <c r="W538" s="294"/>
      <c r="X538" s="294"/>
    </row>
    <row r="539" spans="1:24" x14ac:dyDescent="0.25">
      <c r="A539" s="294"/>
      <c r="B539" s="313"/>
      <c r="C539" s="294"/>
      <c r="D539" s="294"/>
      <c r="E539" s="306"/>
      <c r="F539" s="306"/>
      <c r="G539" s="306"/>
      <c r="H539" s="311"/>
      <c r="I539" s="306"/>
      <c r="J539" s="306"/>
      <c r="K539" s="294"/>
      <c r="L539" s="294"/>
      <c r="M539" s="294"/>
      <c r="N539" s="294"/>
      <c r="O539" s="294"/>
      <c r="P539" s="294"/>
      <c r="Q539" s="294"/>
      <c r="R539" s="294"/>
      <c r="S539" s="294"/>
      <c r="T539" s="294"/>
      <c r="U539" s="294"/>
      <c r="V539" s="294"/>
      <c r="W539" s="294"/>
      <c r="X539" s="294"/>
    </row>
    <row r="540" spans="1:24" x14ac:dyDescent="0.25">
      <c r="A540" s="294"/>
      <c r="B540" s="313"/>
      <c r="C540" s="294"/>
      <c r="D540" s="294"/>
      <c r="E540" s="306"/>
      <c r="F540" s="306"/>
      <c r="G540" s="306"/>
      <c r="H540" s="311"/>
      <c r="I540" s="306"/>
      <c r="J540" s="306"/>
      <c r="K540" s="294"/>
      <c r="L540" s="294"/>
      <c r="M540" s="294"/>
      <c r="N540" s="294"/>
      <c r="O540" s="294"/>
      <c r="P540" s="294"/>
      <c r="Q540" s="294"/>
      <c r="R540" s="294"/>
      <c r="S540" s="294"/>
      <c r="T540" s="294"/>
      <c r="U540" s="294"/>
      <c r="V540" s="294"/>
      <c r="W540" s="294"/>
      <c r="X540" s="294"/>
    </row>
    <row r="541" spans="1:24" x14ac:dyDescent="0.25">
      <c r="A541" s="294"/>
      <c r="B541" s="313"/>
      <c r="C541" s="294"/>
      <c r="D541" s="294"/>
      <c r="E541" s="306"/>
      <c r="F541" s="306"/>
      <c r="G541" s="306"/>
      <c r="H541" s="311"/>
      <c r="I541" s="306"/>
      <c r="J541" s="306"/>
      <c r="K541" s="294"/>
      <c r="L541" s="294"/>
      <c r="M541" s="294"/>
      <c r="N541" s="294"/>
      <c r="O541" s="294"/>
      <c r="P541" s="294"/>
      <c r="Q541" s="294"/>
      <c r="R541" s="294"/>
      <c r="S541" s="294"/>
      <c r="T541" s="294"/>
      <c r="U541" s="294"/>
      <c r="V541" s="294"/>
      <c r="W541" s="294"/>
      <c r="X541" s="294"/>
    </row>
    <row r="542" spans="1:24" x14ac:dyDescent="0.25">
      <c r="A542" s="294"/>
      <c r="B542" s="313"/>
      <c r="C542" s="294"/>
      <c r="D542" s="294"/>
      <c r="E542" s="306"/>
      <c r="F542" s="306"/>
      <c r="G542" s="306"/>
      <c r="H542" s="311"/>
      <c r="I542" s="306"/>
      <c r="J542" s="306"/>
      <c r="K542" s="294"/>
      <c r="L542" s="294"/>
      <c r="M542" s="294"/>
      <c r="N542" s="294"/>
      <c r="O542" s="294"/>
      <c r="P542" s="294"/>
      <c r="Q542" s="294"/>
      <c r="R542" s="294"/>
      <c r="S542" s="294"/>
      <c r="T542" s="294"/>
      <c r="U542" s="294"/>
      <c r="V542" s="294"/>
      <c r="W542" s="294"/>
      <c r="X542" s="294"/>
    </row>
    <row r="543" spans="1:24" x14ac:dyDescent="0.25">
      <c r="A543" s="294"/>
      <c r="B543" s="313"/>
      <c r="C543" s="294"/>
      <c r="D543" s="294"/>
      <c r="E543" s="306"/>
      <c r="F543" s="306"/>
      <c r="G543" s="306"/>
      <c r="H543" s="311"/>
      <c r="I543" s="306"/>
      <c r="J543" s="306"/>
      <c r="K543" s="294"/>
      <c r="L543" s="294"/>
      <c r="M543" s="294"/>
      <c r="N543" s="294"/>
      <c r="O543" s="294"/>
      <c r="P543" s="294"/>
      <c r="Q543" s="294"/>
      <c r="R543" s="294"/>
      <c r="S543" s="294"/>
      <c r="T543" s="294"/>
      <c r="U543" s="294"/>
      <c r="V543" s="294"/>
      <c r="W543" s="294"/>
      <c r="X543" s="294"/>
    </row>
    <row r="544" spans="1:24" x14ac:dyDescent="0.25">
      <c r="A544" s="294"/>
      <c r="B544" s="313"/>
      <c r="C544" s="294"/>
      <c r="D544" s="294"/>
      <c r="E544" s="306"/>
      <c r="F544" s="306"/>
      <c r="G544" s="306"/>
      <c r="H544" s="311"/>
      <c r="I544" s="306"/>
      <c r="J544" s="306"/>
      <c r="K544" s="294"/>
      <c r="L544" s="294"/>
      <c r="M544" s="294"/>
      <c r="N544" s="294"/>
      <c r="O544" s="294"/>
      <c r="P544" s="294"/>
      <c r="Q544" s="294"/>
      <c r="R544" s="294"/>
      <c r="S544" s="294"/>
      <c r="T544" s="294"/>
      <c r="U544" s="294"/>
      <c r="V544" s="294"/>
      <c r="W544" s="294"/>
      <c r="X544" s="294"/>
    </row>
    <row r="545" spans="1:24" x14ac:dyDescent="0.25">
      <c r="A545" s="294"/>
      <c r="B545" s="313"/>
      <c r="C545" s="294"/>
      <c r="D545" s="294"/>
      <c r="E545" s="306"/>
      <c r="F545" s="306"/>
      <c r="G545" s="306"/>
      <c r="H545" s="311"/>
      <c r="I545" s="306"/>
      <c r="J545" s="306"/>
      <c r="K545" s="294"/>
      <c r="L545" s="294"/>
      <c r="M545" s="294"/>
      <c r="N545" s="294"/>
      <c r="O545" s="294"/>
      <c r="P545" s="294"/>
      <c r="Q545" s="294"/>
      <c r="R545" s="294"/>
      <c r="S545" s="294"/>
      <c r="T545" s="294"/>
      <c r="U545" s="294"/>
      <c r="V545" s="294"/>
      <c r="W545" s="294"/>
      <c r="X545" s="294"/>
    </row>
    <row r="546" spans="1:24" x14ac:dyDescent="0.25">
      <c r="A546" s="294"/>
      <c r="B546" s="313"/>
      <c r="C546" s="294"/>
      <c r="D546" s="294"/>
      <c r="E546" s="306"/>
      <c r="F546" s="306"/>
      <c r="G546" s="306"/>
      <c r="H546" s="311"/>
      <c r="I546" s="306"/>
      <c r="J546" s="306"/>
      <c r="K546" s="294"/>
      <c r="L546" s="294"/>
      <c r="M546" s="294"/>
      <c r="N546" s="294"/>
      <c r="O546" s="294"/>
      <c r="P546" s="294"/>
      <c r="Q546" s="294"/>
      <c r="R546" s="294"/>
      <c r="S546" s="294"/>
      <c r="T546" s="294"/>
      <c r="U546" s="294"/>
      <c r="V546" s="294"/>
      <c r="W546" s="294"/>
      <c r="X546" s="294"/>
    </row>
    <row r="547" spans="1:24" x14ac:dyDescent="0.25">
      <c r="A547" s="294"/>
      <c r="B547" s="313"/>
      <c r="C547" s="294"/>
      <c r="D547" s="294"/>
      <c r="E547" s="306"/>
      <c r="F547" s="306"/>
      <c r="G547" s="306"/>
      <c r="H547" s="311"/>
      <c r="I547" s="306"/>
      <c r="J547" s="306"/>
      <c r="K547" s="294"/>
      <c r="L547" s="294"/>
      <c r="M547" s="294"/>
      <c r="N547" s="294"/>
      <c r="O547" s="294"/>
      <c r="P547" s="294"/>
      <c r="Q547" s="294"/>
      <c r="R547" s="294"/>
      <c r="S547" s="294"/>
      <c r="T547" s="294"/>
      <c r="U547" s="294"/>
      <c r="V547" s="294"/>
      <c r="W547" s="294"/>
      <c r="X547" s="294"/>
    </row>
    <row r="548" spans="1:24" x14ac:dyDescent="0.25">
      <c r="A548" s="294"/>
      <c r="B548" s="313"/>
      <c r="C548" s="294"/>
      <c r="D548" s="294"/>
      <c r="E548" s="306"/>
      <c r="F548" s="306"/>
      <c r="G548" s="306"/>
      <c r="H548" s="311"/>
      <c r="I548" s="306"/>
      <c r="J548" s="306"/>
      <c r="K548" s="294"/>
      <c r="L548" s="294"/>
      <c r="M548" s="294"/>
      <c r="N548" s="294"/>
      <c r="O548" s="294"/>
      <c r="P548" s="294"/>
      <c r="Q548" s="294"/>
      <c r="R548" s="294"/>
      <c r="S548" s="294"/>
      <c r="T548" s="294"/>
      <c r="U548" s="294"/>
      <c r="V548" s="294"/>
      <c r="W548" s="294"/>
      <c r="X548" s="294"/>
    </row>
    <row r="549" spans="1:24" x14ac:dyDescent="0.25">
      <c r="A549" s="294"/>
      <c r="B549" s="313"/>
      <c r="C549" s="294"/>
      <c r="D549" s="294"/>
      <c r="E549" s="306"/>
      <c r="F549" s="306"/>
      <c r="G549" s="306"/>
      <c r="H549" s="311"/>
      <c r="I549" s="306"/>
      <c r="J549" s="306"/>
      <c r="K549" s="294"/>
      <c r="L549" s="294"/>
      <c r="M549" s="294"/>
      <c r="N549" s="294"/>
      <c r="O549" s="294"/>
      <c r="P549" s="294"/>
      <c r="Q549" s="294"/>
      <c r="R549" s="294"/>
      <c r="S549" s="294"/>
      <c r="T549" s="294"/>
      <c r="U549" s="294"/>
      <c r="V549" s="294"/>
      <c r="W549" s="294"/>
      <c r="X549" s="294"/>
    </row>
    <row r="550" spans="1:24" x14ac:dyDescent="0.25">
      <c r="A550" s="294"/>
      <c r="B550" s="313"/>
      <c r="C550" s="294"/>
      <c r="D550" s="294"/>
      <c r="E550" s="306"/>
      <c r="F550" s="306"/>
      <c r="G550" s="306"/>
      <c r="H550" s="311"/>
      <c r="I550" s="306"/>
      <c r="J550" s="306"/>
      <c r="K550" s="294"/>
      <c r="L550" s="294"/>
      <c r="M550" s="294"/>
      <c r="N550" s="294"/>
      <c r="O550" s="294"/>
      <c r="P550" s="294"/>
      <c r="Q550" s="294"/>
      <c r="R550" s="294"/>
      <c r="S550" s="294"/>
      <c r="T550" s="294"/>
      <c r="U550" s="294"/>
      <c r="V550" s="294"/>
      <c r="W550" s="294"/>
      <c r="X550" s="294"/>
    </row>
    <row r="551" spans="1:24" x14ac:dyDescent="0.25">
      <c r="A551" s="294"/>
      <c r="B551" s="313"/>
      <c r="C551" s="294"/>
      <c r="D551" s="294"/>
      <c r="E551" s="306"/>
      <c r="F551" s="306"/>
      <c r="G551" s="306"/>
      <c r="H551" s="311"/>
      <c r="I551" s="306"/>
      <c r="J551" s="306"/>
      <c r="K551" s="294"/>
      <c r="L551" s="294"/>
      <c r="M551" s="294"/>
      <c r="N551" s="294"/>
      <c r="O551" s="294"/>
      <c r="P551" s="294"/>
      <c r="Q551" s="294"/>
      <c r="R551" s="294"/>
      <c r="S551" s="294"/>
      <c r="T551" s="294"/>
      <c r="U551" s="294"/>
      <c r="V551" s="294"/>
      <c r="W551" s="294"/>
      <c r="X551" s="294"/>
    </row>
    <row r="552" spans="1:24" x14ac:dyDescent="0.25">
      <c r="A552" s="294"/>
      <c r="B552" s="313"/>
      <c r="C552" s="294"/>
      <c r="D552" s="294"/>
      <c r="E552" s="306"/>
      <c r="F552" s="306"/>
      <c r="G552" s="306"/>
      <c r="H552" s="311"/>
      <c r="I552" s="306"/>
      <c r="J552" s="306"/>
      <c r="K552" s="294"/>
      <c r="L552" s="294"/>
      <c r="M552" s="294"/>
      <c r="N552" s="294"/>
      <c r="O552" s="294"/>
      <c r="P552" s="294"/>
      <c r="Q552" s="294"/>
      <c r="R552" s="294"/>
      <c r="S552" s="294"/>
      <c r="T552" s="294"/>
      <c r="U552" s="294"/>
      <c r="V552" s="294"/>
      <c r="W552" s="294"/>
      <c r="X552" s="294"/>
    </row>
    <row r="553" spans="1:24" x14ac:dyDescent="0.25">
      <c r="A553" s="294"/>
      <c r="B553" s="313"/>
      <c r="C553" s="294"/>
      <c r="D553" s="294"/>
      <c r="E553" s="306"/>
      <c r="F553" s="306"/>
      <c r="G553" s="306"/>
      <c r="H553" s="311"/>
      <c r="I553" s="306"/>
      <c r="J553" s="306"/>
      <c r="K553" s="294"/>
      <c r="L553" s="294"/>
      <c r="M553" s="294"/>
      <c r="N553" s="294"/>
      <c r="O553" s="294"/>
      <c r="P553" s="294"/>
      <c r="Q553" s="294"/>
      <c r="R553" s="294"/>
      <c r="S553" s="294"/>
      <c r="T553" s="294"/>
      <c r="U553" s="294"/>
      <c r="V553" s="294"/>
      <c r="W553" s="294"/>
      <c r="X553" s="294"/>
    </row>
    <row r="554" spans="1:24" x14ac:dyDescent="0.25">
      <c r="A554" s="294"/>
      <c r="B554" s="313"/>
      <c r="C554" s="294"/>
      <c r="D554" s="294"/>
      <c r="E554" s="306"/>
      <c r="F554" s="306"/>
      <c r="G554" s="306"/>
      <c r="H554" s="311"/>
      <c r="I554" s="306"/>
      <c r="J554" s="306"/>
      <c r="K554" s="294"/>
      <c r="L554" s="294"/>
      <c r="M554" s="294"/>
      <c r="N554" s="294"/>
      <c r="O554" s="294"/>
      <c r="P554" s="294"/>
      <c r="Q554" s="294"/>
      <c r="R554" s="294"/>
      <c r="S554" s="294"/>
      <c r="T554" s="294"/>
      <c r="U554" s="294"/>
      <c r="V554" s="294"/>
      <c r="W554" s="294"/>
      <c r="X554" s="294"/>
    </row>
    <row r="555" spans="1:24" x14ac:dyDescent="0.25">
      <c r="A555" s="294"/>
      <c r="B555" s="313"/>
      <c r="C555" s="294"/>
      <c r="D555" s="294"/>
      <c r="E555" s="306"/>
      <c r="F555" s="306"/>
      <c r="G555" s="306"/>
      <c r="H555" s="311"/>
      <c r="I555" s="306"/>
      <c r="J555" s="306"/>
      <c r="K555" s="294"/>
      <c r="L555" s="294"/>
      <c r="M555" s="294"/>
      <c r="N555" s="294"/>
      <c r="O555" s="294"/>
      <c r="P555" s="294"/>
      <c r="Q555" s="294"/>
      <c r="R555" s="294"/>
      <c r="S555" s="294"/>
      <c r="T555" s="294"/>
      <c r="U555" s="294"/>
      <c r="V555" s="294"/>
      <c r="W555" s="294"/>
      <c r="X555" s="294"/>
    </row>
    <row r="556" spans="1:24" x14ac:dyDescent="0.25">
      <c r="A556" s="294"/>
      <c r="B556" s="313"/>
      <c r="C556" s="294"/>
      <c r="D556" s="294"/>
      <c r="E556" s="306"/>
      <c r="F556" s="306"/>
      <c r="G556" s="306"/>
      <c r="H556" s="311"/>
      <c r="I556" s="306"/>
      <c r="J556" s="306"/>
      <c r="K556" s="294"/>
      <c r="L556" s="294"/>
      <c r="M556" s="294"/>
      <c r="N556" s="294"/>
      <c r="O556" s="294"/>
      <c r="P556" s="294"/>
      <c r="Q556" s="294"/>
      <c r="R556" s="294"/>
      <c r="S556" s="294"/>
      <c r="T556" s="294"/>
      <c r="U556" s="294"/>
      <c r="V556" s="294"/>
      <c r="W556" s="294"/>
      <c r="X556" s="294"/>
    </row>
    <row r="557" spans="1:24" x14ac:dyDescent="0.25">
      <c r="A557" s="294"/>
      <c r="B557" s="313"/>
      <c r="C557" s="294"/>
      <c r="D557" s="294"/>
      <c r="E557" s="306"/>
      <c r="F557" s="306"/>
      <c r="G557" s="306"/>
      <c r="H557" s="311"/>
      <c r="I557" s="306"/>
      <c r="J557" s="306"/>
      <c r="K557" s="294"/>
      <c r="L557" s="294"/>
      <c r="M557" s="294"/>
      <c r="N557" s="294"/>
      <c r="O557" s="294"/>
      <c r="P557" s="294"/>
      <c r="Q557" s="294"/>
      <c r="R557" s="294"/>
      <c r="S557" s="294"/>
      <c r="T557" s="294"/>
      <c r="U557" s="294"/>
      <c r="V557" s="294"/>
      <c r="W557" s="294"/>
      <c r="X557" s="294"/>
    </row>
    <row r="558" spans="1:24" x14ac:dyDescent="0.25">
      <c r="A558" s="294"/>
      <c r="B558" s="313"/>
      <c r="C558" s="294"/>
      <c r="D558" s="294"/>
      <c r="E558" s="306"/>
      <c r="F558" s="306"/>
      <c r="G558" s="306"/>
      <c r="H558" s="311"/>
      <c r="I558" s="306"/>
      <c r="J558" s="306"/>
      <c r="K558" s="294"/>
      <c r="L558" s="294"/>
      <c r="M558" s="294"/>
      <c r="N558" s="294"/>
      <c r="O558" s="294"/>
      <c r="P558" s="294"/>
      <c r="Q558" s="294"/>
      <c r="R558" s="294"/>
      <c r="S558" s="294"/>
      <c r="T558" s="294"/>
      <c r="U558" s="294"/>
      <c r="V558" s="294"/>
      <c r="W558" s="294"/>
      <c r="X558" s="294"/>
    </row>
    <row r="559" spans="1:24" x14ac:dyDescent="0.25">
      <c r="A559" s="294"/>
      <c r="B559" s="313"/>
      <c r="C559" s="294"/>
      <c r="D559" s="294"/>
      <c r="E559" s="306"/>
      <c r="F559" s="306"/>
      <c r="G559" s="306"/>
      <c r="H559" s="311"/>
      <c r="I559" s="306"/>
      <c r="J559" s="306"/>
      <c r="K559" s="294"/>
      <c r="L559" s="294"/>
      <c r="M559" s="294"/>
      <c r="N559" s="294"/>
      <c r="O559" s="294"/>
      <c r="P559" s="294"/>
      <c r="Q559" s="294"/>
      <c r="R559" s="294"/>
      <c r="S559" s="294"/>
      <c r="T559" s="294"/>
      <c r="U559" s="294"/>
      <c r="V559" s="294"/>
      <c r="W559" s="294"/>
      <c r="X559" s="294"/>
    </row>
    <row r="560" spans="1:24" x14ac:dyDescent="0.25">
      <c r="A560" s="294"/>
      <c r="B560" s="313"/>
      <c r="C560" s="294"/>
      <c r="D560" s="294"/>
      <c r="E560" s="306"/>
      <c r="F560" s="306"/>
      <c r="G560" s="306"/>
      <c r="H560" s="311"/>
      <c r="I560" s="306"/>
      <c r="J560" s="306"/>
      <c r="K560" s="294"/>
      <c r="L560" s="294"/>
      <c r="M560" s="294"/>
      <c r="N560" s="294"/>
      <c r="O560" s="294"/>
      <c r="P560" s="294"/>
      <c r="Q560" s="294"/>
      <c r="R560" s="294"/>
      <c r="S560" s="294"/>
      <c r="T560" s="294"/>
      <c r="U560" s="294"/>
      <c r="V560" s="294"/>
      <c r="W560" s="294"/>
      <c r="X560" s="294"/>
    </row>
    <row r="561" spans="1:24" x14ac:dyDescent="0.25">
      <c r="A561" s="294"/>
      <c r="B561" s="313"/>
      <c r="C561" s="294"/>
      <c r="D561" s="294"/>
      <c r="E561" s="306"/>
      <c r="F561" s="306"/>
      <c r="G561" s="306"/>
      <c r="H561" s="311"/>
      <c r="I561" s="306"/>
      <c r="J561" s="306"/>
      <c r="K561" s="294"/>
      <c r="L561" s="294"/>
      <c r="M561" s="294"/>
      <c r="N561" s="294"/>
      <c r="O561" s="294"/>
      <c r="P561" s="294"/>
      <c r="Q561" s="294"/>
      <c r="R561" s="294"/>
      <c r="S561" s="294"/>
      <c r="T561" s="294"/>
      <c r="U561" s="294"/>
      <c r="V561" s="294"/>
      <c r="W561" s="294"/>
      <c r="X561" s="294"/>
    </row>
    <row r="562" spans="1:24" x14ac:dyDescent="0.25">
      <c r="A562" s="294"/>
      <c r="B562" s="313"/>
      <c r="C562" s="294"/>
      <c r="D562" s="294"/>
      <c r="E562" s="306"/>
      <c r="F562" s="306"/>
      <c r="G562" s="306"/>
      <c r="H562" s="311"/>
      <c r="I562" s="306"/>
      <c r="J562" s="306"/>
      <c r="K562" s="294"/>
      <c r="L562" s="294"/>
      <c r="M562" s="294"/>
      <c r="N562" s="294"/>
      <c r="O562" s="294"/>
      <c r="P562" s="294"/>
      <c r="Q562" s="294"/>
      <c r="R562" s="294"/>
      <c r="S562" s="294"/>
      <c r="T562" s="294"/>
      <c r="U562" s="294"/>
      <c r="V562" s="294"/>
      <c r="W562" s="294"/>
      <c r="X562" s="294"/>
    </row>
    <row r="563" spans="1:24" x14ac:dyDescent="0.25">
      <c r="A563" s="294"/>
      <c r="B563" s="313"/>
      <c r="C563" s="294"/>
      <c r="D563" s="294"/>
      <c r="E563" s="306"/>
      <c r="F563" s="306"/>
      <c r="G563" s="306"/>
      <c r="H563" s="311"/>
      <c r="I563" s="306"/>
      <c r="J563" s="306"/>
      <c r="K563" s="294"/>
      <c r="L563" s="294"/>
      <c r="M563" s="294"/>
      <c r="N563" s="294"/>
      <c r="O563" s="294"/>
      <c r="P563" s="294"/>
      <c r="Q563" s="294"/>
      <c r="R563" s="294"/>
      <c r="S563" s="294"/>
      <c r="T563" s="294"/>
      <c r="U563" s="294"/>
      <c r="V563" s="294"/>
      <c r="W563" s="294"/>
      <c r="X563" s="294"/>
    </row>
    <row r="564" spans="1:24" x14ac:dyDescent="0.25">
      <c r="A564" s="294"/>
      <c r="B564" s="313"/>
      <c r="C564" s="294"/>
      <c r="D564" s="294"/>
      <c r="E564" s="306"/>
      <c r="F564" s="306"/>
      <c r="G564" s="306"/>
      <c r="H564" s="311"/>
      <c r="I564" s="306"/>
      <c r="J564" s="306"/>
      <c r="K564" s="294"/>
      <c r="L564" s="294"/>
      <c r="M564" s="294"/>
      <c r="N564" s="294"/>
      <c r="O564" s="294"/>
      <c r="P564" s="294"/>
      <c r="Q564" s="294"/>
      <c r="R564" s="294"/>
      <c r="S564" s="294"/>
      <c r="T564" s="294"/>
      <c r="U564" s="294"/>
      <c r="V564" s="294"/>
      <c r="W564" s="294"/>
      <c r="X564" s="294"/>
    </row>
    <row r="565" spans="1:24" x14ac:dyDescent="0.25">
      <c r="A565" s="294"/>
      <c r="B565" s="313"/>
      <c r="C565" s="294"/>
      <c r="D565" s="294"/>
      <c r="E565" s="306"/>
      <c r="F565" s="306"/>
      <c r="G565" s="306"/>
      <c r="H565" s="311"/>
      <c r="I565" s="306"/>
      <c r="J565" s="306"/>
      <c r="K565" s="294"/>
      <c r="L565" s="294"/>
      <c r="M565" s="294"/>
      <c r="N565" s="294"/>
      <c r="O565" s="294"/>
      <c r="P565" s="294"/>
      <c r="Q565" s="294"/>
      <c r="R565" s="294"/>
      <c r="S565" s="294"/>
      <c r="T565" s="294"/>
      <c r="U565" s="294"/>
      <c r="V565" s="294"/>
      <c r="W565" s="294"/>
      <c r="X565" s="294"/>
    </row>
    <row r="566" spans="1:24" x14ac:dyDescent="0.25">
      <c r="A566" s="294"/>
      <c r="B566" s="313"/>
      <c r="C566" s="294"/>
      <c r="D566" s="294"/>
      <c r="E566" s="306"/>
      <c r="F566" s="306"/>
      <c r="G566" s="306"/>
      <c r="H566" s="311"/>
      <c r="I566" s="306"/>
      <c r="J566" s="306"/>
      <c r="K566" s="294"/>
      <c r="L566" s="294"/>
      <c r="M566" s="294"/>
      <c r="N566" s="294"/>
      <c r="O566" s="294"/>
      <c r="P566" s="294"/>
      <c r="Q566" s="294"/>
      <c r="R566" s="294"/>
      <c r="S566" s="294"/>
      <c r="T566" s="294"/>
      <c r="U566" s="294"/>
      <c r="V566" s="294"/>
      <c r="W566" s="294"/>
      <c r="X566" s="294"/>
    </row>
    <row r="567" spans="1:24" x14ac:dyDescent="0.25">
      <c r="A567" s="294"/>
      <c r="B567" s="313"/>
      <c r="C567" s="294"/>
      <c r="D567" s="294"/>
      <c r="E567" s="306"/>
      <c r="F567" s="306"/>
      <c r="G567" s="306"/>
      <c r="H567" s="311"/>
      <c r="I567" s="306"/>
      <c r="J567" s="306"/>
      <c r="K567" s="294"/>
      <c r="L567" s="294"/>
      <c r="M567" s="294"/>
      <c r="N567" s="294"/>
      <c r="O567" s="294"/>
      <c r="P567" s="294"/>
      <c r="Q567" s="294"/>
      <c r="R567" s="294"/>
      <c r="S567" s="294"/>
      <c r="T567" s="294"/>
      <c r="U567" s="294"/>
      <c r="V567" s="294"/>
      <c r="W567" s="294"/>
      <c r="X567" s="294"/>
    </row>
    <row r="568" spans="1:24" x14ac:dyDescent="0.25">
      <c r="A568" s="294"/>
      <c r="B568" s="313"/>
      <c r="C568" s="294"/>
      <c r="D568" s="294"/>
      <c r="E568" s="306"/>
      <c r="F568" s="306"/>
      <c r="G568" s="306"/>
      <c r="H568" s="311"/>
      <c r="I568" s="306"/>
      <c r="J568" s="306"/>
      <c r="K568" s="294"/>
      <c r="L568" s="294"/>
      <c r="M568" s="294"/>
      <c r="N568" s="294"/>
      <c r="O568" s="294"/>
      <c r="P568" s="294"/>
      <c r="Q568" s="294"/>
      <c r="R568" s="294"/>
      <c r="S568" s="294"/>
      <c r="T568" s="294"/>
      <c r="U568" s="294"/>
      <c r="V568" s="294"/>
      <c r="W568" s="294"/>
      <c r="X568" s="294"/>
    </row>
    <row r="569" spans="1:24" x14ac:dyDescent="0.25">
      <c r="A569" s="294"/>
      <c r="B569" s="313"/>
      <c r="C569" s="294"/>
      <c r="D569" s="294"/>
      <c r="E569" s="306"/>
      <c r="F569" s="306"/>
      <c r="G569" s="306"/>
      <c r="H569" s="311"/>
      <c r="I569" s="306"/>
      <c r="J569" s="306"/>
      <c r="K569" s="294"/>
      <c r="L569" s="294"/>
      <c r="M569" s="294"/>
      <c r="N569" s="294"/>
      <c r="O569" s="294"/>
      <c r="P569" s="294"/>
      <c r="Q569" s="294"/>
      <c r="R569" s="294"/>
      <c r="S569" s="294"/>
      <c r="T569" s="294"/>
      <c r="U569" s="294"/>
      <c r="V569" s="294"/>
      <c r="W569" s="294"/>
      <c r="X569" s="294"/>
    </row>
    <row r="570" spans="1:24" x14ac:dyDescent="0.25">
      <c r="A570" s="294"/>
      <c r="B570" s="313"/>
      <c r="C570" s="294"/>
      <c r="D570" s="294"/>
      <c r="E570" s="306"/>
      <c r="F570" s="306"/>
      <c r="G570" s="306"/>
      <c r="H570" s="311"/>
      <c r="I570" s="306"/>
      <c r="J570" s="306"/>
      <c r="K570" s="294"/>
      <c r="L570" s="294"/>
      <c r="M570" s="294"/>
      <c r="N570" s="294"/>
      <c r="O570" s="294"/>
      <c r="P570" s="294"/>
      <c r="Q570" s="294"/>
      <c r="R570" s="294"/>
      <c r="S570" s="294"/>
      <c r="T570" s="294"/>
      <c r="U570" s="294"/>
      <c r="V570" s="294"/>
      <c r="W570" s="294"/>
      <c r="X570" s="294"/>
    </row>
    <row r="571" spans="1:24" x14ac:dyDescent="0.25">
      <c r="A571" s="294"/>
      <c r="B571" s="313"/>
      <c r="C571" s="294"/>
      <c r="D571" s="294"/>
      <c r="E571" s="306"/>
      <c r="F571" s="306"/>
      <c r="G571" s="306"/>
      <c r="H571" s="311"/>
      <c r="I571" s="306"/>
      <c r="J571" s="306"/>
      <c r="K571" s="294"/>
      <c r="L571" s="294"/>
      <c r="M571" s="294"/>
      <c r="N571" s="294"/>
      <c r="O571" s="294"/>
      <c r="P571" s="294"/>
      <c r="Q571" s="294"/>
      <c r="R571" s="294"/>
      <c r="S571" s="294"/>
      <c r="T571" s="294"/>
      <c r="U571" s="294"/>
      <c r="V571" s="294"/>
      <c r="W571" s="294"/>
      <c r="X571" s="294"/>
    </row>
    <row r="572" spans="1:24" x14ac:dyDescent="0.25">
      <c r="A572" s="294"/>
      <c r="B572" s="313"/>
      <c r="C572" s="294"/>
      <c r="D572" s="294"/>
      <c r="E572" s="306"/>
      <c r="F572" s="306"/>
      <c r="G572" s="306"/>
      <c r="H572" s="311"/>
      <c r="I572" s="306"/>
      <c r="J572" s="306"/>
      <c r="K572" s="294"/>
      <c r="L572" s="294"/>
      <c r="M572" s="294"/>
      <c r="N572" s="294"/>
      <c r="O572" s="294"/>
      <c r="P572" s="294"/>
      <c r="Q572" s="294"/>
      <c r="R572" s="294"/>
      <c r="S572" s="294"/>
      <c r="T572" s="294"/>
      <c r="U572" s="294"/>
      <c r="V572" s="294"/>
      <c r="W572" s="294"/>
      <c r="X572" s="294"/>
    </row>
    <row r="573" spans="1:24" x14ac:dyDescent="0.25">
      <c r="A573" s="294"/>
      <c r="B573" s="313"/>
      <c r="C573" s="294"/>
      <c r="D573" s="294"/>
      <c r="E573" s="306"/>
      <c r="F573" s="306"/>
      <c r="G573" s="306"/>
      <c r="H573" s="311"/>
      <c r="I573" s="306"/>
      <c r="J573" s="306"/>
      <c r="K573" s="294"/>
      <c r="L573" s="294"/>
      <c r="M573" s="294"/>
      <c r="N573" s="294"/>
      <c r="O573" s="294"/>
      <c r="P573" s="294"/>
      <c r="Q573" s="294"/>
      <c r="R573" s="294"/>
      <c r="S573" s="294"/>
      <c r="T573" s="294"/>
      <c r="U573" s="294"/>
      <c r="V573" s="294"/>
      <c r="W573" s="294"/>
      <c r="X573" s="294"/>
    </row>
    <row r="574" spans="1:24" x14ac:dyDescent="0.25">
      <c r="A574" s="294"/>
      <c r="B574" s="313"/>
      <c r="C574" s="294"/>
      <c r="D574" s="294"/>
      <c r="E574" s="306"/>
      <c r="F574" s="306"/>
      <c r="G574" s="306"/>
      <c r="H574" s="311"/>
      <c r="I574" s="306"/>
      <c r="J574" s="306"/>
      <c r="K574" s="294"/>
      <c r="L574" s="294"/>
      <c r="M574" s="294"/>
      <c r="N574" s="294"/>
      <c r="O574" s="294"/>
      <c r="P574" s="294"/>
      <c r="Q574" s="294"/>
      <c r="R574" s="294"/>
      <c r="S574" s="294"/>
      <c r="T574" s="294"/>
      <c r="U574" s="294"/>
      <c r="V574" s="294"/>
      <c r="W574" s="294"/>
      <c r="X574" s="294"/>
    </row>
    <row r="575" spans="1:24" x14ac:dyDescent="0.25">
      <c r="A575" s="294"/>
      <c r="B575" s="313"/>
      <c r="C575" s="294"/>
      <c r="D575" s="294"/>
      <c r="E575" s="306"/>
      <c r="F575" s="306"/>
      <c r="G575" s="306"/>
      <c r="H575" s="311"/>
      <c r="I575" s="306"/>
      <c r="J575" s="306"/>
      <c r="K575" s="294"/>
      <c r="L575" s="294"/>
      <c r="M575" s="294"/>
      <c r="N575" s="294"/>
      <c r="O575" s="294"/>
      <c r="P575" s="294"/>
      <c r="Q575" s="294"/>
      <c r="R575" s="294"/>
      <c r="S575" s="294"/>
      <c r="T575" s="294"/>
      <c r="U575" s="294"/>
      <c r="V575" s="294"/>
      <c r="W575" s="294"/>
      <c r="X575" s="294"/>
    </row>
    <row r="576" spans="1:24" x14ac:dyDescent="0.25">
      <c r="A576" s="294"/>
      <c r="B576" s="313"/>
      <c r="C576" s="294"/>
      <c r="D576" s="294"/>
      <c r="E576" s="306"/>
      <c r="F576" s="306"/>
      <c r="G576" s="306"/>
      <c r="H576" s="311"/>
      <c r="I576" s="306"/>
      <c r="J576" s="306"/>
      <c r="K576" s="294"/>
      <c r="L576" s="294"/>
      <c r="M576" s="294"/>
      <c r="N576" s="294"/>
      <c r="O576" s="294"/>
      <c r="P576" s="294"/>
      <c r="Q576" s="294"/>
      <c r="R576" s="294"/>
      <c r="S576" s="294"/>
      <c r="T576" s="294"/>
      <c r="U576" s="294"/>
      <c r="V576" s="294"/>
      <c r="W576" s="294"/>
      <c r="X576" s="294"/>
    </row>
    <row r="577" spans="1:24" x14ac:dyDescent="0.25">
      <c r="A577" s="294"/>
      <c r="B577" s="313"/>
      <c r="C577" s="294"/>
      <c r="D577" s="294"/>
      <c r="E577" s="306"/>
      <c r="F577" s="306"/>
      <c r="G577" s="306"/>
      <c r="H577" s="311"/>
      <c r="I577" s="306"/>
      <c r="J577" s="306"/>
      <c r="K577" s="294"/>
      <c r="L577" s="294"/>
      <c r="M577" s="294"/>
      <c r="N577" s="294"/>
      <c r="O577" s="294"/>
      <c r="P577" s="294"/>
      <c r="Q577" s="294"/>
      <c r="R577" s="294"/>
      <c r="S577" s="294"/>
      <c r="T577" s="294"/>
      <c r="U577" s="294"/>
      <c r="V577" s="294"/>
      <c r="W577" s="294"/>
      <c r="X577" s="294"/>
    </row>
    <row r="578" spans="1:24" x14ac:dyDescent="0.25">
      <c r="A578" s="294"/>
      <c r="B578" s="313"/>
      <c r="C578" s="294"/>
      <c r="D578" s="294"/>
      <c r="E578" s="306"/>
      <c r="F578" s="306"/>
      <c r="G578" s="306"/>
      <c r="H578" s="311"/>
      <c r="I578" s="306"/>
      <c r="J578" s="306"/>
      <c r="K578" s="294"/>
      <c r="L578" s="294"/>
      <c r="M578" s="294"/>
      <c r="N578" s="294"/>
      <c r="O578" s="294"/>
      <c r="P578" s="294"/>
      <c r="Q578" s="294"/>
      <c r="R578" s="294"/>
      <c r="S578" s="294"/>
      <c r="T578" s="294"/>
      <c r="U578" s="294"/>
      <c r="V578" s="294"/>
      <c r="W578" s="294"/>
      <c r="X578" s="294"/>
    </row>
    <row r="579" spans="1:24" x14ac:dyDescent="0.25">
      <c r="A579" s="294"/>
      <c r="B579" s="313"/>
      <c r="C579" s="294"/>
      <c r="D579" s="294"/>
      <c r="E579" s="306"/>
      <c r="F579" s="306"/>
      <c r="G579" s="306"/>
      <c r="H579" s="311"/>
      <c r="I579" s="306"/>
      <c r="J579" s="306"/>
      <c r="K579" s="294"/>
      <c r="L579" s="294"/>
      <c r="M579" s="294"/>
      <c r="N579" s="294"/>
      <c r="O579" s="294"/>
      <c r="P579" s="294"/>
      <c r="Q579" s="294"/>
      <c r="R579" s="294"/>
      <c r="S579" s="294"/>
      <c r="T579" s="294"/>
      <c r="U579" s="294"/>
      <c r="V579" s="294"/>
      <c r="W579" s="294"/>
      <c r="X579" s="294"/>
    </row>
    <row r="580" spans="1:24" x14ac:dyDescent="0.25">
      <c r="A580" s="294"/>
      <c r="B580" s="313"/>
      <c r="C580" s="294"/>
      <c r="D580" s="294"/>
      <c r="E580" s="306"/>
      <c r="F580" s="306"/>
      <c r="G580" s="306"/>
      <c r="H580" s="311"/>
      <c r="I580" s="306"/>
      <c r="J580" s="306"/>
      <c r="K580" s="294"/>
      <c r="L580" s="294"/>
      <c r="M580" s="294"/>
      <c r="N580" s="294"/>
      <c r="O580" s="294"/>
      <c r="P580" s="294"/>
      <c r="Q580" s="294"/>
      <c r="R580" s="294"/>
      <c r="S580" s="294"/>
      <c r="T580" s="294"/>
      <c r="U580" s="294"/>
      <c r="V580" s="294"/>
      <c r="W580" s="294"/>
      <c r="X580" s="294"/>
    </row>
    <row r="581" spans="1:24" x14ac:dyDescent="0.25">
      <c r="A581" s="294"/>
      <c r="B581" s="313"/>
      <c r="C581" s="294"/>
      <c r="D581" s="294"/>
      <c r="E581" s="306"/>
      <c r="F581" s="306"/>
      <c r="G581" s="306"/>
      <c r="H581" s="311"/>
      <c r="I581" s="306"/>
      <c r="J581" s="306"/>
      <c r="K581" s="294"/>
      <c r="L581" s="294"/>
      <c r="M581" s="294"/>
      <c r="N581" s="294"/>
      <c r="O581" s="294"/>
      <c r="P581" s="294"/>
      <c r="Q581" s="294"/>
      <c r="R581" s="294"/>
      <c r="S581" s="294"/>
      <c r="T581" s="294"/>
      <c r="U581" s="294"/>
      <c r="V581" s="294"/>
      <c r="W581" s="294"/>
      <c r="X581" s="294"/>
    </row>
    <row r="582" spans="1:24" x14ac:dyDescent="0.25">
      <c r="A582" s="294"/>
      <c r="B582" s="313"/>
      <c r="C582" s="294"/>
      <c r="D582" s="294"/>
      <c r="E582" s="306"/>
      <c r="F582" s="306"/>
      <c r="G582" s="306"/>
      <c r="H582" s="311"/>
      <c r="I582" s="306"/>
      <c r="J582" s="306"/>
      <c r="K582" s="294"/>
      <c r="L582" s="294"/>
      <c r="M582" s="294"/>
      <c r="N582" s="294"/>
      <c r="O582" s="294"/>
      <c r="P582" s="294"/>
      <c r="Q582" s="294"/>
      <c r="R582" s="294"/>
      <c r="S582" s="294"/>
      <c r="T582" s="294"/>
      <c r="U582" s="294"/>
      <c r="V582" s="294"/>
      <c r="W582" s="294"/>
      <c r="X582" s="294"/>
    </row>
    <row r="583" spans="1:24" x14ac:dyDescent="0.25">
      <c r="A583" s="294"/>
      <c r="B583" s="313"/>
      <c r="C583" s="294"/>
      <c r="D583" s="294"/>
      <c r="E583" s="306"/>
      <c r="F583" s="306"/>
      <c r="G583" s="306"/>
      <c r="H583" s="311"/>
      <c r="I583" s="306"/>
      <c r="J583" s="306"/>
      <c r="K583" s="294"/>
      <c r="L583" s="294"/>
      <c r="M583" s="294"/>
      <c r="N583" s="294"/>
      <c r="O583" s="294"/>
      <c r="P583" s="294"/>
      <c r="Q583" s="294"/>
      <c r="R583" s="294"/>
      <c r="S583" s="294"/>
      <c r="T583" s="294"/>
      <c r="U583" s="294"/>
      <c r="V583" s="294"/>
      <c r="W583" s="294"/>
      <c r="X583" s="294"/>
    </row>
    <row r="584" spans="1:24" x14ac:dyDescent="0.25">
      <c r="A584" s="294"/>
      <c r="B584" s="313"/>
      <c r="C584" s="294"/>
      <c r="D584" s="294"/>
      <c r="E584" s="306"/>
      <c r="F584" s="306"/>
      <c r="G584" s="306"/>
      <c r="H584" s="311"/>
      <c r="I584" s="306"/>
      <c r="J584" s="306"/>
      <c r="K584" s="294"/>
      <c r="L584" s="294"/>
      <c r="M584" s="294"/>
      <c r="N584" s="294"/>
      <c r="O584" s="294"/>
      <c r="P584" s="294"/>
      <c r="Q584" s="294"/>
      <c r="R584" s="294"/>
      <c r="S584" s="294"/>
      <c r="T584" s="294"/>
      <c r="U584" s="294"/>
      <c r="V584" s="294"/>
      <c r="W584" s="294"/>
      <c r="X584" s="294"/>
    </row>
    <row r="585" spans="1:24" x14ac:dyDescent="0.25">
      <c r="A585" s="294"/>
      <c r="B585" s="313"/>
      <c r="C585" s="294"/>
      <c r="D585" s="294"/>
      <c r="E585" s="306"/>
      <c r="F585" s="306"/>
      <c r="G585" s="306"/>
      <c r="H585" s="311"/>
      <c r="I585" s="306"/>
      <c r="J585" s="306"/>
      <c r="K585" s="294"/>
      <c r="L585" s="294"/>
      <c r="M585" s="294"/>
      <c r="N585" s="294"/>
      <c r="O585" s="294"/>
      <c r="P585" s="294"/>
      <c r="Q585" s="294"/>
      <c r="R585" s="294"/>
      <c r="S585" s="294"/>
      <c r="T585" s="294"/>
      <c r="U585" s="294"/>
      <c r="V585" s="294"/>
      <c r="W585" s="294"/>
      <c r="X585" s="294"/>
    </row>
    <row r="586" spans="1:24" x14ac:dyDescent="0.25">
      <c r="A586" s="294"/>
      <c r="B586" s="313"/>
      <c r="C586" s="294"/>
      <c r="D586" s="294"/>
      <c r="E586" s="306"/>
      <c r="F586" s="306"/>
      <c r="G586" s="306"/>
      <c r="H586" s="311"/>
      <c r="I586" s="306"/>
      <c r="J586" s="306"/>
      <c r="K586" s="294"/>
      <c r="L586" s="294"/>
      <c r="M586" s="294"/>
      <c r="N586" s="294"/>
      <c r="O586" s="294"/>
      <c r="P586" s="294"/>
      <c r="Q586" s="294"/>
      <c r="R586" s="294"/>
      <c r="S586" s="294"/>
      <c r="T586" s="294"/>
      <c r="U586" s="294"/>
      <c r="V586" s="294"/>
      <c r="W586" s="294"/>
      <c r="X586" s="294"/>
    </row>
    <row r="587" spans="1:24" x14ac:dyDescent="0.25">
      <c r="A587" s="294"/>
      <c r="B587" s="313"/>
      <c r="C587" s="294"/>
      <c r="D587" s="294"/>
      <c r="E587" s="306"/>
      <c r="F587" s="306"/>
      <c r="G587" s="306"/>
      <c r="H587" s="311"/>
      <c r="I587" s="306"/>
      <c r="J587" s="306"/>
      <c r="K587" s="294"/>
      <c r="L587" s="294"/>
      <c r="M587" s="294"/>
      <c r="N587" s="294"/>
      <c r="O587" s="294"/>
      <c r="P587" s="294"/>
      <c r="Q587" s="294"/>
      <c r="R587" s="294"/>
      <c r="S587" s="294"/>
      <c r="T587" s="294"/>
      <c r="U587" s="294"/>
      <c r="V587" s="294"/>
      <c r="W587" s="294"/>
      <c r="X587" s="294"/>
    </row>
    <row r="588" spans="1:24" x14ac:dyDescent="0.25">
      <c r="A588" s="294"/>
      <c r="B588" s="313"/>
      <c r="C588" s="294"/>
      <c r="D588" s="294"/>
      <c r="E588" s="306"/>
      <c r="F588" s="306"/>
      <c r="G588" s="306"/>
      <c r="H588" s="311"/>
      <c r="I588" s="306"/>
      <c r="J588" s="306"/>
      <c r="K588" s="294"/>
      <c r="L588" s="294"/>
      <c r="M588" s="294"/>
      <c r="N588" s="294"/>
      <c r="O588" s="294"/>
      <c r="P588" s="294"/>
      <c r="Q588" s="294"/>
      <c r="R588" s="294"/>
      <c r="S588" s="294"/>
      <c r="T588" s="294"/>
      <c r="U588" s="294"/>
      <c r="V588" s="294"/>
      <c r="W588" s="294"/>
      <c r="X588" s="294"/>
    </row>
    <row r="589" spans="1:24" x14ac:dyDescent="0.25">
      <c r="A589" s="294"/>
      <c r="B589" s="313"/>
      <c r="C589" s="294"/>
      <c r="D589" s="294"/>
      <c r="E589" s="306"/>
      <c r="F589" s="306"/>
      <c r="G589" s="306"/>
      <c r="H589" s="311"/>
      <c r="I589" s="306"/>
      <c r="J589" s="306"/>
      <c r="K589" s="294"/>
      <c r="L589" s="294"/>
      <c r="M589" s="294"/>
      <c r="N589" s="294"/>
      <c r="O589" s="294"/>
      <c r="P589" s="294"/>
      <c r="Q589" s="294"/>
      <c r="R589" s="294"/>
      <c r="S589" s="294"/>
      <c r="T589" s="294"/>
      <c r="U589" s="294"/>
      <c r="V589" s="294"/>
      <c r="W589" s="294"/>
      <c r="X589" s="294"/>
    </row>
    <row r="590" spans="1:24" x14ac:dyDescent="0.25">
      <c r="A590" s="294"/>
      <c r="B590" s="313"/>
      <c r="C590" s="294"/>
      <c r="D590" s="294"/>
      <c r="E590" s="306"/>
      <c r="F590" s="306"/>
      <c r="G590" s="306"/>
      <c r="H590" s="311"/>
      <c r="I590" s="306"/>
      <c r="J590" s="306"/>
      <c r="K590" s="294"/>
      <c r="L590" s="294"/>
      <c r="M590" s="294"/>
      <c r="N590" s="294"/>
      <c r="O590" s="294"/>
      <c r="P590" s="294"/>
      <c r="Q590" s="294"/>
      <c r="R590" s="294"/>
      <c r="S590" s="294"/>
      <c r="T590" s="294"/>
      <c r="U590" s="294"/>
      <c r="V590" s="294"/>
      <c r="W590" s="294"/>
      <c r="X590" s="294"/>
    </row>
    <row r="591" spans="1:24" x14ac:dyDescent="0.25">
      <c r="A591" s="294"/>
      <c r="B591" s="313"/>
      <c r="C591" s="294"/>
      <c r="D591" s="294"/>
      <c r="E591" s="306"/>
      <c r="F591" s="306"/>
      <c r="G591" s="306"/>
      <c r="H591" s="311"/>
      <c r="I591" s="306"/>
      <c r="J591" s="306"/>
      <c r="K591" s="294"/>
      <c r="L591" s="294"/>
      <c r="M591" s="294"/>
      <c r="N591" s="294"/>
      <c r="O591" s="294"/>
      <c r="P591" s="294"/>
      <c r="Q591" s="294"/>
      <c r="R591" s="294"/>
      <c r="S591" s="294"/>
      <c r="T591" s="294"/>
      <c r="U591" s="294"/>
      <c r="V591" s="294"/>
      <c r="W591" s="294"/>
      <c r="X591" s="294"/>
    </row>
    <row r="592" spans="1:24" x14ac:dyDescent="0.25">
      <c r="A592" s="294"/>
      <c r="B592" s="313"/>
      <c r="C592" s="294"/>
      <c r="D592" s="294"/>
      <c r="E592" s="306"/>
      <c r="F592" s="306"/>
      <c r="G592" s="306"/>
      <c r="H592" s="311"/>
      <c r="I592" s="306"/>
      <c r="J592" s="306"/>
      <c r="K592" s="294"/>
      <c r="L592" s="294"/>
      <c r="M592" s="294"/>
      <c r="N592" s="294"/>
      <c r="O592" s="294"/>
      <c r="P592" s="294"/>
      <c r="Q592" s="294"/>
      <c r="R592" s="294"/>
      <c r="S592" s="294"/>
      <c r="T592" s="294"/>
      <c r="U592" s="294"/>
      <c r="V592" s="294"/>
      <c r="W592" s="294"/>
      <c r="X592" s="294"/>
    </row>
    <row r="593" spans="1:24" x14ac:dyDescent="0.25">
      <c r="A593" s="294"/>
      <c r="B593" s="313"/>
      <c r="C593" s="294"/>
      <c r="D593" s="294"/>
      <c r="E593" s="306"/>
      <c r="F593" s="306"/>
      <c r="G593" s="306"/>
      <c r="H593" s="311"/>
      <c r="I593" s="306"/>
      <c r="J593" s="306"/>
      <c r="K593" s="294"/>
      <c r="L593" s="294"/>
      <c r="M593" s="294"/>
      <c r="N593" s="294"/>
      <c r="O593" s="294"/>
      <c r="P593" s="294"/>
      <c r="Q593" s="294"/>
      <c r="R593" s="294"/>
      <c r="S593" s="294"/>
      <c r="T593" s="294"/>
      <c r="U593" s="294"/>
      <c r="V593" s="294"/>
      <c r="W593" s="294"/>
      <c r="X593" s="294"/>
    </row>
    <row r="594" spans="1:24" x14ac:dyDescent="0.25">
      <c r="A594" s="294"/>
      <c r="B594" s="313"/>
      <c r="C594" s="294"/>
      <c r="D594" s="294"/>
      <c r="E594" s="306"/>
      <c r="F594" s="306"/>
      <c r="G594" s="306"/>
      <c r="H594" s="311"/>
      <c r="I594" s="306"/>
      <c r="J594" s="306"/>
      <c r="K594" s="294"/>
      <c r="L594" s="294"/>
      <c r="M594" s="294"/>
      <c r="N594" s="294"/>
      <c r="O594" s="294"/>
      <c r="P594" s="294"/>
      <c r="Q594" s="294"/>
      <c r="R594" s="294"/>
      <c r="S594" s="294"/>
      <c r="T594" s="294"/>
      <c r="U594" s="294"/>
      <c r="V594" s="294"/>
      <c r="W594" s="294"/>
      <c r="X594" s="294"/>
    </row>
    <row r="595" spans="1:24" x14ac:dyDescent="0.25">
      <c r="A595" s="294"/>
      <c r="B595" s="313"/>
      <c r="C595" s="294"/>
      <c r="D595" s="294"/>
      <c r="E595" s="306"/>
      <c r="F595" s="306"/>
      <c r="G595" s="306"/>
      <c r="H595" s="311"/>
      <c r="I595" s="306"/>
      <c r="J595" s="306"/>
      <c r="K595" s="294"/>
      <c r="L595" s="294"/>
      <c r="M595" s="294"/>
      <c r="N595" s="294"/>
      <c r="O595" s="294"/>
      <c r="P595" s="294"/>
      <c r="Q595" s="294"/>
      <c r="R595" s="294"/>
      <c r="S595" s="294"/>
      <c r="T595" s="294"/>
      <c r="U595" s="294"/>
      <c r="V595" s="294"/>
      <c r="W595" s="294"/>
      <c r="X595" s="294"/>
    </row>
    <row r="596" spans="1:24" x14ac:dyDescent="0.25">
      <c r="A596" s="294"/>
      <c r="B596" s="313"/>
      <c r="C596" s="294"/>
      <c r="D596" s="294"/>
      <c r="E596" s="306"/>
      <c r="F596" s="306"/>
      <c r="G596" s="306"/>
      <c r="H596" s="311"/>
      <c r="I596" s="306"/>
      <c r="J596" s="306"/>
      <c r="K596" s="294"/>
      <c r="L596" s="294"/>
      <c r="M596" s="294"/>
      <c r="N596" s="294"/>
      <c r="O596" s="294"/>
      <c r="P596" s="294"/>
      <c r="Q596" s="294"/>
      <c r="R596" s="294"/>
      <c r="S596" s="294"/>
      <c r="T596" s="294"/>
      <c r="U596" s="294"/>
      <c r="V596" s="294"/>
      <c r="W596" s="294"/>
      <c r="X596" s="294"/>
    </row>
    <row r="597" spans="1:24" x14ac:dyDescent="0.25">
      <c r="A597" s="294"/>
      <c r="B597" s="313"/>
      <c r="C597" s="294"/>
      <c r="D597" s="294"/>
      <c r="E597" s="306"/>
      <c r="F597" s="306"/>
      <c r="G597" s="306"/>
      <c r="H597" s="311"/>
      <c r="I597" s="306"/>
      <c r="J597" s="306"/>
      <c r="K597" s="294"/>
      <c r="L597" s="294"/>
      <c r="M597" s="294"/>
      <c r="N597" s="294"/>
      <c r="O597" s="294"/>
      <c r="P597" s="294"/>
      <c r="Q597" s="294"/>
      <c r="R597" s="294"/>
      <c r="S597" s="294"/>
      <c r="T597" s="294"/>
      <c r="U597" s="294"/>
      <c r="V597" s="294"/>
      <c r="W597" s="294"/>
      <c r="X597" s="294"/>
    </row>
    <row r="598" spans="1:24" x14ac:dyDescent="0.25">
      <c r="A598" s="294"/>
      <c r="B598" s="313"/>
      <c r="C598" s="294"/>
      <c r="D598" s="294"/>
      <c r="E598" s="306"/>
      <c r="F598" s="306"/>
      <c r="G598" s="306"/>
      <c r="H598" s="311"/>
      <c r="I598" s="306"/>
      <c r="J598" s="306"/>
      <c r="K598" s="294"/>
      <c r="L598" s="294"/>
      <c r="M598" s="294"/>
      <c r="N598" s="294"/>
      <c r="O598" s="294"/>
      <c r="P598" s="294"/>
      <c r="Q598" s="294"/>
      <c r="R598" s="294"/>
      <c r="S598" s="294"/>
      <c r="T598" s="294"/>
      <c r="U598" s="294"/>
      <c r="V598" s="294"/>
      <c r="W598" s="294"/>
      <c r="X598" s="294"/>
    </row>
    <row r="599" spans="1:24" x14ac:dyDescent="0.25">
      <c r="A599" s="294"/>
      <c r="B599" s="313"/>
      <c r="C599" s="294"/>
      <c r="D599" s="294"/>
      <c r="E599" s="306"/>
      <c r="F599" s="306"/>
      <c r="G599" s="306"/>
      <c r="H599" s="311"/>
      <c r="I599" s="306"/>
      <c r="J599" s="306"/>
      <c r="K599" s="294"/>
      <c r="L599" s="294"/>
      <c r="M599" s="294"/>
      <c r="N599" s="294"/>
      <c r="O599" s="294"/>
      <c r="P599" s="294"/>
      <c r="Q599" s="294"/>
      <c r="R599" s="294"/>
      <c r="S599" s="294"/>
      <c r="T599" s="294"/>
      <c r="U599" s="294"/>
      <c r="V599" s="294"/>
      <c r="W599" s="294"/>
      <c r="X599" s="294"/>
    </row>
    <row r="600" spans="1:24" x14ac:dyDescent="0.25">
      <c r="A600" s="294"/>
      <c r="B600" s="313"/>
      <c r="C600" s="294"/>
      <c r="D600" s="294"/>
      <c r="E600" s="306"/>
      <c r="F600" s="306"/>
      <c r="G600" s="306"/>
      <c r="H600" s="311"/>
      <c r="I600" s="306"/>
      <c r="J600" s="306"/>
      <c r="K600" s="294"/>
      <c r="L600" s="294"/>
      <c r="M600" s="294"/>
      <c r="N600" s="294"/>
      <c r="O600" s="294"/>
      <c r="P600" s="294"/>
      <c r="Q600" s="294"/>
      <c r="R600" s="294"/>
      <c r="S600" s="294"/>
      <c r="T600" s="294"/>
      <c r="U600" s="294"/>
      <c r="V600" s="294"/>
      <c r="W600" s="294"/>
      <c r="X600" s="294"/>
    </row>
    <row r="601" spans="1:24" x14ac:dyDescent="0.25">
      <c r="A601" s="294"/>
      <c r="B601" s="313"/>
      <c r="C601" s="294"/>
      <c r="D601" s="294"/>
      <c r="E601" s="306"/>
      <c r="F601" s="306"/>
      <c r="G601" s="306"/>
      <c r="H601" s="311"/>
      <c r="I601" s="306"/>
      <c r="J601" s="306"/>
      <c r="K601" s="294"/>
      <c r="L601" s="294"/>
      <c r="M601" s="294"/>
      <c r="N601" s="294"/>
      <c r="O601" s="294"/>
      <c r="P601" s="294"/>
      <c r="Q601" s="294"/>
      <c r="R601" s="294"/>
      <c r="S601" s="294"/>
      <c r="T601" s="294"/>
      <c r="U601" s="294"/>
      <c r="V601" s="294"/>
      <c r="W601" s="294"/>
      <c r="X601" s="294"/>
    </row>
    <row r="602" spans="1:24" x14ac:dyDescent="0.25">
      <c r="A602" s="294"/>
      <c r="B602" s="313"/>
      <c r="C602" s="294"/>
      <c r="D602" s="294"/>
      <c r="E602" s="306"/>
      <c r="F602" s="306"/>
      <c r="G602" s="306"/>
      <c r="H602" s="311"/>
      <c r="I602" s="306"/>
      <c r="J602" s="306"/>
      <c r="K602" s="294"/>
      <c r="L602" s="294"/>
      <c r="M602" s="294"/>
      <c r="N602" s="294"/>
      <c r="O602" s="294"/>
      <c r="P602" s="294"/>
      <c r="Q602" s="294"/>
      <c r="R602" s="294"/>
      <c r="S602" s="294"/>
      <c r="T602" s="294"/>
      <c r="U602" s="294"/>
      <c r="V602" s="294"/>
      <c r="W602" s="294"/>
      <c r="X602" s="294"/>
    </row>
    <row r="603" spans="1:24" x14ac:dyDescent="0.25">
      <c r="A603" s="294"/>
      <c r="B603" s="313"/>
      <c r="C603" s="294"/>
      <c r="D603" s="294"/>
      <c r="E603" s="306"/>
      <c r="F603" s="306"/>
      <c r="G603" s="306"/>
      <c r="H603" s="311"/>
      <c r="I603" s="306"/>
      <c r="J603" s="306"/>
      <c r="K603" s="294"/>
      <c r="L603" s="294"/>
      <c r="M603" s="294"/>
      <c r="N603" s="294"/>
      <c r="O603" s="294"/>
      <c r="P603" s="294"/>
      <c r="Q603" s="294"/>
      <c r="R603" s="294"/>
      <c r="S603" s="294"/>
      <c r="T603" s="294"/>
      <c r="U603" s="294"/>
      <c r="V603" s="294"/>
      <c r="W603" s="294"/>
      <c r="X603" s="294"/>
    </row>
    <row r="604" spans="1:24" x14ac:dyDescent="0.25">
      <c r="A604" s="294"/>
      <c r="B604" s="313"/>
      <c r="C604" s="294"/>
      <c r="D604" s="294"/>
      <c r="E604" s="306"/>
      <c r="F604" s="306"/>
      <c r="G604" s="306"/>
      <c r="H604" s="311"/>
      <c r="I604" s="306"/>
      <c r="J604" s="306"/>
      <c r="K604" s="294"/>
      <c r="L604" s="294"/>
      <c r="M604" s="294"/>
      <c r="N604" s="294"/>
      <c r="O604" s="294"/>
      <c r="P604" s="294"/>
      <c r="Q604" s="294"/>
      <c r="R604" s="294"/>
      <c r="S604" s="294"/>
      <c r="T604" s="294"/>
      <c r="U604" s="294"/>
      <c r="V604" s="294"/>
      <c r="W604" s="294"/>
      <c r="X604" s="294"/>
    </row>
    <row r="605" spans="1:24" x14ac:dyDescent="0.25">
      <c r="A605" s="294"/>
      <c r="B605" s="313"/>
      <c r="C605" s="294"/>
      <c r="D605" s="294"/>
      <c r="E605" s="306"/>
      <c r="F605" s="306"/>
      <c r="G605" s="306"/>
      <c r="H605" s="311"/>
      <c r="I605" s="306"/>
      <c r="J605" s="306"/>
      <c r="K605" s="294"/>
      <c r="L605" s="294"/>
      <c r="M605" s="294"/>
      <c r="N605" s="294"/>
      <c r="O605" s="294"/>
      <c r="P605" s="294"/>
      <c r="Q605" s="294"/>
      <c r="R605" s="294"/>
      <c r="S605" s="294"/>
      <c r="T605" s="294"/>
      <c r="U605" s="294"/>
      <c r="V605" s="294"/>
      <c r="W605" s="294"/>
      <c r="X605" s="294"/>
    </row>
    <row r="606" spans="1:24" x14ac:dyDescent="0.25">
      <c r="A606" s="294"/>
      <c r="B606" s="313"/>
      <c r="C606" s="294"/>
      <c r="D606" s="294"/>
      <c r="E606" s="306"/>
      <c r="F606" s="306"/>
      <c r="G606" s="306"/>
      <c r="H606" s="311"/>
      <c r="I606" s="306"/>
      <c r="J606" s="306"/>
      <c r="K606" s="294"/>
      <c r="L606" s="294"/>
      <c r="M606" s="294"/>
      <c r="N606" s="294"/>
      <c r="O606" s="294"/>
      <c r="P606" s="294"/>
      <c r="Q606" s="294"/>
      <c r="R606" s="294"/>
      <c r="S606" s="294"/>
      <c r="T606" s="294"/>
      <c r="U606" s="294"/>
      <c r="V606" s="294"/>
      <c r="W606" s="294"/>
      <c r="X606" s="294"/>
    </row>
    <row r="607" spans="1:24" x14ac:dyDescent="0.25">
      <c r="A607" s="294"/>
      <c r="B607" s="313"/>
      <c r="C607" s="294"/>
      <c r="D607" s="294"/>
      <c r="E607" s="306"/>
      <c r="F607" s="306"/>
      <c r="G607" s="306"/>
      <c r="H607" s="311"/>
      <c r="I607" s="306"/>
      <c r="J607" s="306"/>
      <c r="K607" s="294"/>
      <c r="L607" s="294"/>
      <c r="M607" s="294"/>
      <c r="N607" s="294"/>
      <c r="O607" s="294"/>
      <c r="P607" s="294"/>
      <c r="Q607" s="294"/>
      <c r="R607" s="294"/>
      <c r="S607" s="294"/>
      <c r="T607" s="294"/>
      <c r="U607" s="294"/>
      <c r="V607" s="294"/>
      <c r="W607" s="294"/>
      <c r="X607" s="294"/>
    </row>
    <row r="608" spans="1:24" x14ac:dyDescent="0.25">
      <c r="A608" s="294"/>
      <c r="B608" s="313"/>
      <c r="C608" s="294"/>
      <c r="D608" s="294"/>
      <c r="E608" s="306"/>
      <c r="F608" s="306"/>
      <c r="G608" s="306"/>
      <c r="H608" s="311"/>
      <c r="I608" s="306"/>
      <c r="J608" s="306"/>
      <c r="K608" s="294"/>
      <c r="L608" s="294"/>
      <c r="M608" s="294"/>
      <c r="N608" s="294"/>
      <c r="O608" s="294"/>
      <c r="P608" s="294"/>
      <c r="Q608" s="294"/>
      <c r="R608" s="294"/>
      <c r="S608" s="294"/>
      <c r="T608" s="294"/>
      <c r="U608" s="294"/>
      <c r="V608" s="294"/>
      <c r="W608" s="294"/>
      <c r="X608" s="294"/>
    </row>
    <row r="609" spans="1:24" x14ac:dyDescent="0.25">
      <c r="A609" s="294"/>
      <c r="B609" s="313"/>
      <c r="C609" s="294"/>
      <c r="D609" s="294"/>
      <c r="E609" s="306"/>
      <c r="F609" s="306"/>
      <c r="G609" s="306"/>
      <c r="H609" s="311"/>
      <c r="I609" s="306"/>
      <c r="J609" s="306"/>
      <c r="K609" s="294"/>
      <c r="L609" s="294"/>
      <c r="M609" s="294"/>
      <c r="N609" s="294"/>
      <c r="O609" s="294"/>
      <c r="P609" s="294"/>
      <c r="Q609" s="294"/>
      <c r="R609" s="294"/>
      <c r="S609" s="294"/>
      <c r="T609" s="294"/>
      <c r="U609" s="294"/>
      <c r="V609" s="294"/>
      <c r="W609" s="294"/>
      <c r="X609" s="294"/>
    </row>
    <row r="610" spans="1:24" x14ac:dyDescent="0.25">
      <c r="A610" s="294"/>
      <c r="B610" s="313"/>
      <c r="C610" s="294"/>
      <c r="D610" s="294"/>
      <c r="E610" s="306"/>
      <c r="F610" s="306"/>
      <c r="G610" s="306"/>
      <c r="H610" s="311"/>
      <c r="I610" s="306"/>
      <c r="J610" s="306"/>
      <c r="K610" s="294"/>
      <c r="L610" s="294"/>
      <c r="M610" s="294"/>
      <c r="N610" s="294"/>
      <c r="O610" s="294"/>
      <c r="P610" s="294"/>
      <c r="Q610" s="294"/>
      <c r="R610" s="294"/>
      <c r="S610" s="294"/>
      <c r="T610" s="294"/>
      <c r="U610" s="294"/>
      <c r="V610" s="294"/>
      <c r="W610" s="294"/>
      <c r="X610" s="294"/>
    </row>
    <row r="611" spans="1:24" x14ac:dyDescent="0.25">
      <c r="A611" s="294"/>
      <c r="B611" s="313"/>
      <c r="C611" s="294"/>
      <c r="D611" s="294"/>
      <c r="E611" s="306"/>
      <c r="F611" s="306"/>
      <c r="G611" s="306"/>
      <c r="H611" s="311"/>
      <c r="I611" s="306"/>
      <c r="J611" s="306"/>
      <c r="K611" s="294"/>
      <c r="L611" s="294"/>
      <c r="M611" s="294"/>
      <c r="N611" s="294"/>
      <c r="O611" s="294"/>
      <c r="P611" s="294"/>
      <c r="Q611" s="294"/>
      <c r="R611" s="294"/>
      <c r="S611" s="294"/>
      <c r="T611" s="294"/>
      <c r="U611" s="294"/>
      <c r="V611" s="294"/>
      <c r="W611" s="294"/>
      <c r="X611" s="294"/>
    </row>
    <row r="612" spans="1:24" x14ac:dyDescent="0.25">
      <c r="A612" s="294"/>
      <c r="B612" s="313"/>
      <c r="C612" s="294"/>
      <c r="D612" s="294"/>
      <c r="E612" s="306"/>
      <c r="F612" s="306"/>
      <c r="G612" s="306"/>
      <c r="H612" s="311"/>
      <c r="I612" s="306"/>
      <c r="J612" s="306"/>
      <c r="K612" s="294"/>
      <c r="L612" s="294"/>
      <c r="M612" s="294"/>
      <c r="N612" s="294"/>
      <c r="O612" s="294"/>
      <c r="P612" s="294"/>
      <c r="Q612" s="294"/>
      <c r="R612" s="294"/>
      <c r="S612" s="294"/>
      <c r="T612" s="294"/>
      <c r="U612" s="294"/>
      <c r="V612" s="294"/>
      <c r="W612" s="294"/>
      <c r="X612" s="294"/>
    </row>
    <row r="613" spans="1:24" x14ac:dyDescent="0.25">
      <c r="A613" s="294"/>
      <c r="B613" s="313"/>
      <c r="C613" s="294"/>
      <c r="D613" s="294"/>
      <c r="E613" s="306"/>
      <c r="F613" s="306"/>
      <c r="G613" s="306"/>
      <c r="H613" s="311"/>
      <c r="I613" s="306"/>
      <c r="J613" s="306"/>
      <c r="K613" s="294"/>
      <c r="L613" s="294"/>
      <c r="M613" s="294"/>
      <c r="N613" s="294"/>
      <c r="O613" s="294"/>
      <c r="P613" s="294"/>
      <c r="Q613" s="294"/>
      <c r="R613" s="294"/>
      <c r="S613" s="294"/>
      <c r="T613" s="294"/>
      <c r="U613" s="294"/>
      <c r="V613" s="294"/>
      <c r="W613" s="294"/>
      <c r="X613" s="294"/>
    </row>
    <row r="614" spans="1:24" x14ac:dyDescent="0.25">
      <c r="A614" s="294"/>
      <c r="B614" s="313"/>
      <c r="C614" s="294"/>
      <c r="D614" s="294"/>
      <c r="E614" s="306"/>
      <c r="F614" s="306"/>
      <c r="G614" s="306"/>
      <c r="H614" s="311"/>
      <c r="I614" s="306"/>
      <c r="J614" s="306"/>
      <c r="K614" s="294"/>
      <c r="L614" s="294"/>
      <c r="M614" s="294"/>
      <c r="N614" s="294"/>
      <c r="O614" s="294"/>
      <c r="P614" s="294"/>
      <c r="Q614" s="294"/>
      <c r="R614" s="294"/>
      <c r="S614" s="294"/>
      <c r="T614" s="294"/>
      <c r="U614" s="294"/>
      <c r="V614" s="294"/>
      <c r="W614" s="294"/>
      <c r="X614" s="294"/>
    </row>
    <row r="615" spans="1:24" x14ac:dyDescent="0.25">
      <c r="A615" s="294"/>
      <c r="B615" s="313"/>
      <c r="C615" s="294"/>
      <c r="D615" s="294"/>
      <c r="E615" s="306"/>
      <c r="F615" s="306"/>
      <c r="G615" s="306"/>
      <c r="H615" s="311"/>
      <c r="I615" s="306"/>
      <c r="J615" s="306"/>
      <c r="K615" s="294"/>
      <c r="L615" s="294"/>
      <c r="M615" s="294"/>
      <c r="N615" s="294"/>
      <c r="O615" s="294"/>
      <c r="P615" s="294"/>
      <c r="Q615" s="294"/>
      <c r="R615" s="294"/>
      <c r="S615" s="294"/>
      <c r="T615" s="294"/>
      <c r="U615" s="294"/>
      <c r="V615" s="294"/>
      <c r="W615" s="294"/>
      <c r="X615" s="294"/>
    </row>
    <row r="616" spans="1:24" x14ac:dyDescent="0.25">
      <c r="A616" s="294"/>
      <c r="B616" s="313"/>
      <c r="C616" s="294"/>
      <c r="D616" s="294"/>
      <c r="E616" s="306"/>
      <c r="F616" s="306"/>
      <c r="G616" s="306"/>
      <c r="H616" s="311"/>
      <c r="I616" s="306"/>
      <c r="J616" s="306"/>
      <c r="K616" s="294"/>
      <c r="L616" s="294"/>
      <c r="M616" s="294"/>
      <c r="N616" s="294"/>
      <c r="O616" s="294"/>
      <c r="P616" s="294"/>
      <c r="Q616" s="294"/>
      <c r="R616" s="294"/>
      <c r="S616" s="294"/>
      <c r="T616" s="294"/>
      <c r="U616" s="294"/>
      <c r="V616" s="294"/>
      <c r="W616" s="294"/>
      <c r="X616" s="294"/>
    </row>
    <row r="617" spans="1:24" x14ac:dyDescent="0.25">
      <c r="A617" s="294"/>
      <c r="B617" s="313"/>
      <c r="C617" s="294"/>
      <c r="D617" s="294"/>
      <c r="E617" s="306"/>
      <c r="F617" s="306"/>
      <c r="G617" s="306"/>
      <c r="H617" s="311"/>
      <c r="I617" s="306"/>
      <c r="J617" s="306"/>
      <c r="K617" s="294"/>
      <c r="L617" s="294"/>
      <c r="M617" s="294"/>
      <c r="N617" s="294"/>
      <c r="O617" s="294"/>
      <c r="P617" s="294"/>
      <c r="Q617" s="294"/>
      <c r="R617" s="294"/>
      <c r="S617" s="294"/>
      <c r="T617" s="294"/>
      <c r="U617" s="294"/>
      <c r="V617" s="294"/>
      <c r="W617" s="294"/>
      <c r="X617" s="294"/>
    </row>
    <row r="618" spans="1:24" x14ac:dyDescent="0.25">
      <c r="A618" s="294"/>
      <c r="B618" s="313"/>
      <c r="C618" s="294"/>
      <c r="D618" s="294"/>
      <c r="E618" s="306"/>
      <c r="F618" s="306"/>
      <c r="G618" s="306"/>
      <c r="H618" s="311"/>
      <c r="I618" s="306"/>
      <c r="J618" s="306"/>
      <c r="K618" s="294"/>
      <c r="L618" s="294"/>
      <c r="M618" s="294"/>
      <c r="N618" s="294"/>
      <c r="O618" s="294"/>
      <c r="P618" s="294"/>
      <c r="Q618" s="294"/>
      <c r="R618" s="294"/>
      <c r="S618" s="294"/>
      <c r="T618" s="294"/>
      <c r="U618" s="294"/>
      <c r="V618" s="294"/>
      <c r="W618" s="294"/>
      <c r="X618" s="294"/>
    </row>
    <row r="619" spans="1:24" x14ac:dyDescent="0.25">
      <c r="A619" s="294"/>
      <c r="B619" s="313"/>
      <c r="C619" s="294"/>
      <c r="D619" s="294"/>
      <c r="E619" s="306"/>
      <c r="F619" s="306"/>
      <c r="G619" s="306"/>
      <c r="H619" s="311"/>
      <c r="I619" s="306"/>
      <c r="J619" s="306"/>
      <c r="K619" s="294"/>
      <c r="L619" s="294"/>
      <c r="M619" s="294"/>
      <c r="N619" s="294"/>
      <c r="O619" s="294"/>
      <c r="P619" s="294"/>
      <c r="Q619" s="294"/>
      <c r="R619" s="294"/>
      <c r="S619" s="294"/>
      <c r="T619" s="294"/>
      <c r="U619" s="294"/>
      <c r="V619" s="294"/>
      <c r="W619" s="294"/>
      <c r="X619" s="294"/>
    </row>
    <row r="620" spans="1:24" x14ac:dyDescent="0.25">
      <c r="A620" s="294"/>
      <c r="B620" s="313"/>
      <c r="C620" s="294"/>
      <c r="D620" s="294"/>
      <c r="E620" s="306"/>
      <c r="F620" s="306"/>
      <c r="G620" s="306"/>
      <c r="H620" s="311"/>
      <c r="I620" s="306"/>
      <c r="J620" s="306"/>
      <c r="K620" s="294"/>
      <c r="L620" s="294"/>
      <c r="M620" s="294"/>
      <c r="N620" s="294"/>
      <c r="O620" s="294"/>
      <c r="P620" s="294"/>
      <c r="Q620" s="294"/>
      <c r="R620" s="294"/>
      <c r="S620" s="294"/>
      <c r="T620" s="294"/>
      <c r="U620" s="294"/>
      <c r="V620" s="294"/>
      <c r="W620" s="294"/>
      <c r="X620" s="294"/>
    </row>
    <row r="621" spans="1:24" x14ac:dyDescent="0.25">
      <c r="A621" s="294"/>
      <c r="B621" s="313"/>
      <c r="C621" s="294"/>
      <c r="D621" s="294"/>
      <c r="E621" s="306"/>
      <c r="F621" s="306"/>
      <c r="G621" s="306"/>
      <c r="H621" s="311"/>
      <c r="I621" s="306"/>
      <c r="J621" s="306"/>
      <c r="K621" s="294"/>
      <c r="L621" s="294"/>
      <c r="M621" s="294"/>
      <c r="N621" s="294"/>
      <c r="O621" s="294"/>
      <c r="P621" s="294"/>
      <c r="Q621" s="294"/>
      <c r="R621" s="294"/>
      <c r="S621" s="294"/>
      <c r="T621" s="294"/>
      <c r="U621" s="294"/>
      <c r="V621" s="294"/>
      <c r="W621" s="294"/>
      <c r="X621" s="294"/>
    </row>
    <row r="622" spans="1:24" x14ac:dyDescent="0.25">
      <c r="A622" s="294"/>
      <c r="B622" s="313"/>
      <c r="C622" s="294"/>
      <c r="D622" s="294"/>
      <c r="E622" s="306"/>
      <c r="F622" s="306"/>
      <c r="G622" s="306"/>
      <c r="H622" s="311"/>
      <c r="I622" s="306"/>
      <c r="J622" s="306"/>
      <c r="K622" s="294"/>
      <c r="L622" s="294"/>
      <c r="M622" s="294"/>
      <c r="N622" s="294"/>
      <c r="O622" s="294"/>
      <c r="P622" s="294"/>
      <c r="Q622" s="294"/>
      <c r="R622" s="294"/>
      <c r="S622" s="294"/>
      <c r="T622" s="294"/>
      <c r="U622" s="294"/>
      <c r="V622" s="294"/>
      <c r="W622" s="294"/>
      <c r="X622" s="294"/>
    </row>
    <row r="623" spans="1:24" x14ac:dyDescent="0.25">
      <c r="A623" s="294"/>
      <c r="B623" s="313"/>
      <c r="C623" s="294"/>
      <c r="D623" s="294"/>
      <c r="E623" s="306"/>
      <c r="F623" s="306"/>
      <c r="G623" s="306"/>
      <c r="H623" s="311"/>
      <c r="I623" s="306"/>
      <c r="J623" s="306"/>
      <c r="K623" s="294"/>
      <c r="L623" s="294"/>
      <c r="M623" s="294"/>
      <c r="N623" s="294"/>
      <c r="O623" s="294"/>
      <c r="P623" s="294"/>
      <c r="Q623" s="294"/>
      <c r="R623" s="294"/>
      <c r="S623" s="294"/>
      <c r="T623" s="294"/>
      <c r="U623" s="294"/>
      <c r="V623" s="294"/>
      <c r="W623" s="294"/>
      <c r="X623" s="294"/>
    </row>
    <row r="624" spans="1:24" x14ac:dyDescent="0.25">
      <c r="A624" s="294"/>
      <c r="B624" s="313"/>
      <c r="C624" s="294"/>
      <c r="D624" s="294"/>
      <c r="E624" s="306"/>
      <c r="F624" s="285"/>
      <c r="G624" s="306"/>
      <c r="H624" s="311"/>
      <c r="I624" s="306"/>
      <c r="J624" s="306"/>
      <c r="K624" s="294"/>
      <c r="L624" s="294"/>
      <c r="M624" s="294"/>
      <c r="N624" s="294"/>
      <c r="O624" s="294"/>
      <c r="P624" s="294"/>
      <c r="Q624" s="294"/>
      <c r="R624" s="294"/>
      <c r="S624" s="294"/>
      <c r="T624" s="294"/>
      <c r="U624" s="294"/>
      <c r="V624" s="294"/>
      <c r="W624" s="294"/>
      <c r="X624" s="294"/>
    </row>
    <row r="625" spans="5:10" x14ac:dyDescent="0.25">
      <c r="E625" s="285"/>
      <c r="F625" s="285"/>
      <c r="G625" s="285"/>
      <c r="I625" s="285"/>
      <c r="J625" s="285"/>
    </row>
    <row r="626" spans="5:10" x14ac:dyDescent="0.25">
      <c r="E626" s="285"/>
      <c r="F626" s="285"/>
      <c r="G626" s="285"/>
      <c r="I626" s="285"/>
      <c r="J626" s="285"/>
    </row>
    <row r="627" spans="5:10" x14ac:dyDescent="0.25">
      <c r="E627" s="285"/>
      <c r="F627" s="285"/>
      <c r="G627" s="285"/>
      <c r="I627" s="285"/>
      <c r="J627" s="285"/>
    </row>
    <row r="628" spans="5:10" x14ac:dyDescent="0.25">
      <c r="E628" s="285"/>
      <c r="F628" s="285"/>
      <c r="G628" s="285"/>
      <c r="I628" s="285"/>
      <c r="J628" s="285"/>
    </row>
    <row r="629" spans="5:10" x14ac:dyDescent="0.25">
      <c r="E629" s="285"/>
      <c r="F629" s="285"/>
      <c r="G629" s="285"/>
      <c r="I629" s="285"/>
      <c r="J629" s="285"/>
    </row>
    <row r="630" spans="5:10" x14ac:dyDescent="0.25">
      <c r="E630" s="285"/>
      <c r="F630" s="285"/>
      <c r="G630" s="285"/>
      <c r="I630" s="285"/>
      <c r="J630" s="285"/>
    </row>
    <row r="631" spans="5:10" x14ac:dyDescent="0.25">
      <c r="E631" s="285"/>
      <c r="F631" s="285"/>
      <c r="G631" s="285"/>
      <c r="I631" s="285"/>
      <c r="J631" s="285"/>
    </row>
    <row r="632" spans="5:10" x14ac:dyDescent="0.25">
      <c r="E632" s="285"/>
      <c r="F632" s="285"/>
      <c r="G632" s="285"/>
      <c r="I632" s="285"/>
      <c r="J632" s="285"/>
    </row>
    <row r="633" spans="5:10" x14ac:dyDescent="0.25">
      <c r="E633" s="285"/>
      <c r="F633" s="285"/>
      <c r="G633" s="285"/>
      <c r="I633" s="285"/>
      <c r="J633" s="285"/>
    </row>
    <row r="634" spans="5:10" x14ac:dyDescent="0.25">
      <c r="E634" s="285"/>
      <c r="F634" s="285"/>
      <c r="G634" s="285"/>
      <c r="I634" s="285"/>
      <c r="J634" s="285"/>
    </row>
    <row r="635" spans="5:10" x14ac:dyDescent="0.25">
      <c r="E635" s="285"/>
      <c r="F635" s="285"/>
      <c r="G635" s="285"/>
      <c r="I635" s="285"/>
      <c r="J635" s="285"/>
    </row>
    <row r="636" spans="5:10" x14ac:dyDescent="0.25">
      <c r="E636" s="285"/>
      <c r="F636" s="285"/>
      <c r="G636" s="285"/>
      <c r="I636" s="285"/>
      <c r="J636" s="285"/>
    </row>
    <row r="637" spans="5:10" x14ac:dyDescent="0.25">
      <c r="E637" s="285"/>
      <c r="F637" s="285"/>
      <c r="G637" s="285"/>
      <c r="I637" s="285"/>
      <c r="J637" s="285"/>
    </row>
    <row r="638" spans="5:10" x14ac:dyDescent="0.25">
      <c r="E638" s="285"/>
      <c r="F638" s="285"/>
      <c r="G638" s="285"/>
      <c r="I638" s="285"/>
      <c r="J638" s="285"/>
    </row>
    <row r="639" spans="5:10" x14ac:dyDescent="0.25">
      <c r="E639" s="285"/>
      <c r="F639" s="285"/>
      <c r="G639" s="285"/>
      <c r="I639" s="285"/>
      <c r="J639" s="285"/>
    </row>
    <row r="640" spans="5:10" x14ac:dyDescent="0.25">
      <c r="E640" s="285"/>
      <c r="F640" s="285"/>
      <c r="G640" s="285"/>
      <c r="I640" s="285"/>
      <c r="J640" s="285"/>
    </row>
    <row r="641" spans="5:10" x14ac:dyDescent="0.25">
      <c r="E641" s="285"/>
      <c r="F641" s="285"/>
      <c r="G641" s="285"/>
      <c r="I641" s="285"/>
      <c r="J641" s="285"/>
    </row>
    <row r="642" spans="5:10" x14ac:dyDescent="0.25">
      <c r="E642" s="285"/>
      <c r="F642" s="285"/>
      <c r="G642" s="285"/>
      <c r="I642" s="285"/>
      <c r="J642" s="285"/>
    </row>
    <row r="643" spans="5:10" x14ac:dyDescent="0.25">
      <c r="E643" s="285"/>
      <c r="F643" s="285"/>
      <c r="G643" s="285"/>
      <c r="I643" s="285"/>
      <c r="J643" s="285"/>
    </row>
    <row r="644" spans="5:10" x14ac:dyDescent="0.25">
      <c r="E644" s="285"/>
      <c r="F644" s="285"/>
      <c r="G644" s="285"/>
      <c r="I644" s="285"/>
      <c r="J644" s="285"/>
    </row>
    <row r="645" spans="5:10" x14ac:dyDescent="0.25">
      <c r="E645" s="285"/>
      <c r="F645" s="285"/>
      <c r="G645" s="285"/>
      <c r="I645" s="285"/>
      <c r="J645" s="285"/>
    </row>
    <row r="646" spans="5:10" x14ac:dyDescent="0.25">
      <c r="E646" s="285"/>
      <c r="F646" s="285"/>
      <c r="G646" s="285"/>
      <c r="I646" s="285"/>
      <c r="J646" s="285"/>
    </row>
    <row r="647" spans="5:10" x14ac:dyDescent="0.25">
      <c r="E647" s="285"/>
      <c r="F647" s="285"/>
      <c r="G647" s="285"/>
      <c r="I647" s="285"/>
      <c r="J647" s="285"/>
    </row>
    <row r="648" spans="5:10" x14ac:dyDescent="0.25">
      <c r="E648" s="285"/>
      <c r="F648" s="285"/>
      <c r="G648" s="285"/>
      <c r="I648" s="285"/>
      <c r="J648" s="285"/>
    </row>
    <row r="649" spans="5:10" x14ac:dyDescent="0.25">
      <c r="E649" s="285"/>
      <c r="F649" s="285"/>
      <c r="G649" s="285"/>
      <c r="I649" s="285"/>
      <c r="J649" s="285"/>
    </row>
    <row r="650" spans="5:10" x14ac:dyDescent="0.25">
      <c r="E650" s="285"/>
      <c r="F650" s="285"/>
      <c r="G650" s="285"/>
      <c r="I650" s="285"/>
      <c r="J650" s="285"/>
    </row>
    <row r="651" spans="5:10" x14ac:dyDescent="0.25">
      <c r="E651" s="285"/>
      <c r="F651" s="285"/>
      <c r="G651" s="285"/>
      <c r="I651" s="285"/>
      <c r="J651" s="285"/>
    </row>
    <row r="652" spans="5:10" x14ac:dyDescent="0.25">
      <c r="E652" s="285"/>
      <c r="F652" s="285"/>
      <c r="G652" s="285"/>
      <c r="I652" s="285"/>
      <c r="J652" s="285"/>
    </row>
    <row r="653" spans="5:10" x14ac:dyDescent="0.25">
      <c r="E653" s="285"/>
      <c r="F653" s="285"/>
      <c r="G653" s="285"/>
      <c r="I653" s="285"/>
      <c r="J653" s="285"/>
    </row>
    <row r="654" spans="5:10" x14ac:dyDescent="0.25">
      <c r="E654" s="285"/>
      <c r="F654" s="285"/>
      <c r="G654" s="285"/>
      <c r="I654" s="285"/>
      <c r="J654" s="285"/>
    </row>
    <row r="655" spans="5:10" x14ac:dyDescent="0.25">
      <c r="E655" s="285"/>
      <c r="F655" s="285"/>
      <c r="G655" s="285"/>
      <c r="I655" s="285"/>
      <c r="J655" s="285"/>
    </row>
    <row r="656" spans="5:10" x14ac:dyDescent="0.25">
      <c r="E656" s="285"/>
      <c r="F656" s="285"/>
      <c r="G656" s="285"/>
      <c r="I656" s="285"/>
      <c r="J656" s="285"/>
    </row>
    <row r="657" spans="5:10" x14ac:dyDescent="0.25">
      <c r="E657" s="285"/>
      <c r="F657" s="285"/>
      <c r="G657" s="285"/>
      <c r="I657" s="285"/>
      <c r="J657" s="285"/>
    </row>
    <row r="658" spans="5:10" x14ac:dyDescent="0.25">
      <c r="E658" s="285"/>
      <c r="F658" s="285"/>
      <c r="G658" s="285"/>
      <c r="I658" s="285"/>
      <c r="J658" s="285"/>
    </row>
    <row r="659" spans="5:10" x14ac:dyDescent="0.25">
      <c r="E659" s="285"/>
      <c r="F659" s="285"/>
      <c r="G659" s="285"/>
      <c r="I659" s="285"/>
      <c r="J659" s="285"/>
    </row>
    <row r="660" spans="5:10" x14ac:dyDescent="0.25">
      <c r="E660" s="285"/>
      <c r="F660" s="285"/>
      <c r="G660" s="285"/>
      <c r="I660" s="285"/>
      <c r="J660" s="285"/>
    </row>
    <row r="661" spans="5:10" x14ac:dyDescent="0.25">
      <c r="E661" s="285"/>
      <c r="F661" s="285"/>
      <c r="G661" s="285"/>
      <c r="I661" s="285"/>
      <c r="J661" s="285"/>
    </row>
    <row r="662" spans="5:10" x14ac:dyDescent="0.25">
      <c r="E662" s="285"/>
      <c r="F662" s="285"/>
      <c r="G662" s="285"/>
      <c r="I662" s="285"/>
      <c r="J662" s="285"/>
    </row>
    <row r="663" spans="5:10" x14ac:dyDescent="0.25">
      <c r="E663" s="285"/>
      <c r="F663" s="285"/>
      <c r="G663" s="285"/>
      <c r="I663" s="285"/>
      <c r="J663" s="285"/>
    </row>
    <row r="664" spans="5:10" x14ac:dyDescent="0.25">
      <c r="E664" s="285"/>
      <c r="F664" s="285"/>
      <c r="G664" s="285"/>
      <c r="I664" s="285"/>
      <c r="J664" s="285"/>
    </row>
    <row r="665" spans="5:10" x14ac:dyDescent="0.25">
      <c r="E665" s="285"/>
      <c r="F665" s="285"/>
      <c r="G665" s="285"/>
      <c r="I665" s="285"/>
      <c r="J665" s="285"/>
    </row>
    <row r="666" spans="5:10" x14ac:dyDescent="0.25">
      <c r="E666" s="285"/>
      <c r="F666" s="285"/>
      <c r="G666" s="285"/>
      <c r="I666" s="285"/>
      <c r="J666" s="285"/>
    </row>
    <row r="667" spans="5:10" x14ac:dyDescent="0.25">
      <c r="E667" s="285"/>
      <c r="F667" s="285"/>
      <c r="G667" s="285"/>
      <c r="I667" s="285"/>
      <c r="J667" s="285"/>
    </row>
    <row r="668" spans="5:10" x14ac:dyDescent="0.25">
      <c r="E668" s="285"/>
      <c r="F668" s="285"/>
      <c r="G668" s="285"/>
      <c r="I668" s="285"/>
      <c r="J668" s="285"/>
    </row>
    <row r="669" spans="5:10" x14ac:dyDescent="0.25">
      <c r="E669" s="285"/>
      <c r="F669" s="285"/>
      <c r="G669" s="285"/>
      <c r="I669" s="285"/>
      <c r="J669" s="285"/>
    </row>
    <row r="670" spans="5:10" x14ac:dyDescent="0.25">
      <c r="E670" s="285"/>
      <c r="F670" s="285"/>
      <c r="G670" s="285"/>
      <c r="I670" s="285"/>
      <c r="J670" s="285"/>
    </row>
    <row r="671" spans="5:10" x14ac:dyDescent="0.25">
      <c r="E671" s="285"/>
      <c r="F671" s="285"/>
      <c r="G671" s="285"/>
      <c r="I671" s="285"/>
      <c r="J671" s="285"/>
    </row>
    <row r="672" spans="5:10" x14ac:dyDescent="0.25">
      <c r="E672" s="285"/>
      <c r="F672" s="285"/>
      <c r="G672" s="285"/>
      <c r="I672" s="285"/>
      <c r="J672" s="285"/>
    </row>
    <row r="673" spans="5:10" x14ac:dyDescent="0.25">
      <c r="E673" s="285"/>
      <c r="F673" s="285"/>
      <c r="G673" s="285"/>
      <c r="I673" s="285"/>
      <c r="J673" s="285"/>
    </row>
    <row r="674" spans="5:10" x14ac:dyDescent="0.25">
      <c r="E674" s="285"/>
      <c r="F674" s="285"/>
      <c r="G674" s="285"/>
      <c r="I674" s="285"/>
      <c r="J674" s="285"/>
    </row>
    <row r="675" spans="5:10" x14ac:dyDescent="0.25">
      <c r="E675" s="285"/>
      <c r="F675" s="285"/>
      <c r="G675" s="285"/>
      <c r="I675" s="285"/>
      <c r="J675" s="285"/>
    </row>
    <row r="676" spans="5:10" x14ac:dyDescent="0.25">
      <c r="E676" s="285"/>
      <c r="F676" s="285"/>
      <c r="G676" s="285"/>
      <c r="I676" s="285"/>
      <c r="J676" s="285"/>
    </row>
    <row r="677" spans="5:10" x14ac:dyDescent="0.25">
      <c r="E677" s="285"/>
      <c r="F677" s="285"/>
      <c r="G677" s="285"/>
      <c r="I677" s="285"/>
      <c r="J677" s="285"/>
    </row>
    <row r="678" spans="5:10" x14ac:dyDescent="0.25">
      <c r="E678" s="285"/>
      <c r="F678" s="285"/>
      <c r="G678" s="285"/>
      <c r="I678" s="285"/>
      <c r="J678" s="285"/>
    </row>
    <row r="679" spans="5:10" x14ac:dyDescent="0.25">
      <c r="E679" s="285"/>
      <c r="F679" s="285"/>
      <c r="G679" s="285"/>
      <c r="I679" s="285"/>
      <c r="J679" s="285"/>
    </row>
    <row r="680" spans="5:10" x14ac:dyDescent="0.25">
      <c r="E680" s="285"/>
      <c r="F680" s="285"/>
      <c r="G680" s="285"/>
      <c r="I680" s="285"/>
      <c r="J680" s="285"/>
    </row>
    <row r="681" spans="5:10" x14ac:dyDescent="0.25">
      <c r="E681" s="285"/>
      <c r="F681" s="285"/>
      <c r="G681" s="285"/>
      <c r="I681" s="285"/>
      <c r="J681" s="285"/>
    </row>
    <row r="682" spans="5:10" x14ac:dyDescent="0.25">
      <c r="E682" s="285"/>
      <c r="F682" s="285"/>
      <c r="G682" s="285"/>
      <c r="I682" s="285"/>
      <c r="J682" s="285"/>
    </row>
    <row r="683" spans="5:10" x14ac:dyDescent="0.25">
      <c r="E683" s="285"/>
      <c r="F683" s="285"/>
      <c r="G683" s="285"/>
      <c r="I683" s="285"/>
      <c r="J683" s="285"/>
    </row>
    <row r="684" spans="5:10" x14ac:dyDescent="0.25">
      <c r="E684" s="285"/>
      <c r="F684" s="285"/>
      <c r="G684" s="285"/>
      <c r="I684" s="285"/>
      <c r="J684" s="285"/>
    </row>
    <row r="685" spans="5:10" x14ac:dyDescent="0.25">
      <c r="E685" s="285"/>
      <c r="F685" s="285"/>
      <c r="G685" s="285"/>
      <c r="I685" s="285"/>
      <c r="J685" s="285"/>
    </row>
    <row r="686" spans="5:10" x14ac:dyDescent="0.25">
      <c r="E686" s="285"/>
      <c r="F686" s="285"/>
      <c r="G686" s="285"/>
      <c r="I686" s="285"/>
      <c r="J686" s="285"/>
    </row>
    <row r="687" spans="5:10" x14ac:dyDescent="0.25">
      <c r="E687" s="285"/>
      <c r="F687" s="285"/>
      <c r="G687" s="285"/>
      <c r="I687" s="285"/>
      <c r="J687" s="285"/>
    </row>
    <row r="688" spans="5:10" x14ac:dyDescent="0.25">
      <c r="E688" s="285"/>
      <c r="F688" s="285"/>
      <c r="G688" s="285"/>
      <c r="I688" s="285"/>
      <c r="J688" s="285"/>
    </row>
    <row r="689" spans="5:10" x14ac:dyDescent="0.25">
      <c r="E689" s="285"/>
      <c r="F689" s="285"/>
      <c r="G689" s="285"/>
      <c r="I689" s="285"/>
      <c r="J689" s="285"/>
    </row>
    <row r="690" spans="5:10" x14ac:dyDescent="0.25">
      <c r="E690" s="285"/>
      <c r="F690" s="285"/>
      <c r="G690" s="285"/>
      <c r="I690" s="285"/>
      <c r="J690" s="285"/>
    </row>
    <row r="691" spans="5:10" x14ac:dyDescent="0.25">
      <c r="E691" s="285"/>
      <c r="F691" s="285"/>
      <c r="G691" s="285"/>
      <c r="I691" s="285"/>
      <c r="J691" s="285"/>
    </row>
    <row r="692" spans="5:10" x14ac:dyDescent="0.25">
      <c r="E692" s="285"/>
      <c r="F692" s="285"/>
      <c r="G692" s="285"/>
      <c r="I692" s="285"/>
      <c r="J692" s="285"/>
    </row>
    <row r="693" spans="5:10" x14ac:dyDescent="0.25">
      <c r="E693" s="285"/>
      <c r="F693" s="285"/>
      <c r="G693" s="285"/>
      <c r="I693" s="285"/>
      <c r="J693" s="285"/>
    </row>
    <row r="694" spans="5:10" x14ac:dyDescent="0.25">
      <c r="E694" s="285"/>
      <c r="F694" s="285"/>
      <c r="G694" s="285"/>
      <c r="I694" s="285"/>
      <c r="J694" s="285"/>
    </row>
    <row r="695" spans="5:10" x14ac:dyDescent="0.25">
      <c r="E695" s="285"/>
      <c r="F695" s="285"/>
      <c r="G695" s="285"/>
      <c r="I695" s="285"/>
      <c r="J695" s="285"/>
    </row>
    <row r="696" spans="5:10" x14ac:dyDescent="0.25">
      <c r="E696" s="285"/>
      <c r="F696" s="285"/>
      <c r="G696" s="285"/>
      <c r="I696" s="285"/>
      <c r="J696" s="285"/>
    </row>
    <row r="697" spans="5:10" x14ac:dyDescent="0.25">
      <c r="E697" s="285"/>
      <c r="F697" s="285"/>
      <c r="G697" s="285"/>
      <c r="I697" s="285"/>
      <c r="J697" s="285"/>
    </row>
    <row r="698" spans="5:10" x14ac:dyDescent="0.25">
      <c r="E698" s="285"/>
      <c r="F698" s="285"/>
      <c r="G698" s="285"/>
      <c r="I698" s="285"/>
      <c r="J698" s="285"/>
    </row>
    <row r="699" spans="5:10" x14ac:dyDescent="0.25">
      <c r="E699" s="285"/>
      <c r="F699" s="285"/>
      <c r="G699" s="285"/>
      <c r="I699" s="285"/>
      <c r="J699" s="285"/>
    </row>
    <row r="700" spans="5:10" x14ac:dyDescent="0.25">
      <c r="E700" s="285"/>
      <c r="F700" s="285"/>
      <c r="G700" s="285"/>
      <c r="I700" s="285"/>
      <c r="J700" s="285"/>
    </row>
    <row r="701" spans="5:10" x14ac:dyDescent="0.25">
      <c r="E701" s="285"/>
      <c r="F701" s="285"/>
      <c r="G701" s="285"/>
      <c r="I701" s="285"/>
      <c r="J701" s="285"/>
    </row>
    <row r="702" spans="5:10" x14ac:dyDescent="0.25">
      <c r="E702" s="285"/>
      <c r="F702" s="285"/>
      <c r="G702" s="285"/>
      <c r="I702" s="285"/>
      <c r="J702" s="285"/>
    </row>
    <row r="703" spans="5:10" x14ac:dyDescent="0.25">
      <c r="E703" s="285"/>
      <c r="F703" s="285"/>
      <c r="G703" s="285"/>
      <c r="I703" s="285"/>
      <c r="J703" s="285"/>
    </row>
    <row r="704" spans="5:10" x14ac:dyDescent="0.25">
      <c r="E704" s="285"/>
      <c r="F704" s="285"/>
      <c r="G704" s="285"/>
      <c r="I704" s="285"/>
      <c r="J704" s="285"/>
    </row>
    <row r="705" spans="5:10" x14ac:dyDescent="0.25">
      <c r="E705" s="285"/>
      <c r="F705" s="285"/>
      <c r="G705" s="285"/>
      <c r="I705" s="285"/>
      <c r="J705" s="285"/>
    </row>
    <row r="706" spans="5:10" x14ac:dyDescent="0.25">
      <c r="E706" s="285"/>
      <c r="F706" s="285"/>
      <c r="G706" s="285"/>
      <c r="I706" s="285"/>
      <c r="J706" s="285"/>
    </row>
    <row r="707" spans="5:10" x14ac:dyDescent="0.25">
      <c r="E707" s="285"/>
      <c r="F707" s="285"/>
      <c r="G707" s="285"/>
      <c r="I707" s="285"/>
      <c r="J707" s="285"/>
    </row>
    <row r="708" spans="5:10" x14ac:dyDescent="0.25">
      <c r="E708" s="285"/>
      <c r="F708" s="285"/>
      <c r="G708" s="285"/>
      <c r="I708" s="285"/>
      <c r="J708" s="285"/>
    </row>
    <row r="709" spans="5:10" x14ac:dyDescent="0.25">
      <c r="E709" s="285"/>
      <c r="F709" s="285"/>
      <c r="G709" s="285"/>
      <c r="I709" s="285"/>
      <c r="J709" s="285"/>
    </row>
    <row r="710" spans="5:10" x14ac:dyDescent="0.25">
      <c r="E710" s="285"/>
      <c r="F710" s="285"/>
      <c r="G710" s="285"/>
      <c r="I710" s="285"/>
      <c r="J710" s="285"/>
    </row>
    <row r="711" spans="5:10" x14ac:dyDescent="0.25">
      <c r="E711" s="285"/>
      <c r="F711" s="285"/>
      <c r="G711" s="285"/>
      <c r="I711" s="285"/>
      <c r="J711" s="285"/>
    </row>
    <row r="712" spans="5:10" x14ac:dyDescent="0.25">
      <c r="E712" s="285"/>
      <c r="F712" s="285"/>
      <c r="G712" s="285"/>
      <c r="I712" s="285"/>
      <c r="J712" s="285"/>
    </row>
    <row r="713" spans="5:10" x14ac:dyDescent="0.25">
      <c r="E713" s="285"/>
      <c r="F713" s="285"/>
      <c r="G713" s="285"/>
      <c r="I713" s="285"/>
      <c r="J713" s="285"/>
    </row>
    <row r="714" spans="5:10" x14ac:dyDescent="0.25">
      <c r="E714" s="285"/>
      <c r="F714" s="285"/>
      <c r="G714" s="285"/>
      <c r="I714" s="285"/>
      <c r="J714" s="285"/>
    </row>
    <row r="715" spans="5:10" x14ac:dyDescent="0.25">
      <c r="E715" s="285"/>
      <c r="F715" s="285"/>
      <c r="G715" s="285"/>
      <c r="I715" s="285"/>
      <c r="J715" s="285"/>
    </row>
    <row r="716" spans="5:10" x14ac:dyDescent="0.25">
      <c r="E716" s="285"/>
      <c r="F716" s="285"/>
      <c r="G716" s="285"/>
      <c r="I716" s="285"/>
      <c r="J716" s="285"/>
    </row>
    <row r="717" spans="5:10" x14ac:dyDescent="0.25">
      <c r="E717" s="285"/>
      <c r="F717" s="285"/>
      <c r="G717" s="285"/>
      <c r="I717" s="285"/>
      <c r="J717" s="285"/>
    </row>
    <row r="718" spans="5:10" x14ac:dyDescent="0.25">
      <c r="E718" s="285"/>
      <c r="F718" s="285"/>
      <c r="G718" s="285"/>
      <c r="I718" s="285"/>
      <c r="J718" s="285"/>
    </row>
    <row r="719" spans="5:10" x14ac:dyDescent="0.25">
      <c r="E719" s="285"/>
      <c r="F719" s="285"/>
      <c r="G719" s="285"/>
      <c r="I719" s="285"/>
      <c r="J719" s="285"/>
    </row>
    <row r="720" spans="5:10" x14ac:dyDescent="0.25">
      <c r="E720" s="285"/>
      <c r="F720" s="285"/>
      <c r="G720" s="285"/>
      <c r="I720" s="285"/>
      <c r="J720" s="285"/>
    </row>
    <row r="721" spans="5:10" x14ac:dyDescent="0.25">
      <c r="E721" s="285"/>
      <c r="F721" s="285"/>
      <c r="G721" s="285"/>
      <c r="I721" s="285"/>
      <c r="J721" s="285"/>
    </row>
    <row r="722" spans="5:10" x14ac:dyDescent="0.25">
      <c r="E722" s="285"/>
      <c r="F722" s="285"/>
      <c r="G722" s="285"/>
      <c r="I722" s="285"/>
      <c r="J722" s="285"/>
    </row>
    <row r="723" spans="5:10" x14ac:dyDescent="0.25">
      <c r="E723" s="285"/>
      <c r="F723" s="285"/>
      <c r="G723" s="285"/>
      <c r="I723" s="285"/>
      <c r="J723" s="285"/>
    </row>
    <row r="724" spans="5:10" x14ac:dyDescent="0.25">
      <c r="E724" s="285"/>
      <c r="F724" s="285"/>
      <c r="G724" s="285"/>
      <c r="I724" s="285"/>
      <c r="J724" s="285"/>
    </row>
    <row r="725" spans="5:10" x14ac:dyDescent="0.25">
      <c r="E725" s="285"/>
      <c r="F725" s="285"/>
      <c r="G725" s="285"/>
      <c r="I725" s="285"/>
      <c r="J725" s="285"/>
    </row>
    <row r="726" spans="5:10" x14ac:dyDescent="0.25">
      <c r="E726" s="285"/>
      <c r="F726" s="285"/>
      <c r="G726" s="285"/>
      <c r="I726" s="285"/>
      <c r="J726" s="285"/>
    </row>
    <row r="727" spans="5:10" x14ac:dyDescent="0.25">
      <c r="E727" s="285"/>
      <c r="F727" s="285"/>
      <c r="G727" s="285"/>
      <c r="I727" s="285"/>
      <c r="J727" s="285"/>
    </row>
    <row r="728" spans="5:10" x14ac:dyDescent="0.25">
      <c r="E728" s="285"/>
      <c r="F728" s="285"/>
      <c r="G728" s="285"/>
      <c r="I728" s="285"/>
      <c r="J728" s="285"/>
    </row>
    <row r="729" spans="5:10" x14ac:dyDescent="0.25">
      <c r="E729" s="285"/>
      <c r="F729" s="285"/>
      <c r="G729" s="285"/>
      <c r="I729" s="285"/>
      <c r="J729" s="285"/>
    </row>
    <row r="730" spans="5:10" x14ac:dyDescent="0.25">
      <c r="E730" s="285"/>
      <c r="F730" s="285"/>
      <c r="G730" s="285"/>
      <c r="I730" s="285"/>
      <c r="J730" s="285"/>
    </row>
    <row r="731" spans="5:10" x14ac:dyDescent="0.25">
      <c r="E731" s="285"/>
      <c r="F731" s="285"/>
      <c r="G731" s="285"/>
      <c r="I731" s="285"/>
      <c r="J731" s="285"/>
    </row>
    <row r="732" spans="5:10" x14ac:dyDescent="0.25">
      <c r="E732" s="285"/>
      <c r="F732" s="285"/>
      <c r="G732" s="285"/>
      <c r="I732" s="285"/>
      <c r="J732" s="285"/>
    </row>
    <row r="733" spans="5:10" x14ac:dyDescent="0.25">
      <c r="E733" s="285"/>
      <c r="F733" s="285"/>
      <c r="G733" s="285"/>
      <c r="I733" s="285"/>
      <c r="J733" s="285"/>
    </row>
    <row r="734" spans="5:10" x14ac:dyDescent="0.25">
      <c r="E734" s="285"/>
      <c r="F734" s="285"/>
      <c r="G734" s="285"/>
      <c r="I734" s="285"/>
      <c r="J734" s="285"/>
    </row>
    <row r="735" spans="5:10" x14ac:dyDescent="0.25">
      <c r="E735" s="285"/>
      <c r="F735" s="285"/>
      <c r="G735" s="285"/>
      <c r="I735" s="285"/>
      <c r="J735" s="285"/>
    </row>
    <row r="736" spans="5:10" x14ac:dyDescent="0.25">
      <c r="E736" s="285"/>
      <c r="F736" s="285"/>
      <c r="G736" s="285"/>
      <c r="I736" s="285"/>
      <c r="J736" s="285"/>
    </row>
    <row r="737" spans="5:10" x14ac:dyDescent="0.25">
      <c r="E737" s="285"/>
      <c r="F737" s="285"/>
      <c r="G737" s="285"/>
      <c r="I737" s="285"/>
      <c r="J737" s="285"/>
    </row>
    <row r="738" spans="5:10" x14ac:dyDescent="0.25">
      <c r="E738" s="285"/>
      <c r="F738" s="285"/>
      <c r="G738" s="285"/>
      <c r="I738" s="285"/>
      <c r="J738" s="285"/>
    </row>
    <row r="739" spans="5:10" x14ac:dyDescent="0.25">
      <c r="E739" s="285"/>
      <c r="F739" s="285"/>
      <c r="G739" s="285"/>
      <c r="I739" s="285"/>
      <c r="J739" s="285"/>
    </row>
    <row r="740" spans="5:10" x14ac:dyDescent="0.25">
      <c r="E740" s="285"/>
      <c r="F740" s="285"/>
      <c r="G740" s="285"/>
      <c r="I740" s="285"/>
      <c r="J740" s="285"/>
    </row>
    <row r="741" spans="5:10" x14ac:dyDescent="0.25">
      <c r="E741" s="285"/>
      <c r="F741" s="285"/>
      <c r="G741" s="285"/>
      <c r="I741" s="285"/>
      <c r="J741" s="285"/>
    </row>
    <row r="742" spans="5:10" x14ac:dyDescent="0.25">
      <c r="E742" s="285"/>
      <c r="F742" s="285"/>
      <c r="G742" s="285"/>
      <c r="I742" s="285"/>
      <c r="J742" s="285"/>
    </row>
    <row r="743" spans="5:10" x14ac:dyDescent="0.25">
      <c r="E743" s="285"/>
      <c r="F743" s="285"/>
      <c r="G743" s="285"/>
      <c r="I743" s="285"/>
      <c r="J743" s="285"/>
    </row>
    <row r="744" spans="5:10" x14ac:dyDescent="0.25">
      <c r="E744" s="285"/>
      <c r="F744" s="285"/>
      <c r="G744" s="285"/>
      <c r="I744" s="285"/>
      <c r="J744" s="285"/>
    </row>
    <row r="745" spans="5:10" x14ac:dyDescent="0.25">
      <c r="E745" s="285"/>
      <c r="F745" s="285"/>
      <c r="G745" s="285"/>
      <c r="I745" s="285"/>
      <c r="J745" s="285"/>
    </row>
    <row r="746" spans="5:10" x14ac:dyDescent="0.25">
      <c r="E746" s="285"/>
      <c r="F746" s="285"/>
      <c r="G746" s="285"/>
      <c r="I746" s="285"/>
      <c r="J746" s="285"/>
    </row>
    <row r="747" spans="5:10" x14ac:dyDescent="0.25">
      <c r="E747" s="285"/>
      <c r="F747" s="285"/>
      <c r="G747" s="285"/>
      <c r="I747" s="285"/>
      <c r="J747" s="285"/>
    </row>
    <row r="748" spans="5:10" x14ac:dyDescent="0.25">
      <c r="E748" s="285"/>
      <c r="F748" s="285"/>
      <c r="G748" s="285"/>
      <c r="I748" s="285"/>
      <c r="J748" s="285"/>
    </row>
    <row r="749" spans="5:10" x14ac:dyDescent="0.25">
      <c r="E749" s="285"/>
      <c r="F749" s="285"/>
      <c r="G749" s="285"/>
      <c r="I749" s="285"/>
      <c r="J749" s="285"/>
    </row>
    <row r="750" spans="5:10" x14ac:dyDescent="0.25">
      <c r="E750" s="285"/>
      <c r="F750" s="285"/>
      <c r="G750" s="285"/>
      <c r="I750" s="285"/>
      <c r="J750" s="285"/>
    </row>
    <row r="751" spans="5:10" x14ac:dyDescent="0.25">
      <c r="E751" s="285"/>
      <c r="F751" s="285"/>
      <c r="G751" s="285"/>
      <c r="I751" s="285"/>
      <c r="J751" s="285"/>
    </row>
    <row r="752" spans="5:10" x14ac:dyDescent="0.25">
      <c r="E752" s="285"/>
      <c r="F752" s="285"/>
      <c r="G752" s="285"/>
      <c r="I752" s="285"/>
      <c r="J752" s="285"/>
    </row>
    <row r="753" spans="5:10" x14ac:dyDescent="0.25">
      <c r="E753" s="285"/>
      <c r="F753" s="285"/>
      <c r="G753" s="285"/>
      <c r="I753" s="285"/>
      <c r="J753" s="285"/>
    </row>
    <row r="754" spans="5:10" x14ac:dyDescent="0.25">
      <c r="E754" s="285"/>
      <c r="F754" s="285"/>
      <c r="G754" s="285"/>
      <c r="I754" s="285"/>
      <c r="J754" s="285"/>
    </row>
    <row r="755" spans="5:10" x14ac:dyDescent="0.25">
      <c r="E755" s="285"/>
      <c r="F755" s="285"/>
      <c r="G755" s="285"/>
      <c r="I755" s="285"/>
      <c r="J755" s="285"/>
    </row>
    <row r="756" spans="5:10" x14ac:dyDescent="0.25">
      <c r="E756" s="285"/>
      <c r="F756" s="285"/>
      <c r="G756" s="285"/>
      <c r="I756" s="285"/>
      <c r="J756" s="285"/>
    </row>
    <row r="757" spans="5:10" x14ac:dyDescent="0.25">
      <c r="E757" s="285"/>
      <c r="F757" s="285"/>
      <c r="G757" s="285"/>
      <c r="I757" s="285"/>
      <c r="J757" s="285"/>
    </row>
    <row r="758" spans="5:10" x14ac:dyDescent="0.25">
      <c r="E758" s="285"/>
      <c r="F758" s="285"/>
      <c r="G758" s="285"/>
      <c r="I758" s="285"/>
      <c r="J758" s="285"/>
    </row>
    <row r="759" spans="5:10" x14ac:dyDescent="0.25">
      <c r="E759" s="285"/>
      <c r="F759" s="285"/>
      <c r="G759" s="285"/>
      <c r="I759" s="285"/>
      <c r="J759" s="285"/>
    </row>
    <row r="760" spans="5:10" x14ac:dyDescent="0.25">
      <c r="E760" s="285"/>
      <c r="F760" s="285"/>
      <c r="G760" s="285"/>
      <c r="I760" s="285"/>
      <c r="J760" s="285"/>
    </row>
    <row r="761" spans="5:10" x14ac:dyDescent="0.25">
      <c r="E761" s="285"/>
      <c r="F761" s="285"/>
      <c r="G761" s="285"/>
      <c r="I761" s="285"/>
      <c r="J761" s="285"/>
    </row>
    <row r="762" spans="5:10" x14ac:dyDescent="0.25">
      <c r="E762" s="285"/>
      <c r="F762" s="285"/>
      <c r="G762" s="285"/>
      <c r="I762" s="285"/>
      <c r="J762" s="285"/>
    </row>
    <row r="763" spans="5:10" x14ac:dyDescent="0.25">
      <c r="E763" s="285"/>
      <c r="F763" s="285"/>
      <c r="G763" s="285"/>
      <c r="I763" s="285"/>
      <c r="J763" s="285"/>
    </row>
    <row r="764" spans="5:10" x14ac:dyDescent="0.25">
      <c r="E764" s="285"/>
      <c r="F764" s="285"/>
      <c r="G764" s="285"/>
      <c r="I764" s="285"/>
      <c r="J764" s="285"/>
    </row>
    <row r="765" spans="5:10" x14ac:dyDescent="0.25">
      <c r="E765" s="285"/>
      <c r="F765" s="285"/>
      <c r="G765" s="285"/>
      <c r="I765" s="285"/>
      <c r="J765" s="285"/>
    </row>
    <row r="766" spans="5:10" x14ac:dyDescent="0.25">
      <c r="E766" s="285"/>
      <c r="F766" s="285"/>
      <c r="G766" s="285"/>
      <c r="I766" s="285"/>
      <c r="J766" s="285"/>
    </row>
    <row r="767" spans="5:10" x14ac:dyDescent="0.25">
      <c r="E767" s="285"/>
      <c r="F767" s="285"/>
      <c r="G767" s="285"/>
      <c r="I767" s="285"/>
      <c r="J767" s="285"/>
    </row>
    <row r="768" spans="5:10" x14ac:dyDescent="0.25">
      <c r="E768" s="285"/>
      <c r="F768" s="285"/>
      <c r="G768" s="285"/>
      <c r="I768" s="285"/>
      <c r="J768" s="285"/>
    </row>
    <row r="769" spans="5:10" x14ac:dyDescent="0.25">
      <c r="E769" s="285"/>
      <c r="F769" s="285"/>
      <c r="G769" s="285"/>
      <c r="I769" s="285"/>
      <c r="J769" s="285"/>
    </row>
    <row r="770" spans="5:10" x14ac:dyDescent="0.25">
      <c r="E770" s="285"/>
      <c r="F770" s="285"/>
      <c r="G770" s="285"/>
      <c r="I770" s="285"/>
      <c r="J770" s="285"/>
    </row>
    <row r="771" spans="5:10" x14ac:dyDescent="0.25">
      <c r="E771" s="285"/>
      <c r="F771" s="285"/>
      <c r="G771" s="285"/>
      <c r="I771" s="285"/>
      <c r="J771" s="285"/>
    </row>
    <row r="772" spans="5:10" x14ac:dyDescent="0.25">
      <c r="E772" s="285"/>
      <c r="F772" s="285"/>
      <c r="G772" s="285"/>
      <c r="I772" s="285"/>
      <c r="J772" s="285"/>
    </row>
    <row r="773" spans="5:10" x14ac:dyDescent="0.25">
      <c r="E773" s="285"/>
      <c r="F773" s="285"/>
      <c r="G773" s="285"/>
      <c r="I773" s="285"/>
      <c r="J773" s="285"/>
    </row>
    <row r="774" spans="5:10" x14ac:dyDescent="0.25">
      <c r="E774" s="285"/>
      <c r="F774" s="285"/>
      <c r="G774" s="285"/>
      <c r="I774" s="285"/>
      <c r="J774" s="285"/>
    </row>
    <row r="775" spans="5:10" x14ac:dyDescent="0.25">
      <c r="E775" s="285"/>
      <c r="F775" s="285"/>
      <c r="G775" s="285"/>
      <c r="I775" s="285"/>
      <c r="J775" s="285"/>
    </row>
    <row r="776" spans="5:10" x14ac:dyDescent="0.25">
      <c r="E776" s="285"/>
      <c r="F776" s="285"/>
      <c r="G776" s="285"/>
      <c r="I776" s="285"/>
      <c r="J776" s="285"/>
    </row>
    <row r="777" spans="5:10" x14ac:dyDescent="0.25">
      <c r="E777" s="285"/>
      <c r="F777" s="285"/>
      <c r="G777" s="285"/>
      <c r="I777" s="285"/>
      <c r="J777" s="285"/>
    </row>
    <row r="778" spans="5:10" x14ac:dyDescent="0.25">
      <c r="E778" s="285"/>
      <c r="F778" s="285"/>
      <c r="G778" s="285"/>
      <c r="I778" s="285"/>
      <c r="J778" s="285"/>
    </row>
    <row r="779" spans="5:10" x14ac:dyDescent="0.25">
      <c r="E779" s="285"/>
      <c r="F779" s="285"/>
      <c r="G779" s="285"/>
      <c r="I779" s="285"/>
      <c r="J779" s="285"/>
    </row>
    <row r="780" spans="5:10" x14ac:dyDescent="0.25">
      <c r="E780" s="285"/>
      <c r="F780" s="285"/>
      <c r="G780" s="285"/>
      <c r="I780" s="285"/>
      <c r="J780" s="285"/>
    </row>
    <row r="781" spans="5:10" x14ac:dyDescent="0.25">
      <c r="E781" s="285"/>
      <c r="F781" s="285"/>
      <c r="G781" s="285"/>
      <c r="I781" s="285"/>
      <c r="J781" s="285"/>
    </row>
    <row r="782" spans="5:10" x14ac:dyDescent="0.25">
      <c r="E782" s="285"/>
      <c r="F782" s="285"/>
      <c r="G782" s="285"/>
      <c r="I782" s="285"/>
      <c r="J782" s="285"/>
    </row>
    <row r="783" spans="5:10" x14ac:dyDescent="0.25">
      <c r="E783" s="285"/>
      <c r="F783" s="285"/>
      <c r="G783" s="285"/>
      <c r="I783" s="285"/>
      <c r="J783" s="285"/>
    </row>
    <row r="784" spans="5:10" x14ac:dyDescent="0.25">
      <c r="E784" s="285"/>
      <c r="F784" s="285"/>
      <c r="G784" s="285"/>
      <c r="I784" s="285"/>
      <c r="J784" s="285"/>
    </row>
    <row r="785" spans="5:10" x14ac:dyDescent="0.25">
      <c r="E785" s="285"/>
      <c r="F785" s="285"/>
      <c r="G785" s="285"/>
      <c r="I785" s="285"/>
      <c r="J785" s="285"/>
    </row>
    <row r="786" spans="5:10" x14ac:dyDescent="0.25">
      <c r="E786" s="285"/>
      <c r="F786" s="285"/>
      <c r="G786" s="285"/>
      <c r="I786" s="285"/>
      <c r="J786" s="285"/>
    </row>
    <row r="787" spans="5:10" x14ac:dyDescent="0.25">
      <c r="E787" s="285"/>
      <c r="F787" s="285"/>
      <c r="G787" s="285"/>
      <c r="I787" s="285"/>
      <c r="J787" s="285"/>
    </row>
    <row r="788" spans="5:10" x14ac:dyDescent="0.25">
      <c r="E788" s="285"/>
      <c r="F788" s="285"/>
      <c r="G788" s="285"/>
      <c r="I788" s="285"/>
      <c r="J788" s="285"/>
    </row>
    <row r="789" spans="5:10" x14ac:dyDescent="0.25">
      <c r="E789" s="285"/>
      <c r="F789" s="285"/>
      <c r="G789" s="285"/>
      <c r="I789" s="285"/>
      <c r="J789" s="285"/>
    </row>
    <row r="790" spans="5:10" x14ac:dyDescent="0.25">
      <c r="E790" s="285"/>
      <c r="F790" s="285"/>
      <c r="G790" s="285"/>
      <c r="I790" s="285"/>
      <c r="J790" s="285"/>
    </row>
    <row r="791" spans="5:10" x14ac:dyDescent="0.25">
      <c r="E791" s="285"/>
      <c r="F791" s="285"/>
      <c r="G791" s="285"/>
      <c r="I791" s="285"/>
      <c r="J791" s="285"/>
    </row>
    <row r="792" spans="5:10" x14ac:dyDescent="0.25">
      <c r="E792" s="285"/>
      <c r="F792" s="285"/>
      <c r="G792" s="285"/>
      <c r="I792" s="285"/>
      <c r="J792" s="285"/>
    </row>
    <row r="793" spans="5:10" x14ac:dyDescent="0.25">
      <c r="E793" s="285"/>
      <c r="F793" s="285"/>
      <c r="G793" s="285"/>
      <c r="I793" s="285"/>
      <c r="J793" s="285"/>
    </row>
    <row r="794" spans="5:10" x14ac:dyDescent="0.25">
      <c r="E794" s="285"/>
      <c r="F794" s="285"/>
      <c r="G794" s="285"/>
      <c r="I794" s="285"/>
      <c r="J794" s="285"/>
    </row>
    <row r="795" spans="5:10" x14ac:dyDescent="0.25">
      <c r="E795" s="285"/>
      <c r="F795" s="285"/>
      <c r="G795" s="285"/>
      <c r="I795" s="285"/>
      <c r="J795" s="285"/>
    </row>
    <row r="796" spans="5:10" x14ac:dyDescent="0.25">
      <c r="E796" s="285"/>
      <c r="F796" s="285"/>
      <c r="G796" s="285"/>
      <c r="I796" s="285"/>
      <c r="J796" s="285"/>
    </row>
    <row r="797" spans="5:10" x14ac:dyDescent="0.25">
      <c r="E797" s="285"/>
      <c r="F797" s="285"/>
      <c r="G797" s="285"/>
      <c r="I797" s="285"/>
      <c r="J797" s="285"/>
    </row>
    <row r="798" spans="5:10" x14ac:dyDescent="0.25">
      <c r="E798" s="285"/>
      <c r="F798" s="285"/>
      <c r="G798" s="285"/>
      <c r="I798" s="285"/>
      <c r="J798" s="285"/>
    </row>
    <row r="799" spans="5:10" x14ac:dyDescent="0.25">
      <c r="E799" s="285"/>
      <c r="F799" s="285"/>
      <c r="G799" s="285"/>
      <c r="I799" s="285"/>
      <c r="J799" s="285"/>
    </row>
    <row r="800" spans="5:10" x14ac:dyDescent="0.25">
      <c r="E800" s="285"/>
      <c r="F800" s="285"/>
      <c r="G800" s="285"/>
      <c r="I800" s="285"/>
      <c r="J800" s="285"/>
    </row>
    <row r="801" spans="5:10" x14ac:dyDescent="0.25">
      <c r="E801" s="285"/>
      <c r="F801" s="285"/>
      <c r="G801" s="285"/>
      <c r="I801" s="285"/>
      <c r="J801" s="285"/>
    </row>
    <row r="802" spans="5:10" x14ac:dyDescent="0.25">
      <c r="E802" s="285"/>
      <c r="F802" s="285"/>
      <c r="G802" s="285"/>
      <c r="I802" s="285"/>
      <c r="J802" s="285"/>
    </row>
    <row r="803" spans="5:10" x14ac:dyDescent="0.25">
      <c r="E803" s="285"/>
      <c r="F803" s="285"/>
      <c r="G803" s="285"/>
      <c r="I803" s="285"/>
      <c r="J803" s="285"/>
    </row>
    <row r="804" spans="5:10" x14ac:dyDescent="0.25">
      <c r="E804" s="285"/>
      <c r="F804" s="285"/>
      <c r="G804" s="285"/>
      <c r="I804" s="285"/>
      <c r="J804" s="285"/>
    </row>
    <row r="805" spans="5:10" x14ac:dyDescent="0.25">
      <c r="E805" s="285"/>
      <c r="F805" s="285"/>
      <c r="G805" s="285"/>
      <c r="I805" s="285"/>
      <c r="J805" s="285"/>
    </row>
    <row r="806" spans="5:10" x14ac:dyDescent="0.25">
      <c r="E806" s="285"/>
      <c r="F806" s="285"/>
      <c r="G806" s="285"/>
      <c r="I806" s="285"/>
      <c r="J806" s="285"/>
    </row>
    <row r="807" spans="5:10" x14ac:dyDescent="0.25">
      <c r="E807" s="285"/>
      <c r="F807" s="285"/>
      <c r="G807" s="285"/>
      <c r="I807" s="285"/>
      <c r="J807" s="285"/>
    </row>
    <row r="808" spans="5:10" x14ac:dyDescent="0.25">
      <c r="E808" s="285"/>
      <c r="F808" s="285"/>
      <c r="G808" s="285"/>
      <c r="I808" s="285"/>
      <c r="J808" s="285"/>
    </row>
    <row r="809" spans="5:10" x14ac:dyDescent="0.25">
      <c r="E809" s="285"/>
      <c r="F809" s="285"/>
      <c r="G809" s="285"/>
      <c r="I809" s="285"/>
      <c r="J809" s="285"/>
    </row>
    <row r="810" spans="5:10" x14ac:dyDescent="0.25">
      <c r="E810" s="285"/>
      <c r="F810" s="285"/>
      <c r="G810" s="285"/>
      <c r="I810" s="285"/>
      <c r="J810" s="285"/>
    </row>
    <row r="811" spans="5:10" x14ac:dyDescent="0.25">
      <c r="E811" s="285"/>
      <c r="F811" s="285"/>
      <c r="G811" s="285"/>
      <c r="I811" s="285"/>
      <c r="J811" s="285"/>
    </row>
    <row r="812" spans="5:10" x14ac:dyDescent="0.25">
      <c r="E812" s="285"/>
      <c r="F812" s="285"/>
      <c r="G812" s="285"/>
      <c r="I812" s="285"/>
      <c r="J812" s="285"/>
    </row>
    <row r="813" spans="5:10" x14ac:dyDescent="0.25">
      <c r="E813" s="285"/>
      <c r="F813" s="285"/>
      <c r="G813" s="285"/>
      <c r="I813" s="285"/>
      <c r="J813" s="285"/>
    </row>
    <row r="814" spans="5:10" x14ac:dyDescent="0.25">
      <c r="E814" s="285"/>
      <c r="F814" s="285"/>
      <c r="G814" s="285"/>
      <c r="I814" s="285"/>
      <c r="J814" s="285"/>
    </row>
    <row r="815" spans="5:10" x14ac:dyDescent="0.25">
      <c r="E815" s="285"/>
      <c r="F815" s="285"/>
      <c r="G815" s="285"/>
      <c r="I815" s="285"/>
      <c r="J815" s="285"/>
    </row>
    <row r="816" spans="5:10" x14ac:dyDescent="0.25">
      <c r="E816" s="285"/>
      <c r="F816" s="285"/>
      <c r="G816" s="285"/>
      <c r="I816" s="285"/>
      <c r="J816" s="285"/>
    </row>
    <row r="817" spans="5:10" x14ac:dyDescent="0.25">
      <c r="E817" s="285"/>
      <c r="F817" s="285"/>
      <c r="G817" s="285"/>
      <c r="I817" s="285"/>
      <c r="J817" s="285"/>
    </row>
    <row r="818" spans="5:10" x14ac:dyDescent="0.25">
      <c r="E818" s="285"/>
      <c r="F818" s="285"/>
      <c r="G818" s="285"/>
      <c r="I818" s="285"/>
      <c r="J818" s="285"/>
    </row>
    <row r="819" spans="5:10" x14ac:dyDescent="0.25">
      <c r="E819" s="285"/>
      <c r="F819" s="285"/>
      <c r="G819" s="285"/>
      <c r="I819" s="285"/>
      <c r="J819" s="285"/>
    </row>
    <row r="820" spans="5:10" x14ac:dyDescent="0.25">
      <c r="E820" s="285"/>
      <c r="F820" s="285"/>
      <c r="G820" s="285"/>
      <c r="I820" s="285"/>
      <c r="J820" s="285"/>
    </row>
    <row r="821" spans="5:10" x14ac:dyDescent="0.25">
      <c r="E821" s="285"/>
      <c r="F821" s="285"/>
      <c r="G821" s="285"/>
      <c r="I821" s="285"/>
      <c r="J821" s="285"/>
    </row>
    <row r="822" spans="5:10" x14ac:dyDescent="0.25">
      <c r="E822" s="285"/>
      <c r="F822" s="285"/>
      <c r="G822" s="285"/>
      <c r="I822" s="285"/>
      <c r="J822" s="285"/>
    </row>
    <row r="823" spans="5:10" x14ac:dyDescent="0.25">
      <c r="E823" s="285"/>
      <c r="F823" s="285"/>
      <c r="G823" s="285"/>
      <c r="I823" s="285"/>
      <c r="J823" s="285"/>
    </row>
    <row r="824" spans="5:10" x14ac:dyDescent="0.25">
      <c r="E824" s="285"/>
      <c r="F824" s="285"/>
      <c r="G824" s="285"/>
      <c r="I824" s="285"/>
      <c r="J824" s="285"/>
    </row>
    <row r="825" spans="5:10" x14ac:dyDescent="0.25">
      <c r="E825" s="285"/>
      <c r="F825" s="285"/>
      <c r="G825" s="285"/>
      <c r="I825" s="285"/>
      <c r="J825" s="285"/>
    </row>
    <row r="826" spans="5:10" x14ac:dyDescent="0.25">
      <c r="E826" s="285"/>
      <c r="F826" s="285"/>
      <c r="G826" s="285"/>
      <c r="I826" s="285"/>
      <c r="J826" s="285"/>
    </row>
    <row r="827" spans="5:10" x14ac:dyDescent="0.25">
      <c r="E827" s="285"/>
      <c r="F827" s="285"/>
      <c r="G827" s="285"/>
      <c r="I827" s="285"/>
      <c r="J827" s="285"/>
    </row>
    <row r="828" spans="5:10" x14ac:dyDescent="0.25">
      <c r="E828" s="285"/>
      <c r="F828" s="285"/>
      <c r="G828" s="285"/>
      <c r="I828" s="285"/>
      <c r="J828" s="285"/>
    </row>
    <row r="829" spans="5:10" x14ac:dyDescent="0.25">
      <c r="E829" s="285"/>
      <c r="F829" s="285"/>
      <c r="G829" s="285"/>
      <c r="I829" s="285"/>
      <c r="J829" s="285"/>
    </row>
    <row r="830" spans="5:10" x14ac:dyDescent="0.25">
      <c r="E830" s="285"/>
      <c r="F830" s="285"/>
      <c r="G830" s="285"/>
      <c r="I830" s="285"/>
      <c r="J830" s="285"/>
    </row>
    <row r="831" spans="5:10" x14ac:dyDescent="0.25">
      <c r="E831" s="285"/>
      <c r="F831" s="285"/>
      <c r="G831" s="285"/>
      <c r="I831" s="285"/>
      <c r="J831" s="285"/>
    </row>
    <row r="832" spans="5:10" x14ac:dyDescent="0.25">
      <c r="E832" s="285"/>
      <c r="F832" s="285"/>
      <c r="G832" s="285"/>
      <c r="I832" s="285"/>
      <c r="J832" s="285"/>
    </row>
    <row r="833" spans="5:10" x14ac:dyDescent="0.25">
      <c r="E833" s="285"/>
      <c r="F833" s="285"/>
      <c r="G833" s="285"/>
      <c r="I833" s="285"/>
      <c r="J833" s="285"/>
    </row>
    <row r="834" spans="5:10" x14ac:dyDescent="0.25">
      <c r="E834" s="285"/>
      <c r="F834" s="285"/>
      <c r="G834" s="285"/>
      <c r="I834" s="285"/>
      <c r="J834" s="285"/>
    </row>
    <row r="835" spans="5:10" x14ac:dyDescent="0.25">
      <c r="E835" s="285"/>
      <c r="F835" s="285"/>
      <c r="G835" s="285"/>
      <c r="I835" s="285"/>
      <c r="J835" s="285"/>
    </row>
    <row r="836" spans="5:10" x14ac:dyDescent="0.25">
      <c r="E836" s="285"/>
      <c r="F836" s="285"/>
      <c r="G836" s="285"/>
      <c r="I836" s="285"/>
      <c r="J836" s="285"/>
    </row>
    <row r="837" spans="5:10" x14ac:dyDescent="0.25">
      <c r="E837" s="285"/>
      <c r="F837" s="285"/>
      <c r="G837" s="285"/>
      <c r="I837" s="285"/>
      <c r="J837" s="285"/>
    </row>
    <row r="838" spans="5:10" x14ac:dyDescent="0.25">
      <c r="E838" s="285"/>
      <c r="F838" s="285"/>
      <c r="G838" s="285"/>
      <c r="I838" s="285"/>
      <c r="J838" s="285"/>
    </row>
    <row r="839" spans="5:10" x14ac:dyDescent="0.25">
      <c r="E839" s="285"/>
      <c r="F839" s="285"/>
      <c r="G839" s="285"/>
      <c r="I839" s="285"/>
      <c r="J839" s="285"/>
    </row>
    <row r="840" spans="5:10" x14ac:dyDescent="0.25">
      <c r="E840" s="285"/>
      <c r="G840" s="285"/>
      <c r="I840" s="285"/>
      <c r="J840" s="285"/>
    </row>
  </sheetData>
  <phoneticPr fontId="42" type="noConversion"/>
  <pageMargins left="0.7" right="0.7" top="0.75" bottom="0.75" header="0.511811023622047" footer="0.511811023622047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1043"/>
  <sheetViews>
    <sheetView view="pageBreakPreview" topLeftCell="D18" zoomScaleNormal="80" workbookViewId="0">
      <selection activeCell="I7" sqref="I7"/>
    </sheetView>
  </sheetViews>
  <sheetFormatPr defaultColWidth="9.109375" defaultRowHeight="13.2" x14ac:dyDescent="0.25"/>
  <cols>
    <col min="1" max="1" width="6.33203125" style="6" customWidth="1"/>
    <col min="2" max="2" width="13.6640625" style="110" customWidth="1"/>
    <col min="3" max="3" width="18" style="57" customWidth="1"/>
    <col min="4" max="4" width="31.44140625" style="57" customWidth="1"/>
    <col min="5" max="5" width="47.6640625" style="57" customWidth="1"/>
    <col min="6" max="6" width="28.33203125" style="57" customWidth="1"/>
    <col min="7" max="7" width="16" style="363" customWidth="1"/>
    <col min="8" max="8" width="15.5546875" style="363" customWidth="1"/>
    <col min="9" max="9" width="18.6640625" style="363" customWidth="1"/>
    <col min="10" max="10" width="15.5546875" style="363" customWidth="1"/>
    <col min="11" max="11" width="15.5546875" style="374" customWidth="1"/>
    <col min="12" max="12" width="15.33203125" style="111" customWidth="1"/>
    <col min="13" max="13" width="13.109375" style="57" customWidth="1"/>
    <col min="14" max="14" width="9" style="57" customWidth="1"/>
    <col min="15" max="15" width="11.6640625" style="57" customWidth="1"/>
    <col min="16" max="257" width="9.109375" style="57"/>
  </cols>
  <sheetData>
    <row r="1" spans="1:12" ht="30" customHeight="1" x14ac:dyDescent="0.25">
      <c r="D1" s="730" t="s">
        <v>0</v>
      </c>
      <c r="E1" s="730"/>
      <c r="F1" s="730"/>
      <c r="G1" s="730"/>
    </row>
    <row r="2" spans="1:12" ht="26.25" customHeight="1" x14ac:dyDescent="0.25">
      <c r="A2" s="730" t="s">
        <v>45</v>
      </c>
      <c r="B2" s="730"/>
      <c r="C2" s="730"/>
      <c r="D2" s="730"/>
      <c r="E2" s="730"/>
      <c r="F2" s="730"/>
      <c r="G2" s="730"/>
      <c r="H2" s="730"/>
    </row>
    <row r="3" spans="1:12" ht="20.25" customHeight="1" x14ac:dyDescent="0.25">
      <c r="E3" s="364"/>
      <c r="G3" s="324" t="s">
        <v>73</v>
      </c>
      <c r="H3" s="423">
        <v>3591.97</v>
      </c>
      <c r="L3" s="112"/>
    </row>
    <row r="4" spans="1:12" ht="20.25" customHeight="1" x14ac:dyDescent="0.25">
      <c r="E4" s="3"/>
      <c r="F4" s="365"/>
      <c r="G4" s="324" t="s">
        <v>74</v>
      </c>
      <c r="H4" s="423">
        <f>+G42-G13</f>
        <v>21000</v>
      </c>
      <c r="L4" s="112"/>
    </row>
    <row r="5" spans="1:12" ht="20.25" customHeight="1" x14ac:dyDescent="0.25">
      <c r="E5" s="3"/>
      <c r="F5" s="365"/>
      <c r="G5" s="326" t="s">
        <v>75</v>
      </c>
      <c r="H5" s="423">
        <f>H3+H4</f>
        <v>24591.97</v>
      </c>
      <c r="L5" s="112"/>
    </row>
    <row r="6" spans="1:12" ht="15" customHeight="1" x14ac:dyDescent="0.25">
      <c r="A6" s="731" t="s">
        <v>46</v>
      </c>
      <c r="B6" s="744"/>
      <c r="C6" s="744"/>
      <c r="D6" s="744"/>
      <c r="E6" s="744"/>
      <c r="F6" s="744"/>
      <c r="G6" s="324" t="s">
        <v>76</v>
      </c>
      <c r="H6" s="424">
        <f>+H42</f>
        <v>15009.27</v>
      </c>
    </row>
    <row r="7" spans="1:12" ht="17.25" customHeight="1" thickBot="1" x14ac:dyDescent="0.3">
      <c r="A7" s="729" t="s">
        <v>47</v>
      </c>
      <c r="B7" s="729"/>
      <c r="C7" s="729"/>
      <c r="D7" s="729"/>
      <c r="G7" s="324" t="s">
        <v>78</v>
      </c>
      <c r="H7" s="425">
        <f>H5-H6</f>
        <v>9582.7000000000007</v>
      </c>
      <c r="I7" s="576"/>
    </row>
    <row r="8" spans="1:12" ht="17.25" customHeight="1" thickTop="1" x14ac:dyDescent="0.25">
      <c r="A8" s="729" t="s">
        <v>49</v>
      </c>
      <c r="B8" s="729"/>
      <c r="C8" s="729"/>
      <c r="D8" s="729"/>
      <c r="G8" s="365"/>
      <c r="H8" s="366"/>
      <c r="I8" s="366"/>
    </row>
    <row r="9" spans="1:12" ht="17.100000000000001" customHeight="1" x14ac:dyDescent="0.25">
      <c r="E9" s="113" t="s">
        <v>50</v>
      </c>
      <c r="F9" s="113"/>
      <c r="G9" s="743" t="s">
        <v>48</v>
      </c>
      <c r="H9" s="743"/>
      <c r="I9" s="743"/>
    </row>
    <row r="10" spans="1:12" ht="5.25" customHeight="1" x14ac:dyDescent="0.25"/>
    <row r="11" spans="1:12" s="6" customFormat="1" ht="17.100000000000001" customHeight="1" x14ac:dyDescent="0.25">
      <c r="A11" s="114" t="s">
        <v>51</v>
      </c>
      <c r="B11" s="115" t="s">
        <v>52</v>
      </c>
      <c r="C11" s="116" t="s">
        <v>53</v>
      </c>
      <c r="D11" s="117" t="s">
        <v>54</v>
      </c>
      <c r="E11" s="116" t="s">
        <v>55</v>
      </c>
      <c r="F11" s="117" t="s">
        <v>56</v>
      </c>
      <c r="G11" s="367" t="s">
        <v>57</v>
      </c>
      <c r="H11" s="367" t="s">
        <v>58</v>
      </c>
      <c r="I11" s="375" t="s">
        <v>59</v>
      </c>
      <c r="J11" s="367" t="s">
        <v>60</v>
      </c>
      <c r="K11" s="376" t="s">
        <v>61</v>
      </c>
      <c r="L11" s="118"/>
    </row>
    <row r="12" spans="1:12" ht="17.100000000000001" customHeight="1" x14ac:dyDescent="0.25">
      <c r="A12" s="119" t="s">
        <v>62</v>
      </c>
      <c r="B12" s="120"/>
      <c r="C12" s="121" t="s">
        <v>63</v>
      </c>
      <c r="D12" s="122"/>
      <c r="E12" s="123"/>
      <c r="F12" s="122"/>
      <c r="G12" s="368"/>
      <c r="H12" s="369"/>
      <c r="I12" s="368"/>
      <c r="J12" s="368"/>
      <c r="K12" s="377"/>
    </row>
    <row r="13" spans="1:12" ht="17.100000000000001" customHeight="1" x14ac:dyDescent="0.25">
      <c r="A13" s="351">
        <v>1</v>
      </c>
      <c r="B13" s="352">
        <v>46082</v>
      </c>
      <c r="C13" s="353" t="s">
        <v>95</v>
      </c>
      <c r="D13" s="354" t="s">
        <v>64</v>
      </c>
      <c r="E13" s="354" t="s">
        <v>65</v>
      </c>
      <c r="F13" s="354"/>
      <c r="G13" s="370">
        <f>+H3</f>
        <v>3591.97</v>
      </c>
      <c r="H13" s="370"/>
      <c r="I13" s="372">
        <f>+I12+G13-H13</f>
        <v>3591.97</v>
      </c>
      <c r="J13" s="378">
        <f>H13/1.17*0.17</f>
        <v>0</v>
      </c>
      <c r="K13" s="379">
        <f t="shared" ref="K13:K40" si="0">H13-J13</f>
        <v>0</v>
      </c>
      <c r="L13" s="355"/>
    </row>
    <row r="14" spans="1:12" ht="17.100000000000001" customHeight="1" x14ac:dyDescent="0.25">
      <c r="A14" s="351">
        <v>2</v>
      </c>
      <c r="B14" s="352">
        <v>46098</v>
      </c>
      <c r="C14" s="356" t="s">
        <v>98</v>
      </c>
      <c r="D14" s="354" t="s">
        <v>64</v>
      </c>
      <c r="E14" s="357" t="s">
        <v>198</v>
      </c>
      <c r="F14" s="357" t="s">
        <v>196</v>
      </c>
      <c r="G14" s="371"/>
      <c r="H14" s="371">
        <v>9.27</v>
      </c>
      <c r="I14" s="372">
        <f t="shared" ref="I14:I41" si="1">I13+G14-H14</f>
        <v>3582.7</v>
      </c>
      <c r="J14" s="378">
        <v>0</v>
      </c>
      <c r="K14" s="379">
        <f t="shared" si="0"/>
        <v>9.27</v>
      </c>
      <c r="L14" s="355"/>
    </row>
    <row r="15" spans="1:12" ht="17.100000000000001" customHeight="1" x14ac:dyDescent="0.25">
      <c r="A15" s="351">
        <v>3</v>
      </c>
      <c r="B15" s="352">
        <v>46098</v>
      </c>
      <c r="C15" s="356" t="s">
        <v>98</v>
      </c>
      <c r="D15" s="354" t="s">
        <v>199</v>
      </c>
      <c r="E15" s="357" t="s">
        <v>200</v>
      </c>
      <c r="F15" s="357" t="s">
        <v>201</v>
      </c>
      <c r="G15" s="371">
        <v>21000</v>
      </c>
      <c r="H15" s="371"/>
      <c r="I15" s="372">
        <f t="shared" si="1"/>
        <v>24582.7</v>
      </c>
      <c r="J15" s="378">
        <v>0</v>
      </c>
      <c r="K15" s="379">
        <f t="shared" si="0"/>
        <v>0</v>
      </c>
      <c r="L15" s="355"/>
    </row>
    <row r="16" spans="1:12" ht="17.100000000000001" customHeight="1" x14ac:dyDescent="0.25">
      <c r="A16" s="351">
        <v>4</v>
      </c>
      <c r="B16" s="358">
        <v>46105</v>
      </c>
      <c r="C16" s="356" t="s">
        <v>98</v>
      </c>
      <c r="D16" s="354" t="s">
        <v>64</v>
      </c>
      <c r="E16" s="357" t="s">
        <v>202</v>
      </c>
      <c r="F16" s="357" t="s">
        <v>96</v>
      </c>
      <c r="G16" s="371"/>
      <c r="H16" s="371">
        <v>5000</v>
      </c>
      <c r="I16" s="372">
        <f t="shared" si="1"/>
        <v>19582.7</v>
      </c>
      <c r="J16" s="378">
        <v>0</v>
      </c>
      <c r="K16" s="379">
        <f t="shared" si="0"/>
        <v>5000</v>
      </c>
      <c r="L16" s="355"/>
    </row>
    <row r="17" spans="1:12" ht="17.100000000000001" customHeight="1" x14ac:dyDescent="0.25">
      <c r="A17" s="351">
        <v>6</v>
      </c>
      <c r="B17" s="358">
        <v>46108</v>
      </c>
      <c r="C17" s="356" t="s">
        <v>98</v>
      </c>
      <c r="D17" s="354" t="s">
        <v>64</v>
      </c>
      <c r="E17" s="357" t="s">
        <v>202</v>
      </c>
      <c r="F17" s="357" t="s">
        <v>96</v>
      </c>
      <c r="G17" s="371"/>
      <c r="H17" s="371">
        <v>5000</v>
      </c>
      <c r="I17" s="372">
        <f t="shared" si="1"/>
        <v>14582.7</v>
      </c>
      <c r="J17" s="378">
        <v>0</v>
      </c>
      <c r="K17" s="379">
        <f t="shared" si="0"/>
        <v>5000</v>
      </c>
      <c r="L17" s="355"/>
    </row>
    <row r="18" spans="1:12" ht="17.100000000000001" customHeight="1" x14ac:dyDescent="0.25">
      <c r="A18" s="351">
        <v>5</v>
      </c>
      <c r="B18" s="358">
        <v>46111</v>
      </c>
      <c r="C18" s="356" t="s">
        <v>98</v>
      </c>
      <c r="D18" s="354" t="s">
        <v>64</v>
      </c>
      <c r="E18" s="357" t="s">
        <v>202</v>
      </c>
      <c r="F18" s="357" t="s">
        <v>96</v>
      </c>
      <c r="G18" s="371"/>
      <c r="H18" s="371">
        <v>5000</v>
      </c>
      <c r="I18" s="372">
        <f t="shared" si="1"/>
        <v>9582.7000000000007</v>
      </c>
      <c r="J18" s="378">
        <v>0</v>
      </c>
      <c r="K18" s="379">
        <f t="shared" si="0"/>
        <v>5000</v>
      </c>
      <c r="L18" s="355"/>
    </row>
    <row r="19" spans="1:12" ht="17.100000000000001" customHeight="1" x14ac:dyDescent="0.25">
      <c r="A19" s="351">
        <v>7</v>
      </c>
      <c r="B19" s="358"/>
      <c r="C19" s="356"/>
      <c r="D19" s="357"/>
      <c r="E19" s="357"/>
      <c r="F19" s="357"/>
      <c r="G19" s="371"/>
      <c r="H19" s="371"/>
      <c r="I19" s="372">
        <f t="shared" si="1"/>
        <v>9582.7000000000007</v>
      </c>
      <c r="J19" s="378">
        <v>0</v>
      </c>
      <c r="K19" s="379">
        <f t="shared" si="0"/>
        <v>0</v>
      </c>
      <c r="L19" s="355"/>
    </row>
    <row r="20" spans="1:12" ht="17.100000000000001" customHeight="1" x14ac:dyDescent="0.25">
      <c r="A20" s="351">
        <v>8</v>
      </c>
      <c r="B20" s="358"/>
      <c r="C20" s="356"/>
      <c r="D20" s="357"/>
      <c r="E20" s="357"/>
      <c r="F20" s="357"/>
      <c r="G20" s="371"/>
      <c r="H20" s="371"/>
      <c r="I20" s="372">
        <f t="shared" si="1"/>
        <v>9582.7000000000007</v>
      </c>
      <c r="J20" s="378">
        <f>H20/1.17*0.17</f>
        <v>0</v>
      </c>
      <c r="K20" s="379">
        <f t="shared" si="0"/>
        <v>0</v>
      </c>
      <c r="L20" s="355"/>
    </row>
    <row r="21" spans="1:12" ht="17.100000000000001" customHeight="1" x14ac:dyDescent="0.25">
      <c r="A21" s="351">
        <v>9</v>
      </c>
      <c r="B21" s="358"/>
      <c r="C21" s="356"/>
      <c r="D21" s="357"/>
      <c r="E21" s="357"/>
      <c r="F21" s="357"/>
      <c r="G21" s="371"/>
      <c r="H21" s="371"/>
      <c r="I21" s="372">
        <f t="shared" si="1"/>
        <v>9582.7000000000007</v>
      </c>
      <c r="J21" s="378">
        <v>0</v>
      </c>
      <c r="K21" s="379">
        <f t="shared" si="0"/>
        <v>0</v>
      </c>
      <c r="L21" s="355"/>
    </row>
    <row r="22" spans="1:12" ht="17.100000000000001" customHeight="1" x14ac:dyDescent="0.25">
      <c r="A22" s="351">
        <v>10</v>
      </c>
      <c r="B22" s="358"/>
      <c r="C22" s="356"/>
      <c r="D22" s="357"/>
      <c r="E22" s="357"/>
      <c r="F22" s="357"/>
      <c r="G22" s="371"/>
      <c r="H22" s="371"/>
      <c r="I22" s="372">
        <f t="shared" si="1"/>
        <v>9582.7000000000007</v>
      </c>
      <c r="J22" s="378">
        <f t="shared" ref="J22:J40" si="2">H22/1.17*0.17</f>
        <v>0</v>
      </c>
      <c r="K22" s="379">
        <f t="shared" si="0"/>
        <v>0</v>
      </c>
      <c r="L22" s="355"/>
    </row>
    <row r="23" spans="1:12" ht="17.100000000000001" customHeight="1" x14ac:dyDescent="0.25">
      <c r="A23" s="351">
        <v>11</v>
      </c>
      <c r="B23" s="358"/>
      <c r="C23" s="356"/>
      <c r="D23" s="357"/>
      <c r="E23" s="357"/>
      <c r="F23" s="357"/>
      <c r="G23" s="371"/>
      <c r="H23" s="371"/>
      <c r="I23" s="372">
        <f t="shared" si="1"/>
        <v>9582.7000000000007</v>
      </c>
      <c r="J23" s="378">
        <f t="shared" si="2"/>
        <v>0</v>
      </c>
      <c r="K23" s="379">
        <f t="shared" si="0"/>
        <v>0</v>
      </c>
      <c r="L23" s="355"/>
    </row>
    <row r="24" spans="1:12" ht="17.100000000000001" customHeight="1" x14ac:dyDescent="0.25">
      <c r="A24" s="351">
        <v>12</v>
      </c>
      <c r="B24" s="358"/>
      <c r="C24" s="356"/>
      <c r="D24" s="357"/>
      <c r="E24" s="357"/>
      <c r="F24" s="357"/>
      <c r="G24" s="371"/>
      <c r="H24" s="371"/>
      <c r="I24" s="372">
        <f t="shared" si="1"/>
        <v>9582.7000000000007</v>
      </c>
      <c r="J24" s="378">
        <f t="shared" si="2"/>
        <v>0</v>
      </c>
      <c r="K24" s="379">
        <f t="shared" si="0"/>
        <v>0</v>
      </c>
      <c r="L24" s="355"/>
    </row>
    <row r="25" spans="1:12" ht="17.100000000000001" customHeight="1" x14ac:dyDescent="0.25">
      <c r="A25" s="351">
        <v>13</v>
      </c>
      <c r="B25" s="358"/>
      <c r="C25" s="356"/>
      <c r="D25" s="357"/>
      <c r="E25" s="357"/>
      <c r="F25" s="357"/>
      <c r="G25" s="371"/>
      <c r="H25" s="371"/>
      <c r="I25" s="372">
        <f t="shared" si="1"/>
        <v>9582.7000000000007</v>
      </c>
      <c r="J25" s="378">
        <f t="shared" si="2"/>
        <v>0</v>
      </c>
      <c r="K25" s="379">
        <f t="shared" si="0"/>
        <v>0</v>
      </c>
      <c r="L25" s="355"/>
    </row>
    <row r="26" spans="1:12" ht="17.100000000000001" customHeight="1" x14ac:dyDescent="0.25">
      <c r="A26" s="351">
        <v>14</v>
      </c>
      <c r="B26" s="358"/>
      <c r="C26" s="356"/>
      <c r="D26" s="357"/>
      <c r="E26" s="357"/>
      <c r="F26" s="357"/>
      <c r="G26" s="371"/>
      <c r="H26" s="371"/>
      <c r="I26" s="372">
        <f t="shared" si="1"/>
        <v>9582.7000000000007</v>
      </c>
      <c r="J26" s="378">
        <f t="shared" si="2"/>
        <v>0</v>
      </c>
      <c r="K26" s="379">
        <f t="shared" si="0"/>
        <v>0</v>
      </c>
      <c r="L26" s="355"/>
    </row>
    <row r="27" spans="1:12" ht="17.100000000000001" customHeight="1" x14ac:dyDescent="0.25">
      <c r="A27" s="351">
        <v>15</v>
      </c>
      <c r="B27" s="358"/>
      <c r="C27" s="356"/>
      <c r="D27" s="357"/>
      <c r="E27" s="357"/>
      <c r="F27" s="357"/>
      <c r="G27" s="371"/>
      <c r="H27" s="371"/>
      <c r="I27" s="372">
        <f t="shared" si="1"/>
        <v>9582.7000000000007</v>
      </c>
      <c r="J27" s="378">
        <f t="shared" si="2"/>
        <v>0</v>
      </c>
      <c r="K27" s="379">
        <f t="shared" si="0"/>
        <v>0</v>
      </c>
      <c r="L27" s="355"/>
    </row>
    <row r="28" spans="1:12" ht="17.100000000000001" customHeight="1" x14ac:dyDescent="0.25">
      <c r="A28" s="351">
        <v>16</v>
      </c>
      <c r="B28" s="358"/>
      <c r="C28" s="356"/>
      <c r="D28" s="357"/>
      <c r="E28" s="357"/>
      <c r="F28" s="357"/>
      <c r="G28" s="371"/>
      <c r="H28" s="371"/>
      <c r="I28" s="372">
        <f t="shared" si="1"/>
        <v>9582.7000000000007</v>
      </c>
      <c r="J28" s="378">
        <f t="shared" si="2"/>
        <v>0</v>
      </c>
      <c r="K28" s="379">
        <f t="shared" si="0"/>
        <v>0</v>
      </c>
      <c r="L28" s="355"/>
    </row>
    <row r="29" spans="1:12" ht="17.100000000000001" customHeight="1" x14ac:dyDescent="0.25">
      <c r="A29" s="351">
        <v>17</v>
      </c>
      <c r="B29" s="358"/>
      <c r="C29" s="356"/>
      <c r="D29" s="357"/>
      <c r="E29" s="357"/>
      <c r="F29" s="357"/>
      <c r="G29" s="371"/>
      <c r="H29" s="371"/>
      <c r="I29" s="372">
        <f t="shared" si="1"/>
        <v>9582.7000000000007</v>
      </c>
      <c r="J29" s="378">
        <f t="shared" si="2"/>
        <v>0</v>
      </c>
      <c r="K29" s="379">
        <f t="shared" si="0"/>
        <v>0</v>
      </c>
      <c r="L29" s="355"/>
    </row>
    <row r="30" spans="1:12" ht="17.100000000000001" customHeight="1" x14ac:dyDescent="0.25">
      <c r="A30" s="351">
        <v>18</v>
      </c>
      <c r="B30" s="358"/>
      <c r="C30" s="356"/>
      <c r="D30" s="357"/>
      <c r="E30" s="357"/>
      <c r="F30" s="357"/>
      <c r="G30" s="371"/>
      <c r="H30" s="371"/>
      <c r="I30" s="372">
        <f t="shared" si="1"/>
        <v>9582.7000000000007</v>
      </c>
      <c r="J30" s="378">
        <f t="shared" si="2"/>
        <v>0</v>
      </c>
      <c r="K30" s="379">
        <f t="shared" si="0"/>
        <v>0</v>
      </c>
      <c r="L30" s="355"/>
    </row>
    <row r="31" spans="1:12" ht="17.100000000000001" customHeight="1" x14ac:dyDescent="0.25">
      <c r="A31" s="351">
        <v>19</v>
      </c>
      <c r="B31" s="358"/>
      <c r="C31" s="356"/>
      <c r="D31" s="357"/>
      <c r="E31" s="357"/>
      <c r="F31" s="357"/>
      <c r="G31" s="371"/>
      <c r="H31" s="371"/>
      <c r="I31" s="372">
        <f t="shared" si="1"/>
        <v>9582.7000000000007</v>
      </c>
      <c r="J31" s="378">
        <f t="shared" si="2"/>
        <v>0</v>
      </c>
      <c r="K31" s="379">
        <f t="shared" si="0"/>
        <v>0</v>
      </c>
      <c r="L31" s="355"/>
    </row>
    <row r="32" spans="1:12" ht="17.100000000000001" customHeight="1" x14ac:dyDescent="0.25">
      <c r="A32" s="351">
        <v>20</v>
      </c>
      <c r="B32" s="358"/>
      <c r="C32" s="356"/>
      <c r="D32" s="357"/>
      <c r="E32" s="357"/>
      <c r="F32" s="357"/>
      <c r="G32" s="371"/>
      <c r="H32" s="371"/>
      <c r="I32" s="372">
        <f t="shared" si="1"/>
        <v>9582.7000000000007</v>
      </c>
      <c r="J32" s="378">
        <f t="shared" si="2"/>
        <v>0</v>
      </c>
      <c r="K32" s="379">
        <f t="shared" si="0"/>
        <v>0</v>
      </c>
      <c r="L32" s="355"/>
    </row>
    <row r="33" spans="1:12" ht="17.100000000000001" customHeight="1" x14ac:dyDescent="0.25">
      <c r="A33" s="351">
        <v>21</v>
      </c>
      <c r="B33" s="358"/>
      <c r="C33" s="356"/>
      <c r="D33" s="357"/>
      <c r="E33" s="357"/>
      <c r="F33" s="357"/>
      <c r="G33" s="371"/>
      <c r="H33" s="371"/>
      <c r="I33" s="372">
        <f t="shared" si="1"/>
        <v>9582.7000000000007</v>
      </c>
      <c r="J33" s="378">
        <f t="shared" si="2"/>
        <v>0</v>
      </c>
      <c r="K33" s="379">
        <f t="shared" si="0"/>
        <v>0</v>
      </c>
      <c r="L33" s="355"/>
    </row>
    <row r="34" spans="1:12" ht="17.100000000000001" customHeight="1" x14ac:dyDescent="0.25">
      <c r="A34" s="351">
        <v>22</v>
      </c>
      <c r="B34" s="358"/>
      <c r="C34" s="356"/>
      <c r="D34" s="357"/>
      <c r="E34" s="357"/>
      <c r="F34" s="357"/>
      <c r="G34" s="371"/>
      <c r="H34" s="371"/>
      <c r="I34" s="372">
        <f t="shared" si="1"/>
        <v>9582.7000000000007</v>
      </c>
      <c r="J34" s="378">
        <f t="shared" si="2"/>
        <v>0</v>
      </c>
      <c r="K34" s="379">
        <f t="shared" si="0"/>
        <v>0</v>
      </c>
      <c r="L34" s="355"/>
    </row>
    <row r="35" spans="1:12" ht="17.100000000000001" customHeight="1" x14ac:dyDescent="0.25">
      <c r="A35" s="351">
        <v>23</v>
      </c>
      <c r="B35" s="358"/>
      <c r="C35" s="356"/>
      <c r="D35" s="357"/>
      <c r="E35" s="357"/>
      <c r="F35" s="357"/>
      <c r="G35" s="371"/>
      <c r="H35" s="371"/>
      <c r="I35" s="372">
        <f t="shared" si="1"/>
        <v>9582.7000000000007</v>
      </c>
      <c r="J35" s="378">
        <f t="shared" si="2"/>
        <v>0</v>
      </c>
      <c r="K35" s="379">
        <f t="shared" si="0"/>
        <v>0</v>
      </c>
      <c r="L35" s="355"/>
    </row>
    <row r="36" spans="1:12" ht="17.100000000000001" customHeight="1" x14ac:dyDescent="0.25">
      <c r="A36" s="351">
        <v>24</v>
      </c>
      <c r="B36" s="358"/>
      <c r="C36" s="356"/>
      <c r="D36" s="357"/>
      <c r="E36" s="357"/>
      <c r="F36" s="357"/>
      <c r="G36" s="371"/>
      <c r="H36" s="371"/>
      <c r="I36" s="372">
        <f t="shared" si="1"/>
        <v>9582.7000000000007</v>
      </c>
      <c r="J36" s="378">
        <f t="shared" si="2"/>
        <v>0</v>
      </c>
      <c r="K36" s="379">
        <f t="shared" si="0"/>
        <v>0</v>
      </c>
      <c r="L36" s="355"/>
    </row>
    <row r="37" spans="1:12" ht="17.100000000000001" customHeight="1" x14ac:dyDescent="0.25">
      <c r="A37" s="351">
        <v>25</v>
      </c>
      <c r="B37" s="358"/>
      <c r="C37" s="356"/>
      <c r="D37" s="357"/>
      <c r="E37" s="357"/>
      <c r="F37" s="357"/>
      <c r="G37" s="371"/>
      <c r="H37" s="371"/>
      <c r="I37" s="372">
        <f t="shared" si="1"/>
        <v>9582.7000000000007</v>
      </c>
      <c r="J37" s="378">
        <f t="shared" si="2"/>
        <v>0</v>
      </c>
      <c r="K37" s="379">
        <f t="shared" si="0"/>
        <v>0</v>
      </c>
      <c r="L37" s="355"/>
    </row>
    <row r="38" spans="1:12" ht="17.100000000000001" customHeight="1" x14ac:dyDescent="0.25">
      <c r="A38" s="351">
        <v>26</v>
      </c>
      <c r="B38" s="358"/>
      <c r="C38" s="356"/>
      <c r="D38" s="357"/>
      <c r="E38" s="357"/>
      <c r="F38" s="357"/>
      <c r="G38" s="371"/>
      <c r="H38" s="371"/>
      <c r="I38" s="372">
        <f t="shared" si="1"/>
        <v>9582.7000000000007</v>
      </c>
      <c r="J38" s="378">
        <f t="shared" si="2"/>
        <v>0</v>
      </c>
      <c r="K38" s="379">
        <f t="shared" si="0"/>
        <v>0</v>
      </c>
      <c r="L38" s="355"/>
    </row>
    <row r="39" spans="1:12" ht="17.100000000000001" customHeight="1" x14ac:dyDescent="0.25">
      <c r="A39" s="351">
        <v>27</v>
      </c>
      <c r="B39" s="358"/>
      <c r="C39" s="356"/>
      <c r="D39" s="357"/>
      <c r="E39" s="357"/>
      <c r="F39" s="357"/>
      <c r="G39" s="371"/>
      <c r="H39" s="371"/>
      <c r="I39" s="372">
        <f t="shared" si="1"/>
        <v>9582.7000000000007</v>
      </c>
      <c r="J39" s="378">
        <f t="shared" si="2"/>
        <v>0</v>
      </c>
      <c r="K39" s="379">
        <f t="shared" si="0"/>
        <v>0</v>
      </c>
      <c r="L39" s="355"/>
    </row>
    <row r="40" spans="1:12" ht="17.100000000000001" customHeight="1" x14ac:dyDescent="0.25">
      <c r="A40" s="351">
        <v>28</v>
      </c>
      <c r="B40" s="358"/>
      <c r="C40" s="356"/>
      <c r="D40" s="357"/>
      <c r="E40" s="357"/>
      <c r="F40" s="357"/>
      <c r="G40" s="371"/>
      <c r="H40" s="371"/>
      <c r="I40" s="372">
        <f t="shared" si="1"/>
        <v>9582.7000000000007</v>
      </c>
      <c r="J40" s="378">
        <f t="shared" si="2"/>
        <v>0</v>
      </c>
      <c r="K40" s="379">
        <f t="shared" si="0"/>
        <v>0</v>
      </c>
      <c r="L40" s="355"/>
    </row>
    <row r="41" spans="1:12" ht="17.100000000000001" customHeight="1" x14ac:dyDescent="0.25">
      <c r="A41" s="351">
        <v>29</v>
      </c>
      <c r="B41" s="352"/>
      <c r="C41" s="353"/>
      <c r="D41" s="354"/>
      <c r="E41" s="354"/>
      <c r="F41" s="354"/>
      <c r="G41" s="370"/>
      <c r="H41" s="370"/>
      <c r="I41" s="372">
        <f t="shared" si="1"/>
        <v>9582.7000000000007</v>
      </c>
      <c r="J41" s="378">
        <f t="shared" ref="J41" si="3">H41/1.17*0.17</f>
        <v>0</v>
      </c>
      <c r="K41" s="379">
        <f t="shared" ref="K41" si="4">H41-J41</f>
        <v>0</v>
      </c>
      <c r="L41" s="355"/>
    </row>
    <row r="42" spans="1:12" ht="17.100000000000001" customHeight="1" x14ac:dyDescent="0.25">
      <c r="A42" s="351"/>
      <c r="B42" s="358"/>
      <c r="C42" s="356"/>
      <c r="D42" s="357"/>
      <c r="E42" s="357"/>
      <c r="F42" s="357"/>
      <c r="G42" s="372">
        <f>SUM(G13:G41)</f>
        <v>24591.97</v>
      </c>
      <c r="H42" s="372">
        <f>SUM(H13:H41)</f>
        <v>15009.27</v>
      </c>
      <c r="I42" s="372">
        <f>+G42-H42</f>
        <v>9582.7000000000007</v>
      </c>
      <c r="J42" s="380">
        <f>SUM(J13:J41)</f>
        <v>0</v>
      </c>
      <c r="K42" s="380">
        <f>SUM(K13:K41)</f>
        <v>15009.27</v>
      </c>
      <c r="L42" s="355"/>
    </row>
    <row r="43" spans="1:12" ht="17.100000000000001" customHeight="1" x14ac:dyDescent="0.25">
      <c r="A43" s="359"/>
      <c r="B43" s="360"/>
      <c r="C43" s="361"/>
      <c r="D43" s="361"/>
      <c r="E43" s="361"/>
      <c r="F43" s="361"/>
      <c r="G43" s="372"/>
      <c r="H43" s="372"/>
      <c r="I43" s="372"/>
      <c r="J43" s="380"/>
      <c r="K43" s="380"/>
      <c r="L43" s="355"/>
    </row>
    <row r="44" spans="1:12" ht="27.75" customHeight="1" x14ac:dyDescent="0.25">
      <c r="A44" s="362"/>
      <c r="B44" s="360"/>
      <c r="C44" s="362"/>
      <c r="D44" s="362"/>
      <c r="E44" s="362"/>
      <c r="F44" s="362"/>
      <c r="G44" s="373"/>
      <c r="H44" s="373"/>
      <c r="I44" s="373"/>
      <c r="J44" s="373"/>
      <c r="K44" s="381"/>
      <c r="L44" s="355"/>
    </row>
    <row r="45" spans="1:12" ht="30" customHeight="1" x14ac:dyDescent="0.25">
      <c r="A45" s="362"/>
      <c r="B45" s="360"/>
      <c r="C45" s="362"/>
      <c r="D45" s="362"/>
      <c r="E45" s="362"/>
      <c r="F45" s="362"/>
      <c r="G45" s="373"/>
      <c r="H45" s="373"/>
      <c r="I45" s="373"/>
      <c r="J45" s="373"/>
      <c r="K45" s="381"/>
      <c r="L45" s="355"/>
    </row>
    <row r="46" spans="1:12" ht="15" customHeight="1" x14ac:dyDescent="0.25">
      <c r="A46" s="57"/>
    </row>
    <row r="47" spans="1:12" ht="15" customHeight="1" x14ac:dyDescent="0.25">
      <c r="A47" s="57"/>
    </row>
    <row r="48" spans="1:12" ht="15" customHeight="1" x14ac:dyDescent="0.25">
      <c r="A48" s="57"/>
    </row>
    <row r="49" spans="1:1" ht="15" customHeight="1" x14ac:dyDescent="0.25">
      <c r="A49" s="57"/>
    </row>
    <row r="50" spans="1:1" ht="15" customHeight="1" x14ac:dyDescent="0.25">
      <c r="A50" s="57"/>
    </row>
    <row r="51" spans="1:1" ht="15" customHeight="1" x14ac:dyDescent="0.25">
      <c r="A51" s="57"/>
    </row>
    <row r="52" spans="1:1" ht="15" customHeight="1" x14ac:dyDescent="0.25">
      <c r="A52" s="57"/>
    </row>
    <row r="53" spans="1:1" ht="15" customHeight="1" x14ac:dyDescent="0.25">
      <c r="A53" s="57"/>
    </row>
    <row r="54" spans="1:1" ht="15" customHeight="1" x14ac:dyDescent="0.25">
      <c r="A54" s="57"/>
    </row>
    <row r="55" spans="1:1" ht="15" customHeight="1" x14ac:dyDescent="0.25">
      <c r="A55" s="57"/>
    </row>
    <row r="56" spans="1:1" ht="15" customHeight="1" x14ac:dyDescent="0.25">
      <c r="A56" s="57"/>
    </row>
    <row r="57" spans="1:1" ht="15" customHeight="1" x14ac:dyDescent="0.25">
      <c r="A57" s="57"/>
    </row>
    <row r="58" spans="1:1" ht="15" customHeight="1" x14ac:dyDescent="0.25">
      <c r="A58" s="57"/>
    </row>
    <row r="59" spans="1:1" ht="15" customHeight="1" x14ac:dyDescent="0.25">
      <c r="A59" s="57"/>
    </row>
    <row r="60" spans="1:1" ht="15" customHeight="1" x14ac:dyDescent="0.25">
      <c r="A60" s="57"/>
    </row>
    <row r="61" spans="1:1" ht="15" customHeight="1" x14ac:dyDescent="0.25">
      <c r="A61" s="57"/>
    </row>
    <row r="62" spans="1:1" ht="15" customHeight="1" x14ac:dyDescent="0.25">
      <c r="A62" s="57"/>
    </row>
    <row r="63" spans="1:1" ht="15" customHeight="1" x14ac:dyDescent="0.25">
      <c r="A63" s="57"/>
    </row>
    <row r="64" spans="1:1" ht="15" customHeight="1" x14ac:dyDescent="0.25">
      <c r="A64" s="57"/>
    </row>
    <row r="65" spans="1:1" ht="15" customHeight="1" x14ac:dyDescent="0.25">
      <c r="A65" s="57"/>
    </row>
    <row r="66" spans="1:1" ht="15" customHeight="1" x14ac:dyDescent="0.25">
      <c r="A66" s="57"/>
    </row>
    <row r="67" spans="1:1" ht="15" customHeight="1" x14ac:dyDescent="0.25">
      <c r="A67" s="57"/>
    </row>
    <row r="68" spans="1:1" ht="15" customHeight="1" x14ac:dyDescent="0.25">
      <c r="A68" s="57"/>
    </row>
    <row r="69" spans="1:1" ht="15" customHeight="1" x14ac:dyDescent="0.25">
      <c r="A69" s="57"/>
    </row>
    <row r="70" spans="1:1" ht="15" customHeight="1" x14ac:dyDescent="0.25">
      <c r="A70" s="57"/>
    </row>
    <row r="71" spans="1:1" ht="15" customHeight="1" x14ac:dyDescent="0.25">
      <c r="A71" s="57"/>
    </row>
    <row r="72" spans="1:1" ht="15" customHeight="1" x14ac:dyDescent="0.25">
      <c r="A72" s="57"/>
    </row>
    <row r="73" spans="1:1" ht="15" customHeight="1" x14ac:dyDescent="0.25">
      <c r="A73" s="57"/>
    </row>
    <row r="74" spans="1:1" ht="15" customHeight="1" x14ac:dyDescent="0.25">
      <c r="A74" s="57"/>
    </row>
    <row r="75" spans="1:1" ht="15" customHeight="1" x14ac:dyDescent="0.25">
      <c r="A75" s="57"/>
    </row>
    <row r="76" spans="1:1" ht="15" customHeight="1" x14ac:dyDescent="0.25">
      <c r="A76" s="57"/>
    </row>
    <row r="77" spans="1:1" ht="15" customHeight="1" x14ac:dyDescent="0.25">
      <c r="A77" s="57"/>
    </row>
    <row r="78" spans="1:1" ht="15" customHeight="1" x14ac:dyDescent="0.25">
      <c r="A78" s="57"/>
    </row>
    <row r="79" spans="1:1" ht="15" hidden="1" customHeight="1" x14ac:dyDescent="0.25">
      <c r="A79" s="57"/>
    </row>
    <row r="80" spans="1:1" ht="15" customHeight="1" x14ac:dyDescent="0.25">
      <c r="A80" s="57"/>
    </row>
    <row r="81" spans="1:1" ht="18.75" customHeight="1" x14ac:dyDescent="0.25">
      <c r="A81" s="57"/>
    </row>
    <row r="82" spans="1:1" ht="27.75" customHeight="1" x14ac:dyDescent="0.25">
      <c r="A82" s="57"/>
    </row>
    <row r="83" spans="1:1" ht="33.75" customHeight="1" x14ac:dyDescent="0.25">
      <c r="A83" s="57"/>
    </row>
    <row r="84" spans="1:1" ht="15" customHeight="1" x14ac:dyDescent="0.25">
      <c r="A84" s="57"/>
    </row>
    <row r="85" spans="1:1" ht="15" customHeight="1" x14ac:dyDescent="0.25">
      <c r="A85" s="57"/>
    </row>
    <row r="86" spans="1:1" ht="15" customHeight="1" x14ac:dyDescent="0.25">
      <c r="A86" s="57"/>
    </row>
    <row r="87" spans="1:1" ht="15" customHeight="1" x14ac:dyDescent="0.25">
      <c r="A87" s="57"/>
    </row>
    <row r="88" spans="1:1" ht="15" customHeight="1" x14ac:dyDescent="0.25">
      <c r="A88" s="57"/>
    </row>
    <row r="89" spans="1:1" ht="15" customHeight="1" x14ac:dyDescent="0.25">
      <c r="A89" s="57"/>
    </row>
    <row r="90" spans="1:1" ht="15" customHeight="1" x14ac:dyDescent="0.25">
      <c r="A90" s="57"/>
    </row>
    <row r="91" spans="1:1" ht="15" customHeight="1" x14ac:dyDescent="0.25">
      <c r="A91" s="57"/>
    </row>
    <row r="92" spans="1:1" ht="15" customHeight="1" x14ac:dyDescent="0.25">
      <c r="A92" s="57"/>
    </row>
    <row r="93" spans="1:1" ht="15" customHeight="1" x14ac:dyDescent="0.25">
      <c r="A93" s="57"/>
    </row>
    <row r="94" spans="1:1" ht="15" customHeight="1" x14ac:dyDescent="0.25">
      <c r="A94" s="57"/>
    </row>
    <row r="95" spans="1:1" ht="15" customHeight="1" x14ac:dyDescent="0.25">
      <c r="A95" s="57"/>
    </row>
    <row r="96" spans="1:1" ht="15" customHeight="1" x14ac:dyDescent="0.25">
      <c r="A96" s="57"/>
    </row>
    <row r="97" spans="1:1" ht="15" customHeight="1" x14ac:dyDescent="0.25">
      <c r="A97" s="57"/>
    </row>
    <row r="98" spans="1:1" ht="15" customHeight="1" x14ac:dyDescent="0.25">
      <c r="A98" s="57"/>
    </row>
    <row r="99" spans="1:1" ht="15" customHeight="1" x14ac:dyDescent="0.25">
      <c r="A99" s="57"/>
    </row>
    <row r="100" spans="1:1" ht="15" customHeight="1" x14ac:dyDescent="0.25">
      <c r="A100" s="57"/>
    </row>
    <row r="101" spans="1:1" ht="15" customHeight="1" x14ac:dyDescent="0.25">
      <c r="A101" s="57"/>
    </row>
    <row r="102" spans="1:1" ht="15" customHeight="1" x14ac:dyDescent="0.25">
      <c r="A102" s="57"/>
    </row>
    <row r="103" spans="1:1" ht="15" customHeight="1" x14ac:dyDescent="0.25">
      <c r="A103" s="57"/>
    </row>
    <row r="104" spans="1:1" ht="15" customHeight="1" x14ac:dyDescent="0.25">
      <c r="A104" s="57"/>
    </row>
    <row r="105" spans="1:1" ht="15" customHeight="1" x14ac:dyDescent="0.25">
      <c r="A105" s="57"/>
    </row>
    <row r="106" spans="1:1" ht="15" customHeight="1" x14ac:dyDescent="0.25">
      <c r="A106" s="57"/>
    </row>
    <row r="107" spans="1:1" ht="15" customHeight="1" x14ac:dyDescent="0.25">
      <c r="A107" s="57"/>
    </row>
    <row r="108" spans="1:1" ht="15" customHeight="1" x14ac:dyDescent="0.25">
      <c r="A108" s="57"/>
    </row>
    <row r="109" spans="1:1" ht="15" customHeight="1" x14ac:dyDescent="0.25">
      <c r="A109" s="57"/>
    </row>
    <row r="110" spans="1:1" ht="15" customHeight="1" x14ac:dyDescent="0.25">
      <c r="A110" s="57"/>
    </row>
    <row r="111" spans="1:1" ht="15" customHeight="1" x14ac:dyDescent="0.25">
      <c r="A111" s="57"/>
    </row>
    <row r="112" spans="1:1" ht="15" customHeight="1" x14ac:dyDescent="0.25">
      <c r="A112" s="57"/>
    </row>
    <row r="113" spans="1:1" ht="15" customHeight="1" x14ac:dyDescent="0.25">
      <c r="A113" s="57"/>
    </row>
    <row r="114" spans="1:1" ht="15" customHeight="1" x14ac:dyDescent="0.25">
      <c r="A114" s="57"/>
    </row>
    <row r="115" spans="1:1" ht="15" customHeight="1" x14ac:dyDescent="0.25">
      <c r="A115" s="57"/>
    </row>
    <row r="116" spans="1:1" ht="15" customHeight="1" x14ac:dyDescent="0.25">
      <c r="A116" s="57"/>
    </row>
    <row r="117" spans="1:1" ht="15" customHeight="1" x14ac:dyDescent="0.25">
      <c r="A117" s="57"/>
    </row>
    <row r="118" spans="1:1" ht="1.5" customHeight="1" x14ac:dyDescent="0.25">
      <c r="A118" s="57"/>
    </row>
    <row r="119" spans="1:1" ht="21.75" customHeight="1" x14ac:dyDescent="0.25">
      <c r="A119" s="57"/>
    </row>
    <row r="120" spans="1:1" ht="15" customHeight="1" x14ac:dyDescent="0.25">
      <c r="A120" s="57"/>
    </row>
    <row r="121" spans="1:1" ht="15" customHeight="1" x14ac:dyDescent="0.25">
      <c r="A121" s="57"/>
    </row>
    <row r="122" spans="1:1" ht="33.75" customHeight="1" x14ac:dyDescent="0.25">
      <c r="A122" s="57"/>
    </row>
    <row r="123" spans="1:1" ht="15" customHeight="1" x14ac:dyDescent="0.25">
      <c r="A123" s="57"/>
    </row>
    <row r="124" spans="1:1" ht="15" customHeight="1" x14ac:dyDescent="0.25">
      <c r="A124" s="57"/>
    </row>
    <row r="125" spans="1:1" ht="15" customHeight="1" x14ac:dyDescent="0.25">
      <c r="A125" s="57"/>
    </row>
    <row r="126" spans="1:1" ht="15" customHeight="1" x14ac:dyDescent="0.25">
      <c r="A126" s="57"/>
    </row>
    <row r="127" spans="1:1" ht="15" customHeight="1" x14ac:dyDescent="0.25">
      <c r="A127" s="57"/>
    </row>
    <row r="128" spans="1:1" ht="15" customHeight="1" x14ac:dyDescent="0.25">
      <c r="A128" s="57"/>
    </row>
    <row r="129" spans="1:1" ht="15" customHeight="1" x14ac:dyDescent="0.25">
      <c r="A129" s="57"/>
    </row>
    <row r="130" spans="1:1" ht="15" customHeight="1" x14ac:dyDescent="0.25">
      <c r="A130" s="57"/>
    </row>
    <row r="131" spans="1:1" ht="15" customHeight="1" x14ac:dyDescent="0.25">
      <c r="A131" s="57"/>
    </row>
    <row r="132" spans="1:1" ht="15" customHeight="1" x14ac:dyDescent="0.25">
      <c r="A132" s="57"/>
    </row>
    <row r="133" spans="1:1" ht="15" customHeight="1" x14ac:dyDescent="0.25">
      <c r="A133" s="57"/>
    </row>
    <row r="134" spans="1:1" ht="15" customHeight="1" x14ac:dyDescent="0.25">
      <c r="A134" s="57"/>
    </row>
    <row r="135" spans="1:1" ht="15" customHeight="1" x14ac:dyDescent="0.25">
      <c r="A135" s="57"/>
    </row>
    <row r="136" spans="1:1" ht="15" customHeight="1" x14ac:dyDescent="0.25">
      <c r="A136" s="57"/>
    </row>
    <row r="137" spans="1:1" ht="15" customHeight="1" x14ac:dyDescent="0.25">
      <c r="A137" s="57"/>
    </row>
    <row r="138" spans="1:1" ht="15" customHeight="1" x14ac:dyDescent="0.25">
      <c r="A138" s="57"/>
    </row>
    <row r="139" spans="1:1" ht="15" customHeight="1" x14ac:dyDescent="0.25">
      <c r="A139" s="57"/>
    </row>
    <row r="140" spans="1:1" ht="15" customHeight="1" x14ac:dyDescent="0.25">
      <c r="A140" s="57"/>
    </row>
    <row r="141" spans="1:1" ht="15" customHeight="1" x14ac:dyDescent="0.25">
      <c r="A141" s="57"/>
    </row>
    <row r="142" spans="1:1" ht="15" customHeight="1" x14ac:dyDescent="0.25">
      <c r="A142" s="57"/>
    </row>
    <row r="143" spans="1:1" ht="15" customHeight="1" x14ac:dyDescent="0.25">
      <c r="A143" s="57"/>
    </row>
    <row r="144" spans="1:1" ht="15" customHeight="1" x14ac:dyDescent="0.25">
      <c r="A144" s="57"/>
    </row>
    <row r="145" spans="1:1" ht="15" customHeight="1" x14ac:dyDescent="0.25">
      <c r="A145" s="57"/>
    </row>
    <row r="146" spans="1:1" ht="15" customHeight="1" x14ac:dyDescent="0.25">
      <c r="A146" s="57"/>
    </row>
    <row r="147" spans="1:1" ht="15" customHeight="1" x14ac:dyDescent="0.25">
      <c r="A147" s="57"/>
    </row>
    <row r="148" spans="1:1" ht="15" customHeight="1" x14ac:dyDescent="0.25">
      <c r="A148" s="57"/>
    </row>
    <row r="149" spans="1:1" ht="15" customHeight="1" x14ac:dyDescent="0.25">
      <c r="A149" s="57"/>
    </row>
    <row r="150" spans="1:1" ht="15" customHeight="1" x14ac:dyDescent="0.25">
      <c r="A150" s="57"/>
    </row>
    <row r="151" spans="1:1" ht="15" customHeight="1" x14ac:dyDescent="0.25">
      <c r="A151" s="57"/>
    </row>
    <row r="152" spans="1:1" ht="15" customHeight="1" x14ac:dyDescent="0.25">
      <c r="A152" s="57"/>
    </row>
    <row r="153" spans="1:1" x14ac:dyDescent="0.25">
      <c r="A153" s="57"/>
    </row>
    <row r="154" spans="1:1" ht="15" customHeight="1" x14ac:dyDescent="0.25">
      <c r="A154" s="57"/>
    </row>
    <row r="155" spans="1:1" ht="15" customHeight="1" x14ac:dyDescent="0.25">
      <c r="A155" s="57"/>
    </row>
    <row r="156" spans="1:1" ht="15" customHeight="1" x14ac:dyDescent="0.25">
      <c r="A156" s="57"/>
    </row>
    <row r="157" spans="1:1" ht="1.5" customHeight="1" x14ac:dyDescent="0.25">
      <c r="A157" s="57"/>
    </row>
    <row r="158" spans="1:1" ht="15" customHeight="1" x14ac:dyDescent="0.25">
      <c r="A158" s="57"/>
    </row>
    <row r="159" spans="1:1" ht="15" customHeight="1" x14ac:dyDescent="0.25">
      <c r="A159" s="57"/>
    </row>
    <row r="160" spans="1:1" ht="15" customHeight="1" x14ac:dyDescent="0.25">
      <c r="A160" s="57"/>
    </row>
    <row r="161" spans="1:1" ht="28.5" customHeight="1" x14ac:dyDescent="0.25">
      <c r="A161" s="57"/>
    </row>
    <row r="162" spans="1:1" ht="15" customHeight="1" x14ac:dyDescent="0.25">
      <c r="A162" s="57"/>
    </row>
    <row r="163" spans="1:1" ht="15" customHeight="1" x14ac:dyDescent="0.25">
      <c r="A163" s="57"/>
    </row>
    <row r="164" spans="1:1" ht="15" customHeight="1" x14ac:dyDescent="0.25">
      <c r="A164" s="57"/>
    </row>
    <row r="165" spans="1:1" ht="15" customHeight="1" x14ac:dyDescent="0.25">
      <c r="A165" s="57"/>
    </row>
    <row r="166" spans="1:1" ht="15" customHeight="1" x14ac:dyDescent="0.25">
      <c r="A166" s="57"/>
    </row>
    <row r="167" spans="1:1" ht="15" customHeight="1" x14ac:dyDescent="0.25">
      <c r="A167" s="57"/>
    </row>
    <row r="168" spans="1:1" ht="15" customHeight="1" x14ac:dyDescent="0.25">
      <c r="A168" s="57"/>
    </row>
    <row r="169" spans="1:1" ht="15" customHeight="1" x14ac:dyDescent="0.25">
      <c r="A169" s="57"/>
    </row>
    <row r="170" spans="1:1" ht="15" customHeight="1" x14ac:dyDescent="0.25">
      <c r="A170" s="57"/>
    </row>
    <row r="171" spans="1:1" ht="15" customHeight="1" x14ac:dyDescent="0.25">
      <c r="A171" s="57"/>
    </row>
    <row r="172" spans="1:1" ht="15" customHeight="1" x14ac:dyDescent="0.25">
      <c r="A172" s="57"/>
    </row>
    <row r="173" spans="1:1" ht="15" customHeight="1" x14ac:dyDescent="0.25">
      <c r="A173" s="57"/>
    </row>
    <row r="174" spans="1:1" ht="15" customHeight="1" x14ac:dyDescent="0.25">
      <c r="A174" s="57"/>
    </row>
    <row r="175" spans="1:1" ht="15" customHeight="1" x14ac:dyDescent="0.25">
      <c r="A175" s="57"/>
    </row>
    <row r="176" spans="1:1" ht="15" customHeight="1" x14ac:dyDescent="0.25">
      <c r="A176" s="57"/>
    </row>
    <row r="177" spans="1:1" ht="15" customHeight="1" x14ac:dyDescent="0.25">
      <c r="A177" s="57"/>
    </row>
    <row r="178" spans="1:1" ht="15" customHeight="1" x14ac:dyDescent="0.25">
      <c r="A178" s="57"/>
    </row>
    <row r="179" spans="1:1" ht="15" customHeight="1" x14ac:dyDescent="0.25">
      <c r="A179" s="57"/>
    </row>
    <row r="180" spans="1:1" ht="15" customHeight="1" x14ac:dyDescent="0.25">
      <c r="A180" s="57"/>
    </row>
    <row r="181" spans="1:1" ht="15" customHeight="1" x14ac:dyDescent="0.25">
      <c r="A181" s="57"/>
    </row>
    <row r="182" spans="1:1" ht="15" customHeight="1" x14ac:dyDescent="0.25">
      <c r="A182" s="57"/>
    </row>
    <row r="183" spans="1:1" ht="15" customHeight="1" x14ac:dyDescent="0.25">
      <c r="A183" s="57"/>
    </row>
    <row r="184" spans="1:1" ht="15" customHeight="1" x14ac:dyDescent="0.25">
      <c r="A184" s="57"/>
    </row>
    <row r="185" spans="1:1" ht="15" customHeight="1" x14ac:dyDescent="0.25">
      <c r="A185" s="57"/>
    </row>
    <row r="186" spans="1:1" ht="15" customHeight="1" x14ac:dyDescent="0.25">
      <c r="A186" s="57"/>
    </row>
    <row r="187" spans="1:1" ht="15" customHeight="1" x14ac:dyDescent="0.25">
      <c r="A187" s="57"/>
    </row>
    <row r="188" spans="1:1" ht="15" customHeight="1" x14ac:dyDescent="0.25">
      <c r="A188" s="57"/>
    </row>
    <row r="189" spans="1:1" ht="15" customHeight="1" x14ac:dyDescent="0.25">
      <c r="A189" s="57"/>
    </row>
    <row r="190" spans="1:1" ht="15" customHeight="1" x14ac:dyDescent="0.25">
      <c r="A190" s="57"/>
    </row>
    <row r="191" spans="1:1" ht="15" customHeight="1" x14ac:dyDescent="0.25">
      <c r="A191" s="57"/>
    </row>
    <row r="192" spans="1:1" ht="15" customHeight="1" x14ac:dyDescent="0.25">
      <c r="A192" s="57"/>
    </row>
    <row r="193" spans="1:1" ht="15" customHeight="1" x14ac:dyDescent="0.25">
      <c r="A193" s="57"/>
    </row>
    <row r="194" spans="1:1" ht="15" customHeight="1" x14ac:dyDescent="0.25">
      <c r="A194" s="57"/>
    </row>
    <row r="195" spans="1:1" ht="15" customHeight="1" x14ac:dyDescent="0.25">
      <c r="A195" s="57"/>
    </row>
    <row r="196" spans="1:1" ht="15" customHeight="1" x14ac:dyDescent="0.25">
      <c r="A196" s="57"/>
    </row>
    <row r="197" spans="1:1" ht="15" customHeight="1" x14ac:dyDescent="0.25">
      <c r="A197" s="57"/>
    </row>
    <row r="198" spans="1:1" ht="15" customHeight="1" x14ac:dyDescent="0.25">
      <c r="A198" s="57"/>
    </row>
    <row r="199" spans="1:1" ht="15" customHeight="1" x14ac:dyDescent="0.25">
      <c r="A199" s="57"/>
    </row>
    <row r="200" spans="1:1" ht="24" customHeight="1" x14ac:dyDescent="0.25">
      <c r="A200" s="57"/>
    </row>
    <row r="201" spans="1:1" ht="15" customHeight="1" x14ac:dyDescent="0.25">
      <c r="A201" s="57"/>
    </row>
    <row r="202" spans="1:1" ht="15" customHeight="1" x14ac:dyDescent="0.25">
      <c r="A202" s="57"/>
    </row>
    <row r="203" spans="1:1" ht="15" customHeight="1" x14ac:dyDescent="0.25">
      <c r="A203" s="57"/>
    </row>
    <row r="204" spans="1:1" ht="15" customHeight="1" x14ac:dyDescent="0.25">
      <c r="A204" s="57"/>
    </row>
    <row r="205" spans="1:1" ht="15" customHeight="1" x14ac:dyDescent="0.25">
      <c r="A205" s="57"/>
    </row>
    <row r="206" spans="1:1" ht="15" customHeight="1" x14ac:dyDescent="0.25">
      <c r="A206" s="57"/>
    </row>
    <row r="207" spans="1:1" ht="15" customHeight="1" x14ac:dyDescent="0.25">
      <c r="A207" s="57"/>
    </row>
    <row r="208" spans="1:1" ht="15" customHeight="1" x14ac:dyDescent="0.25">
      <c r="A208" s="57"/>
    </row>
    <row r="209" spans="1:1" ht="15" customHeight="1" x14ac:dyDescent="0.25">
      <c r="A209" s="57"/>
    </row>
    <row r="210" spans="1:1" ht="15" customHeight="1" x14ac:dyDescent="0.25">
      <c r="A210" s="57"/>
    </row>
    <row r="211" spans="1:1" ht="15" customHeight="1" x14ac:dyDescent="0.25">
      <c r="A211" s="57"/>
    </row>
    <row r="212" spans="1:1" ht="15" customHeight="1" x14ac:dyDescent="0.25">
      <c r="A212" s="57"/>
    </row>
    <row r="213" spans="1:1" ht="15" customHeight="1" x14ac:dyDescent="0.25">
      <c r="A213" s="57"/>
    </row>
    <row r="214" spans="1:1" ht="15" customHeight="1" x14ac:dyDescent="0.25">
      <c r="A214" s="57"/>
    </row>
    <row r="215" spans="1:1" ht="15" customHeight="1" x14ac:dyDescent="0.25">
      <c r="A215" s="57"/>
    </row>
    <row r="216" spans="1:1" ht="15" customHeight="1" x14ac:dyDescent="0.25">
      <c r="A216" s="57"/>
    </row>
    <row r="217" spans="1:1" ht="15" customHeight="1" x14ac:dyDescent="0.25">
      <c r="A217" s="57"/>
    </row>
    <row r="218" spans="1:1" ht="15" customHeight="1" x14ac:dyDescent="0.25">
      <c r="A218" s="57"/>
    </row>
    <row r="219" spans="1:1" ht="15" customHeight="1" x14ac:dyDescent="0.25">
      <c r="A219" s="57"/>
    </row>
    <row r="220" spans="1:1" ht="15" customHeight="1" x14ac:dyDescent="0.25">
      <c r="A220" s="57"/>
    </row>
    <row r="221" spans="1:1" ht="15" customHeight="1" x14ac:dyDescent="0.25">
      <c r="A221" s="57"/>
    </row>
    <row r="222" spans="1:1" ht="15" customHeight="1" x14ac:dyDescent="0.25">
      <c r="A222" s="57"/>
    </row>
    <row r="223" spans="1:1" ht="15" customHeight="1" x14ac:dyDescent="0.25">
      <c r="A223" s="57"/>
    </row>
    <row r="224" spans="1:1" ht="15" customHeight="1" x14ac:dyDescent="0.25">
      <c r="A224" s="57"/>
    </row>
    <row r="225" spans="1:1" ht="15" customHeight="1" x14ac:dyDescent="0.25">
      <c r="A225" s="57"/>
    </row>
    <row r="226" spans="1:1" ht="15" customHeight="1" x14ac:dyDescent="0.25">
      <c r="A226" s="57"/>
    </row>
    <row r="227" spans="1:1" ht="15" customHeight="1" x14ac:dyDescent="0.25">
      <c r="A227" s="57"/>
    </row>
    <row r="228" spans="1:1" ht="15" customHeight="1" x14ac:dyDescent="0.25">
      <c r="A228" s="57"/>
    </row>
    <row r="229" spans="1:1" ht="15" customHeight="1" x14ac:dyDescent="0.25">
      <c r="A229" s="57"/>
    </row>
    <row r="230" spans="1:1" ht="15" customHeight="1" x14ac:dyDescent="0.25">
      <c r="A230" s="57"/>
    </row>
    <row r="231" spans="1:1" ht="15" customHeight="1" x14ac:dyDescent="0.25">
      <c r="A231" s="57"/>
    </row>
    <row r="232" spans="1:1" ht="15" customHeight="1" x14ac:dyDescent="0.25">
      <c r="A232" s="57"/>
    </row>
    <row r="233" spans="1:1" ht="15" customHeight="1" x14ac:dyDescent="0.25">
      <c r="A233" s="57"/>
    </row>
    <row r="234" spans="1:1" ht="15" customHeight="1" x14ac:dyDescent="0.25">
      <c r="A234" s="57"/>
    </row>
    <row r="235" spans="1:1" ht="15" customHeight="1" x14ac:dyDescent="0.25">
      <c r="A235" s="57"/>
    </row>
    <row r="236" spans="1:1" ht="15" customHeight="1" x14ac:dyDescent="0.25">
      <c r="A236" s="57"/>
    </row>
    <row r="237" spans="1:1" ht="21" customHeight="1" x14ac:dyDescent="0.25">
      <c r="A237" s="57"/>
    </row>
    <row r="238" spans="1:1" ht="21" customHeight="1" x14ac:dyDescent="0.25">
      <c r="A238" s="57"/>
    </row>
    <row r="239" spans="1:1" ht="26.25" customHeight="1" x14ac:dyDescent="0.25">
      <c r="A239" s="57"/>
    </row>
    <row r="240" spans="1:1" ht="26.25" customHeight="1" x14ac:dyDescent="0.25">
      <c r="A240" s="57"/>
    </row>
    <row r="241" spans="1:1" ht="15" customHeight="1" x14ac:dyDescent="0.25">
      <c r="A241" s="57"/>
    </row>
    <row r="242" spans="1:1" ht="15" customHeight="1" x14ac:dyDescent="0.25">
      <c r="A242" s="57"/>
    </row>
    <row r="243" spans="1:1" ht="15" customHeight="1" x14ac:dyDescent="0.25">
      <c r="A243" s="57"/>
    </row>
    <row r="244" spans="1:1" ht="15" customHeight="1" x14ac:dyDescent="0.25">
      <c r="A244" s="57"/>
    </row>
    <row r="245" spans="1:1" ht="15" customHeight="1" x14ac:dyDescent="0.25">
      <c r="A245" s="57"/>
    </row>
    <row r="246" spans="1:1" ht="15" customHeight="1" x14ac:dyDescent="0.25">
      <c r="A246" s="57"/>
    </row>
    <row r="247" spans="1:1" ht="15" customHeight="1" x14ac:dyDescent="0.25">
      <c r="A247" s="57"/>
    </row>
    <row r="248" spans="1:1" ht="15" customHeight="1" x14ac:dyDescent="0.25">
      <c r="A248" s="57"/>
    </row>
    <row r="249" spans="1:1" ht="15" customHeight="1" x14ac:dyDescent="0.25">
      <c r="A249" s="57"/>
    </row>
    <row r="250" spans="1:1" ht="15" customHeight="1" x14ac:dyDescent="0.25">
      <c r="A250" s="57"/>
    </row>
    <row r="251" spans="1:1" ht="15" customHeight="1" x14ac:dyDescent="0.25">
      <c r="A251" s="57"/>
    </row>
    <row r="252" spans="1:1" ht="15" customHeight="1" x14ac:dyDescent="0.25">
      <c r="A252" s="57"/>
    </row>
    <row r="253" spans="1:1" ht="15" customHeight="1" x14ac:dyDescent="0.25">
      <c r="A253" s="57"/>
    </row>
    <row r="254" spans="1:1" ht="15" customHeight="1" x14ac:dyDescent="0.25">
      <c r="A254" s="57"/>
    </row>
    <row r="255" spans="1:1" ht="15" customHeight="1" x14ac:dyDescent="0.25">
      <c r="A255" s="57"/>
    </row>
    <row r="256" spans="1:1" ht="15" customHeight="1" x14ac:dyDescent="0.25">
      <c r="A256" s="57"/>
    </row>
    <row r="257" spans="1:1" ht="15" customHeight="1" x14ac:dyDescent="0.25">
      <c r="A257" s="57"/>
    </row>
    <row r="258" spans="1:1" ht="15" customHeight="1" x14ac:dyDescent="0.25">
      <c r="A258" s="57"/>
    </row>
    <row r="259" spans="1:1" ht="15" customHeight="1" x14ac:dyDescent="0.25">
      <c r="A259" s="57"/>
    </row>
    <row r="260" spans="1:1" ht="15" customHeight="1" x14ac:dyDescent="0.25">
      <c r="A260" s="57"/>
    </row>
    <row r="261" spans="1:1" ht="15" customHeight="1" x14ac:dyDescent="0.25">
      <c r="A261" s="57"/>
    </row>
    <row r="262" spans="1:1" ht="15" customHeight="1" x14ac:dyDescent="0.25">
      <c r="A262" s="57"/>
    </row>
    <row r="263" spans="1:1" ht="15" customHeight="1" x14ac:dyDescent="0.25">
      <c r="A263" s="57"/>
    </row>
    <row r="264" spans="1:1" ht="15" customHeight="1" x14ac:dyDescent="0.25">
      <c r="A264" s="57"/>
    </row>
    <row r="265" spans="1:1" ht="15" customHeight="1" x14ac:dyDescent="0.25">
      <c r="A265" s="57"/>
    </row>
    <row r="266" spans="1:1" ht="15" customHeight="1" x14ac:dyDescent="0.25">
      <c r="A266" s="57"/>
    </row>
    <row r="267" spans="1:1" ht="15" customHeight="1" x14ac:dyDescent="0.25">
      <c r="A267" s="57"/>
    </row>
    <row r="268" spans="1:1" ht="15" customHeight="1" x14ac:dyDescent="0.25">
      <c r="A268" s="57"/>
    </row>
    <row r="269" spans="1:1" ht="15" customHeight="1" x14ac:dyDescent="0.25">
      <c r="A269" s="57"/>
    </row>
    <row r="270" spans="1:1" ht="15" customHeight="1" x14ac:dyDescent="0.25">
      <c r="A270" s="57"/>
    </row>
    <row r="271" spans="1:1" ht="15" customHeight="1" x14ac:dyDescent="0.25">
      <c r="A271" s="57"/>
    </row>
    <row r="272" spans="1:1" ht="15" customHeight="1" x14ac:dyDescent="0.25">
      <c r="A272" s="57"/>
    </row>
    <row r="273" spans="1:1" ht="15" customHeight="1" x14ac:dyDescent="0.25">
      <c r="A273" s="57"/>
    </row>
    <row r="274" spans="1:1" ht="15" customHeight="1" x14ac:dyDescent="0.25">
      <c r="A274" s="57"/>
    </row>
    <row r="275" spans="1:1" ht="15" customHeight="1" x14ac:dyDescent="0.25">
      <c r="A275" s="57"/>
    </row>
    <row r="276" spans="1:1" ht="15" customHeight="1" x14ac:dyDescent="0.25">
      <c r="A276" s="57"/>
    </row>
    <row r="277" spans="1:1" ht="15" customHeight="1" x14ac:dyDescent="0.25">
      <c r="A277" s="57"/>
    </row>
    <row r="278" spans="1:1" ht="5.25" customHeight="1" x14ac:dyDescent="0.25">
      <c r="A278" s="57"/>
    </row>
    <row r="279" spans="1:1" ht="31.5" customHeight="1" x14ac:dyDescent="0.25">
      <c r="A279" s="57"/>
    </row>
    <row r="280" spans="1:1" ht="30" customHeight="1" x14ac:dyDescent="0.25">
      <c r="A280" s="57"/>
    </row>
    <row r="281" spans="1:1" ht="15" customHeight="1" x14ac:dyDescent="0.25">
      <c r="A281" s="57"/>
    </row>
    <row r="282" spans="1:1" ht="15" customHeight="1" x14ac:dyDescent="0.25">
      <c r="A282" s="57"/>
    </row>
    <row r="283" spans="1:1" ht="15" customHeight="1" x14ac:dyDescent="0.25">
      <c r="A283" s="57"/>
    </row>
    <row r="284" spans="1:1" ht="15" customHeight="1" x14ac:dyDescent="0.25">
      <c r="A284" s="57"/>
    </row>
    <row r="285" spans="1:1" ht="15" customHeight="1" x14ac:dyDescent="0.25">
      <c r="A285" s="57"/>
    </row>
    <row r="286" spans="1:1" ht="15" customHeight="1" x14ac:dyDescent="0.25">
      <c r="A286" s="57"/>
    </row>
    <row r="287" spans="1:1" ht="15" customHeight="1" x14ac:dyDescent="0.25">
      <c r="A287" s="57"/>
    </row>
    <row r="288" spans="1:1" ht="15" customHeight="1" x14ac:dyDescent="0.25">
      <c r="A288" s="57"/>
    </row>
    <row r="289" spans="1:1" ht="15" customHeight="1" x14ac:dyDescent="0.25">
      <c r="A289" s="57"/>
    </row>
    <row r="290" spans="1:1" ht="15" customHeight="1" x14ac:dyDescent="0.25">
      <c r="A290" s="57"/>
    </row>
    <row r="291" spans="1:1" ht="15" customHeight="1" x14ac:dyDescent="0.25">
      <c r="A291" s="57"/>
    </row>
    <row r="292" spans="1:1" ht="15" customHeight="1" x14ac:dyDescent="0.25">
      <c r="A292" s="57"/>
    </row>
    <row r="293" spans="1:1" ht="15" customHeight="1" x14ac:dyDescent="0.25">
      <c r="A293" s="57"/>
    </row>
    <row r="294" spans="1:1" ht="15" customHeight="1" x14ac:dyDescent="0.25">
      <c r="A294" s="57"/>
    </row>
    <row r="295" spans="1:1" ht="15" customHeight="1" x14ac:dyDescent="0.25">
      <c r="A295" s="57"/>
    </row>
    <row r="296" spans="1:1" ht="15" customHeight="1" x14ac:dyDescent="0.25">
      <c r="A296" s="57"/>
    </row>
    <row r="297" spans="1:1" ht="15" customHeight="1" x14ac:dyDescent="0.25">
      <c r="A297" s="57"/>
    </row>
    <row r="298" spans="1:1" ht="15" customHeight="1" x14ac:dyDescent="0.25">
      <c r="A298" s="57"/>
    </row>
    <row r="299" spans="1:1" ht="15" customHeight="1" x14ac:dyDescent="0.25">
      <c r="A299" s="57"/>
    </row>
    <row r="300" spans="1:1" ht="15" customHeight="1" x14ac:dyDescent="0.25">
      <c r="A300" s="57"/>
    </row>
    <row r="301" spans="1:1" ht="15" customHeight="1" x14ac:dyDescent="0.25">
      <c r="A301" s="57"/>
    </row>
    <row r="302" spans="1:1" ht="15" customHeight="1" x14ac:dyDescent="0.25">
      <c r="A302" s="57"/>
    </row>
    <row r="303" spans="1:1" ht="15" customHeight="1" x14ac:dyDescent="0.25">
      <c r="A303" s="57"/>
    </row>
    <row r="304" spans="1:1" ht="15" customHeight="1" x14ac:dyDescent="0.25">
      <c r="A304" s="57"/>
    </row>
    <row r="305" spans="1:1" ht="15" customHeight="1" x14ac:dyDescent="0.25">
      <c r="A305" s="57"/>
    </row>
    <row r="306" spans="1:1" ht="15" customHeight="1" x14ac:dyDescent="0.25">
      <c r="A306" s="57"/>
    </row>
    <row r="307" spans="1:1" ht="15" customHeight="1" x14ac:dyDescent="0.25">
      <c r="A307" s="57"/>
    </row>
    <row r="308" spans="1:1" ht="15" customHeight="1" x14ac:dyDescent="0.25">
      <c r="A308" s="57"/>
    </row>
    <row r="309" spans="1:1" ht="15" customHeight="1" x14ac:dyDescent="0.25">
      <c r="A309" s="57"/>
    </row>
    <row r="310" spans="1:1" ht="15" customHeight="1" x14ac:dyDescent="0.25">
      <c r="A310" s="57"/>
    </row>
    <row r="311" spans="1:1" ht="15" customHeight="1" x14ac:dyDescent="0.25">
      <c r="A311" s="57"/>
    </row>
    <row r="312" spans="1:1" ht="15" customHeight="1" x14ac:dyDescent="0.25">
      <c r="A312" s="57"/>
    </row>
    <row r="313" spans="1:1" ht="15" customHeight="1" x14ac:dyDescent="0.25">
      <c r="A313" s="57"/>
    </row>
    <row r="314" spans="1:1" ht="15" customHeight="1" x14ac:dyDescent="0.25">
      <c r="A314" s="57"/>
    </row>
    <row r="315" spans="1:1" ht="15" customHeight="1" x14ac:dyDescent="0.25">
      <c r="A315" s="57"/>
    </row>
    <row r="316" spans="1:1" ht="15" customHeight="1" x14ac:dyDescent="0.25">
      <c r="A316" s="57"/>
    </row>
    <row r="317" spans="1:1" ht="15" customHeight="1" x14ac:dyDescent="0.25">
      <c r="A317" s="57"/>
    </row>
    <row r="318" spans="1:1" x14ac:dyDescent="0.25">
      <c r="A318" s="57"/>
    </row>
    <row r="319" spans="1:1" x14ac:dyDescent="0.25">
      <c r="A319" s="57"/>
    </row>
    <row r="320" spans="1:1" x14ac:dyDescent="0.25">
      <c r="A320" s="57"/>
    </row>
    <row r="321" spans="1:1" x14ac:dyDescent="0.25">
      <c r="A321" s="57"/>
    </row>
    <row r="322" spans="1:1" x14ac:dyDescent="0.25">
      <c r="A322" s="57"/>
    </row>
    <row r="323" spans="1:1" x14ac:dyDescent="0.25">
      <c r="A323" s="57"/>
    </row>
    <row r="324" spans="1:1" x14ac:dyDescent="0.25">
      <c r="A324" s="57"/>
    </row>
    <row r="325" spans="1:1" x14ac:dyDescent="0.25">
      <c r="A325" s="57"/>
    </row>
    <row r="326" spans="1:1" x14ac:dyDescent="0.25">
      <c r="A326" s="57"/>
    </row>
    <row r="327" spans="1:1" x14ac:dyDescent="0.25">
      <c r="A327" s="57"/>
    </row>
    <row r="328" spans="1:1" x14ac:dyDescent="0.25">
      <c r="A328" s="57"/>
    </row>
    <row r="329" spans="1:1" x14ac:dyDescent="0.25">
      <c r="A329" s="57"/>
    </row>
    <row r="330" spans="1:1" x14ac:dyDescent="0.25">
      <c r="A330" s="57"/>
    </row>
    <row r="331" spans="1:1" x14ac:dyDescent="0.25">
      <c r="A331" s="57"/>
    </row>
    <row r="332" spans="1:1" x14ac:dyDescent="0.25">
      <c r="A332" s="57"/>
    </row>
    <row r="333" spans="1:1" x14ac:dyDescent="0.25">
      <c r="A333" s="57"/>
    </row>
    <row r="334" spans="1:1" x14ac:dyDescent="0.25">
      <c r="A334" s="57"/>
    </row>
    <row r="335" spans="1:1" x14ac:dyDescent="0.25">
      <c r="A335" s="57"/>
    </row>
    <row r="336" spans="1:1" x14ac:dyDescent="0.25">
      <c r="A336" s="57"/>
    </row>
    <row r="337" spans="1:1" x14ac:dyDescent="0.25">
      <c r="A337" s="57"/>
    </row>
    <row r="338" spans="1:1" x14ac:dyDescent="0.25">
      <c r="A338" s="57"/>
    </row>
    <row r="339" spans="1:1" x14ac:dyDescent="0.25">
      <c r="A339" s="57"/>
    </row>
    <row r="340" spans="1:1" x14ac:dyDescent="0.25">
      <c r="A340" s="57"/>
    </row>
    <row r="341" spans="1:1" x14ac:dyDescent="0.25">
      <c r="A341" s="57"/>
    </row>
    <row r="342" spans="1:1" x14ac:dyDescent="0.25">
      <c r="A342" s="57"/>
    </row>
    <row r="343" spans="1:1" x14ac:dyDescent="0.25">
      <c r="A343" s="57"/>
    </row>
    <row r="344" spans="1:1" x14ac:dyDescent="0.25">
      <c r="A344" s="57"/>
    </row>
    <row r="345" spans="1:1" x14ac:dyDescent="0.25">
      <c r="A345" s="57"/>
    </row>
    <row r="346" spans="1:1" x14ac:dyDescent="0.25">
      <c r="A346" s="57"/>
    </row>
    <row r="347" spans="1:1" x14ac:dyDescent="0.25">
      <c r="A347" s="57"/>
    </row>
    <row r="348" spans="1:1" x14ac:dyDescent="0.25">
      <c r="A348" s="57"/>
    </row>
    <row r="349" spans="1:1" x14ac:dyDescent="0.25">
      <c r="A349" s="57"/>
    </row>
    <row r="350" spans="1:1" x14ac:dyDescent="0.25">
      <c r="A350" s="57"/>
    </row>
    <row r="351" spans="1:1" x14ac:dyDescent="0.25">
      <c r="A351" s="57"/>
    </row>
    <row r="352" spans="1:1" x14ac:dyDescent="0.25">
      <c r="A352" s="57"/>
    </row>
    <row r="353" spans="1:1" x14ac:dyDescent="0.25">
      <c r="A353" s="57"/>
    </row>
    <row r="354" spans="1:1" x14ac:dyDescent="0.25">
      <c r="A354" s="57"/>
    </row>
    <row r="355" spans="1:1" x14ac:dyDescent="0.25">
      <c r="A355" s="57"/>
    </row>
    <row r="356" spans="1:1" x14ac:dyDescent="0.25">
      <c r="A356" s="57"/>
    </row>
    <row r="357" spans="1:1" x14ac:dyDescent="0.25">
      <c r="A357" s="57"/>
    </row>
    <row r="358" spans="1:1" x14ac:dyDescent="0.25">
      <c r="A358" s="57"/>
    </row>
    <row r="359" spans="1:1" x14ac:dyDescent="0.25">
      <c r="A359" s="57"/>
    </row>
    <row r="360" spans="1:1" x14ac:dyDescent="0.25">
      <c r="A360" s="57"/>
    </row>
    <row r="361" spans="1:1" x14ac:dyDescent="0.25">
      <c r="A361" s="57"/>
    </row>
    <row r="362" spans="1:1" x14ac:dyDescent="0.25">
      <c r="A362" s="57"/>
    </row>
    <row r="363" spans="1:1" x14ac:dyDescent="0.25">
      <c r="A363" s="57"/>
    </row>
    <row r="364" spans="1:1" x14ac:dyDescent="0.25">
      <c r="A364" s="57"/>
    </row>
    <row r="365" spans="1:1" x14ac:dyDescent="0.25">
      <c r="A365" s="57"/>
    </row>
    <row r="366" spans="1:1" x14ac:dyDescent="0.25">
      <c r="A366" s="57"/>
    </row>
    <row r="367" spans="1:1" x14ac:dyDescent="0.25">
      <c r="A367" s="57"/>
    </row>
    <row r="368" spans="1:1" x14ac:dyDescent="0.25">
      <c r="A368" s="57"/>
    </row>
    <row r="369" spans="1:1" x14ac:dyDescent="0.25">
      <c r="A369" s="57"/>
    </row>
    <row r="370" spans="1:1" x14ac:dyDescent="0.25">
      <c r="A370" s="57"/>
    </row>
    <row r="371" spans="1:1" x14ac:dyDescent="0.25">
      <c r="A371" s="57"/>
    </row>
    <row r="372" spans="1:1" x14ac:dyDescent="0.25">
      <c r="A372" s="57"/>
    </row>
    <row r="373" spans="1:1" x14ac:dyDescent="0.25">
      <c r="A373" s="57"/>
    </row>
    <row r="374" spans="1:1" x14ac:dyDescent="0.25">
      <c r="A374" s="57"/>
    </row>
    <row r="375" spans="1:1" x14ac:dyDescent="0.25">
      <c r="A375" s="57"/>
    </row>
    <row r="376" spans="1:1" x14ac:dyDescent="0.25">
      <c r="A376" s="57"/>
    </row>
    <row r="377" spans="1:1" x14ac:dyDescent="0.25">
      <c r="A377" s="57"/>
    </row>
    <row r="378" spans="1:1" x14ac:dyDescent="0.25">
      <c r="A378" s="57"/>
    </row>
    <row r="379" spans="1:1" x14ac:dyDescent="0.25">
      <c r="A379" s="57"/>
    </row>
    <row r="380" spans="1:1" x14ac:dyDescent="0.25">
      <c r="A380" s="57"/>
    </row>
    <row r="381" spans="1:1" x14ac:dyDescent="0.25">
      <c r="A381" s="57"/>
    </row>
    <row r="382" spans="1:1" x14ac:dyDescent="0.25">
      <c r="A382" s="57"/>
    </row>
    <row r="383" spans="1:1" x14ac:dyDescent="0.25">
      <c r="A383" s="57"/>
    </row>
    <row r="384" spans="1:1" x14ac:dyDescent="0.25">
      <c r="A384" s="57"/>
    </row>
    <row r="385" spans="1:1" x14ac:dyDescent="0.25">
      <c r="A385" s="57"/>
    </row>
    <row r="386" spans="1:1" x14ac:dyDescent="0.25">
      <c r="A386" s="57"/>
    </row>
    <row r="387" spans="1:1" x14ac:dyDescent="0.25">
      <c r="A387" s="57"/>
    </row>
    <row r="388" spans="1:1" x14ac:dyDescent="0.25">
      <c r="A388" s="57"/>
    </row>
    <row r="389" spans="1:1" x14ac:dyDescent="0.25">
      <c r="A389" s="57"/>
    </row>
    <row r="390" spans="1:1" x14ac:dyDescent="0.25">
      <c r="A390" s="57"/>
    </row>
    <row r="391" spans="1:1" x14ac:dyDescent="0.25">
      <c r="A391" s="57"/>
    </row>
    <row r="392" spans="1:1" x14ac:dyDescent="0.25">
      <c r="A392" s="57"/>
    </row>
    <row r="393" spans="1:1" x14ac:dyDescent="0.25">
      <c r="A393" s="57"/>
    </row>
    <row r="394" spans="1:1" x14ac:dyDescent="0.25">
      <c r="A394" s="57"/>
    </row>
    <row r="395" spans="1:1" x14ac:dyDescent="0.25">
      <c r="A395" s="57"/>
    </row>
    <row r="396" spans="1:1" x14ac:dyDescent="0.25">
      <c r="A396" s="57"/>
    </row>
    <row r="397" spans="1:1" x14ac:dyDescent="0.25">
      <c r="A397" s="57"/>
    </row>
    <row r="398" spans="1:1" x14ac:dyDescent="0.25">
      <c r="A398" s="57"/>
    </row>
    <row r="399" spans="1:1" x14ac:dyDescent="0.25">
      <c r="A399" s="57"/>
    </row>
    <row r="400" spans="1:1" x14ac:dyDescent="0.25">
      <c r="A400" s="57"/>
    </row>
    <row r="401" spans="1:1" x14ac:dyDescent="0.25">
      <c r="A401" s="57"/>
    </row>
    <row r="402" spans="1:1" x14ac:dyDescent="0.25">
      <c r="A402" s="57"/>
    </row>
    <row r="403" spans="1:1" x14ac:dyDescent="0.25">
      <c r="A403" s="57"/>
    </row>
    <row r="404" spans="1:1" x14ac:dyDescent="0.25">
      <c r="A404" s="57"/>
    </row>
    <row r="405" spans="1:1" x14ac:dyDescent="0.25">
      <c r="A405" s="57"/>
    </row>
    <row r="406" spans="1:1" x14ac:dyDescent="0.25">
      <c r="A406" s="57"/>
    </row>
    <row r="407" spans="1:1" x14ac:dyDescent="0.25">
      <c r="A407" s="57"/>
    </row>
    <row r="408" spans="1:1" x14ac:dyDescent="0.25">
      <c r="A408" s="57"/>
    </row>
    <row r="409" spans="1:1" x14ac:dyDescent="0.25">
      <c r="A409" s="57"/>
    </row>
    <row r="410" spans="1:1" x14ac:dyDescent="0.25">
      <c r="A410" s="57"/>
    </row>
    <row r="411" spans="1:1" x14ac:dyDescent="0.25">
      <c r="A411" s="57"/>
    </row>
    <row r="412" spans="1:1" x14ac:dyDescent="0.25">
      <c r="A412" s="57"/>
    </row>
    <row r="413" spans="1:1" x14ac:dyDescent="0.25">
      <c r="A413" s="57"/>
    </row>
    <row r="414" spans="1:1" x14ac:dyDescent="0.25">
      <c r="A414" s="57"/>
    </row>
    <row r="415" spans="1:1" x14ac:dyDescent="0.25">
      <c r="A415" s="57"/>
    </row>
    <row r="416" spans="1:1" x14ac:dyDescent="0.25">
      <c r="A416" s="57"/>
    </row>
    <row r="417" spans="1:1" x14ac:dyDescent="0.25">
      <c r="A417" s="57"/>
    </row>
    <row r="418" spans="1:1" x14ac:dyDescent="0.25">
      <c r="A418" s="57"/>
    </row>
    <row r="419" spans="1:1" x14ac:dyDescent="0.25">
      <c r="A419" s="57"/>
    </row>
    <row r="420" spans="1:1" x14ac:dyDescent="0.25">
      <c r="A420" s="57"/>
    </row>
    <row r="421" spans="1:1" x14ac:dyDescent="0.25">
      <c r="A421" s="57"/>
    </row>
    <row r="422" spans="1:1" x14ac:dyDescent="0.25">
      <c r="A422" s="57"/>
    </row>
    <row r="423" spans="1:1" x14ac:dyDescent="0.25">
      <c r="A423" s="57"/>
    </row>
    <row r="424" spans="1:1" x14ac:dyDescent="0.25">
      <c r="A424" s="57"/>
    </row>
    <row r="425" spans="1:1" x14ac:dyDescent="0.25">
      <c r="A425" s="57"/>
    </row>
    <row r="426" spans="1:1" x14ac:dyDescent="0.25">
      <c r="A426" s="57"/>
    </row>
    <row r="427" spans="1:1" x14ac:dyDescent="0.25">
      <c r="A427" s="57"/>
    </row>
    <row r="428" spans="1:1" x14ac:dyDescent="0.25">
      <c r="A428" s="57"/>
    </row>
    <row r="429" spans="1:1" x14ac:dyDescent="0.25">
      <c r="A429" s="57"/>
    </row>
    <row r="430" spans="1:1" x14ac:dyDescent="0.25">
      <c r="A430" s="57"/>
    </row>
    <row r="431" spans="1:1" x14ac:dyDescent="0.25">
      <c r="A431" s="57"/>
    </row>
    <row r="432" spans="1:1" x14ac:dyDescent="0.25">
      <c r="A432" s="57"/>
    </row>
    <row r="433" spans="1:1" x14ac:dyDescent="0.25">
      <c r="A433" s="57"/>
    </row>
    <row r="434" spans="1:1" x14ac:dyDescent="0.25">
      <c r="A434" s="57"/>
    </row>
    <row r="435" spans="1:1" x14ac:dyDescent="0.25">
      <c r="A435" s="57"/>
    </row>
    <row r="436" spans="1:1" x14ac:dyDescent="0.25">
      <c r="A436" s="57"/>
    </row>
    <row r="437" spans="1:1" x14ac:dyDescent="0.25">
      <c r="A437" s="57"/>
    </row>
    <row r="438" spans="1:1" x14ac:dyDescent="0.25">
      <c r="A438" s="57"/>
    </row>
    <row r="439" spans="1:1" x14ac:dyDescent="0.25">
      <c r="A439" s="57"/>
    </row>
    <row r="440" spans="1:1" x14ac:dyDescent="0.25">
      <c r="A440" s="57"/>
    </row>
    <row r="441" spans="1:1" x14ac:dyDescent="0.25">
      <c r="A441" s="57"/>
    </row>
    <row r="442" spans="1:1" x14ac:dyDescent="0.25">
      <c r="A442" s="57"/>
    </row>
    <row r="443" spans="1:1" x14ac:dyDescent="0.25">
      <c r="A443" s="57"/>
    </row>
    <row r="444" spans="1:1" x14ac:dyDescent="0.25">
      <c r="A444" s="57"/>
    </row>
    <row r="445" spans="1:1" x14ac:dyDescent="0.25">
      <c r="A445" s="57"/>
    </row>
    <row r="446" spans="1:1" x14ac:dyDescent="0.25">
      <c r="A446" s="57"/>
    </row>
    <row r="447" spans="1:1" x14ac:dyDescent="0.25">
      <c r="A447" s="57"/>
    </row>
    <row r="448" spans="1:1" x14ac:dyDescent="0.25">
      <c r="A448" s="57"/>
    </row>
    <row r="449" spans="1:1" x14ac:dyDescent="0.25">
      <c r="A449" s="57"/>
    </row>
    <row r="450" spans="1:1" x14ac:dyDescent="0.25">
      <c r="A450" s="57"/>
    </row>
    <row r="451" spans="1:1" x14ac:dyDescent="0.25">
      <c r="A451" s="57"/>
    </row>
    <row r="452" spans="1:1" x14ac:dyDescent="0.25">
      <c r="A452" s="57"/>
    </row>
    <row r="453" spans="1:1" x14ac:dyDescent="0.25">
      <c r="A453" s="57"/>
    </row>
    <row r="454" spans="1:1" x14ac:dyDescent="0.25">
      <c r="A454" s="57"/>
    </row>
    <row r="455" spans="1:1" x14ac:dyDescent="0.25">
      <c r="A455" s="57"/>
    </row>
    <row r="456" spans="1:1" x14ac:dyDescent="0.25">
      <c r="A456" s="57"/>
    </row>
    <row r="457" spans="1:1" x14ac:dyDescent="0.25">
      <c r="A457" s="57"/>
    </row>
    <row r="458" spans="1:1" x14ac:dyDescent="0.25">
      <c r="A458" s="57"/>
    </row>
    <row r="459" spans="1:1" x14ac:dyDescent="0.25">
      <c r="A459" s="57"/>
    </row>
    <row r="460" spans="1:1" x14ac:dyDescent="0.25">
      <c r="A460" s="57"/>
    </row>
    <row r="461" spans="1:1" x14ac:dyDescent="0.25">
      <c r="A461" s="57"/>
    </row>
    <row r="462" spans="1:1" x14ac:dyDescent="0.25">
      <c r="A462" s="57"/>
    </row>
    <row r="463" spans="1:1" x14ac:dyDescent="0.25">
      <c r="A463" s="57"/>
    </row>
    <row r="464" spans="1:1" x14ac:dyDescent="0.25">
      <c r="A464" s="57"/>
    </row>
    <row r="465" spans="1:1" x14ac:dyDescent="0.25">
      <c r="A465" s="57"/>
    </row>
    <row r="466" spans="1:1" x14ac:dyDescent="0.25">
      <c r="A466" s="57"/>
    </row>
    <row r="467" spans="1:1" x14ac:dyDescent="0.25">
      <c r="A467" s="57"/>
    </row>
    <row r="468" spans="1:1" x14ac:dyDescent="0.25">
      <c r="A468" s="57"/>
    </row>
    <row r="469" spans="1:1" x14ac:dyDescent="0.25">
      <c r="A469" s="57"/>
    </row>
    <row r="470" spans="1:1" x14ac:dyDescent="0.25">
      <c r="A470" s="57"/>
    </row>
    <row r="471" spans="1:1" x14ac:dyDescent="0.25">
      <c r="A471" s="57"/>
    </row>
    <row r="472" spans="1:1" x14ac:dyDescent="0.25">
      <c r="A472" s="57"/>
    </row>
    <row r="473" spans="1:1" x14ac:dyDescent="0.25">
      <c r="A473" s="57"/>
    </row>
    <row r="474" spans="1:1" x14ac:dyDescent="0.25">
      <c r="A474" s="57"/>
    </row>
    <row r="475" spans="1:1" ht="14.25" customHeight="1" x14ac:dyDescent="0.25">
      <c r="A475" s="57"/>
    </row>
    <row r="476" spans="1:1" x14ac:dyDescent="0.25">
      <c r="A476" s="57"/>
    </row>
    <row r="477" spans="1:1" x14ac:dyDescent="0.25">
      <c r="A477" s="57"/>
    </row>
    <row r="478" spans="1:1" x14ac:dyDescent="0.25">
      <c r="A478" s="57"/>
    </row>
    <row r="479" spans="1:1" x14ac:dyDescent="0.25">
      <c r="A479" s="57"/>
    </row>
    <row r="480" spans="1:1" x14ac:dyDescent="0.25">
      <c r="A480" s="57"/>
    </row>
    <row r="481" spans="1:1" x14ac:dyDescent="0.25">
      <c r="A481" s="57"/>
    </row>
    <row r="482" spans="1:1" x14ac:dyDescent="0.25">
      <c r="A482" s="57"/>
    </row>
    <row r="483" spans="1:1" x14ac:dyDescent="0.25">
      <c r="A483" s="57"/>
    </row>
    <row r="484" spans="1:1" x14ac:dyDescent="0.25">
      <c r="A484" s="57"/>
    </row>
    <row r="485" spans="1:1" x14ac:dyDescent="0.25">
      <c r="A485" s="57"/>
    </row>
    <row r="486" spans="1:1" x14ac:dyDescent="0.25">
      <c r="A486" s="57"/>
    </row>
    <row r="487" spans="1:1" x14ac:dyDescent="0.25">
      <c r="A487" s="57"/>
    </row>
    <row r="488" spans="1:1" x14ac:dyDescent="0.25">
      <c r="A488" s="57"/>
    </row>
    <row r="489" spans="1:1" x14ac:dyDescent="0.25">
      <c r="A489" s="57"/>
    </row>
    <row r="490" spans="1:1" x14ac:dyDescent="0.25">
      <c r="A490" s="57"/>
    </row>
    <row r="491" spans="1:1" x14ac:dyDescent="0.25">
      <c r="A491" s="57"/>
    </row>
    <row r="492" spans="1:1" x14ac:dyDescent="0.25">
      <c r="A492" s="57"/>
    </row>
    <row r="493" spans="1:1" x14ac:dyDescent="0.25">
      <c r="A493" s="57"/>
    </row>
    <row r="494" spans="1:1" x14ac:dyDescent="0.25">
      <c r="A494" s="57"/>
    </row>
    <row r="495" spans="1:1" x14ac:dyDescent="0.25">
      <c r="A495" s="57"/>
    </row>
    <row r="496" spans="1:1" x14ac:dyDescent="0.25">
      <c r="A496" s="57"/>
    </row>
    <row r="497" spans="1:1" x14ac:dyDescent="0.25">
      <c r="A497" s="57"/>
    </row>
    <row r="498" spans="1:1" x14ac:dyDescent="0.25">
      <c r="A498" s="57"/>
    </row>
    <row r="499" spans="1:1" x14ac:dyDescent="0.25">
      <c r="A499" s="57"/>
    </row>
    <row r="500" spans="1:1" x14ac:dyDescent="0.25">
      <c r="A500" s="57"/>
    </row>
    <row r="501" spans="1:1" x14ac:dyDescent="0.25">
      <c r="A501" s="57"/>
    </row>
    <row r="502" spans="1:1" x14ac:dyDescent="0.25">
      <c r="A502" s="57"/>
    </row>
    <row r="503" spans="1:1" x14ac:dyDescent="0.25">
      <c r="A503" s="57"/>
    </row>
    <row r="504" spans="1:1" x14ac:dyDescent="0.25">
      <c r="A504" s="57"/>
    </row>
    <row r="505" spans="1:1" x14ac:dyDescent="0.25">
      <c r="A505" s="57"/>
    </row>
    <row r="506" spans="1:1" x14ac:dyDescent="0.25">
      <c r="A506" s="57"/>
    </row>
    <row r="507" spans="1:1" x14ac:dyDescent="0.25">
      <c r="A507" s="57"/>
    </row>
    <row r="508" spans="1:1" x14ac:dyDescent="0.25">
      <c r="A508" s="57"/>
    </row>
    <row r="509" spans="1:1" x14ac:dyDescent="0.25">
      <c r="A509" s="57"/>
    </row>
    <row r="510" spans="1:1" x14ac:dyDescent="0.25">
      <c r="A510" s="57"/>
    </row>
    <row r="511" spans="1:1" x14ac:dyDescent="0.25">
      <c r="A511" s="57"/>
    </row>
    <row r="512" spans="1:1" x14ac:dyDescent="0.25">
      <c r="A512" s="57"/>
    </row>
    <row r="513" spans="1:1" x14ac:dyDescent="0.25">
      <c r="A513" s="57"/>
    </row>
    <row r="514" spans="1:1" x14ac:dyDescent="0.25">
      <c r="A514" s="57"/>
    </row>
    <row r="515" spans="1:1" x14ac:dyDescent="0.25">
      <c r="A515" s="57"/>
    </row>
    <row r="516" spans="1:1" x14ac:dyDescent="0.25">
      <c r="A516" s="57"/>
    </row>
    <row r="517" spans="1:1" x14ac:dyDescent="0.25">
      <c r="A517" s="57"/>
    </row>
    <row r="518" spans="1:1" x14ac:dyDescent="0.25">
      <c r="A518" s="57"/>
    </row>
    <row r="519" spans="1:1" x14ac:dyDescent="0.25">
      <c r="A519" s="57"/>
    </row>
    <row r="520" spans="1:1" x14ac:dyDescent="0.25">
      <c r="A520" s="57"/>
    </row>
    <row r="521" spans="1:1" x14ac:dyDescent="0.25">
      <c r="A521" s="57"/>
    </row>
    <row r="522" spans="1:1" x14ac:dyDescent="0.25">
      <c r="A522" s="57"/>
    </row>
    <row r="523" spans="1:1" x14ac:dyDescent="0.25">
      <c r="A523" s="57"/>
    </row>
    <row r="524" spans="1:1" x14ac:dyDescent="0.25">
      <c r="A524" s="57"/>
    </row>
    <row r="525" spans="1:1" x14ac:dyDescent="0.25">
      <c r="A525" s="57"/>
    </row>
    <row r="526" spans="1:1" x14ac:dyDescent="0.25">
      <c r="A526" s="57"/>
    </row>
    <row r="527" spans="1:1" x14ac:dyDescent="0.25">
      <c r="A527" s="57"/>
    </row>
    <row r="528" spans="1:1" x14ac:dyDescent="0.25">
      <c r="A528" s="57"/>
    </row>
    <row r="529" spans="1:1" x14ac:dyDescent="0.25">
      <c r="A529" s="57"/>
    </row>
    <row r="530" spans="1:1" x14ac:dyDescent="0.25">
      <c r="A530" s="57"/>
    </row>
    <row r="531" spans="1:1" x14ac:dyDescent="0.25">
      <c r="A531" s="57"/>
    </row>
    <row r="532" spans="1:1" x14ac:dyDescent="0.25">
      <c r="A532" s="57"/>
    </row>
    <row r="533" spans="1:1" x14ac:dyDescent="0.25">
      <c r="A533" s="57"/>
    </row>
    <row r="534" spans="1:1" x14ac:dyDescent="0.25">
      <c r="A534" s="57"/>
    </row>
    <row r="535" spans="1:1" x14ac:dyDescent="0.25">
      <c r="A535" s="57"/>
    </row>
    <row r="536" spans="1:1" x14ac:dyDescent="0.25">
      <c r="A536" s="57"/>
    </row>
    <row r="537" spans="1:1" x14ac:dyDescent="0.25">
      <c r="A537" s="57"/>
    </row>
    <row r="538" spans="1:1" x14ac:dyDescent="0.25">
      <c r="A538" s="57"/>
    </row>
    <row r="539" spans="1:1" x14ac:dyDescent="0.25">
      <c r="A539" s="57"/>
    </row>
    <row r="540" spans="1:1" x14ac:dyDescent="0.25">
      <c r="A540" s="57"/>
    </row>
    <row r="541" spans="1:1" x14ac:dyDescent="0.25">
      <c r="A541" s="57"/>
    </row>
    <row r="542" spans="1:1" x14ac:dyDescent="0.25">
      <c r="A542" s="57"/>
    </row>
    <row r="543" spans="1:1" x14ac:dyDescent="0.25">
      <c r="A543" s="57"/>
    </row>
    <row r="544" spans="1:1" x14ac:dyDescent="0.25">
      <c r="A544" s="57"/>
    </row>
    <row r="545" spans="1:1" x14ac:dyDescent="0.25">
      <c r="A545" s="57"/>
    </row>
    <row r="546" spans="1:1" x14ac:dyDescent="0.25">
      <c r="A546" s="57"/>
    </row>
    <row r="547" spans="1:1" x14ac:dyDescent="0.25">
      <c r="A547" s="57"/>
    </row>
    <row r="548" spans="1:1" x14ac:dyDescent="0.25">
      <c r="A548" s="57"/>
    </row>
    <row r="549" spans="1:1" x14ac:dyDescent="0.25">
      <c r="A549" s="57"/>
    </row>
    <row r="550" spans="1:1" x14ac:dyDescent="0.25">
      <c r="A550" s="57"/>
    </row>
    <row r="551" spans="1:1" x14ac:dyDescent="0.25">
      <c r="A551" s="57"/>
    </row>
    <row r="552" spans="1:1" x14ac:dyDescent="0.25">
      <c r="A552" s="57"/>
    </row>
    <row r="553" spans="1:1" x14ac:dyDescent="0.25">
      <c r="A553" s="57"/>
    </row>
    <row r="554" spans="1:1" x14ac:dyDescent="0.25">
      <c r="A554" s="57"/>
    </row>
    <row r="555" spans="1:1" x14ac:dyDescent="0.25">
      <c r="A555" s="57"/>
    </row>
    <row r="556" spans="1:1" x14ac:dyDescent="0.25">
      <c r="A556" s="57"/>
    </row>
    <row r="557" spans="1:1" x14ac:dyDescent="0.25">
      <c r="A557" s="57"/>
    </row>
    <row r="558" spans="1:1" x14ac:dyDescent="0.25">
      <c r="A558" s="57"/>
    </row>
    <row r="559" spans="1:1" x14ac:dyDescent="0.25">
      <c r="A559" s="57"/>
    </row>
    <row r="560" spans="1:1" x14ac:dyDescent="0.25">
      <c r="A560" s="57"/>
    </row>
    <row r="561" spans="1:1" x14ac:dyDescent="0.25">
      <c r="A561" s="57"/>
    </row>
    <row r="562" spans="1:1" x14ac:dyDescent="0.25">
      <c r="A562" s="57"/>
    </row>
    <row r="563" spans="1:1" x14ac:dyDescent="0.25">
      <c r="A563" s="57"/>
    </row>
    <row r="564" spans="1:1" x14ac:dyDescent="0.25">
      <c r="A564" s="57"/>
    </row>
    <row r="565" spans="1:1" x14ac:dyDescent="0.25">
      <c r="A565" s="57"/>
    </row>
    <row r="566" spans="1:1" x14ac:dyDescent="0.25">
      <c r="A566" s="57"/>
    </row>
    <row r="567" spans="1:1" x14ac:dyDescent="0.25">
      <c r="A567" s="57"/>
    </row>
    <row r="568" spans="1:1" x14ac:dyDescent="0.25">
      <c r="A568" s="57"/>
    </row>
    <row r="569" spans="1:1" x14ac:dyDescent="0.25">
      <c r="A569" s="57"/>
    </row>
    <row r="570" spans="1:1" x14ac:dyDescent="0.25">
      <c r="A570" s="57"/>
    </row>
    <row r="571" spans="1:1" x14ac:dyDescent="0.25">
      <c r="A571" s="57"/>
    </row>
    <row r="572" spans="1:1" x14ac:dyDescent="0.25">
      <c r="A572" s="57"/>
    </row>
    <row r="573" spans="1:1" x14ac:dyDescent="0.25">
      <c r="A573" s="57"/>
    </row>
    <row r="574" spans="1:1" x14ac:dyDescent="0.25">
      <c r="A574" s="57"/>
    </row>
    <row r="575" spans="1:1" x14ac:dyDescent="0.25">
      <c r="A575" s="57"/>
    </row>
    <row r="576" spans="1:1" x14ac:dyDescent="0.25">
      <c r="A576" s="57"/>
    </row>
    <row r="577" spans="1:1" x14ac:dyDescent="0.25">
      <c r="A577" s="57"/>
    </row>
    <row r="578" spans="1:1" x14ac:dyDescent="0.25">
      <c r="A578" s="57"/>
    </row>
    <row r="579" spans="1:1" x14ac:dyDescent="0.25">
      <c r="A579" s="57"/>
    </row>
    <row r="580" spans="1:1" x14ac:dyDescent="0.25">
      <c r="A580" s="57"/>
    </row>
    <row r="581" spans="1:1" x14ac:dyDescent="0.25">
      <c r="A581" s="57"/>
    </row>
    <row r="582" spans="1:1" x14ac:dyDescent="0.25">
      <c r="A582" s="57"/>
    </row>
    <row r="583" spans="1:1" x14ac:dyDescent="0.25">
      <c r="A583" s="57"/>
    </row>
    <row r="584" spans="1:1" x14ac:dyDescent="0.25">
      <c r="A584" s="57"/>
    </row>
    <row r="585" spans="1:1" x14ac:dyDescent="0.25">
      <c r="A585" s="57"/>
    </row>
    <row r="586" spans="1:1" x14ac:dyDescent="0.25">
      <c r="A586" s="57"/>
    </row>
    <row r="587" spans="1:1" x14ac:dyDescent="0.25">
      <c r="A587" s="57"/>
    </row>
    <row r="588" spans="1:1" x14ac:dyDescent="0.25">
      <c r="A588" s="57"/>
    </row>
    <row r="589" spans="1:1" x14ac:dyDescent="0.25">
      <c r="A589" s="57"/>
    </row>
    <row r="590" spans="1:1" x14ac:dyDescent="0.25">
      <c r="A590" s="57"/>
    </row>
    <row r="591" spans="1:1" x14ac:dyDescent="0.25">
      <c r="A591" s="57"/>
    </row>
    <row r="592" spans="1:1" x14ac:dyDescent="0.25">
      <c r="A592" s="57"/>
    </row>
    <row r="593" spans="1:1" x14ac:dyDescent="0.25">
      <c r="A593" s="57"/>
    </row>
    <row r="594" spans="1:1" x14ac:dyDescent="0.25">
      <c r="A594" s="57"/>
    </row>
    <row r="595" spans="1:1" x14ac:dyDescent="0.25">
      <c r="A595" s="57"/>
    </row>
    <row r="596" spans="1:1" x14ac:dyDescent="0.25">
      <c r="A596" s="57"/>
    </row>
    <row r="597" spans="1:1" x14ac:dyDescent="0.25">
      <c r="A597" s="57"/>
    </row>
    <row r="598" spans="1:1" x14ac:dyDescent="0.25">
      <c r="A598" s="57"/>
    </row>
    <row r="599" spans="1:1" x14ac:dyDescent="0.25">
      <c r="A599" s="57"/>
    </row>
    <row r="600" spans="1:1" x14ac:dyDescent="0.25">
      <c r="A600" s="57"/>
    </row>
    <row r="601" spans="1:1" x14ac:dyDescent="0.25">
      <c r="A601" s="57"/>
    </row>
    <row r="602" spans="1:1" x14ac:dyDescent="0.25">
      <c r="A602" s="57"/>
    </row>
    <row r="603" spans="1:1" x14ac:dyDescent="0.25">
      <c r="A603" s="57"/>
    </row>
    <row r="604" spans="1:1" x14ac:dyDescent="0.25">
      <c r="A604" s="57"/>
    </row>
    <row r="605" spans="1:1" x14ac:dyDescent="0.25">
      <c r="A605" s="57"/>
    </row>
    <row r="606" spans="1:1" x14ac:dyDescent="0.25">
      <c r="A606" s="57"/>
    </row>
    <row r="607" spans="1:1" x14ac:dyDescent="0.25">
      <c r="A607" s="57"/>
    </row>
    <row r="608" spans="1:1" x14ac:dyDescent="0.25">
      <c r="A608" s="57"/>
    </row>
    <row r="609" spans="1:1" x14ac:dyDescent="0.25">
      <c r="A609" s="57"/>
    </row>
    <row r="610" spans="1:1" x14ac:dyDescent="0.25">
      <c r="A610" s="57"/>
    </row>
    <row r="611" spans="1:1" x14ac:dyDescent="0.25">
      <c r="A611" s="57"/>
    </row>
    <row r="612" spans="1:1" x14ac:dyDescent="0.25">
      <c r="A612" s="57"/>
    </row>
    <row r="613" spans="1:1" x14ac:dyDescent="0.25">
      <c r="A613" s="57"/>
    </row>
    <row r="614" spans="1:1" x14ac:dyDescent="0.25">
      <c r="A614" s="57"/>
    </row>
    <row r="615" spans="1:1" x14ac:dyDescent="0.25">
      <c r="A615" s="57"/>
    </row>
    <row r="616" spans="1:1" x14ac:dyDescent="0.25">
      <c r="A616" s="57"/>
    </row>
    <row r="617" spans="1:1" x14ac:dyDescent="0.25">
      <c r="A617" s="57"/>
    </row>
    <row r="618" spans="1:1" x14ac:dyDescent="0.25">
      <c r="A618" s="57"/>
    </row>
    <row r="619" spans="1:1" x14ac:dyDescent="0.25">
      <c r="A619" s="57"/>
    </row>
    <row r="620" spans="1:1" x14ac:dyDescent="0.25">
      <c r="A620" s="57"/>
    </row>
    <row r="621" spans="1:1" x14ac:dyDescent="0.25">
      <c r="A621" s="57"/>
    </row>
    <row r="622" spans="1:1" x14ac:dyDescent="0.25">
      <c r="A622" s="57"/>
    </row>
    <row r="623" spans="1:1" x14ac:dyDescent="0.25">
      <c r="A623" s="57"/>
    </row>
    <row r="624" spans="1:1" x14ac:dyDescent="0.25">
      <c r="A624" s="57"/>
    </row>
    <row r="625" spans="1:1" x14ac:dyDescent="0.25">
      <c r="A625" s="57"/>
    </row>
    <row r="626" spans="1:1" x14ac:dyDescent="0.25">
      <c r="A626" s="57"/>
    </row>
    <row r="627" spans="1:1" x14ac:dyDescent="0.25">
      <c r="A627" s="57"/>
    </row>
    <row r="628" spans="1:1" x14ac:dyDescent="0.25">
      <c r="A628" s="57"/>
    </row>
    <row r="629" spans="1:1" x14ac:dyDescent="0.25">
      <c r="A629" s="57"/>
    </row>
    <row r="630" spans="1:1" x14ac:dyDescent="0.25">
      <c r="A630" s="57"/>
    </row>
    <row r="631" spans="1:1" x14ac:dyDescent="0.25">
      <c r="A631" s="57"/>
    </row>
    <row r="632" spans="1:1" x14ac:dyDescent="0.25">
      <c r="A632" s="57"/>
    </row>
    <row r="633" spans="1:1" x14ac:dyDescent="0.25">
      <c r="A633" s="57"/>
    </row>
    <row r="634" spans="1:1" x14ac:dyDescent="0.25">
      <c r="A634" s="57"/>
    </row>
    <row r="635" spans="1:1" x14ac:dyDescent="0.25">
      <c r="A635" s="57"/>
    </row>
    <row r="636" spans="1:1" x14ac:dyDescent="0.25">
      <c r="A636" s="57"/>
    </row>
    <row r="637" spans="1:1" x14ac:dyDescent="0.25">
      <c r="A637" s="57"/>
    </row>
    <row r="638" spans="1:1" x14ac:dyDescent="0.25">
      <c r="A638" s="57"/>
    </row>
    <row r="639" spans="1:1" x14ac:dyDescent="0.25">
      <c r="A639" s="57"/>
    </row>
    <row r="640" spans="1:1" x14ac:dyDescent="0.25">
      <c r="A640" s="57"/>
    </row>
    <row r="641" spans="1:1" x14ac:dyDescent="0.25">
      <c r="A641" s="57"/>
    </row>
    <row r="642" spans="1:1" x14ac:dyDescent="0.25">
      <c r="A642" s="57"/>
    </row>
    <row r="643" spans="1:1" x14ac:dyDescent="0.25">
      <c r="A643" s="57"/>
    </row>
    <row r="644" spans="1:1" x14ac:dyDescent="0.25">
      <c r="A644" s="57"/>
    </row>
    <row r="645" spans="1:1" x14ac:dyDescent="0.25">
      <c r="A645" s="57"/>
    </row>
    <row r="646" spans="1:1" x14ac:dyDescent="0.25">
      <c r="A646" s="57"/>
    </row>
    <row r="647" spans="1:1" x14ac:dyDescent="0.25">
      <c r="A647" s="57"/>
    </row>
    <row r="648" spans="1:1" x14ac:dyDescent="0.25">
      <c r="A648" s="57"/>
    </row>
    <row r="649" spans="1:1" x14ac:dyDescent="0.25">
      <c r="A649" s="57"/>
    </row>
    <row r="650" spans="1:1" x14ac:dyDescent="0.25">
      <c r="A650" s="57"/>
    </row>
    <row r="651" spans="1:1" x14ac:dyDescent="0.25">
      <c r="A651" s="57"/>
    </row>
    <row r="652" spans="1:1" x14ac:dyDescent="0.25">
      <c r="A652" s="57"/>
    </row>
    <row r="653" spans="1:1" x14ac:dyDescent="0.25">
      <c r="A653" s="57"/>
    </row>
    <row r="654" spans="1:1" x14ac:dyDescent="0.25">
      <c r="A654" s="57"/>
    </row>
    <row r="655" spans="1:1" x14ac:dyDescent="0.25">
      <c r="A655" s="57"/>
    </row>
    <row r="656" spans="1:1" x14ac:dyDescent="0.25">
      <c r="A656" s="57"/>
    </row>
    <row r="657" spans="1:1" x14ac:dyDescent="0.25">
      <c r="A657" s="57"/>
    </row>
    <row r="658" spans="1:1" x14ac:dyDescent="0.25">
      <c r="A658" s="57"/>
    </row>
    <row r="659" spans="1:1" x14ac:dyDescent="0.25">
      <c r="A659" s="57"/>
    </row>
    <row r="660" spans="1:1" x14ac:dyDescent="0.25">
      <c r="A660" s="57"/>
    </row>
    <row r="661" spans="1:1" x14ac:dyDescent="0.25">
      <c r="A661" s="57"/>
    </row>
    <row r="662" spans="1:1" x14ac:dyDescent="0.25">
      <c r="A662" s="57"/>
    </row>
    <row r="663" spans="1:1" x14ac:dyDescent="0.25">
      <c r="A663" s="57"/>
    </row>
    <row r="664" spans="1:1" x14ac:dyDescent="0.25">
      <c r="A664" s="57"/>
    </row>
    <row r="665" spans="1:1" x14ac:dyDescent="0.25">
      <c r="A665" s="57"/>
    </row>
    <row r="666" spans="1:1" x14ac:dyDescent="0.25">
      <c r="A666" s="57"/>
    </row>
    <row r="667" spans="1:1" x14ac:dyDescent="0.25">
      <c r="A667" s="57"/>
    </row>
    <row r="668" spans="1:1" x14ac:dyDescent="0.25">
      <c r="A668" s="57"/>
    </row>
    <row r="669" spans="1:1" x14ac:dyDescent="0.25">
      <c r="A669" s="57"/>
    </row>
    <row r="670" spans="1:1" x14ac:dyDescent="0.25">
      <c r="A670" s="57"/>
    </row>
    <row r="671" spans="1:1" x14ac:dyDescent="0.25">
      <c r="A671" s="57"/>
    </row>
    <row r="672" spans="1:1" x14ac:dyDescent="0.25">
      <c r="A672" s="57"/>
    </row>
    <row r="673" spans="1:1" x14ac:dyDescent="0.25">
      <c r="A673" s="57"/>
    </row>
    <row r="674" spans="1:1" x14ac:dyDescent="0.25">
      <c r="A674" s="57"/>
    </row>
    <row r="675" spans="1:1" x14ac:dyDescent="0.25">
      <c r="A675" s="57"/>
    </row>
    <row r="676" spans="1:1" x14ac:dyDescent="0.25">
      <c r="A676" s="57"/>
    </row>
    <row r="677" spans="1:1" x14ac:dyDescent="0.25">
      <c r="A677" s="57"/>
    </row>
    <row r="678" spans="1:1" x14ac:dyDescent="0.25">
      <c r="A678" s="57"/>
    </row>
    <row r="679" spans="1:1" x14ac:dyDescent="0.25">
      <c r="A679" s="57"/>
    </row>
    <row r="680" spans="1:1" x14ac:dyDescent="0.25">
      <c r="A680" s="57"/>
    </row>
    <row r="681" spans="1:1" x14ac:dyDescent="0.25">
      <c r="A681" s="57"/>
    </row>
    <row r="682" spans="1:1" x14ac:dyDescent="0.25">
      <c r="A682" s="57"/>
    </row>
    <row r="683" spans="1:1" x14ac:dyDescent="0.25">
      <c r="A683" s="57"/>
    </row>
    <row r="684" spans="1:1" x14ac:dyDescent="0.25">
      <c r="A684" s="57"/>
    </row>
    <row r="685" spans="1:1" x14ac:dyDescent="0.25">
      <c r="A685" s="57"/>
    </row>
    <row r="686" spans="1:1" x14ac:dyDescent="0.25">
      <c r="A686" s="57"/>
    </row>
    <row r="687" spans="1:1" x14ac:dyDescent="0.25">
      <c r="A687" s="57"/>
    </row>
    <row r="688" spans="1:1" x14ac:dyDescent="0.25">
      <c r="A688" s="57"/>
    </row>
    <row r="689" spans="1:1" x14ac:dyDescent="0.25">
      <c r="A689" s="57"/>
    </row>
    <row r="690" spans="1:1" x14ac:dyDescent="0.25">
      <c r="A690" s="57"/>
    </row>
    <row r="691" spans="1:1" x14ac:dyDescent="0.25">
      <c r="A691" s="57"/>
    </row>
    <row r="692" spans="1:1" x14ac:dyDescent="0.25">
      <c r="A692" s="57"/>
    </row>
    <row r="693" spans="1:1" x14ac:dyDescent="0.25">
      <c r="A693" s="57"/>
    </row>
    <row r="694" spans="1:1" x14ac:dyDescent="0.25">
      <c r="A694" s="57"/>
    </row>
    <row r="695" spans="1:1" x14ac:dyDescent="0.25">
      <c r="A695" s="57"/>
    </row>
    <row r="696" spans="1:1" x14ac:dyDescent="0.25">
      <c r="A696" s="57"/>
    </row>
    <row r="697" spans="1:1" x14ac:dyDescent="0.25">
      <c r="A697" s="57"/>
    </row>
    <row r="698" spans="1:1" x14ac:dyDescent="0.25">
      <c r="A698" s="57"/>
    </row>
    <row r="699" spans="1:1" x14ac:dyDescent="0.25">
      <c r="A699" s="57"/>
    </row>
    <row r="700" spans="1:1" x14ac:dyDescent="0.25">
      <c r="A700" s="57"/>
    </row>
    <row r="701" spans="1:1" x14ac:dyDescent="0.25">
      <c r="A701" s="57"/>
    </row>
    <row r="702" spans="1:1" x14ac:dyDescent="0.25">
      <c r="A702" s="57"/>
    </row>
    <row r="703" spans="1:1" x14ac:dyDescent="0.25">
      <c r="A703" s="57"/>
    </row>
    <row r="704" spans="1:1" x14ac:dyDescent="0.25">
      <c r="A704" s="57"/>
    </row>
    <row r="705" spans="1:1" x14ac:dyDescent="0.25">
      <c r="A705" s="57"/>
    </row>
    <row r="706" spans="1:1" x14ac:dyDescent="0.25">
      <c r="A706" s="57"/>
    </row>
    <row r="707" spans="1:1" x14ac:dyDescent="0.25">
      <c r="A707" s="57"/>
    </row>
    <row r="708" spans="1:1" x14ac:dyDescent="0.25">
      <c r="A708" s="57"/>
    </row>
    <row r="709" spans="1:1" x14ac:dyDescent="0.25">
      <c r="A709" s="57"/>
    </row>
    <row r="710" spans="1:1" x14ac:dyDescent="0.25">
      <c r="A710" s="57"/>
    </row>
    <row r="711" spans="1:1" x14ac:dyDescent="0.25">
      <c r="A711" s="57"/>
    </row>
    <row r="712" spans="1:1" x14ac:dyDescent="0.25">
      <c r="A712" s="57"/>
    </row>
    <row r="713" spans="1:1" x14ac:dyDescent="0.25">
      <c r="A713" s="57"/>
    </row>
    <row r="714" spans="1:1" x14ac:dyDescent="0.25">
      <c r="A714" s="57"/>
    </row>
    <row r="715" spans="1:1" x14ac:dyDescent="0.25">
      <c r="A715" s="57"/>
    </row>
    <row r="716" spans="1:1" x14ac:dyDescent="0.25">
      <c r="A716" s="57"/>
    </row>
    <row r="717" spans="1:1" x14ac:dyDescent="0.25">
      <c r="A717" s="57"/>
    </row>
    <row r="718" spans="1:1" x14ac:dyDescent="0.25">
      <c r="A718" s="57"/>
    </row>
    <row r="719" spans="1:1" x14ac:dyDescent="0.25">
      <c r="A719" s="57"/>
    </row>
    <row r="720" spans="1:1" x14ac:dyDescent="0.25">
      <c r="A720" s="57"/>
    </row>
    <row r="721" spans="1:1" x14ac:dyDescent="0.25">
      <c r="A721" s="57"/>
    </row>
    <row r="722" spans="1:1" x14ac:dyDescent="0.25">
      <c r="A722" s="57"/>
    </row>
    <row r="723" spans="1:1" x14ac:dyDescent="0.25">
      <c r="A723" s="57"/>
    </row>
    <row r="724" spans="1:1" x14ac:dyDescent="0.25">
      <c r="A724" s="57"/>
    </row>
    <row r="725" spans="1:1" x14ac:dyDescent="0.25">
      <c r="A725" s="57"/>
    </row>
    <row r="726" spans="1:1" x14ac:dyDescent="0.25">
      <c r="A726" s="57"/>
    </row>
    <row r="727" spans="1:1" x14ac:dyDescent="0.25">
      <c r="A727" s="57"/>
    </row>
    <row r="728" spans="1:1" x14ac:dyDescent="0.25">
      <c r="A728" s="57"/>
    </row>
    <row r="729" spans="1:1" x14ac:dyDescent="0.25">
      <c r="A729" s="57"/>
    </row>
    <row r="730" spans="1:1" x14ac:dyDescent="0.25">
      <c r="A730" s="57"/>
    </row>
    <row r="731" spans="1:1" x14ac:dyDescent="0.25">
      <c r="A731" s="57"/>
    </row>
    <row r="732" spans="1:1" x14ac:dyDescent="0.25">
      <c r="A732" s="57"/>
    </row>
    <row r="733" spans="1:1" x14ac:dyDescent="0.25">
      <c r="A733" s="57"/>
    </row>
    <row r="734" spans="1:1" x14ac:dyDescent="0.25">
      <c r="A734" s="57"/>
    </row>
    <row r="735" spans="1:1" x14ac:dyDescent="0.25">
      <c r="A735" s="57"/>
    </row>
    <row r="736" spans="1:1" x14ac:dyDescent="0.25">
      <c r="A736" s="57"/>
    </row>
    <row r="737" spans="1:1" x14ac:dyDescent="0.25">
      <c r="A737" s="57"/>
    </row>
    <row r="738" spans="1:1" x14ac:dyDescent="0.25">
      <c r="A738" s="57"/>
    </row>
    <row r="739" spans="1:1" x14ac:dyDescent="0.25">
      <c r="A739" s="57"/>
    </row>
    <row r="740" spans="1:1" x14ac:dyDescent="0.25">
      <c r="A740" s="57"/>
    </row>
    <row r="741" spans="1:1" x14ac:dyDescent="0.25">
      <c r="A741" s="57"/>
    </row>
    <row r="742" spans="1:1" x14ac:dyDescent="0.25">
      <c r="A742" s="57"/>
    </row>
    <row r="743" spans="1:1" x14ac:dyDescent="0.25">
      <c r="A743" s="57"/>
    </row>
    <row r="744" spans="1:1" x14ac:dyDescent="0.25">
      <c r="A744" s="57"/>
    </row>
    <row r="745" spans="1:1" x14ac:dyDescent="0.25">
      <c r="A745" s="57"/>
    </row>
    <row r="746" spans="1:1" x14ac:dyDescent="0.25">
      <c r="A746" s="57"/>
    </row>
    <row r="747" spans="1:1" x14ac:dyDescent="0.25">
      <c r="A747" s="57"/>
    </row>
    <row r="748" spans="1:1" x14ac:dyDescent="0.25">
      <c r="A748" s="57"/>
    </row>
    <row r="749" spans="1:1" x14ac:dyDescent="0.25">
      <c r="A749" s="57"/>
    </row>
    <row r="750" spans="1:1" x14ac:dyDescent="0.25">
      <c r="A750" s="57"/>
    </row>
    <row r="751" spans="1:1" x14ac:dyDescent="0.25">
      <c r="A751" s="57"/>
    </row>
    <row r="752" spans="1:1" x14ac:dyDescent="0.25">
      <c r="A752" s="57"/>
    </row>
    <row r="753" spans="1:1" x14ac:dyDescent="0.25">
      <c r="A753" s="57"/>
    </row>
    <row r="754" spans="1:1" x14ac:dyDescent="0.25">
      <c r="A754" s="57"/>
    </row>
    <row r="755" spans="1:1" x14ac:dyDescent="0.25">
      <c r="A755" s="57"/>
    </row>
    <row r="756" spans="1:1" x14ac:dyDescent="0.25">
      <c r="A756" s="57"/>
    </row>
    <row r="757" spans="1:1" x14ac:dyDescent="0.25">
      <c r="A757" s="57"/>
    </row>
    <row r="758" spans="1:1" x14ac:dyDescent="0.25">
      <c r="A758" s="57"/>
    </row>
    <row r="759" spans="1:1" x14ac:dyDescent="0.25">
      <c r="A759" s="57"/>
    </row>
    <row r="760" spans="1:1" x14ac:dyDescent="0.25">
      <c r="A760" s="57"/>
    </row>
    <row r="761" spans="1:1" x14ac:dyDescent="0.25">
      <c r="A761" s="57"/>
    </row>
    <row r="762" spans="1:1" x14ac:dyDescent="0.25">
      <c r="A762" s="57"/>
    </row>
    <row r="763" spans="1:1" x14ac:dyDescent="0.25">
      <c r="A763" s="57"/>
    </row>
    <row r="764" spans="1:1" x14ac:dyDescent="0.25">
      <c r="A764" s="57"/>
    </row>
    <row r="765" spans="1:1" x14ac:dyDescent="0.25">
      <c r="A765" s="57"/>
    </row>
    <row r="766" spans="1:1" x14ac:dyDescent="0.25">
      <c r="A766" s="57"/>
    </row>
    <row r="767" spans="1:1" x14ac:dyDescent="0.25">
      <c r="A767" s="57"/>
    </row>
    <row r="768" spans="1:1" x14ac:dyDescent="0.25">
      <c r="A768" s="57"/>
    </row>
    <row r="769" spans="1:1" x14ac:dyDescent="0.25">
      <c r="A769" s="57"/>
    </row>
    <row r="770" spans="1:1" x14ac:dyDescent="0.25">
      <c r="A770" s="57"/>
    </row>
    <row r="771" spans="1:1" x14ac:dyDescent="0.25">
      <c r="A771" s="57"/>
    </row>
    <row r="772" spans="1:1" x14ac:dyDescent="0.25">
      <c r="A772" s="57"/>
    </row>
    <row r="773" spans="1:1" x14ac:dyDescent="0.25">
      <c r="A773" s="57"/>
    </row>
    <row r="774" spans="1:1" x14ac:dyDescent="0.25">
      <c r="A774" s="57"/>
    </row>
    <row r="775" spans="1:1" x14ac:dyDescent="0.25">
      <c r="A775" s="57"/>
    </row>
    <row r="776" spans="1:1" x14ac:dyDescent="0.25">
      <c r="A776" s="57"/>
    </row>
    <row r="777" spans="1:1" x14ac:dyDescent="0.25">
      <c r="A777" s="57"/>
    </row>
    <row r="778" spans="1:1" x14ac:dyDescent="0.25">
      <c r="A778" s="57"/>
    </row>
    <row r="779" spans="1:1" x14ac:dyDescent="0.25">
      <c r="A779" s="57"/>
    </row>
    <row r="780" spans="1:1" x14ac:dyDescent="0.25">
      <c r="A780" s="57"/>
    </row>
    <row r="781" spans="1:1" x14ac:dyDescent="0.25">
      <c r="A781" s="57"/>
    </row>
    <row r="782" spans="1:1" x14ac:dyDescent="0.25">
      <c r="A782" s="57"/>
    </row>
    <row r="783" spans="1:1" x14ac:dyDescent="0.25">
      <c r="A783" s="57"/>
    </row>
    <row r="784" spans="1:1" x14ac:dyDescent="0.25">
      <c r="A784" s="57"/>
    </row>
    <row r="785" spans="1:1" x14ac:dyDescent="0.25">
      <c r="A785" s="57"/>
    </row>
    <row r="786" spans="1:1" x14ac:dyDescent="0.25">
      <c r="A786" s="57"/>
    </row>
    <row r="787" spans="1:1" x14ac:dyDescent="0.25">
      <c r="A787" s="57"/>
    </row>
    <row r="788" spans="1:1" x14ac:dyDescent="0.25">
      <c r="A788" s="57"/>
    </row>
    <row r="789" spans="1:1" x14ac:dyDescent="0.25">
      <c r="A789" s="57"/>
    </row>
    <row r="790" spans="1:1" x14ac:dyDescent="0.25">
      <c r="A790" s="57"/>
    </row>
    <row r="791" spans="1:1" x14ac:dyDescent="0.25">
      <c r="A791" s="57"/>
    </row>
    <row r="792" spans="1:1" x14ac:dyDescent="0.25">
      <c r="A792" s="57"/>
    </row>
    <row r="793" spans="1:1" x14ac:dyDescent="0.25">
      <c r="A793" s="57"/>
    </row>
    <row r="794" spans="1:1" x14ac:dyDescent="0.25">
      <c r="A794" s="57"/>
    </row>
    <row r="795" spans="1:1" x14ac:dyDescent="0.25">
      <c r="A795" s="57"/>
    </row>
    <row r="796" spans="1:1" x14ac:dyDescent="0.25">
      <c r="A796" s="57"/>
    </row>
    <row r="797" spans="1:1" x14ac:dyDescent="0.25">
      <c r="A797" s="57"/>
    </row>
    <row r="798" spans="1:1" x14ac:dyDescent="0.25">
      <c r="A798" s="57"/>
    </row>
    <row r="799" spans="1:1" x14ac:dyDescent="0.25">
      <c r="A799" s="57"/>
    </row>
    <row r="800" spans="1:1" x14ac:dyDescent="0.25">
      <c r="A800" s="57"/>
    </row>
    <row r="801" spans="1:1" x14ac:dyDescent="0.25">
      <c r="A801" s="57"/>
    </row>
    <row r="802" spans="1:1" x14ac:dyDescent="0.25">
      <c r="A802" s="57"/>
    </row>
    <row r="803" spans="1:1" x14ac:dyDescent="0.25">
      <c r="A803" s="57"/>
    </row>
    <row r="804" spans="1:1" x14ac:dyDescent="0.25">
      <c r="A804" s="57"/>
    </row>
    <row r="805" spans="1:1" x14ac:dyDescent="0.25">
      <c r="A805" s="57"/>
    </row>
    <row r="806" spans="1:1" x14ac:dyDescent="0.25">
      <c r="A806" s="57"/>
    </row>
    <row r="807" spans="1:1" x14ac:dyDescent="0.25">
      <c r="A807" s="57"/>
    </row>
    <row r="808" spans="1:1" x14ac:dyDescent="0.25">
      <c r="A808" s="57"/>
    </row>
    <row r="809" spans="1:1" x14ac:dyDescent="0.25">
      <c r="A809" s="57"/>
    </row>
    <row r="810" spans="1:1" x14ac:dyDescent="0.25">
      <c r="A810" s="57"/>
    </row>
    <row r="811" spans="1:1" x14ac:dyDescent="0.25">
      <c r="A811" s="57"/>
    </row>
    <row r="812" spans="1:1" x14ac:dyDescent="0.25">
      <c r="A812" s="57"/>
    </row>
    <row r="813" spans="1:1" x14ac:dyDescent="0.25">
      <c r="A813" s="57"/>
    </row>
    <row r="814" spans="1:1" x14ac:dyDescent="0.25">
      <c r="A814" s="57"/>
    </row>
    <row r="815" spans="1:1" x14ac:dyDescent="0.25">
      <c r="A815" s="57"/>
    </row>
    <row r="816" spans="1:1" x14ac:dyDescent="0.25">
      <c r="A816" s="57"/>
    </row>
    <row r="817" spans="1:1" x14ac:dyDescent="0.25">
      <c r="A817" s="57"/>
    </row>
    <row r="818" spans="1:1" x14ac:dyDescent="0.25">
      <c r="A818" s="57"/>
    </row>
    <row r="819" spans="1:1" x14ac:dyDescent="0.25">
      <c r="A819" s="57"/>
    </row>
    <row r="820" spans="1:1" x14ac:dyDescent="0.25">
      <c r="A820" s="57"/>
    </row>
    <row r="821" spans="1:1" x14ac:dyDescent="0.25">
      <c r="A821" s="57"/>
    </row>
    <row r="822" spans="1:1" x14ac:dyDescent="0.25">
      <c r="A822" s="57"/>
    </row>
    <row r="823" spans="1:1" x14ac:dyDescent="0.25">
      <c r="A823" s="57"/>
    </row>
    <row r="824" spans="1:1" x14ac:dyDescent="0.25">
      <c r="A824" s="57"/>
    </row>
    <row r="825" spans="1:1" x14ac:dyDescent="0.25">
      <c r="A825" s="57"/>
    </row>
    <row r="826" spans="1:1" x14ac:dyDescent="0.25">
      <c r="A826" s="57"/>
    </row>
    <row r="827" spans="1:1" x14ac:dyDescent="0.25">
      <c r="A827" s="57"/>
    </row>
    <row r="828" spans="1:1" x14ac:dyDescent="0.25">
      <c r="A828" s="57"/>
    </row>
    <row r="829" spans="1:1" x14ac:dyDescent="0.25">
      <c r="A829" s="57"/>
    </row>
    <row r="830" spans="1:1" x14ac:dyDescent="0.25">
      <c r="A830" s="57"/>
    </row>
    <row r="831" spans="1:1" x14ac:dyDescent="0.25">
      <c r="A831" s="57"/>
    </row>
    <row r="832" spans="1:1" x14ac:dyDescent="0.25">
      <c r="A832" s="57"/>
    </row>
    <row r="833" spans="1:1" x14ac:dyDescent="0.25">
      <c r="A833" s="57"/>
    </row>
    <row r="834" spans="1:1" x14ac:dyDescent="0.25">
      <c r="A834" s="57"/>
    </row>
    <row r="835" spans="1:1" x14ac:dyDescent="0.25">
      <c r="A835" s="57"/>
    </row>
    <row r="836" spans="1:1" x14ac:dyDescent="0.25">
      <c r="A836" s="57"/>
    </row>
    <row r="837" spans="1:1" x14ac:dyDescent="0.25">
      <c r="A837" s="57"/>
    </row>
    <row r="838" spans="1:1" x14ac:dyDescent="0.25">
      <c r="A838" s="57"/>
    </row>
    <row r="839" spans="1:1" x14ac:dyDescent="0.25">
      <c r="A839" s="57"/>
    </row>
    <row r="840" spans="1:1" x14ac:dyDescent="0.25">
      <c r="A840" s="57"/>
    </row>
    <row r="841" spans="1:1" x14ac:dyDescent="0.25">
      <c r="A841" s="57"/>
    </row>
    <row r="842" spans="1:1" x14ac:dyDescent="0.25">
      <c r="A842" s="57"/>
    </row>
    <row r="843" spans="1:1" x14ac:dyDescent="0.25">
      <c r="A843" s="57"/>
    </row>
    <row r="844" spans="1:1" x14ac:dyDescent="0.25">
      <c r="A844" s="57"/>
    </row>
    <row r="845" spans="1:1" x14ac:dyDescent="0.25">
      <c r="A845" s="57"/>
    </row>
    <row r="846" spans="1:1" x14ac:dyDescent="0.25">
      <c r="A846" s="57"/>
    </row>
    <row r="847" spans="1:1" x14ac:dyDescent="0.25">
      <c r="A847" s="57"/>
    </row>
    <row r="848" spans="1:1" x14ac:dyDescent="0.25">
      <c r="A848" s="57"/>
    </row>
    <row r="849" spans="1:1" x14ac:dyDescent="0.25">
      <c r="A849" s="57"/>
    </row>
    <row r="850" spans="1:1" x14ac:dyDescent="0.25">
      <c r="A850" s="57"/>
    </row>
    <row r="851" spans="1:1" x14ac:dyDescent="0.25">
      <c r="A851" s="57"/>
    </row>
    <row r="852" spans="1:1" x14ac:dyDescent="0.25">
      <c r="A852" s="57"/>
    </row>
    <row r="853" spans="1:1" x14ac:dyDescent="0.25">
      <c r="A853" s="57"/>
    </row>
    <row r="854" spans="1:1" x14ac:dyDescent="0.25">
      <c r="A854" s="57"/>
    </row>
    <row r="855" spans="1:1" x14ac:dyDescent="0.25">
      <c r="A855" s="57"/>
    </row>
    <row r="856" spans="1:1" x14ac:dyDescent="0.25">
      <c r="A856" s="57"/>
    </row>
    <row r="857" spans="1:1" x14ac:dyDescent="0.25">
      <c r="A857" s="57"/>
    </row>
    <row r="858" spans="1:1" x14ac:dyDescent="0.25">
      <c r="A858" s="57"/>
    </row>
    <row r="859" spans="1:1" x14ac:dyDescent="0.25">
      <c r="A859" s="57"/>
    </row>
    <row r="860" spans="1:1" x14ac:dyDescent="0.25">
      <c r="A860" s="57"/>
    </row>
    <row r="861" spans="1:1" x14ac:dyDescent="0.25">
      <c r="A861" s="57"/>
    </row>
    <row r="862" spans="1:1" x14ac:dyDescent="0.25">
      <c r="A862" s="57"/>
    </row>
    <row r="863" spans="1:1" x14ac:dyDescent="0.25">
      <c r="A863" s="57"/>
    </row>
    <row r="864" spans="1:1" x14ac:dyDescent="0.25">
      <c r="A864" s="57"/>
    </row>
    <row r="865" spans="1:1" x14ac:dyDescent="0.25">
      <c r="A865" s="57"/>
    </row>
    <row r="866" spans="1:1" x14ac:dyDescent="0.25">
      <c r="A866" s="57"/>
    </row>
    <row r="867" spans="1:1" x14ac:dyDescent="0.25">
      <c r="A867" s="57"/>
    </row>
    <row r="868" spans="1:1" x14ac:dyDescent="0.25">
      <c r="A868" s="57"/>
    </row>
    <row r="869" spans="1:1" x14ac:dyDescent="0.25">
      <c r="A869" s="57"/>
    </row>
    <row r="870" spans="1:1" x14ac:dyDescent="0.25">
      <c r="A870" s="57"/>
    </row>
    <row r="871" spans="1:1" x14ac:dyDescent="0.25">
      <c r="A871" s="57"/>
    </row>
    <row r="872" spans="1:1" x14ac:dyDescent="0.25">
      <c r="A872" s="57"/>
    </row>
    <row r="873" spans="1:1" x14ac:dyDescent="0.25">
      <c r="A873" s="57"/>
    </row>
    <row r="874" spans="1:1" x14ac:dyDescent="0.25">
      <c r="A874" s="57"/>
    </row>
    <row r="875" spans="1:1" x14ac:dyDescent="0.25">
      <c r="A875" s="57"/>
    </row>
    <row r="876" spans="1:1" x14ac:dyDescent="0.25">
      <c r="A876" s="57"/>
    </row>
    <row r="877" spans="1:1" x14ac:dyDescent="0.25">
      <c r="A877" s="57"/>
    </row>
    <row r="878" spans="1:1" x14ac:dyDescent="0.25">
      <c r="A878" s="57"/>
    </row>
    <row r="879" spans="1:1" x14ac:dyDescent="0.25">
      <c r="A879" s="57"/>
    </row>
    <row r="880" spans="1:1" x14ac:dyDescent="0.25">
      <c r="A880" s="57"/>
    </row>
    <row r="881" spans="1:1" x14ac:dyDescent="0.25">
      <c r="A881" s="57"/>
    </row>
    <row r="882" spans="1:1" x14ac:dyDescent="0.25">
      <c r="A882" s="57"/>
    </row>
    <row r="883" spans="1:1" x14ac:dyDescent="0.25">
      <c r="A883" s="57"/>
    </row>
    <row r="884" spans="1:1" x14ac:dyDescent="0.25">
      <c r="A884" s="57"/>
    </row>
    <row r="885" spans="1:1" x14ac:dyDescent="0.25">
      <c r="A885" s="57"/>
    </row>
    <row r="886" spans="1:1" x14ac:dyDescent="0.25">
      <c r="A886" s="57"/>
    </row>
    <row r="887" spans="1:1" x14ac:dyDescent="0.25">
      <c r="A887" s="57"/>
    </row>
    <row r="888" spans="1:1" x14ac:dyDescent="0.25">
      <c r="A888" s="57"/>
    </row>
    <row r="889" spans="1:1" x14ac:dyDescent="0.25">
      <c r="A889" s="57"/>
    </row>
    <row r="890" spans="1:1" x14ac:dyDescent="0.25">
      <c r="A890" s="57"/>
    </row>
    <row r="891" spans="1:1" x14ac:dyDescent="0.25">
      <c r="A891" s="57"/>
    </row>
    <row r="892" spans="1:1" x14ac:dyDescent="0.25">
      <c r="A892" s="57"/>
    </row>
    <row r="893" spans="1:1" x14ac:dyDescent="0.25">
      <c r="A893" s="57"/>
    </row>
    <row r="894" spans="1:1" x14ac:dyDescent="0.25">
      <c r="A894" s="57"/>
    </row>
    <row r="895" spans="1:1" x14ac:dyDescent="0.25">
      <c r="A895" s="57"/>
    </row>
    <row r="896" spans="1:1" x14ac:dyDescent="0.25">
      <c r="A896" s="57"/>
    </row>
    <row r="897" spans="1:1" x14ac:dyDescent="0.25">
      <c r="A897" s="57"/>
    </row>
    <row r="898" spans="1:1" x14ac:dyDescent="0.25">
      <c r="A898" s="57"/>
    </row>
    <row r="899" spans="1:1" x14ac:dyDescent="0.25">
      <c r="A899" s="57"/>
    </row>
    <row r="900" spans="1:1" x14ac:dyDescent="0.25">
      <c r="A900" s="57"/>
    </row>
    <row r="901" spans="1:1" x14ac:dyDescent="0.25">
      <c r="A901" s="57"/>
    </row>
    <row r="902" spans="1:1" x14ac:dyDescent="0.25">
      <c r="A902" s="57"/>
    </row>
    <row r="903" spans="1:1" x14ac:dyDescent="0.25">
      <c r="A903" s="57"/>
    </row>
    <row r="904" spans="1:1" x14ac:dyDescent="0.25">
      <c r="A904" s="57"/>
    </row>
    <row r="905" spans="1:1" x14ac:dyDescent="0.25">
      <c r="A905" s="57"/>
    </row>
    <row r="906" spans="1:1" x14ac:dyDescent="0.25">
      <c r="A906" s="57"/>
    </row>
    <row r="907" spans="1:1" x14ac:dyDescent="0.25">
      <c r="A907" s="57"/>
    </row>
    <row r="908" spans="1:1" x14ac:dyDescent="0.25">
      <c r="A908" s="57"/>
    </row>
    <row r="909" spans="1:1" x14ac:dyDescent="0.25">
      <c r="A909" s="57"/>
    </row>
    <row r="910" spans="1:1" x14ac:dyDescent="0.25">
      <c r="A910" s="57"/>
    </row>
    <row r="911" spans="1:1" x14ac:dyDescent="0.25">
      <c r="A911" s="57"/>
    </row>
    <row r="912" spans="1:1" x14ac:dyDescent="0.25">
      <c r="A912" s="57"/>
    </row>
    <row r="913" spans="1:1" x14ac:dyDescent="0.25">
      <c r="A913" s="57"/>
    </row>
    <row r="914" spans="1:1" x14ac:dyDescent="0.25">
      <c r="A914" s="57"/>
    </row>
    <row r="915" spans="1:1" x14ac:dyDescent="0.25">
      <c r="A915" s="57"/>
    </row>
    <row r="916" spans="1:1" x14ac:dyDescent="0.25">
      <c r="A916" s="57"/>
    </row>
    <row r="917" spans="1:1" x14ac:dyDescent="0.25">
      <c r="A917" s="57"/>
    </row>
    <row r="918" spans="1:1" x14ac:dyDescent="0.25">
      <c r="A918" s="57"/>
    </row>
    <row r="919" spans="1:1" x14ac:dyDescent="0.25">
      <c r="A919" s="57"/>
    </row>
    <row r="920" spans="1:1" x14ac:dyDescent="0.25">
      <c r="A920" s="57"/>
    </row>
    <row r="921" spans="1:1" x14ac:dyDescent="0.25">
      <c r="A921" s="57"/>
    </row>
    <row r="922" spans="1:1" x14ac:dyDescent="0.25">
      <c r="A922" s="57"/>
    </row>
    <row r="923" spans="1:1" x14ac:dyDescent="0.25">
      <c r="A923" s="57"/>
    </row>
    <row r="924" spans="1:1" x14ac:dyDescent="0.25">
      <c r="A924" s="57"/>
    </row>
    <row r="925" spans="1:1" x14ac:dyDescent="0.25">
      <c r="A925" s="57"/>
    </row>
    <row r="926" spans="1:1" x14ac:dyDescent="0.25">
      <c r="A926" s="57"/>
    </row>
    <row r="927" spans="1:1" x14ac:dyDescent="0.25">
      <c r="A927" s="57"/>
    </row>
    <row r="928" spans="1:1" x14ac:dyDescent="0.25">
      <c r="A928" s="57"/>
    </row>
    <row r="929" spans="1:1" x14ac:dyDescent="0.25">
      <c r="A929" s="57"/>
    </row>
    <row r="930" spans="1:1" x14ac:dyDescent="0.25">
      <c r="A930" s="57"/>
    </row>
    <row r="931" spans="1:1" x14ac:dyDescent="0.25">
      <c r="A931" s="57"/>
    </row>
    <row r="932" spans="1:1" x14ac:dyDescent="0.25">
      <c r="A932" s="57"/>
    </row>
    <row r="933" spans="1:1" x14ac:dyDescent="0.25">
      <c r="A933" s="57"/>
    </row>
    <row r="934" spans="1:1" x14ac:dyDescent="0.25">
      <c r="A934" s="57"/>
    </row>
    <row r="935" spans="1:1" x14ac:dyDescent="0.25">
      <c r="A935" s="57"/>
    </row>
    <row r="936" spans="1:1" x14ac:dyDescent="0.25">
      <c r="A936" s="57"/>
    </row>
    <row r="937" spans="1:1" x14ac:dyDescent="0.25">
      <c r="A937" s="57"/>
    </row>
    <row r="938" spans="1:1" x14ac:dyDescent="0.25">
      <c r="A938" s="57"/>
    </row>
    <row r="939" spans="1:1" x14ac:dyDescent="0.25">
      <c r="A939" s="57"/>
    </row>
    <row r="940" spans="1:1" x14ac:dyDescent="0.25">
      <c r="A940" s="57"/>
    </row>
    <row r="941" spans="1:1" x14ac:dyDescent="0.25">
      <c r="A941" s="57"/>
    </row>
    <row r="942" spans="1:1" x14ac:dyDescent="0.25">
      <c r="A942" s="57"/>
    </row>
    <row r="943" spans="1:1" x14ac:dyDescent="0.25">
      <c r="A943" s="57"/>
    </row>
    <row r="944" spans="1:1" x14ac:dyDescent="0.25">
      <c r="A944" s="57"/>
    </row>
    <row r="945" spans="1:1" x14ac:dyDescent="0.25">
      <c r="A945" s="57"/>
    </row>
    <row r="946" spans="1:1" x14ac:dyDescent="0.25">
      <c r="A946" s="57"/>
    </row>
    <row r="947" spans="1:1" x14ac:dyDescent="0.25">
      <c r="A947" s="57"/>
    </row>
    <row r="948" spans="1:1" x14ac:dyDescent="0.25">
      <c r="A948" s="57"/>
    </row>
    <row r="949" spans="1:1" x14ac:dyDescent="0.25">
      <c r="A949" s="57"/>
    </row>
    <row r="950" spans="1:1" x14ac:dyDescent="0.25">
      <c r="A950" s="57"/>
    </row>
    <row r="951" spans="1:1" x14ac:dyDescent="0.25">
      <c r="A951" s="57"/>
    </row>
    <row r="952" spans="1:1" x14ac:dyDescent="0.25">
      <c r="A952" s="57"/>
    </row>
    <row r="953" spans="1:1" x14ac:dyDescent="0.25">
      <c r="A953" s="57"/>
    </row>
    <row r="954" spans="1:1" x14ac:dyDescent="0.25">
      <c r="A954" s="57"/>
    </row>
    <row r="955" spans="1:1" x14ac:dyDescent="0.25">
      <c r="A955" s="57"/>
    </row>
    <row r="956" spans="1:1" x14ac:dyDescent="0.25">
      <c r="A956" s="57"/>
    </row>
    <row r="957" spans="1:1" x14ac:dyDescent="0.25">
      <c r="A957" s="57"/>
    </row>
    <row r="958" spans="1:1" x14ac:dyDescent="0.25">
      <c r="A958" s="57"/>
    </row>
    <row r="959" spans="1:1" x14ac:dyDescent="0.25">
      <c r="A959" s="57"/>
    </row>
    <row r="960" spans="1:1" x14ac:dyDescent="0.25">
      <c r="A960" s="57"/>
    </row>
    <row r="961" spans="1:1" x14ac:dyDescent="0.25">
      <c r="A961" s="57"/>
    </row>
    <row r="962" spans="1:1" x14ac:dyDescent="0.25">
      <c r="A962" s="57"/>
    </row>
    <row r="963" spans="1:1" x14ac:dyDescent="0.25">
      <c r="A963" s="57"/>
    </row>
    <row r="964" spans="1:1" x14ac:dyDescent="0.25">
      <c r="A964" s="57"/>
    </row>
    <row r="965" spans="1:1" x14ac:dyDescent="0.25">
      <c r="A965" s="57"/>
    </row>
    <row r="966" spans="1:1" x14ac:dyDescent="0.25">
      <c r="A966" s="57"/>
    </row>
    <row r="967" spans="1:1" x14ac:dyDescent="0.25">
      <c r="A967" s="57"/>
    </row>
    <row r="968" spans="1:1" x14ac:dyDescent="0.25">
      <c r="A968" s="57"/>
    </row>
    <row r="969" spans="1:1" x14ac:dyDescent="0.25">
      <c r="A969" s="57"/>
    </row>
    <row r="970" spans="1:1" x14ac:dyDescent="0.25">
      <c r="A970" s="57"/>
    </row>
    <row r="971" spans="1:1" x14ac:dyDescent="0.25">
      <c r="A971" s="57"/>
    </row>
    <row r="972" spans="1:1" x14ac:dyDescent="0.25">
      <c r="A972" s="57"/>
    </row>
    <row r="973" spans="1:1" x14ac:dyDescent="0.25">
      <c r="A973" s="57"/>
    </row>
    <row r="974" spans="1:1" x14ac:dyDescent="0.25">
      <c r="A974" s="57"/>
    </row>
    <row r="975" spans="1:1" x14ac:dyDescent="0.25">
      <c r="A975" s="57"/>
    </row>
    <row r="976" spans="1:1" x14ac:dyDescent="0.25">
      <c r="A976" s="57"/>
    </row>
    <row r="977" spans="1:1" x14ac:dyDescent="0.25">
      <c r="A977" s="57"/>
    </row>
    <row r="978" spans="1:1" x14ac:dyDescent="0.25">
      <c r="A978" s="57"/>
    </row>
    <row r="979" spans="1:1" x14ac:dyDescent="0.25">
      <c r="A979" s="57"/>
    </row>
    <row r="980" spans="1:1" x14ac:dyDescent="0.25">
      <c r="A980" s="57"/>
    </row>
    <row r="981" spans="1:1" x14ac:dyDescent="0.25">
      <c r="A981" s="57"/>
    </row>
    <row r="982" spans="1:1" x14ac:dyDescent="0.25">
      <c r="A982" s="57"/>
    </row>
    <row r="983" spans="1:1" x14ac:dyDescent="0.25">
      <c r="A983" s="57"/>
    </row>
    <row r="984" spans="1:1" x14ac:dyDescent="0.25">
      <c r="A984" s="57"/>
    </row>
    <row r="985" spans="1:1" x14ac:dyDescent="0.25">
      <c r="A985" s="57"/>
    </row>
    <row r="986" spans="1:1" x14ac:dyDescent="0.25">
      <c r="A986" s="57"/>
    </row>
    <row r="987" spans="1:1" x14ac:dyDescent="0.25">
      <c r="A987" s="57"/>
    </row>
    <row r="988" spans="1:1" x14ac:dyDescent="0.25">
      <c r="A988" s="57"/>
    </row>
    <row r="989" spans="1:1" x14ac:dyDescent="0.25">
      <c r="A989" s="57"/>
    </row>
    <row r="990" spans="1:1" x14ac:dyDescent="0.25">
      <c r="A990" s="57"/>
    </row>
    <row r="991" spans="1:1" x14ac:dyDescent="0.25">
      <c r="A991" s="57"/>
    </row>
    <row r="992" spans="1:1" x14ac:dyDescent="0.25">
      <c r="A992" s="57"/>
    </row>
    <row r="993" spans="1:1" x14ac:dyDescent="0.25">
      <c r="A993" s="57"/>
    </row>
    <row r="994" spans="1:1" x14ac:dyDescent="0.25">
      <c r="A994" s="57"/>
    </row>
    <row r="995" spans="1:1" x14ac:dyDescent="0.25">
      <c r="A995" s="57"/>
    </row>
    <row r="996" spans="1:1" x14ac:dyDescent="0.25">
      <c r="A996" s="57"/>
    </row>
    <row r="997" spans="1:1" x14ac:dyDescent="0.25">
      <c r="A997" s="57"/>
    </row>
    <row r="998" spans="1:1" x14ac:dyDescent="0.25">
      <c r="A998" s="57"/>
    </row>
    <row r="999" spans="1:1" x14ac:dyDescent="0.25">
      <c r="A999" s="57"/>
    </row>
    <row r="1000" spans="1:1" x14ac:dyDescent="0.25">
      <c r="A1000" s="57"/>
    </row>
    <row r="1001" spans="1:1" x14ac:dyDescent="0.25">
      <c r="A1001" s="57"/>
    </row>
    <row r="1002" spans="1:1" x14ac:dyDescent="0.25">
      <c r="A1002" s="57"/>
    </row>
    <row r="1003" spans="1:1" x14ac:dyDescent="0.25">
      <c r="A1003" s="57"/>
    </row>
    <row r="1004" spans="1:1" x14ac:dyDescent="0.25">
      <c r="A1004" s="57"/>
    </row>
    <row r="1005" spans="1:1" x14ac:dyDescent="0.25">
      <c r="A1005" s="57"/>
    </row>
    <row r="1006" spans="1:1" x14ac:dyDescent="0.25">
      <c r="A1006" s="57"/>
    </row>
    <row r="1007" spans="1:1" x14ac:dyDescent="0.25">
      <c r="A1007" s="57"/>
    </row>
    <row r="1008" spans="1:1" x14ac:dyDescent="0.25">
      <c r="A1008" s="57"/>
    </row>
    <row r="1009" spans="1:1" x14ac:dyDescent="0.25">
      <c r="A1009" s="57"/>
    </row>
    <row r="1010" spans="1:1" x14ac:dyDescent="0.25">
      <c r="A1010" s="57"/>
    </row>
    <row r="1011" spans="1:1" x14ac:dyDescent="0.25">
      <c r="A1011" s="57"/>
    </row>
    <row r="1012" spans="1:1" x14ac:dyDescent="0.25">
      <c r="A1012" s="57"/>
    </row>
    <row r="1013" spans="1:1" x14ac:dyDescent="0.25">
      <c r="A1013" s="57"/>
    </row>
    <row r="1014" spans="1:1" x14ac:dyDescent="0.25">
      <c r="A1014" s="57"/>
    </row>
    <row r="1015" spans="1:1" x14ac:dyDescent="0.25">
      <c r="A1015" s="57"/>
    </row>
    <row r="1016" spans="1:1" x14ac:dyDescent="0.25">
      <c r="A1016" s="57"/>
    </row>
    <row r="1017" spans="1:1" x14ac:dyDescent="0.25">
      <c r="A1017" s="57"/>
    </row>
    <row r="1018" spans="1:1" x14ac:dyDescent="0.25">
      <c r="A1018" s="57"/>
    </row>
    <row r="1019" spans="1:1" x14ac:dyDescent="0.25">
      <c r="A1019" s="57"/>
    </row>
    <row r="1020" spans="1:1" x14ac:dyDescent="0.25">
      <c r="A1020" s="57"/>
    </row>
    <row r="1021" spans="1:1" x14ac:dyDescent="0.25">
      <c r="A1021" s="57"/>
    </row>
    <row r="1022" spans="1:1" x14ac:dyDescent="0.25">
      <c r="A1022" s="57"/>
    </row>
    <row r="1023" spans="1:1" x14ac:dyDescent="0.25">
      <c r="A1023" s="57"/>
    </row>
    <row r="1024" spans="1:1" x14ac:dyDescent="0.25">
      <c r="A1024" s="57"/>
    </row>
    <row r="1025" spans="1:1" x14ac:dyDescent="0.25">
      <c r="A1025" s="57"/>
    </row>
    <row r="1026" spans="1:1" x14ac:dyDescent="0.25">
      <c r="A1026" s="57"/>
    </row>
    <row r="1027" spans="1:1" x14ac:dyDescent="0.25">
      <c r="A1027" s="57"/>
    </row>
    <row r="1028" spans="1:1" x14ac:dyDescent="0.25">
      <c r="A1028" s="57"/>
    </row>
    <row r="1029" spans="1:1" x14ac:dyDescent="0.25">
      <c r="A1029" s="57"/>
    </row>
    <row r="1030" spans="1:1" x14ac:dyDescent="0.25">
      <c r="A1030" s="57"/>
    </row>
    <row r="1031" spans="1:1" x14ac:dyDescent="0.25">
      <c r="A1031" s="57"/>
    </row>
    <row r="1032" spans="1:1" x14ac:dyDescent="0.25">
      <c r="A1032" s="57"/>
    </row>
    <row r="1033" spans="1:1" x14ac:dyDescent="0.25">
      <c r="A1033" s="57"/>
    </row>
    <row r="1034" spans="1:1" x14ac:dyDescent="0.25">
      <c r="A1034" s="57"/>
    </row>
    <row r="1035" spans="1:1" x14ac:dyDescent="0.25">
      <c r="A1035" s="57"/>
    </row>
    <row r="1036" spans="1:1" x14ac:dyDescent="0.25">
      <c r="A1036" s="57"/>
    </row>
    <row r="1037" spans="1:1" x14ac:dyDescent="0.25">
      <c r="A1037" s="57"/>
    </row>
    <row r="1038" spans="1:1" x14ac:dyDescent="0.25">
      <c r="A1038" s="57"/>
    </row>
    <row r="1039" spans="1:1" x14ac:dyDescent="0.25">
      <c r="A1039" s="57"/>
    </row>
    <row r="1040" spans="1:1" x14ac:dyDescent="0.25">
      <c r="A1040" s="57"/>
    </row>
    <row r="1041" spans="1:1" x14ac:dyDescent="0.25">
      <c r="A1041" s="57"/>
    </row>
    <row r="1042" spans="1:1" x14ac:dyDescent="0.25">
      <c r="A1042" s="57"/>
    </row>
    <row r="1043" spans="1:1" x14ac:dyDescent="0.25">
      <c r="A1043" s="57"/>
    </row>
  </sheetData>
  <mergeCells count="6">
    <mergeCell ref="A8:D8"/>
    <mergeCell ref="D1:G1"/>
    <mergeCell ref="A2:H2"/>
    <mergeCell ref="A7:D7"/>
    <mergeCell ref="G9:I9"/>
    <mergeCell ref="A6:F6"/>
  </mergeCells>
  <pageMargins left="0.7" right="0.7" top="0.75" bottom="0.75" header="0.511811023622047" footer="0.511811023622047"/>
  <pageSetup paperSize="9" scale="60" orientation="portrait" horizontalDpi="300" verticalDpi="300" r:id="rId1"/>
  <colBreaks count="1" manualBreakCount="1">
    <brk id="6" max="7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T1068"/>
  <sheetViews>
    <sheetView view="pageBreakPreview" zoomScale="72" zoomScaleNormal="75" zoomScaleSheetLayoutView="72" zoomScalePageLayoutView="91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F58" sqref="F58"/>
    </sheetView>
  </sheetViews>
  <sheetFormatPr defaultColWidth="9.109375" defaultRowHeight="13.2" x14ac:dyDescent="0.25"/>
  <cols>
    <col min="1" max="1" width="6.33203125" style="6" customWidth="1"/>
    <col min="2" max="2" width="13.5546875" style="110" customWidth="1"/>
    <col min="3" max="3" width="16.109375" style="57" customWidth="1"/>
    <col min="4" max="4" width="26.5546875" style="57" customWidth="1"/>
    <col min="5" max="5" width="39.33203125" style="57" customWidth="1"/>
    <col min="6" max="6" width="29" style="57" customWidth="1"/>
    <col min="7" max="7" width="16" style="12" customWidth="1"/>
    <col min="8" max="8" width="15.5546875" style="12" customWidth="1"/>
    <col min="9" max="9" width="18.6640625" style="12" customWidth="1"/>
    <col min="10" max="11" width="15.5546875" style="12" customWidth="1"/>
    <col min="12" max="12" width="15.5546875" style="127" customWidth="1"/>
    <col min="13" max="13" width="15.6640625" style="57" customWidth="1"/>
    <col min="14" max="14" width="12.6640625" style="57" customWidth="1"/>
    <col min="15" max="254" width="9.109375" style="57"/>
  </cols>
  <sheetData>
    <row r="1" spans="1:13" ht="30" customHeight="1" x14ac:dyDescent="0.25">
      <c r="D1" s="730" t="s">
        <v>0</v>
      </c>
      <c r="E1" s="730"/>
      <c r="F1" s="730"/>
      <c r="G1" s="730"/>
      <c r="K1" s="259"/>
    </row>
    <row r="2" spans="1:13" ht="26.25" customHeight="1" x14ac:dyDescent="0.25">
      <c r="A2" s="730" t="s">
        <v>66</v>
      </c>
      <c r="B2" s="730"/>
      <c r="C2" s="730"/>
      <c r="D2" s="730"/>
      <c r="E2" s="730"/>
      <c r="F2" s="730"/>
      <c r="G2" s="730"/>
      <c r="H2" s="730"/>
      <c r="I2" s="324" t="s">
        <v>73</v>
      </c>
      <c r="J2" s="325">
        <v>272491.84000000003</v>
      </c>
      <c r="K2" s="401"/>
    </row>
    <row r="3" spans="1:13" ht="20.25" customHeight="1" x14ac:dyDescent="0.25">
      <c r="D3" s="128"/>
      <c r="E3" s="3"/>
      <c r="F3" s="1" t="s">
        <v>229</v>
      </c>
      <c r="G3" s="129">
        <v>2026</v>
      </c>
      <c r="I3" s="324" t="s">
        <v>74</v>
      </c>
      <c r="J3" s="325">
        <f>+G67-G11</f>
        <v>0</v>
      </c>
      <c r="K3" s="408"/>
      <c r="L3" s="57"/>
    </row>
    <row r="4" spans="1:13" ht="15" customHeight="1" x14ac:dyDescent="0.25">
      <c r="A4" s="731" t="s">
        <v>46</v>
      </c>
      <c r="B4" s="731"/>
      <c r="C4" s="731"/>
      <c r="D4" s="731"/>
      <c r="E4" s="731"/>
      <c r="F4" s="731"/>
      <c r="G4" s="731"/>
      <c r="H4" s="130"/>
      <c r="I4" s="326" t="s">
        <v>75</v>
      </c>
      <c r="J4" s="325">
        <f>J2+J3</f>
        <v>272491.84000000003</v>
      </c>
      <c r="K4" s="408"/>
      <c r="L4" s="57"/>
    </row>
    <row r="5" spans="1:13" ht="17.25" customHeight="1" x14ac:dyDescent="0.25">
      <c r="A5" s="729" t="s">
        <v>67</v>
      </c>
      <c r="B5" s="729"/>
      <c r="C5" s="729"/>
      <c r="D5" s="729"/>
      <c r="F5" s="1" t="s">
        <v>68</v>
      </c>
      <c r="G5" s="1"/>
      <c r="H5" s="323"/>
      <c r="I5" s="324" t="s">
        <v>76</v>
      </c>
      <c r="J5" s="327">
        <f>+H67</f>
        <v>0</v>
      </c>
      <c r="K5" s="408"/>
      <c r="L5" s="57"/>
    </row>
    <row r="6" spans="1:13" ht="17.25" customHeight="1" thickBot="1" x14ac:dyDescent="0.3">
      <c r="A6" s="729" t="s">
        <v>69</v>
      </c>
      <c r="B6" s="729"/>
      <c r="C6" s="729"/>
      <c r="D6" s="729"/>
      <c r="G6" s="130"/>
      <c r="H6" s="131"/>
      <c r="I6" s="324" t="s">
        <v>78</v>
      </c>
      <c r="J6" s="328">
        <f>J4-J5</f>
        <v>272491.84000000003</v>
      </c>
      <c r="K6" s="126"/>
    </row>
    <row r="7" spans="1:13" ht="17.100000000000001" customHeight="1" thickTop="1" x14ac:dyDescent="0.25">
      <c r="E7" s="113" t="s">
        <v>50</v>
      </c>
      <c r="F7" s="113"/>
      <c r="I7" s="427"/>
      <c r="M7" s="408"/>
    </row>
    <row r="8" spans="1:13" ht="15" customHeight="1" x14ac:dyDescent="0.25"/>
    <row r="9" spans="1:13" s="6" customFormat="1" ht="17.100000000000001" customHeight="1" x14ac:dyDescent="0.25">
      <c r="A9" s="114" t="s">
        <v>51</v>
      </c>
      <c r="B9" s="115" t="s">
        <v>52</v>
      </c>
      <c r="C9" s="116" t="s">
        <v>53</v>
      </c>
      <c r="D9" s="117" t="s">
        <v>54</v>
      </c>
      <c r="E9" s="116" t="s">
        <v>55</v>
      </c>
      <c r="F9" s="117" t="s">
        <v>56</v>
      </c>
      <c r="G9" s="132" t="s">
        <v>57</v>
      </c>
      <c r="H9" s="132" t="s">
        <v>58</v>
      </c>
      <c r="I9" s="133" t="s">
        <v>59</v>
      </c>
      <c r="J9" s="132" t="s">
        <v>60</v>
      </c>
      <c r="K9" s="134" t="s">
        <v>70</v>
      </c>
      <c r="L9" s="134" t="s">
        <v>61</v>
      </c>
    </row>
    <row r="10" spans="1:13" ht="17.100000000000001" customHeight="1" x14ac:dyDescent="0.25">
      <c r="A10" s="119" t="s">
        <v>62</v>
      </c>
      <c r="B10" s="120"/>
      <c r="C10" s="121" t="s">
        <v>63</v>
      </c>
      <c r="D10" s="122"/>
      <c r="E10" s="123"/>
      <c r="F10" s="122"/>
      <c r="G10" s="135"/>
      <c r="H10" s="136"/>
      <c r="I10" s="137"/>
      <c r="J10" s="428"/>
      <c r="K10" s="135"/>
      <c r="L10" s="138"/>
    </row>
    <row r="11" spans="1:13" ht="17.100000000000001" customHeight="1" x14ac:dyDescent="0.3">
      <c r="A11" s="139">
        <v>1</v>
      </c>
      <c r="B11" s="140">
        <v>46113</v>
      </c>
      <c r="C11" s="141"/>
      <c r="D11" s="141"/>
      <c r="E11" s="142" t="s">
        <v>89</v>
      </c>
      <c r="F11" s="142"/>
      <c r="G11" s="143">
        <f>+J2</f>
        <v>272491.84000000003</v>
      </c>
      <c r="H11" s="144"/>
      <c r="I11" s="143">
        <f>+G11</f>
        <v>272491.84000000003</v>
      </c>
      <c r="J11" s="145"/>
      <c r="K11" s="145"/>
      <c r="L11" s="150">
        <f t="shared" ref="L11:L20" si="0">H11-J11</f>
        <v>0</v>
      </c>
    </row>
    <row r="12" spans="1:13" ht="17.100000000000001" customHeight="1" x14ac:dyDescent="0.3">
      <c r="A12" s="262">
        <v>1</v>
      </c>
      <c r="C12" s="402"/>
      <c r="D12" s="404"/>
      <c r="E12" s="142"/>
      <c r="F12" s="146"/>
      <c r="G12" s="143"/>
      <c r="H12" s="258"/>
      <c r="I12" s="143">
        <f>+I11+G12-H12</f>
        <v>272491.84000000003</v>
      </c>
      <c r="J12" s="320"/>
      <c r="K12" s="320"/>
      <c r="L12" s="150">
        <f>H12-J12</f>
        <v>0</v>
      </c>
    </row>
    <row r="13" spans="1:13" ht="17.100000000000001" customHeight="1" x14ac:dyDescent="0.3">
      <c r="A13" s="322">
        <f>+A12+1</f>
        <v>2</v>
      </c>
      <c r="B13" s="140"/>
      <c r="C13" s="402"/>
      <c r="D13" s="404"/>
      <c r="E13" s="403"/>
      <c r="F13" s="146"/>
      <c r="G13" s="147"/>
      <c r="H13" s="148"/>
      <c r="I13" s="143">
        <f t="shared" ref="I13:I36" si="1">+I12+G13-H13</f>
        <v>272491.84000000003</v>
      </c>
      <c r="J13" s="261"/>
      <c r="K13" s="261"/>
      <c r="L13" s="150">
        <f>H13-J13</f>
        <v>0</v>
      </c>
    </row>
    <row r="14" spans="1:13" ht="17.100000000000001" customHeight="1" x14ac:dyDescent="0.3">
      <c r="A14" s="322">
        <f t="shared" ref="A14:A66" si="2">+A13+1</f>
        <v>3</v>
      </c>
      <c r="B14" s="140"/>
      <c r="C14" s="402"/>
      <c r="D14" s="404"/>
      <c r="E14" s="146"/>
      <c r="F14" s="146"/>
      <c r="G14" s="143"/>
      <c r="H14" s="258"/>
      <c r="I14" s="143">
        <f t="shared" si="1"/>
        <v>272491.84000000003</v>
      </c>
      <c r="J14" s="261"/>
      <c r="K14" s="261"/>
      <c r="L14" s="150">
        <f t="shared" si="0"/>
        <v>0</v>
      </c>
    </row>
    <row r="15" spans="1:13" ht="15.75" customHeight="1" x14ac:dyDescent="0.3">
      <c r="A15" s="322">
        <f t="shared" si="2"/>
        <v>4</v>
      </c>
      <c r="B15" s="140"/>
      <c r="C15" s="402"/>
      <c r="D15" s="404"/>
      <c r="E15" s="403"/>
      <c r="F15" s="146"/>
      <c r="G15" s="147"/>
      <c r="H15" s="148"/>
      <c r="I15" s="143">
        <f>+I14+G15-H15</f>
        <v>272491.84000000003</v>
      </c>
      <c r="J15" s="261"/>
      <c r="K15" s="261"/>
      <c r="L15" s="150">
        <f t="shared" si="0"/>
        <v>0</v>
      </c>
    </row>
    <row r="16" spans="1:13" ht="17.100000000000001" customHeight="1" x14ac:dyDescent="0.3">
      <c r="A16" s="322">
        <f t="shared" si="2"/>
        <v>5</v>
      </c>
      <c r="B16" s="140"/>
      <c r="C16" s="402"/>
      <c r="D16" s="525"/>
      <c r="E16" s="403"/>
      <c r="F16" s="146"/>
      <c r="G16" s="143"/>
      <c r="H16" s="148"/>
      <c r="I16" s="143">
        <f t="shared" si="1"/>
        <v>272491.84000000003</v>
      </c>
      <c r="J16" s="261"/>
      <c r="K16" s="261"/>
      <c r="L16" s="150">
        <f t="shared" si="0"/>
        <v>0</v>
      </c>
    </row>
    <row r="17" spans="1:14" ht="17.100000000000001" customHeight="1" x14ac:dyDescent="0.3">
      <c r="A17" s="322">
        <f t="shared" si="2"/>
        <v>6</v>
      </c>
      <c r="B17" s="140"/>
      <c r="C17" s="402"/>
      <c r="D17" s="404"/>
      <c r="E17" s="403"/>
      <c r="F17" s="146"/>
      <c r="G17" s="258"/>
      <c r="H17" s="258"/>
      <c r="I17" s="143">
        <f t="shared" si="1"/>
        <v>272491.84000000003</v>
      </c>
      <c r="J17" s="261"/>
      <c r="K17" s="261"/>
      <c r="L17" s="150">
        <f t="shared" si="0"/>
        <v>0</v>
      </c>
    </row>
    <row r="18" spans="1:14" ht="17.100000000000001" customHeight="1" x14ac:dyDescent="0.3">
      <c r="A18" s="322">
        <f t="shared" si="2"/>
        <v>7</v>
      </c>
      <c r="B18" s="140"/>
      <c r="C18" s="402"/>
      <c r="D18" s="404"/>
      <c r="E18" s="403"/>
      <c r="F18" s="146"/>
      <c r="G18" s="273"/>
      <c r="H18" s="272"/>
      <c r="I18" s="143">
        <f t="shared" si="1"/>
        <v>272491.84000000003</v>
      </c>
      <c r="J18" s="261"/>
      <c r="K18" s="261"/>
      <c r="L18" s="150">
        <f t="shared" si="0"/>
        <v>0</v>
      </c>
    </row>
    <row r="19" spans="1:14" ht="17.100000000000001" customHeight="1" x14ac:dyDescent="0.3">
      <c r="A19" s="322">
        <f t="shared" si="2"/>
        <v>8</v>
      </c>
      <c r="B19" s="140"/>
      <c r="C19" s="402"/>
      <c r="D19" s="404"/>
      <c r="E19" s="403"/>
      <c r="F19" s="146"/>
      <c r="G19" s="258"/>
      <c r="H19" s="272"/>
      <c r="I19" s="143">
        <f t="shared" si="1"/>
        <v>272491.84000000003</v>
      </c>
      <c r="J19" s="261"/>
      <c r="K19" s="261"/>
      <c r="L19" s="150">
        <f t="shared" si="0"/>
        <v>0</v>
      </c>
    </row>
    <row r="20" spans="1:14" ht="17.100000000000001" customHeight="1" x14ac:dyDescent="0.3">
      <c r="A20" s="322">
        <f t="shared" si="2"/>
        <v>9</v>
      </c>
      <c r="B20" s="140"/>
      <c r="C20" s="402"/>
      <c r="D20" s="525"/>
      <c r="E20" s="403"/>
      <c r="F20" s="146"/>
      <c r="G20" s="258"/>
      <c r="H20" s="258"/>
      <c r="I20" s="143">
        <f t="shared" si="1"/>
        <v>272491.84000000003</v>
      </c>
      <c r="J20" s="261"/>
      <c r="K20" s="261"/>
      <c r="L20" s="150">
        <f t="shared" si="0"/>
        <v>0</v>
      </c>
    </row>
    <row r="21" spans="1:14" ht="17.100000000000001" customHeight="1" x14ac:dyDescent="0.3">
      <c r="A21" s="322">
        <f t="shared" si="2"/>
        <v>10</v>
      </c>
      <c r="B21" s="140"/>
      <c r="C21" s="402"/>
      <c r="D21" s="404"/>
      <c r="E21" s="403"/>
      <c r="F21" s="146"/>
      <c r="G21" s="140"/>
      <c r="H21" s="272"/>
      <c r="I21" s="143">
        <f t="shared" si="1"/>
        <v>272491.84000000003</v>
      </c>
      <c r="J21" s="261"/>
      <c r="K21" s="261"/>
      <c r="L21" s="150">
        <f>+H21-J21</f>
        <v>0</v>
      </c>
    </row>
    <row r="22" spans="1:14" ht="17.100000000000001" customHeight="1" x14ac:dyDescent="0.3">
      <c r="A22" s="322">
        <f t="shared" si="2"/>
        <v>11</v>
      </c>
      <c r="B22" s="140"/>
      <c r="C22" s="402"/>
      <c r="D22" s="404"/>
      <c r="E22" s="403"/>
      <c r="F22" s="146"/>
      <c r="G22" s="258"/>
      <c r="H22" s="272"/>
      <c r="I22" s="143">
        <f t="shared" si="1"/>
        <v>272491.84000000003</v>
      </c>
      <c r="J22" s="261"/>
      <c r="K22" s="261"/>
      <c r="L22" s="150">
        <f>+H22-J22</f>
        <v>0</v>
      </c>
      <c r="N22" s="12"/>
    </row>
    <row r="23" spans="1:14" s="4" customFormat="1" ht="17.25" customHeight="1" x14ac:dyDescent="0.3">
      <c r="A23" s="322">
        <f t="shared" si="2"/>
        <v>12</v>
      </c>
      <c r="B23" s="140"/>
      <c r="C23" s="402"/>
      <c r="D23" s="404"/>
      <c r="E23" s="403"/>
      <c r="F23" s="146"/>
      <c r="G23" s="258"/>
      <c r="H23" s="258"/>
      <c r="I23" s="143">
        <f t="shared" si="1"/>
        <v>272491.84000000003</v>
      </c>
      <c r="J23" s="261"/>
      <c r="K23" s="321"/>
      <c r="L23" s="150">
        <f>+H23-J23</f>
        <v>0</v>
      </c>
    </row>
    <row r="24" spans="1:14" s="4" customFormat="1" ht="17.25" customHeight="1" x14ac:dyDescent="0.3">
      <c r="A24" s="322">
        <f t="shared" si="2"/>
        <v>13</v>
      </c>
      <c r="B24" s="140"/>
      <c r="C24" s="402"/>
      <c r="D24" s="404"/>
      <c r="E24" s="403"/>
      <c r="F24" s="146"/>
      <c r="G24" s="258"/>
      <c r="H24" s="272"/>
      <c r="I24" s="143">
        <f t="shared" si="1"/>
        <v>272491.84000000003</v>
      </c>
      <c r="J24" s="261"/>
      <c r="K24" s="321"/>
      <c r="L24" s="150">
        <f>+H24-J24</f>
        <v>0</v>
      </c>
    </row>
    <row r="25" spans="1:14" ht="17.100000000000001" customHeight="1" x14ac:dyDescent="0.3">
      <c r="A25" s="322">
        <f t="shared" si="2"/>
        <v>14</v>
      </c>
      <c r="B25" s="140"/>
      <c r="C25" s="402"/>
      <c r="D25" s="404"/>
      <c r="E25" s="403"/>
      <c r="F25" s="146"/>
      <c r="G25" s="258"/>
      <c r="H25" s="272"/>
      <c r="I25" s="143">
        <f t="shared" si="1"/>
        <v>272491.84000000003</v>
      </c>
      <c r="J25" s="261"/>
      <c r="K25" s="261"/>
      <c r="L25" s="150">
        <f t="shared" ref="L25:L55" si="3">H25-J25</f>
        <v>0</v>
      </c>
      <c r="M25" s="401">
        <f>+I25-269923.07</f>
        <v>2568.7700000000186</v>
      </c>
    </row>
    <row r="26" spans="1:14" ht="17.100000000000001" customHeight="1" x14ac:dyDescent="0.3">
      <c r="A26" s="322">
        <f t="shared" si="2"/>
        <v>15</v>
      </c>
      <c r="B26" s="140"/>
      <c r="C26" s="402"/>
      <c r="D26" s="525"/>
      <c r="E26" s="403"/>
      <c r="F26" s="146"/>
      <c r="G26" s="258"/>
      <c r="H26" s="272"/>
      <c r="I26" s="143">
        <f t="shared" si="1"/>
        <v>272491.84000000003</v>
      </c>
      <c r="J26" s="261"/>
      <c r="K26" s="261"/>
      <c r="L26" s="150">
        <f t="shared" si="3"/>
        <v>0</v>
      </c>
    </row>
    <row r="27" spans="1:14" ht="17.100000000000001" customHeight="1" x14ac:dyDescent="0.3">
      <c r="A27" s="322">
        <f t="shared" si="2"/>
        <v>16</v>
      </c>
      <c r="B27" s="140"/>
      <c r="C27" s="402"/>
      <c r="D27" s="525"/>
      <c r="E27" s="403"/>
      <c r="F27" s="146"/>
      <c r="G27" s="272"/>
      <c r="H27" s="272"/>
      <c r="I27" s="143">
        <f t="shared" si="1"/>
        <v>272491.84000000003</v>
      </c>
      <c r="J27" s="261"/>
      <c r="K27" s="261"/>
      <c r="L27" s="150">
        <f t="shared" si="3"/>
        <v>0</v>
      </c>
    </row>
    <row r="28" spans="1:14" s="4" customFormat="1" ht="17.25" customHeight="1" x14ac:dyDescent="0.3">
      <c r="A28" s="322">
        <f t="shared" si="2"/>
        <v>17</v>
      </c>
      <c r="B28" s="140"/>
      <c r="C28" s="402"/>
      <c r="D28" s="146"/>
      <c r="E28" s="146"/>
      <c r="F28" s="146"/>
      <c r="G28" s="258"/>
      <c r="H28" s="258"/>
      <c r="I28" s="143">
        <f t="shared" si="1"/>
        <v>272491.84000000003</v>
      </c>
      <c r="J28" s="261"/>
      <c r="K28" s="321"/>
      <c r="L28" s="150">
        <f>+H28-J28</f>
        <v>0</v>
      </c>
    </row>
    <row r="29" spans="1:14" ht="16.95" customHeight="1" x14ac:dyDescent="0.3">
      <c r="A29" s="322">
        <f t="shared" si="2"/>
        <v>18</v>
      </c>
      <c r="B29" s="140"/>
      <c r="C29" s="402"/>
      <c r="D29" s="525"/>
      <c r="E29" s="403"/>
      <c r="F29" s="146"/>
      <c r="G29" s="272"/>
      <c r="H29" s="272"/>
      <c r="I29" s="143">
        <f t="shared" si="1"/>
        <v>272491.84000000003</v>
      </c>
      <c r="J29" s="261"/>
      <c r="K29" s="261"/>
      <c r="L29" s="150">
        <f t="shared" ref="L29:L47" si="4">H29-J29</f>
        <v>0</v>
      </c>
    </row>
    <row r="30" spans="1:14" ht="17.100000000000001" customHeight="1" x14ac:dyDescent="0.3">
      <c r="A30" s="322">
        <f t="shared" si="2"/>
        <v>19</v>
      </c>
      <c r="B30" s="140"/>
      <c r="C30" s="402"/>
      <c r="D30" s="404"/>
      <c r="E30" s="403"/>
      <c r="F30" s="146"/>
      <c r="G30" s="272"/>
      <c r="H30" s="272"/>
      <c r="I30" s="143">
        <f t="shared" si="1"/>
        <v>272491.84000000003</v>
      </c>
      <c r="J30" s="261"/>
      <c r="K30" s="261"/>
      <c r="L30" s="150">
        <f t="shared" si="4"/>
        <v>0</v>
      </c>
    </row>
    <row r="31" spans="1:14" ht="16.95" customHeight="1" x14ac:dyDescent="0.3">
      <c r="A31" s="322">
        <f t="shared" si="2"/>
        <v>20</v>
      </c>
      <c r="B31" s="140"/>
      <c r="C31" s="402"/>
      <c r="D31" s="404"/>
      <c r="E31" s="403"/>
      <c r="F31" s="146"/>
      <c r="G31" s="272"/>
      <c r="H31" s="272"/>
      <c r="I31" s="143">
        <f t="shared" si="1"/>
        <v>272491.84000000003</v>
      </c>
      <c r="J31" s="261"/>
      <c r="K31" s="261"/>
      <c r="L31" s="150">
        <f t="shared" ref="L31:L32" si="5">H31-J31</f>
        <v>0</v>
      </c>
    </row>
    <row r="32" spans="1:14" ht="17.100000000000001" customHeight="1" x14ac:dyDescent="0.3">
      <c r="A32" s="322">
        <f t="shared" si="2"/>
        <v>21</v>
      </c>
      <c r="B32" s="140"/>
      <c r="C32" s="402"/>
      <c r="D32" s="404"/>
      <c r="E32" s="403"/>
      <c r="F32" s="146"/>
      <c r="G32" s="272"/>
      <c r="H32" s="272"/>
      <c r="I32" s="143">
        <f t="shared" si="1"/>
        <v>272491.84000000003</v>
      </c>
      <c r="J32" s="261"/>
      <c r="K32" s="261"/>
      <c r="L32" s="150">
        <f t="shared" si="5"/>
        <v>0</v>
      </c>
    </row>
    <row r="33" spans="1:14" ht="17.100000000000001" customHeight="1" x14ac:dyDescent="0.3">
      <c r="A33" s="322">
        <f t="shared" si="2"/>
        <v>22</v>
      </c>
      <c r="B33" s="140"/>
      <c r="C33" s="402"/>
      <c r="D33" s="403"/>
      <c r="E33" s="403"/>
      <c r="F33" s="146"/>
      <c r="G33" s="272"/>
      <c r="H33" s="272"/>
      <c r="I33" s="143">
        <f t="shared" si="1"/>
        <v>272491.84000000003</v>
      </c>
      <c r="J33" s="261"/>
      <c r="K33" s="261"/>
      <c r="L33" s="150">
        <f t="shared" si="4"/>
        <v>0</v>
      </c>
    </row>
    <row r="34" spans="1:14" ht="17.100000000000001" customHeight="1" x14ac:dyDescent="0.3">
      <c r="A34" s="322">
        <f t="shared" si="2"/>
        <v>23</v>
      </c>
      <c r="B34" s="140"/>
      <c r="C34" s="402"/>
      <c r="D34" s="404"/>
      <c r="E34" s="403"/>
      <c r="F34" s="146"/>
      <c r="G34" s="272"/>
      <c r="H34" s="272"/>
      <c r="I34" s="143">
        <f t="shared" si="1"/>
        <v>272491.84000000003</v>
      </c>
      <c r="J34" s="261"/>
      <c r="K34" s="261"/>
      <c r="L34" s="150">
        <f t="shared" si="4"/>
        <v>0</v>
      </c>
      <c r="N34" s="12">
        <f>+I37-198797.71</f>
        <v>73694.130000000034</v>
      </c>
    </row>
    <row r="35" spans="1:14" ht="17.100000000000001" customHeight="1" x14ac:dyDescent="0.3">
      <c r="A35" s="322">
        <f t="shared" si="2"/>
        <v>24</v>
      </c>
      <c r="B35" s="140"/>
      <c r="C35" s="402"/>
      <c r="D35" s="525"/>
      <c r="E35" s="403"/>
      <c r="F35" s="146"/>
      <c r="G35" s="272"/>
      <c r="H35" s="272"/>
      <c r="I35" s="143">
        <f t="shared" si="1"/>
        <v>272491.84000000003</v>
      </c>
      <c r="J35" s="261"/>
      <c r="K35" s="261"/>
      <c r="L35" s="150">
        <f t="shared" si="4"/>
        <v>0</v>
      </c>
    </row>
    <row r="36" spans="1:14" ht="17.100000000000001" customHeight="1" x14ac:dyDescent="0.3">
      <c r="A36" s="322">
        <f t="shared" si="2"/>
        <v>25</v>
      </c>
      <c r="B36" s="140"/>
      <c r="C36" s="402"/>
      <c r="D36" s="109"/>
      <c r="E36" s="146"/>
      <c r="F36" s="146"/>
      <c r="G36" s="272"/>
      <c r="H36" s="273"/>
      <c r="I36" s="143">
        <f t="shared" si="1"/>
        <v>272491.84000000003</v>
      </c>
      <c r="J36" s="261"/>
      <c r="K36" s="261"/>
      <c r="L36" s="150">
        <f t="shared" si="4"/>
        <v>0</v>
      </c>
    </row>
    <row r="37" spans="1:14" ht="17.100000000000001" customHeight="1" x14ac:dyDescent="0.3">
      <c r="A37" s="322">
        <f t="shared" si="2"/>
        <v>26</v>
      </c>
      <c r="B37" s="140"/>
      <c r="C37" s="402"/>
      <c r="D37" s="404"/>
      <c r="E37" s="403"/>
      <c r="F37" s="146"/>
      <c r="G37" s="146"/>
      <c r="H37" s="146"/>
      <c r="I37" s="143">
        <f t="shared" ref="I37:I55" si="6">+I36+G37-H37</f>
        <v>272491.84000000003</v>
      </c>
      <c r="J37" s="261"/>
      <c r="K37" s="261"/>
      <c r="L37" s="150">
        <f t="shared" si="4"/>
        <v>0</v>
      </c>
    </row>
    <row r="38" spans="1:14" ht="17.100000000000001" customHeight="1" x14ac:dyDescent="0.3">
      <c r="A38" s="322">
        <f t="shared" si="2"/>
        <v>27</v>
      </c>
      <c r="B38" s="140"/>
      <c r="C38" s="402"/>
      <c r="D38" s="404"/>
      <c r="E38" s="714"/>
      <c r="F38" s="146"/>
      <c r="G38" s="146"/>
      <c r="H38" s="146"/>
      <c r="I38" s="143">
        <f t="shared" si="6"/>
        <v>272491.84000000003</v>
      </c>
      <c r="J38" s="261"/>
      <c r="K38" s="261"/>
      <c r="L38" s="150">
        <f t="shared" si="4"/>
        <v>0</v>
      </c>
    </row>
    <row r="39" spans="1:14" ht="17.100000000000001" customHeight="1" x14ac:dyDescent="0.3">
      <c r="A39" s="322">
        <f t="shared" si="2"/>
        <v>28</v>
      </c>
      <c r="B39" s="140"/>
      <c r="C39" s="519"/>
      <c r="D39" s="404"/>
      <c r="E39" s="525"/>
      <c r="F39" s="146"/>
      <c r="G39" s="146"/>
      <c r="H39" s="146"/>
      <c r="I39" s="143">
        <f t="shared" si="6"/>
        <v>272491.84000000003</v>
      </c>
      <c r="J39" s="261"/>
      <c r="K39" s="261"/>
      <c r="L39" s="150">
        <f t="shared" si="4"/>
        <v>0</v>
      </c>
    </row>
    <row r="40" spans="1:14" ht="17.100000000000001" customHeight="1" x14ac:dyDescent="0.3">
      <c r="A40" s="322">
        <f t="shared" si="2"/>
        <v>29</v>
      </c>
      <c r="B40" s="140"/>
      <c r="C40" s="402"/>
      <c r="D40" s="404"/>
      <c r="E40" s="403"/>
      <c r="F40" s="146"/>
      <c r="G40" s="146"/>
      <c r="H40" s="146"/>
      <c r="I40" s="143">
        <f t="shared" si="6"/>
        <v>272491.84000000003</v>
      </c>
      <c r="J40" s="261"/>
      <c r="K40" s="261"/>
      <c r="L40" s="150">
        <f t="shared" si="4"/>
        <v>0</v>
      </c>
    </row>
    <row r="41" spans="1:14" ht="17.100000000000001" customHeight="1" x14ac:dyDescent="0.3">
      <c r="A41" s="322">
        <f t="shared" si="2"/>
        <v>30</v>
      </c>
      <c r="B41" s="140"/>
      <c r="C41" s="402"/>
      <c r="D41" s="404"/>
      <c r="E41" s="403"/>
      <c r="F41" s="146"/>
      <c r="G41" s="146"/>
      <c r="H41" s="146"/>
      <c r="I41" s="143">
        <f t="shared" si="6"/>
        <v>272491.84000000003</v>
      </c>
      <c r="J41" s="261"/>
      <c r="K41" s="261"/>
      <c r="L41" s="150">
        <f t="shared" si="4"/>
        <v>0</v>
      </c>
    </row>
    <row r="42" spans="1:14" ht="17.100000000000001" customHeight="1" x14ac:dyDescent="0.3">
      <c r="A42" s="322">
        <f t="shared" si="2"/>
        <v>31</v>
      </c>
      <c r="B42" s="140"/>
      <c r="C42" s="402"/>
      <c r="D42" s="404"/>
      <c r="E42" s="575"/>
      <c r="F42" s="574"/>
      <c r="G42" s="146"/>
      <c r="H42" s="146"/>
      <c r="I42" s="143">
        <f t="shared" si="6"/>
        <v>272491.84000000003</v>
      </c>
      <c r="J42" s="261"/>
      <c r="K42" s="261"/>
      <c r="L42" s="150">
        <f t="shared" si="4"/>
        <v>0</v>
      </c>
    </row>
    <row r="43" spans="1:14" ht="17.100000000000001" customHeight="1" x14ac:dyDescent="0.3">
      <c r="A43" s="322">
        <f t="shared" si="2"/>
        <v>32</v>
      </c>
      <c r="B43" s="140"/>
      <c r="C43" s="402"/>
      <c r="D43" s="404"/>
      <c r="E43" s="573"/>
      <c r="F43" s="574"/>
      <c r="G43" s="146"/>
      <c r="H43" s="146"/>
      <c r="I43" s="143">
        <f t="shared" si="6"/>
        <v>272491.84000000003</v>
      </c>
      <c r="J43" s="261"/>
      <c r="K43" s="261"/>
      <c r="L43" s="150">
        <f t="shared" si="4"/>
        <v>0</v>
      </c>
    </row>
    <row r="44" spans="1:14" ht="17.100000000000001" customHeight="1" x14ac:dyDescent="0.3">
      <c r="A44" s="322">
        <f t="shared" si="2"/>
        <v>33</v>
      </c>
      <c r="B44" s="140"/>
      <c r="C44" s="402"/>
      <c r="D44" s="404"/>
      <c r="E44" s="146"/>
      <c r="F44" s="146"/>
      <c r="G44" s="258"/>
      <c r="H44" s="272"/>
      <c r="I44" s="143">
        <f t="shared" si="6"/>
        <v>272491.84000000003</v>
      </c>
      <c r="J44" s="320"/>
      <c r="K44" s="261"/>
      <c r="L44" s="150">
        <f t="shared" si="4"/>
        <v>0</v>
      </c>
    </row>
    <row r="45" spans="1:14" ht="17.100000000000001" customHeight="1" x14ac:dyDescent="0.3">
      <c r="A45" s="322">
        <f t="shared" si="2"/>
        <v>34</v>
      </c>
      <c r="B45" s="405"/>
      <c r="C45" s="402"/>
      <c r="D45" s="109"/>
      <c r="E45" s="146"/>
      <c r="F45" s="146"/>
      <c r="G45" s="258"/>
      <c r="H45" s="272"/>
      <c r="I45" s="143">
        <f t="shared" si="6"/>
        <v>272491.84000000003</v>
      </c>
      <c r="J45" s="261"/>
      <c r="K45" s="261"/>
      <c r="L45" s="150">
        <f t="shared" si="4"/>
        <v>0</v>
      </c>
    </row>
    <row r="46" spans="1:14" ht="17.100000000000001" customHeight="1" x14ac:dyDescent="0.3">
      <c r="A46" s="322">
        <f t="shared" si="2"/>
        <v>35</v>
      </c>
      <c r="B46" s="405"/>
      <c r="C46" s="402"/>
      <c r="D46" s="146"/>
      <c r="E46" s="146"/>
      <c r="F46" s="146"/>
      <c r="G46" s="258"/>
      <c r="H46" s="272"/>
      <c r="I46" s="143">
        <f t="shared" si="6"/>
        <v>272491.84000000003</v>
      </c>
      <c r="J46" s="261"/>
      <c r="K46" s="261"/>
      <c r="L46" s="150">
        <f t="shared" si="4"/>
        <v>0</v>
      </c>
    </row>
    <row r="47" spans="1:14" ht="17.100000000000001" customHeight="1" x14ac:dyDescent="0.3">
      <c r="A47" s="322">
        <f t="shared" si="2"/>
        <v>36</v>
      </c>
      <c r="B47" s="405"/>
      <c r="C47" s="402"/>
      <c r="D47" s="404"/>
      <c r="E47" s="714"/>
      <c r="F47" s="146"/>
      <c r="G47" s="272"/>
      <c r="H47" s="273"/>
      <c r="I47" s="143">
        <f t="shared" si="6"/>
        <v>272491.84000000003</v>
      </c>
      <c r="J47" s="261"/>
      <c r="K47" s="261"/>
      <c r="L47" s="150">
        <f t="shared" si="4"/>
        <v>0</v>
      </c>
    </row>
    <row r="48" spans="1:14" ht="17.100000000000001" customHeight="1" x14ac:dyDescent="0.3">
      <c r="A48" s="322">
        <f t="shared" si="2"/>
        <v>37</v>
      </c>
      <c r="B48" s="405"/>
      <c r="C48" s="402"/>
      <c r="D48" s="404"/>
      <c r="E48" s="403"/>
      <c r="F48" s="146"/>
      <c r="G48" s="272"/>
      <c r="H48" s="273"/>
      <c r="I48" s="143">
        <f t="shared" si="6"/>
        <v>272491.84000000003</v>
      </c>
      <c r="J48" s="261"/>
      <c r="K48" s="261"/>
      <c r="L48" s="150">
        <f t="shared" si="3"/>
        <v>0</v>
      </c>
    </row>
    <row r="49" spans="1:12" ht="17.100000000000001" customHeight="1" x14ac:dyDescent="0.3">
      <c r="A49" s="322">
        <f t="shared" si="2"/>
        <v>38</v>
      </c>
      <c r="B49" s="405"/>
      <c r="C49" s="402"/>
      <c r="D49" s="404"/>
      <c r="E49" s="146"/>
      <c r="F49" s="146"/>
      <c r="G49" s="258"/>
      <c r="H49" s="272"/>
      <c r="I49" s="143">
        <f t="shared" si="6"/>
        <v>272491.84000000003</v>
      </c>
      <c r="J49" s="261"/>
      <c r="K49" s="261"/>
      <c r="L49" s="150">
        <f t="shared" si="3"/>
        <v>0</v>
      </c>
    </row>
    <row r="50" spans="1:12" ht="17.100000000000001" customHeight="1" x14ac:dyDescent="0.3">
      <c r="A50" s="322">
        <f t="shared" si="2"/>
        <v>39</v>
      </c>
      <c r="B50" s="405"/>
      <c r="C50" s="402"/>
      <c r="D50" s="404"/>
      <c r="E50" s="403"/>
      <c r="F50" s="146"/>
      <c r="G50" s="258"/>
      <c r="H50" s="272"/>
      <c r="I50" s="143">
        <f t="shared" si="6"/>
        <v>272491.84000000003</v>
      </c>
      <c r="J50" s="261"/>
      <c r="K50" s="261"/>
      <c r="L50" s="150">
        <f t="shared" si="3"/>
        <v>0</v>
      </c>
    </row>
    <row r="51" spans="1:12" ht="17.100000000000001" customHeight="1" x14ac:dyDescent="0.3">
      <c r="A51" s="322">
        <f t="shared" si="2"/>
        <v>40</v>
      </c>
      <c r="B51" s="405"/>
      <c r="C51" s="402"/>
      <c r="D51" s="404"/>
      <c r="E51" s="403"/>
      <c r="F51" s="146"/>
      <c r="G51" s="258"/>
      <c r="H51" s="272"/>
      <c r="I51" s="143">
        <f t="shared" si="6"/>
        <v>272491.84000000003</v>
      </c>
      <c r="J51" s="261"/>
      <c r="K51" s="261"/>
      <c r="L51" s="150">
        <f t="shared" si="3"/>
        <v>0</v>
      </c>
    </row>
    <row r="52" spans="1:12" ht="17.100000000000001" customHeight="1" x14ac:dyDescent="0.3">
      <c r="A52" s="322">
        <f t="shared" si="2"/>
        <v>41</v>
      </c>
      <c r="B52" s="405"/>
      <c r="C52" s="402"/>
      <c r="D52" s="188"/>
      <c r="E52" s="146"/>
      <c r="F52" s="146"/>
      <c r="G52" s="258"/>
      <c r="H52" s="272"/>
      <c r="I52" s="143">
        <f t="shared" si="6"/>
        <v>272491.84000000003</v>
      </c>
      <c r="J52" s="261"/>
      <c r="K52" s="261"/>
      <c r="L52" s="150">
        <f t="shared" si="3"/>
        <v>0</v>
      </c>
    </row>
    <row r="53" spans="1:12" ht="17.100000000000001" customHeight="1" x14ac:dyDescent="0.3">
      <c r="A53" s="322">
        <f t="shared" si="2"/>
        <v>42</v>
      </c>
      <c r="B53" s="405"/>
      <c r="C53" s="402"/>
      <c r="D53" s="188"/>
      <c r="E53" s="146"/>
      <c r="F53" s="146"/>
      <c r="G53" s="258"/>
      <c r="H53" s="272"/>
      <c r="I53" s="143">
        <f t="shared" si="6"/>
        <v>272491.84000000003</v>
      </c>
      <c r="J53" s="261"/>
      <c r="K53" s="261"/>
      <c r="L53" s="150">
        <f t="shared" si="3"/>
        <v>0</v>
      </c>
    </row>
    <row r="54" spans="1:12" ht="17.100000000000001" customHeight="1" x14ac:dyDescent="0.3">
      <c r="A54" s="322">
        <f t="shared" si="2"/>
        <v>43</v>
      </c>
      <c r="B54" s="405"/>
      <c r="C54" s="151"/>
      <c r="D54" s="188"/>
      <c r="E54" s="146"/>
      <c r="F54" s="517"/>
      <c r="G54" s="258"/>
      <c r="H54" s="272"/>
      <c r="I54" s="143">
        <f t="shared" si="6"/>
        <v>272491.84000000003</v>
      </c>
      <c r="J54" s="261"/>
      <c r="K54" s="261"/>
      <c r="L54" s="150">
        <f t="shared" si="3"/>
        <v>0</v>
      </c>
    </row>
    <row r="55" spans="1:12" ht="17.100000000000001" customHeight="1" x14ac:dyDescent="0.3">
      <c r="A55" s="322">
        <f t="shared" si="2"/>
        <v>44</v>
      </c>
      <c r="B55" s="405"/>
      <c r="C55" s="402"/>
      <c r="D55" s="404"/>
      <c r="E55" s="714"/>
      <c r="F55" s="146"/>
      <c r="G55" s="258"/>
      <c r="H55" s="272"/>
      <c r="I55" s="143">
        <f t="shared" si="6"/>
        <v>272491.84000000003</v>
      </c>
      <c r="J55" s="261"/>
      <c r="K55" s="261"/>
      <c r="L55" s="150">
        <f t="shared" si="3"/>
        <v>0</v>
      </c>
    </row>
    <row r="56" spans="1:12" ht="17.100000000000001" customHeight="1" x14ac:dyDescent="0.3">
      <c r="A56" s="322">
        <f t="shared" si="2"/>
        <v>45</v>
      </c>
      <c r="B56" s="405"/>
      <c r="C56" s="402"/>
      <c r="D56" s="404"/>
      <c r="E56" s="714"/>
      <c r="F56" s="146"/>
      <c r="G56" s="147"/>
      <c r="H56" s="147"/>
      <c r="I56" s="143">
        <f t="shared" ref="I56:I66" si="7">+I55+G56-H56</f>
        <v>272491.84000000003</v>
      </c>
      <c r="J56" s="149"/>
      <c r="K56" s="149"/>
      <c r="L56" s="150">
        <f t="shared" ref="L56:L66" si="8">H56-J56</f>
        <v>0</v>
      </c>
    </row>
    <row r="57" spans="1:12" ht="17.100000000000001" customHeight="1" x14ac:dyDescent="0.3">
      <c r="A57" s="322">
        <f t="shared" si="2"/>
        <v>46</v>
      </c>
      <c r="B57" s="405"/>
      <c r="C57" s="402"/>
      <c r="D57" s="404"/>
      <c r="E57" s="403"/>
      <c r="F57" s="146"/>
      <c r="G57" s="148"/>
      <c r="H57" s="148"/>
      <c r="I57" s="143">
        <f t="shared" si="7"/>
        <v>272491.84000000003</v>
      </c>
      <c r="J57" s="149"/>
      <c r="K57" s="149"/>
      <c r="L57" s="150">
        <f t="shared" si="8"/>
        <v>0</v>
      </c>
    </row>
    <row r="58" spans="1:12" ht="17.100000000000001" customHeight="1" x14ac:dyDescent="0.3">
      <c r="A58" s="322">
        <f t="shared" si="2"/>
        <v>47</v>
      </c>
      <c r="B58" s="405"/>
      <c r="C58" s="402"/>
      <c r="D58" s="727"/>
      <c r="E58" s="727"/>
      <c r="F58" s="727"/>
      <c r="G58" s="715"/>
      <c r="I58" s="143">
        <f t="shared" si="7"/>
        <v>272491.84000000003</v>
      </c>
      <c r="J58" s="261"/>
      <c r="K58" s="261"/>
      <c r="L58" s="150">
        <f>H39-J58</f>
        <v>0</v>
      </c>
    </row>
    <row r="59" spans="1:12" ht="17.100000000000001" customHeight="1" x14ac:dyDescent="0.3">
      <c r="A59" s="322">
        <f t="shared" si="2"/>
        <v>48</v>
      </c>
      <c r="B59" s="405"/>
      <c r="C59" s="402"/>
      <c r="D59" s="404"/>
      <c r="E59" s="403"/>
      <c r="F59" s="146"/>
      <c r="G59" s="514"/>
      <c r="H59" s="514"/>
      <c r="I59" s="143">
        <f t="shared" si="7"/>
        <v>272491.84000000003</v>
      </c>
      <c r="J59" s="515"/>
      <c r="K59" s="515"/>
      <c r="L59" s="516">
        <f t="shared" si="8"/>
        <v>0</v>
      </c>
    </row>
    <row r="60" spans="1:12" ht="17.100000000000001" customHeight="1" x14ac:dyDescent="0.3">
      <c r="A60" s="322">
        <f t="shared" si="2"/>
        <v>49</v>
      </c>
      <c r="B60" s="405"/>
      <c r="C60" s="154"/>
      <c r="D60" s="152"/>
      <c r="E60" s="152"/>
      <c r="F60" s="152"/>
      <c r="G60" s="514"/>
      <c r="H60" s="514"/>
      <c r="I60" s="143">
        <f t="shared" si="7"/>
        <v>272491.84000000003</v>
      </c>
      <c r="J60" s="515"/>
      <c r="K60" s="515"/>
      <c r="L60" s="516">
        <f t="shared" si="8"/>
        <v>0</v>
      </c>
    </row>
    <row r="61" spans="1:12" ht="17.100000000000001" customHeight="1" x14ac:dyDescent="0.3">
      <c r="A61" s="322">
        <f t="shared" si="2"/>
        <v>50</v>
      </c>
      <c r="B61" s="405"/>
      <c r="C61" s="154"/>
      <c r="D61" s="152"/>
      <c r="E61" s="152"/>
      <c r="F61" s="152"/>
      <c r="G61" s="514"/>
      <c r="H61" s="514"/>
      <c r="I61" s="143">
        <f t="shared" si="7"/>
        <v>272491.84000000003</v>
      </c>
      <c r="J61" s="515"/>
      <c r="K61" s="515"/>
      <c r="L61" s="516">
        <f t="shared" si="8"/>
        <v>0</v>
      </c>
    </row>
    <row r="62" spans="1:12" ht="17.100000000000001" customHeight="1" x14ac:dyDescent="0.3">
      <c r="A62" s="322">
        <f t="shared" si="2"/>
        <v>51</v>
      </c>
      <c r="B62" s="405"/>
      <c r="C62" s="402"/>
      <c r="D62" s="152"/>
      <c r="E62" s="152"/>
      <c r="F62" s="152"/>
      <c r="G62" s="514"/>
      <c r="H62" s="514"/>
      <c r="I62" s="143">
        <f t="shared" si="7"/>
        <v>272491.84000000003</v>
      </c>
      <c r="J62" s="515"/>
      <c r="K62" s="515"/>
      <c r="L62" s="516">
        <f t="shared" si="8"/>
        <v>0</v>
      </c>
    </row>
    <row r="63" spans="1:12" ht="17.100000000000001" customHeight="1" x14ac:dyDescent="0.3">
      <c r="A63" s="322">
        <f t="shared" si="2"/>
        <v>52</v>
      </c>
      <c r="B63" s="153"/>
      <c r="C63" s="154"/>
      <c r="D63" s="152"/>
      <c r="E63" s="152"/>
      <c r="F63" s="152"/>
      <c r="G63" s="514"/>
      <c r="H63" s="514"/>
      <c r="I63" s="143">
        <f t="shared" si="7"/>
        <v>272491.84000000003</v>
      </c>
      <c r="J63" s="515"/>
      <c r="K63" s="515"/>
      <c r="L63" s="516">
        <f t="shared" si="8"/>
        <v>0</v>
      </c>
    </row>
    <row r="64" spans="1:12" ht="17.100000000000001" customHeight="1" x14ac:dyDescent="0.3">
      <c r="A64" s="322">
        <f t="shared" si="2"/>
        <v>53</v>
      </c>
      <c r="B64" s="153"/>
      <c r="C64" s="402"/>
      <c r="D64" s="404"/>
      <c r="E64" s="403"/>
      <c r="F64" s="146"/>
      <c r="G64" s="514"/>
      <c r="H64" s="514"/>
      <c r="I64" s="143">
        <f t="shared" si="7"/>
        <v>272491.84000000003</v>
      </c>
      <c r="J64" s="515"/>
      <c r="K64" s="515"/>
      <c r="L64" s="516">
        <f t="shared" si="8"/>
        <v>0</v>
      </c>
    </row>
    <row r="65" spans="1:12" ht="17.100000000000001" customHeight="1" x14ac:dyDescent="0.3">
      <c r="A65" s="322">
        <f t="shared" si="2"/>
        <v>54</v>
      </c>
      <c r="B65" s="153"/>
      <c r="C65" s="154"/>
      <c r="D65" s="152"/>
      <c r="E65" s="152"/>
      <c r="F65" s="152"/>
      <c r="G65" s="514"/>
      <c r="H65" s="514"/>
      <c r="I65" s="143">
        <f t="shared" si="7"/>
        <v>272491.84000000003</v>
      </c>
      <c r="J65" s="515"/>
      <c r="K65" s="515"/>
      <c r="L65" s="516">
        <f t="shared" si="8"/>
        <v>0</v>
      </c>
    </row>
    <row r="66" spans="1:12" ht="17.100000000000001" customHeight="1" x14ac:dyDescent="0.3">
      <c r="A66" s="322">
        <f t="shared" si="2"/>
        <v>55</v>
      </c>
      <c r="B66" s="153"/>
      <c r="C66" s="154"/>
      <c r="D66" s="152"/>
      <c r="E66" s="152"/>
      <c r="F66" s="152"/>
      <c r="G66" s="514"/>
      <c r="H66" s="514"/>
      <c r="I66" s="143">
        <f t="shared" si="7"/>
        <v>272491.84000000003</v>
      </c>
      <c r="J66" s="515"/>
      <c r="K66" s="515"/>
      <c r="L66" s="516">
        <f t="shared" si="8"/>
        <v>0</v>
      </c>
    </row>
    <row r="67" spans="1:12" ht="17.100000000000001" customHeight="1" thickBot="1" x14ac:dyDescent="0.35">
      <c r="A67" s="124"/>
      <c r="B67" s="153"/>
      <c r="C67" s="154"/>
      <c r="D67" s="152"/>
      <c r="E67" s="152"/>
      <c r="F67" s="152"/>
      <c r="G67" s="155">
        <f>SUM(G11:G66)</f>
        <v>272491.84000000003</v>
      </c>
      <c r="H67" s="155">
        <f>SUM(H11:H66)</f>
        <v>0</v>
      </c>
      <c r="I67" s="155">
        <f>+G67-H67</f>
        <v>272491.84000000003</v>
      </c>
      <c r="J67" s="155">
        <f>SUM(J12:J66)</f>
        <v>0</v>
      </c>
      <c r="K67" s="155">
        <v>0</v>
      </c>
      <c r="L67" s="155">
        <f>SUM(L12:L66)</f>
        <v>0</v>
      </c>
    </row>
    <row r="68" spans="1:12" ht="17.100000000000001" customHeight="1" thickTop="1" x14ac:dyDescent="0.3">
      <c r="A68" s="126"/>
      <c r="B68" s="156"/>
      <c r="C68" s="157"/>
      <c r="D68" s="157"/>
      <c r="E68" s="157"/>
      <c r="F68" s="157"/>
      <c r="G68" s="158">
        <f>+G67-G11</f>
        <v>0</v>
      </c>
      <c r="H68" s="158">
        <f>+L67+J67</f>
        <v>0</v>
      </c>
      <c r="I68" s="158"/>
      <c r="J68" s="159"/>
      <c r="K68" s="159"/>
      <c r="L68" s="159"/>
    </row>
    <row r="69" spans="1:12" ht="27.75" customHeight="1" x14ac:dyDescent="0.3">
      <c r="A69" s="57"/>
      <c r="B69" s="156"/>
      <c r="C69" s="160"/>
      <c r="D69" s="160"/>
      <c r="E69" s="160"/>
      <c r="F69" s="160"/>
      <c r="G69" s="161"/>
      <c r="H69" s="161"/>
      <c r="I69" s="161"/>
      <c r="J69" s="161"/>
      <c r="K69" s="161"/>
      <c r="L69" s="162"/>
    </row>
    <row r="70" spans="1:12" ht="30" customHeight="1" x14ac:dyDescent="0.25">
      <c r="A70" s="57"/>
      <c r="G70" s="157"/>
      <c r="H70" s="157"/>
      <c r="I70" s="157"/>
      <c r="J70" s="157"/>
      <c r="K70" s="157"/>
      <c r="L70" s="163"/>
    </row>
    <row r="71" spans="1:12" ht="15" customHeight="1" x14ac:dyDescent="0.25">
      <c r="A71" s="57"/>
      <c r="G71" s="157"/>
      <c r="H71" s="157"/>
      <c r="I71" s="157"/>
      <c r="J71" s="157"/>
      <c r="K71" s="157"/>
      <c r="L71" s="163"/>
    </row>
    <row r="72" spans="1:12" ht="15" customHeight="1" x14ac:dyDescent="0.25">
      <c r="A72" s="57"/>
      <c r="G72" s="157"/>
      <c r="H72" s="157"/>
      <c r="I72" s="157"/>
      <c r="J72" s="157"/>
      <c r="K72" s="157"/>
      <c r="L72" s="163"/>
    </row>
    <row r="73" spans="1:12" ht="15" customHeight="1" x14ac:dyDescent="0.25">
      <c r="A73" s="57"/>
      <c r="G73" s="157"/>
      <c r="H73" s="157"/>
      <c r="I73" s="157"/>
      <c r="J73" s="157"/>
      <c r="K73" s="157"/>
      <c r="L73" s="163"/>
    </row>
    <row r="74" spans="1:12" ht="15" customHeight="1" x14ac:dyDescent="0.25">
      <c r="A74" s="57"/>
      <c r="G74" s="157"/>
      <c r="H74" s="157"/>
      <c r="I74" s="157"/>
      <c r="J74" s="157"/>
      <c r="K74" s="157"/>
      <c r="L74" s="163"/>
    </row>
    <row r="75" spans="1:12" ht="15" customHeight="1" x14ac:dyDescent="0.25">
      <c r="A75" s="57"/>
      <c r="G75" s="157"/>
      <c r="H75" s="157"/>
      <c r="I75" s="157"/>
      <c r="J75" s="157"/>
      <c r="K75" s="157"/>
      <c r="L75" s="163"/>
    </row>
    <row r="76" spans="1:12" ht="15" customHeight="1" x14ac:dyDescent="0.25">
      <c r="A76" s="57"/>
      <c r="G76" s="157"/>
      <c r="H76" s="157"/>
      <c r="I76" s="157"/>
      <c r="J76" s="157"/>
      <c r="K76" s="157"/>
      <c r="L76" s="163"/>
    </row>
    <row r="77" spans="1:12" ht="15" customHeight="1" x14ac:dyDescent="0.25">
      <c r="A77" s="57"/>
      <c r="G77" s="157"/>
      <c r="H77" s="157"/>
      <c r="I77" s="157"/>
      <c r="J77" s="157"/>
      <c r="K77" s="157"/>
      <c r="L77" s="163"/>
    </row>
    <row r="78" spans="1:12" ht="15" customHeight="1" x14ac:dyDescent="0.25">
      <c r="A78" s="57"/>
    </row>
    <row r="79" spans="1:12" ht="15" customHeight="1" x14ac:dyDescent="0.25">
      <c r="A79" s="57"/>
    </row>
    <row r="80" spans="1:12" ht="15" customHeight="1" x14ac:dyDescent="0.25">
      <c r="A80" s="57"/>
    </row>
    <row r="81" spans="1:1" ht="15" customHeight="1" x14ac:dyDescent="0.25">
      <c r="A81" s="57"/>
    </row>
    <row r="82" spans="1:1" ht="15" customHeight="1" x14ac:dyDescent="0.25">
      <c r="A82" s="57"/>
    </row>
    <row r="83" spans="1:1" ht="15" customHeight="1" x14ac:dyDescent="0.25">
      <c r="A83" s="57"/>
    </row>
    <row r="84" spans="1:1" ht="15" customHeight="1" x14ac:dyDescent="0.25">
      <c r="A84" s="57"/>
    </row>
    <row r="85" spans="1:1" ht="15" customHeight="1" x14ac:dyDescent="0.25">
      <c r="A85" s="57"/>
    </row>
    <row r="86" spans="1:1" ht="15" customHeight="1" x14ac:dyDescent="0.25">
      <c r="A86" s="57"/>
    </row>
    <row r="87" spans="1:1" ht="15" customHeight="1" x14ac:dyDescent="0.25">
      <c r="A87" s="57"/>
    </row>
    <row r="88" spans="1:1" ht="15" customHeight="1" x14ac:dyDescent="0.25">
      <c r="A88" s="57"/>
    </row>
    <row r="89" spans="1:1" ht="15" customHeight="1" x14ac:dyDescent="0.25">
      <c r="A89" s="57"/>
    </row>
    <row r="90" spans="1:1" ht="15" customHeight="1" x14ac:dyDescent="0.25">
      <c r="A90" s="57"/>
    </row>
    <row r="91" spans="1:1" ht="15" customHeight="1" x14ac:dyDescent="0.25">
      <c r="A91" s="57"/>
    </row>
    <row r="92" spans="1:1" ht="15" customHeight="1" x14ac:dyDescent="0.25">
      <c r="A92" s="57"/>
    </row>
    <row r="93" spans="1:1" ht="15" customHeight="1" x14ac:dyDescent="0.25">
      <c r="A93" s="57"/>
    </row>
    <row r="94" spans="1:1" ht="15" customHeight="1" x14ac:dyDescent="0.25">
      <c r="A94" s="57"/>
    </row>
    <row r="95" spans="1:1" ht="15" customHeight="1" x14ac:dyDescent="0.25">
      <c r="A95" s="57"/>
    </row>
    <row r="96" spans="1:1" ht="15" customHeight="1" x14ac:dyDescent="0.25">
      <c r="A96" s="57"/>
    </row>
    <row r="97" spans="1:1" ht="15" customHeight="1" x14ac:dyDescent="0.25">
      <c r="A97" s="57"/>
    </row>
    <row r="98" spans="1:1" ht="15" customHeight="1" x14ac:dyDescent="0.25">
      <c r="A98" s="57"/>
    </row>
    <row r="99" spans="1:1" ht="15" customHeight="1" x14ac:dyDescent="0.25">
      <c r="A99" s="57"/>
    </row>
    <row r="100" spans="1:1" ht="15" customHeight="1" x14ac:dyDescent="0.25">
      <c r="A100" s="57"/>
    </row>
    <row r="101" spans="1:1" ht="15" customHeight="1" x14ac:dyDescent="0.25">
      <c r="A101" s="57"/>
    </row>
    <row r="102" spans="1:1" ht="15" customHeight="1" x14ac:dyDescent="0.25">
      <c r="A102" s="57"/>
    </row>
    <row r="103" spans="1:1" ht="15" customHeight="1" x14ac:dyDescent="0.25">
      <c r="A103" s="57"/>
    </row>
    <row r="104" spans="1:1" ht="15" hidden="1" customHeight="1" x14ac:dyDescent="0.25">
      <c r="A104" s="57"/>
    </row>
    <row r="105" spans="1:1" ht="15" customHeight="1" x14ac:dyDescent="0.25">
      <c r="A105" s="57"/>
    </row>
    <row r="106" spans="1:1" ht="18.75" customHeight="1" x14ac:dyDescent="0.25">
      <c r="A106" s="57"/>
    </row>
    <row r="107" spans="1:1" ht="27.75" customHeight="1" x14ac:dyDescent="0.25">
      <c r="A107" s="57"/>
    </row>
    <row r="108" spans="1:1" ht="33.75" customHeight="1" x14ac:dyDescent="0.25">
      <c r="A108" s="57"/>
    </row>
    <row r="109" spans="1:1" ht="15" customHeight="1" x14ac:dyDescent="0.25">
      <c r="A109" s="57"/>
    </row>
    <row r="110" spans="1:1" ht="15" customHeight="1" x14ac:dyDescent="0.25">
      <c r="A110" s="57"/>
    </row>
    <row r="111" spans="1:1" ht="15" customHeight="1" x14ac:dyDescent="0.25">
      <c r="A111" s="57"/>
    </row>
    <row r="112" spans="1:1" ht="15" customHeight="1" x14ac:dyDescent="0.25">
      <c r="A112" s="57"/>
    </row>
    <row r="113" spans="1:1" ht="15" customHeight="1" x14ac:dyDescent="0.25">
      <c r="A113" s="57"/>
    </row>
    <row r="114" spans="1:1" ht="15" customHeight="1" x14ac:dyDescent="0.25">
      <c r="A114" s="57"/>
    </row>
    <row r="115" spans="1:1" ht="15" customHeight="1" x14ac:dyDescent="0.25">
      <c r="A115" s="57"/>
    </row>
    <row r="116" spans="1:1" ht="15" customHeight="1" x14ac:dyDescent="0.25">
      <c r="A116" s="57"/>
    </row>
    <row r="117" spans="1:1" ht="15" customHeight="1" x14ac:dyDescent="0.25">
      <c r="A117" s="57"/>
    </row>
    <row r="118" spans="1:1" ht="15" customHeight="1" x14ac:dyDescent="0.25">
      <c r="A118" s="57"/>
    </row>
    <row r="119" spans="1:1" ht="15" customHeight="1" x14ac:dyDescent="0.25">
      <c r="A119" s="57"/>
    </row>
    <row r="120" spans="1:1" ht="15" customHeight="1" x14ac:dyDescent="0.25">
      <c r="A120" s="57"/>
    </row>
    <row r="121" spans="1:1" ht="15" customHeight="1" x14ac:dyDescent="0.25">
      <c r="A121" s="57"/>
    </row>
    <row r="122" spans="1:1" ht="15" customHeight="1" x14ac:dyDescent="0.25">
      <c r="A122" s="57"/>
    </row>
    <row r="123" spans="1:1" ht="15" customHeight="1" x14ac:dyDescent="0.25">
      <c r="A123" s="57"/>
    </row>
    <row r="124" spans="1:1" ht="15" customHeight="1" x14ac:dyDescent="0.25">
      <c r="A124" s="57"/>
    </row>
    <row r="125" spans="1:1" ht="15" customHeight="1" x14ac:dyDescent="0.25">
      <c r="A125" s="57"/>
    </row>
    <row r="126" spans="1:1" ht="15" customHeight="1" x14ac:dyDescent="0.25">
      <c r="A126" s="57"/>
    </row>
    <row r="127" spans="1:1" ht="15" customHeight="1" x14ac:dyDescent="0.25">
      <c r="A127" s="57"/>
    </row>
    <row r="128" spans="1:1" ht="15" customHeight="1" x14ac:dyDescent="0.25">
      <c r="A128" s="57"/>
    </row>
    <row r="129" spans="1:1" ht="15" customHeight="1" x14ac:dyDescent="0.25">
      <c r="A129" s="57"/>
    </row>
    <row r="130" spans="1:1" ht="15" customHeight="1" x14ac:dyDescent="0.25">
      <c r="A130" s="57"/>
    </row>
    <row r="131" spans="1:1" ht="15" customHeight="1" x14ac:dyDescent="0.25">
      <c r="A131" s="57"/>
    </row>
    <row r="132" spans="1:1" ht="15" customHeight="1" x14ac:dyDescent="0.25">
      <c r="A132" s="57"/>
    </row>
    <row r="133" spans="1:1" ht="15" customHeight="1" x14ac:dyDescent="0.25">
      <c r="A133" s="57"/>
    </row>
    <row r="134" spans="1:1" ht="15" customHeight="1" x14ac:dyDescent="0.25">
      <c r="A134" s="57"/>
    </row>
    <row r="135" spans="1:1" ht="15" customHeight="1" x14ac:dyDescent="0.25">
      <c r="A135" s="57"/>
    </row>
    <row r="136" spans="1:1" ht="15" customHeight="1" x14ac:dyDescent="0.25">
      <c r="A136" s="57"/>
    </row>
    <row r="137" spans="1:1" ht="15" customHeight="1" x14ac:dyDescent="0.25">
      <c r="A137" s="57"/>
    </row>
    <row r="138" spans="1:1" ht="15" customHeight="1" x14ac:dyDescent="0.25">
      <c r="A138" s="57"/>
    </row>
    <row r="139" spans="1:1" ht="15" customHeight="1" x14ac:dyDescent="0.25">
      <c r="A139" s="57"/>
    </row>
    <row r="140" spans="1:1" ht="15" customHeight="1" x14ac:dyDescent="0.25">
      <c r="A140" s="57"/>
    </row>
    <row r="141" spans="1:1" ht="15" customHeight="1" x14ac:dyDescent="0.25">
      <c r="A141" s="57"/>
    </row>
    <row r="142" spans="1:1" ht="15" customHeight="1" x14ac:dyDescent="0.25">
      <c r="A142" s="57"/>
    </row>
    <row r="143" spans="1:1" ht="1.5" customHeight="1" x14ac:dyDescent="0.25">
      <c r="A143" s="57"/>
    </row>
    <row r="144" spans="1:1" ht="21.75" customHeight="1" x14ac:dyDescent="0.25">
      <c r="A144" s="57"/>
    </row>
    <row r="145" spans="1:1" ht="15" customHeight="1" x14ac:dyDescent="0.25">
      <c r="A145" s="57"/>
    </row>
    <row r="146" spans="1:1" ht="15" customHeight="1" x14ac:dyDescent="0.25">
      <c r="A146" s="57"/>
    </row>
    <row r="147" spans="1:1" ht="33.75" customHeight="1" x14ac:dyDescent="0.25">
      <c r="A147" s="57"/>
    </row>
    <row r="148" spans="1:1" ht="15" customHeight="1" x14ac:dyDescent="0.25">
      <c r="A148" s="57"/>
    </row>
    <row r="149" spans="1:1" ht="15" customHeight="1" x14ac:dyDescent="0.25">
      <c r="A149" s="57"/>
    </row>
    <row r="150" spans="1:1" ht="15" customHeight="1" x14ac:dyDescent="0.25">
      <c r="A150" s="57"/>
    </row>
    <row r="151" spans="1:1" ht="15" customHeight="1" x14ac:dyDescent="0.25">
      <c r="A151" s="57"/>
    </row>
    <row r="152" spans="1:1" ht="15" customHeight="1" x14ac:dyDescent="0.25">
      <c r="A152" s="57"/>
    </row>
    <row r="153" spans="1:1" ht="15" customHeight="1" x14ac:dyDescent="0.25">
      <c r="A153" s="57"/>
    </row>
    <row r="154" spans="1:1" ht="15" customHeight="1" x14ac:dyDescent="0.25">
      <c r="A154" s="57"/>
    </row>
    <row r="155" spans="1:1" ht="15" customHeight="1" x14ac:dyDescent="0.25">
      <c r="A155" s="57"/>
    </row>
    <row r="156" spans="1:1" ht="15" customHeight="1" x14ac:dyDescent="0.25">
      <c r="A156" s="57"/>
    </row>
    <row r="157" spans="1:1" ht="15" customHeight="1" x14ac:dyDescent="0.25">
      <c r="A157" s="57"/>
    </row>
    <row r="158" spans="1:1" ht="15" customHeight="1" x14ac:dyDescent="0.25">
      <c r="A158" s="57"/>
    </row>
    <row r="159" spans="1:1" ht="15" customHeight="1" x14ac:dyDescent="0.25">
      <c r="A159" s="57"/>
    </row>
    <row r="160" spans="1:1" ht="15" customHeight="1" x14ac:dyDescent="0.25">
      <c r="A160" s="57"/>
    </row>
    <row r="161" spans="1:1" ht="15" customHeight="1" x14ac:dyDescent="0.25">
      <c r="A161" s="57"/>
    </row>
    <row r="162" spans="1:1" ht="15" customHeight="1" x14ac:dyDescent="0.25">
      <c r="A162" s="57"/>
    </row>
    <row r="163" spans="1:1" ht="15" customHeight="1" x14ac:dyDescent="0.25">
      <c r="A163" s="57"/>
    </row>
    <row r="164" spans="1:1" ht="15" customHeight="1" x14ac:dyDescent="0.25">
      <c r="A164" s="57"/>
    </row>
    <row r="165" spans="1:1" ht="15" customHeight="1" x14ac:dyDescent="0.25">
      <c r="A165" s="57"/>
    </row>
    <row r="166" spans="1:1" ht="15" customHeight="1" x14ac:dyDescent="0.25">
      <c r="A166" s="57"/>
    </row>
    <row r="167" spans="1:1" ht="15" customHeight="1" x14ac:dyDescent="0.25">
      <c r="A167" s="57"/>
    </row>
    <row r="168" spans="1:1" ht="15" customHeight="1" x14ac:dyDescent="0.25">
      <c r="A168" s="57"/>
    </row>
    <row r="169" spans="1:1" ht="15" customHeight="1" x14ac:dyDescent="0.25">
      <c r="A169" s="57"/>
    </row>
    <row r="170" spans="1:1" ht="15" customHeight="1" x14ac:dyDescent="0.25">
      <c r="A170" s="57"/>
    </row>
    <row r="171" spans="1:1" ht="15" customHeight="1" x14ac:dyDescent="0.25">
      <c r="A171" s="57"/>
    </row>
    <row r="172" spans="1:1" ht="15" customHeight="1" x14ac:dyDescent="0.25">
      <c r="A172" s="57"/>
    </row>
    <row r="173" spans="1:1" ht="15" customHeight="1" x14ac:dyDescent="0.25">
      <c r="A173" s="57"/>
    </row>
    <row r="174" spans="1:1" ht="15" customHeight="1" x14ac:dyDescent="0.25">
      <c r="A174" s="57"/>
    </row>
    <row r="175" spans="1:1" ht="15" customHeight="1" x14ac:dyDescent="0.25">
      <c r="A175" s="57"/>
    </row>
    <row r="176" spans="1:1" ht="15" customHeight="1" x14ac:dyDescent="0.25">
      <c r="A176" s="57"/>
    </row>
    <row r="177" spans="1:1" ht="15" customHeight="1" x14ac:dyDescent="0.25">
      <c r="A177" s="57"/>
    </row>
    <row r="178" spans="1:1" x14ac:dyDescent="0.25">
      <c r="A178" s="57"/>
    </row>
    <row r="179" spans="1:1" ht="15" customHeight="1" x14ac:dyDescent="0.25">
      <c r="A179" s="57"/>
    </row>
    <row r="180" spans="1:1" ht="15" customHeight="1" x14ac:dyDescent="0.25">
      <c r="A180" s="57"/>
    </row>
    <row r="181" spans="1:1" ht="15" customHeight="1" x14ac:dyDescent="0.25">
      <c r="A181" s="57"/>
    </row>
    <row r="182" spans="1:1" ht="1.5" customHeight="1" x14ac:dyDescent="0.25">
      <c r="A182" s="57"/>
    </row>
    <row r="183" spans="1:1" ht="15" customHeight="1" x14ac:dyDescent="0.25">
      <c r="A183" s="57"/>
    </row>
    <row r="184" spans="1:1" ht="15" customHeight="1" x14ac:dyDescent="0.25">
      <c r="A184" s="57"/>
    </row>
    <row r="185" spans="1:1" ht="15" customHeight="1" x14ac:dyDescent="0.25">
      <c r="A185" s="57"/>
    </row>
    <row r="186" spans="1:1" ht="28.5" customHeight="1" x14ac:dyDescent="0.25">
      <c r="A186" s="57"/>
    </row>
    <row r="187" spans="1:1" ht="15" customHeight="1" x14ac:dyDescent="0.25">
      <c r="A187" s="57"/>
    </row>
    <row r="188" spans="1:1" ht="15" customHeight="1" x14ac:dyDescent="0.25">
      <c r="A188" s="57"/>
    </row>
    <row r="189" spans="1:1" ht="15" customHeight="1" x14ac:dyDescent="0.25">
      <c r="A189" s="57"/>
    </row>
    <row r="190" spans="1:1" ht="15" customHeight="1" x14ac:dyDescent="0.25">
      <c r="A190" s="57"/>
    </row>
    <row r="191" spans="1:1" ht="15" customHeight="1" x14ac:dyDescent="0.25">
      <c r="A191" s="57"/>
    </row>
    <row r="192" spans="1:1" ht="15" customHeight="1" x14ac:dyDescent="0.25">
      <c r="A192" s="57"/>
    </row>
    <row r="193" spans="1:1" ht="15" customHeight="1" x14ac:dyDescent="0.25">
      <c r="A193" s="57"/>
    </row>
    <row r="194" spans="1:1" ht="15" customHeight="1" x14ac:dyDescent="0.25">
      <c r="A194" s="57"/>
    </row>
    <row r="195" spans="1:1" ht="15" customHeight="1" x14ac:dyDescent="0.25">
      <c r="A195" s="57"/>
    </row>
    <row r="196" spans="1:1" ht="15" customHeight="1" x14ac:dyDescent="0.25">
      <c r="A196" s="57"/>
    </row>
    <row r="197" spans="1:1" ht="15" customHeight="1" x14ac:dyDescent="0.25">
      <c r="A197" s="57"/>
    </row>
    <row r="198" spans="1:1" ht="15" customHeight="1" x14ac:dyDescent="0.25">
      <c r="A198" s="57"/>
    </row>
    <row r="199" spans="1:1" ht="15" customHeight="1" x14ac:dyDescent="0.25">
      <c r="A199" s="57"/>
    </row>
    <row r="200" spans="1:1" ht="15" customHeight="1" x14ac:dyDescent="0.25">
      <c r="A200" s="57"/>
    </row>
    <row r="201" spans="1:1" ht="15" customHeight="1" x14ac:dyDescent="0.25">
      <c r="A201" s="57"/>
    </row>
    <row r="202" spans="1:1" ht="15" customHeight="1" x14ac:dyDescent="0.25">
      <c r="A202" s="57"/>
    </row>
    <row r="203" spans="1:1" ht="15" customHeight="1" x14ac:dyDescent="0.25">
      <c r="A203" s="57"/>
    </row>
    <row r="204" spans="1:1" ht="15" customHeight="1" x14ac:dyDescent="0.25">
      <c r="A204" s="57"/>
    </row>
    <row r="205" spans="1:1" ht="15" customHeight="1" x14ac:dyDescent="0.25">
      <c r="A205" s="57"/>
    </row>
    <row r="206" spans="1:1" ht="15" customHeight="1" x14ac:dyDescent="0.25">
      <c r="A206" s="57"/>
    </row>
    <row r="207" spans="1:1" ht="15" customHeight="1" x14ac:dyDescent="0.25">
      <c r="A207" s="57"/>
    </row>
    <row r="208" spans="1:1" ht="15" customHeight="1" x14ac:dyDescent="0.25">
      <c r="A208" s="57"/>
    </row>
    <row r="209" spans="1:1" ht="15" customHeight="1" x14ac:dyDescent="0.25">
      <c r="A209" s="57"/>
    </row>
    <row r="210" spans="1:1" ht="15" customHeight="1" x14ac:dyDescent="0.25">
      <c r="A210" s="57"/>
    </row>
    <row r="211" spans="1:1" ht="15" customHeight="1" x14ac:dyDescent="0.25">
      <c r="A211" s="57"/>
    </row>
    <row r="212" spans="1:1" ht="15" customHeight="1" x14ac:dyDescent="0.25">
      <c r="A212" s="57"/>
    </row>
    <row r="213" spans="1:1" ht="15" customHeight="1" x14ac:dyDescent="0.25">
      <c r="A213" s="57"/>
    </row>
    <row r="214" spans="1:1" ht="15" customHeight="1" x14ac:dyDescent="0.25">
      <c r="A214" s="57"/>
    </row>
    <row r="215" spans="1:1" ht="15" customHeight="1" x14ac:dyDescent="0.25">
      <c r="A215" s="57"/>
    </row>
    <row r="216" spans="1:1" ht="15" customHeight="1" x14ac:dyDescent="0.25">
      <c r="A216" s="57"/>
    </row>
    <row r="217" spans="1:1" ht="15" customHeight="1" x14ac:dyDescent="0.25">
      <c r="A217" s="57"/>
    </row>
    <row r="218" spans="1:1" ht="15" customHeight="1" x14ac:dyDescent="0.25">
      <c r="A218" s="57"/>
    </row>
    <row r="219" spans="1:1" ht="15" customHeight="1" x14ac:dyDescent="0.25">
      <c r="A219" s="57"/>
    </row>
    <row r="220" spans="1:1" ht="15" customHeight="1" x14ac:dyDescent="0.25">
      <c r="A220" s="57"/>
    </row>
    <row r="221" spans="1:1" ht="15" customHeight="1" x14ac:dyDescent="0.25">
      <c r="A221" s="57"/>
    </row>
    <row r="222" spans="1:1" ht="15" customHeight="1" x14ac:dyDescent="0.25">
      <c r="A222" s="57"/>
    </row>
    <row r="223" spans="1:1" ht="15" customHeight="1" x14ac:dyDescent="0.25">
      <c r="A223" s="57"/>
    </row>
    <row r="224" spans="1:1" ht="15" customHeight="1" x14ac:dyDescent="0.25">
      <c r="A224" s="57"/>
    </row>
    <row r="225" spans="1:1" ht="24" customHeight="1" x14ac:dyDescent="0.25">
      <c r="A225" s="57"/>
    </row>
    <row r="226" spans="1:1" ht="15" customHeight="1" x14ac:dyDescent="0.25">
      <c r="A226" s="57"/>
    </row>
    <row r="227" spans="1:1" ht="15" customHeight="1" x14ac:dyDescent="0.25">
      <c r="A227" s="57"/>
    </row>
    <row r="228" spans="1:1" ht="15" customHeight="1" x14ac:dyDescent="0.25">
      <c r="A228" s="57"/>
    </row>
    <row r="229" spans="1:1" ht="15" customHeight="1" x14ac:dyDescent="0.25">
      <c r="A229" s="57"/>
    </row>
    <row r="230" spans="1:1" ht="15" customHeight="1" x14ac:dyDescent="0.25">
      <c r="A230" s="57"/>
    </row>
    <row r="231" spans="1:1" ht="15" customHeight="1" x14ac:dyDescent="0.25">
      <c r="A231" s="57"/>
    </row>
    <row r="232" spans="1:1" ht="15" customHeight="1" x14ac:dyDescent="0.25">
      <c r="A232" s="57"/>
    </row>
    <row r="233" spans="1:1" ht="15" customHeight="1" x14ac:dyDescent="0.25">
      <c r="A233" s="57"/>
    </row>
    <row r="234" spans="1:1" ht="15" customHeight="1" x14ac:dyDescent="0.25">
      <c r="A234" s="57"/>
    </row>
    <row r="235" spans="1:1" ht="15" customHeight="1" x14ac:dyDescent="0.25">
      <c r="A235" s="57"/>
    </row>
    <row r="236" spans="1:1" ht="15" customHeight="1" x14ac:dyDescent="0.25">
      <c r="A236" s="57"/>
    </row>
    <row r="237" spans="1:1" ht="15" customHeight="1" x14ac:dyDescent="0.25">
      <c r="A237" s="57"/>
    </row>
    <row r="238" spans="1:1" ht="15" customHeight="1" x14ac:dyDescent="0.25">
      <c r="A238" s="57"/>
    </row>
    <row r="239" spans="1:1" ht="15" customHeight="1" x14ac:dyDescent="0.25">
      <c r="A239" s="57"/>
    </row>
    <row r="240" spans="1:1" ht="15" customHeight="1" x14ac:dyDescent="0.25">
      <c r="A240" s="57"/>
    </row>
    <row r="241" spans="1:1" ht="15" customHeight="1" x14ac:dyDescent="0.25">
      <c r="A241" s="57"/>
    </row>
    <row r="242" spans="1:1" ht="15" customHeight="1" x14ac:dyDescent="0.25">
      <c r="A242" s="57"/>
    </row>
    <row r="243" spans="1:1" ht="15" customHeight="1" x14ac:dyDescent="0.25">
      <c r="A243" s="57"/>
    </row>
    <row r="244" spans="1:1" ht="15" customHeight="1" x14ac:dyDescent="0.25">
      <c r="A244" s="57"/>
    </row>
    <row r="245" spans="1:1" ht="15" customHeight="1" x14ac:dyDescent="0.25">
      <c r="A245" s="57"/>
    </row>
    <row r="246" spans="1:1" ht="15" customHeight="1" x14ac:dyDescent="0.25">
      <c r="A246" s="57"/>
    </row>
    <row r="247" spans="1:1" ht="15" customHeight="1" x14ac:dyDescent="0.25">
      <c r="A247" s="57"/>
    </row>
    <row r="248" spans="1:1" ht="15" customHeight="1" x14ac:dyDescent="0.25">
      <c r="A248" s="57"/>
    </row>
    <row r="249" spans="1:1" ht="15" customHeight="1" x14ac:dyDescent="0.25">
      <c r="A249" s="57"/>
    </row>
    <row r="250" spans="1:1" ht="15" customHeight="1" x14ac:dyDescent="0.25">
      <c r="A250" s="57"/>
    </row>
    <row r="251" spans="1:1" ht="15" customHeight="1" x14ac:dyDescent="0.25">
      <c r="A251" s="57"/>
    </row>
    <row r="252" spans="1:1" ht="15" customHeight="1" x14ac:dyDescent="0.25">
      <c r="A252" s="57"/>
    </row>
    <row r="253" spans="1:1" ht="15" customHeight="1" x14ac:dyDescent="0.25">
      <c r="A253" s="57"/>
    </row>
    <row r="254" spans="1:1" ht="15" customHeight="1" x14ac:dyDescent="0.25">
      <c r="A254" s="57"/>
    </row>
    <row r="255" spans="1:1" ht="15" customHeight="1" x14ac:dyDescent="0.25">
      <c r="A255" s="57"/>
    </row>
    <row r="256" spans="1:1" ht="15" customHeight="1" x14ac:dyDescent="0.25">
      <c r="A256" s="57"/>
    </row>
    <row r="257" spans="1:1" ht="15" customHeight="1" x14ac:dyDescent="0.25">
      <c r="A257" s="57"/>
    </row>
    <row r="258" spans="1:1" ht="15" customHeight="1" x14ac:dyDescent="0.25">
      <c r="A258" s="57"/>
    </row>
    <row r="259" spans="1:1" ht="15" customHeight="1" x14ac:dyDescent="0.25">
      <c r="A259" s="57"/>
    </row>
    <row r="260" spans="1:1" ht="15" customHeight="1" x14ac:dyDescent="0.25">
      <c r="A260" s="57"/>
    </row>
    <row r="261" spans="1:1" ht="15" customHeight="1" x14ac:dyDescent="0.25">
      <c r="A261" s="57"/>
    </row>
    <row r="262" spans="1:1" ht="21" customHeight="1" x14ac:dyDescent="0.25">
      <c r="A262" s="57"/>
    </row>
    <row r="263" spans="1:1" ht="21" customHeight="1" x14ac:dyDescent="0.25">
      <c r="A263" s="57"/>
    </row>
    <row r="264" spans="1:1" ht="26.25" customHeight="1" x14ac:dyDescent="0.25">
      <c r="A264" s="57"/>
    </row>
    <row r="265" spans="1:1" ht="26.25" customHeight="1" x14ac:dyDescent="0.25">
      <c r="A265" s="57"/>
    </row>
    <row r="266" spans="1:1" ht="15" customHeight="1" x14ac:dyDescent="0.25">
      <c r="A266" s="57"/>
    </row>
    <row r="267" spans="1:1" ht="15" customHeight="1" x14ac:dyDescent="0.25">
      <c r="A267" s="57"/>
    </row>
    <row r="268" spans="1:1" ht="15" customHeight="1" x14ac:dyDescent="0.25">
      <c r="A268" s="57"/>
    </row>
    <row r="269" spans="1:1" ht="15" customHeight="1" x14ac:dyDescent="0.25">
      <c r="A269" s="57"/>
    </row>
    <row r="270" spans="1:1" ht="15" customHeight="1" x14ac:dyDescent="0.25">
      <c r="A270" s="57"/>
    </row>
    <row r="271" spans="1:1" ht="15" customHeight="1" x14ac:dyDescent="0.25">
      <c r="A271" s="57"/>
    </row>
    <row r="272" spans="1:1" ht="15" customHeight="1" x14ac:dyDescent="0.25">
      <c r="A272" s="57"/>
    </row>
    <row r="273" spans="1:1" ht="15" customHeight="1" x14ac:dyDescent="0.25">
      <c r="A273" s="57"/>
    </row>
    <row r="274" spans="1:1" ht="15" customHeight="1" x14ac:dyDescent="0.25">
      <c r="A274" s="57"/>
    </row>
    <row r="275" spans="1:1" ht="15" customHeight="1" x14ac:dyDescent="0.25">
      <c r="A275" s="57"/>
    </row>
    <row r="276" spans="1:1" ht="15" customHeight="1" x14ac:dyDescent="0.25">
      <c r="A276" s="57"/>
    </row>
    <row r="277" spans="1:1" ht="15" customHeight="1" x14ac:dyDescent="0.25">
      <c r="A277" s="57"/>
    </row>
    <row r="278" spans="1:1" ht="15" customHeight="1" x14ac:dyDescent="0.25">
      <c r="A278" s="57"/>
    </row>
    <row r="279" spans="1:1" ht="15" customHeight="1" x14ac:dyDescent="0.25">
      <c r="A279" s="57"/>
    </row>
    <row r="280" spans="1:1" ht="15" customHeight="1" x14ac:dyDescent="0.25">
      <c r="A280" s="57"/>
    </row>
    <row r="281" spans="1:1" ht="15" customHeight="1" x14ac:dyDescent="0.25">
      <c r="A281" s="57"/>
    </row>
    <row r="282" spans="1:1" ht="15" customHeight="1" x14ac:dyDescent="0.25">
      <c r="A282" s="57"/>
    </row>
    <row r="283" spans="1:1" ht="15" customHeight="1" x14ac:dyDescent="0.25">
      <c r="A283" s="57"/>
    </row>
    <row r="284" spans="1:1" ht="15" customHeight="1" x14ac:dyDescent="0.25">
      <c r="A284" s="57"/>
    </row>
    <row r="285" spans="1:1" ht="15" customHeight="1" x14ac:dyDescent="0.25">
      <c r="A285" s="57"/>
    </row>
    <row r="286" spans="1:1" ht="15" customHeight="1" x14ac:dyDescent="0.25">
      <c r="A286" s="57"/>
    </row>
    <row r="287" spans="1:1" ht="15" customHeight="1" x14ac:dyDescent="0.25">
      <c r="A287" s="57"/>
    </row>
    <row r="288" spans="1:1" ht="15" customHeight="1" x14ac:dyDescent="0.25">
      <c r="A288" s="57"/>
    </row>
    <row r="289" spans="1:1" ht="15" customHeight="1" x14ac:dyDescent="0.25">
      <c r="A289" s="57"/>
    </row>
    <row r="290" spans="1:1" ht="15" customHeight="1" x14ac:dyDescent="0.25">
      <c r="A290" s="57"/>
    </row>
    <row r="291" spans="1:1" ht="15" customHeight="1" x14ac:dyDescent="0.25">
      <c r="A291" s="57"/>
    </row>
    <row r="292" spans="1:1" ht="15" customHeight="1" x14ac:dyDescent="0.25">
      <c r="A292" s="57"/>
    </row>
    <row r="293" spans="1:1" ht="15" customHeight="1" x14ac:dyDescent="0.25">
      <c r="A293" s="57"/>
    </row>
    <row r="294" spans="1:1" ht="15" customHeight="1" x14ac:dyDescent="0.25">
      <c r="A294" s="57"/>
    </row>
    <row r="295" spans="1:1" ht="15" customHeight="1" x14ac:dyDescent="0.25">
      <c r="A295" s="57"/>
    </row>
    <row r="296" spans="1:1" ht="15" customHeight="1" x14ac:dyDescent="0.25">
      <c r="A296" s="57"/>
    </row>
    <row r="297" spans="1:1" ht="15" customHeight="1" x14ac:dyDescent="0.25">
      <c r="A297" s="57"/>
    </row>
    <row r="298" spans="1:1" ht="15" customHeight="1" x14ac:dyDescent="0.25">
      <c r="A298" s="57"/>
    </row>
    <row r="299" spans="1:1" ht="15" customHeight="1" x14ac:dyDescent="0.25">
      <c r="A299" s="57"/>
    </row>
    <row r="300" spans="1:1" ht="15" customHeight="1" x14ac:dyDescent="0.25">
      <c r="A300" s="57"/>
    </row>
    <row r="301" spans="1:1" ht="15" customHeight="1" x14ac:dyDescent="0.25">
      <c r="A301" s="57"/>
    </row>
    <row r="302" spans="1:1" ht="15" customHeight="1" x14ac:dyDescent="0.25">
      <c r="A302" s="57"/>
    </row>
    <row r="303" spans="1:1" ht="5.25" customHeight="1" x14ac:dyDescent="0.25">
      <c r="A303" s="57"/>
    </row>
    <row r="304" spans="1:1" ht="31.5" customHeight="1" x14ac:dyDescent="0.25">
      <c r="A304" s="57"/>
    </row>
    <row r="305" spans="1:1" ht="30" customHeight="1" x14ac:dyDescent="0.25">
      <c r="A305" s="57"/>
    </row>
    <row r="306" spans="1:1" ht="15" customHeight="1" x14ac:dyDescent="0.25">
      <c r="A306" s="57"/>
    </row>
    <row r="307" spans="1:1" ht="15" customHeight="1" x14ac:dyDescent="0.25">
      <c r="A307" s="57"/>
    </row>
    <row r="308" spans="1:1" ht="15" customHeight="1" x14ac:dyDescent="0.25">
      <c r="A308" s="57"/>
    </row>
    <row r="309" spans="1:1" ht="15" customHeight="1" x14ac:dyDescent="0.25">
      <c r="A309" s="57"/>
    </row>
    <row r="310" spans="1:1" ht="15" customHeight="1" x14ac:dyDescent="0.25">
      <c r="A310" s="57"/>
    </row>
    <row r="311" spans="1:1" ht="15" customHeight="1" x14ac:dyDescent="0.25">
      <c r="A311" s="57"/>
    </row>
    <row r="312" spans="1:1" ht="15" customHeight="1" x14ac:dyDescent="0.25">
      <c r="A312" s="57"/>
    </row>
    <row r="313" spans="1:1" ht="15" customHeight="1" x14ac:dyDescent="0.25">
      <c r="A313" s="57"/>
    </row>
    <row r="314" spans="1:1" ht="15" customHeight="1" x14ac:dyDescent="0.25">
      <c r="A314" s="57"/>
    </row>
    <row r="315" spans="1:1" ht="15" customHeight="1" x14ac:dyDescent="0.25">
      <c r="A315" s="57"/>
    </row>
    <row r="316" spans="1:1" ht="15" customHeight="1" x14ac:dyDescent="0.25">
      <c r="A316" s="57"/>
    </row>
    <row r="317" spans="1:1" ht="15" customHeight="1" x14ac:dyDescent="0.25">
      <c r="A317" s="57"/>
    </row>
    <row r="318" spans="1:1" ht="15" customHeight="1" x14ac:dyDescent="0.25">
      <c r="A318" s="57"/>
    </row>
    <row r="319" spans="1:1" ht="15" customHeight="1" x14ac:dyDescent="0.25">
      <c r="A319" s="57"/>
    </row>
    <row r="320" spans="1:1" ht="15" customHeight="1" x14ac:dyDescent="0.25">
      <c r="A320" s="57"/>
    </row>
    <row r="321" spans="1:1" ht="15" customHeight="1" x14ac:dyDescent="0.25">
      <c r="A321" s="57"/>
    </row>
    <row r="322" spans="1:1" ht="15" customHeight="1" x14ac:dyDescent="0.25">
      <c r="A322" s="57"/>
    </row>
    <row r="323" spans="1:1" ht="15" customHeight="1" x14ac:dyDescent="0.25">
      <c r="A323" s="57"/>
    </row>
    <row r="324" spans="1:1" ht="15" customHeight="1" x14ac:dyDescent="0.25">
      <c r="A324" s="57"/>
    </row>
    <row r="325" spans="1:1" ht="15" customHeight="1" x14ac:dyDescent="0.25">
      <c r="A325" s="57"/>
    </row>
    <row r="326" spans="1:1" ht="15" customHeight="1" x14ac:dyDescent="0.25">
      <c r="A326" s="57"/>
    </row>
    <row r="327" spans="1:1" ht="15" customHeight="1" x14ac:dyDescent="0.25">
      <c r="A327" s="57"/>
    </row>
    <row r="328" spans="1:1" ht="15" customHeight="1" x14ac:dyDescent="0.25">
      <c r="A328" s="57"/>
    </row>
    <row r="329" spans="1:1" ht="15" customHeight="1" x14ac:dyDescent="0.25">
      <c r="A329" s="57"/>
    </row>
    <row r="330" spans="1:1" ht="15" customHeight="1" x14ac:dyDescent="0.25">
      <c r="A330" s="57"/>
    </row>
    <row r="331" spans="1:1" ht="15" customHeight="1" x14ac:dyDescent="0.25">
      <c r="A331" s="57"/>
    </row>
    <row r="332" spans="1:1" ht="15" customHeight="1" x14ac:dyDescent="0.25">
      <c r="A332" s="57"/>
    </row>
    <row r="333" spans="1:1" ht="15" customHeight="1" x14ac:dyDescent="0.25">
      <c r="A333" s="57"/>
    </row>
    <row r="334" spans="1:1" ht="15" customHeight="1" x14ac:dyDescent="0.25">
      <c r="A334" s="57"/>
    </row>
    <row r="335" spans="1:1" ht="15" customHeight="1" x14ac:dyDescent="0.25">
      <c r="A335" s="57"/>
    </row>
    <row r="336" spans="1:1" ht="15" customHeight="1" x14ac:dyDescent="0.25">
      <c r="A336" s="57"/>
    </row>
    <row r="337" spans="1:1" ht="15" customHeight="1" x14ac:dyDescent="0.25">
      <c r="A337" s="57"/>
    </row>
    <row r="338" spans="1:1" ht="15" customHeight="1" x14ac:dyDescent="0.25">
      <c r="A338" s="57"/>
    </row>
    <row r="339" spans="1:1" ht="15" customHeight="1" x14ac:dyDescent="0.25">
      <c r="A339" s="57"/>
    </row>
    <row r="340" spans="1:1" ht="15" customHeight="1" x14ac:dyDescent="0.25">
      <c r="A340" s="57"/>
    </row>
    <row r="341" spans="1:1" ht="15" customHeight="1" x14ac:dyDescent="0.25">
      <c r="A341" s="57"/>
    </row>
    <row r="342" spans="1:1" ht="15" customHeight="1" x14ac:dyDescent="0.25">
      <c r="A342" s="57"/>
    </row>
    <row r="343" spans="1:1" x14ac:dyDescent="0.25">
      <c r="A343" s="57"/>
    </row>
    <row r="344" spans="1:1" x14ac:dyDescent="0.25">
      <c r="A344" s="57"/>
    </row>
    <row r="345" spans="1:1" x14ac:dyDescent="0.25">
      <c r="A345" s="57"/>
    </row>
    <row r="346" spans="1:1" x14ac:dyDescent="0.25">
      <c r="A346" s="57"/>
    </row>
    <row r="347" spans="1:1" x14ac:dyDescent="0.25">
      <c r="A347" s="57"/>
    </row>
    <row r="348" spans="1:1" x14ac:dyDescent="0.25">
      <c r="A348" s="57"/>
    </row>
    <row r="349" spans="1:1" x14ac:dyDescent="0.25">
      <c r="A349" s="57"/>
    </row>
    <row r="350" spans="1:1" x14ac:dyDescent="0.25">
      <c r="A350" s="57"/>
    </row>
    <row r="351" spans="1:1" x14ac:dyDescent="0.25">
      <c r="A351" s="57"/>
    </row>
    <row r="352" spans="1:1" x14ac:dyDescent="0.25">
      <c r="A352" s="57"/>
    </row>
    <row r="353" spans="1:1" x14ac:dyDescent="0.25">
      <c r="A353" s="57"/>
    </row>
    <row r="354" spans="1:1" x14ac:dyDescent="0.25">
      <c r="A354" s="57"/>
    </row>
    <row r="355" spans="1:1" x14ac:dyDescent="0.25">
      <c r="A355" s="57"/>
    </row>
    <row r="356" spans="1:1" x14ac:dyDescent="0.25">
      <c r="A356" s="57"/>
    </row>
    <row r="357" spans="1:1" x14ac:dyDescent="0.25">
      <c r="A357" s="57"/>
    </row>
    <row r="358" spans="1:1" x14ac:dyDescent="0.25">
      <c r="A358" s="57"/>
    </row>
    <row r="359" spans="1:1" x14ac:dyDescent="0.25">
      <c r="A359" s="57"/>
    </row>
    <row r="360" spans="1:1" x14ac:dyDescent="0.25">
      <c r="A360" s="57"/>
    </row>
    <row r="361" spans="1:1" x14ac:dyDescent="0.25">
      <c r="A361" s="57"/>
    </row>
    <row r="362" spans="1:1" x14ac:dyDescent="0.25">
      <c r="A362" s="57"/>
    </row>
    <row r="363" spans="1:1" x14ac:dyDescent="0.25">
      <c r="A363" s="57"/>
    </row>
    <row r="364" spans="1:1" x14ac:dyDescent="0.25">
      <c r="A364" s="57"/>
    </row>
    <row r="365" spans="1:1" x14ac:dyDescent="0.25">
      <c r="A365" s="57"/>
    </row>
    <row r="366" spans="1:1" x14ac:dyDescent="0.25">
      <c r="A366" s="57"/>
    </row>
    <row r="367" spans="1:1" x14ac:dyDescent="0.25">
      <c r="A367" s="57"/>
    </row>
    <row r="368" spans="1:1" x14ac:dyDescent="0.25">
      <c r="A368" s="57"/>
    </row>
    <row r="369" spans="1:1" x14ac:dyDescent="0.25">
      <c r="A369" s="57"/>
    </row>
    <row r="370" spans="1:1" x14ac:dyDescent="0.25">
      <c r="A370" s="57"/>
    </row>
    <row r="371" spans="1:1" x14ac:dyDescent="0.25">
      <c r="A371" s="57"/>
    </row>
    <row r="372" spans="1:1" x14ac:dyDescent="0.25">
      <c r="A372" s="57"/>
    </row>
    <row r="373" spans="1:1" x14ac:dyDescent="0.25">
      <c r="A373" s="57"/>
    </row>
    <row r="374" spans="1:1" x14ac:dyDescent="0.25">
      <c r="A374" s="57"/>
    </row>
    <row r="375" spans="1:1" x14ac:dyDescent="0.25">
      <c r="A375" s="57"/>
    </row>
    <row r="376" spans="1:1" x14ac:dyDescent="0.25">
      <c r="A376" s="57"/>
    </row>
    <row r="377" spans="1:1" x14ac:dyDescent="0.25">
      <c r="A377" s="57"/>
    </row>
    <row r="378" spans="1:1" x14ac:dyDescent="0.25">
      <c r="A378" s="57"/>
    </row>
    <row r="379" spans="1:1" x14ac:dyDescent="0.25">
      <c r="A379" s="57"/>
    </row>
    <row r="380" spans="1:1" x14ac:dyDescent="0.25">
      <c r="A380" s="57"/>
    </row>
    <row r="381" spans="1:1" x14ac:dyDescent="0.25">
      <c r="A381" s="57"/>
    </row>
    <row r="382" spans="1:1" x14ac:dyDescent="0.25">
      <c r="A382" s="57"/>
    </row>
    <row r="383" spans="1:1" x14ac:dyDescent="0.25">
      <c r="A383" s="57"/>
    </row>
    <row r="384" spans="1:1" x14ac:dyDescent="0.25">
      <c r="A384" s="57"/>
    </row>
    <row r="385" spans="1:1" x14ac:dyDescent="0.25">
      <c r="A385" s="57"/>
    </row>
    <row r="386" spans="1:1" x14ac:dyDescent="0.25">
      <c r="A386" s="57"/>
    </row>
    <row r="387" spans="1:1" x14ac:dyDescent="0.25">
      <c r="A387" s="57"/>
    </row>
    <row r="388" spans="1:1" x14ac:dyDescent="0.25">
      <c r="A388" s="57"/>
    </row>
    <row r="389" spans="1:1" x14ac:dyDescent="0.25">
      <c r="A389" s="57"/>
    </row>
    <row r="390" spans="1:1" x14ac:dyDescent="0.25">
      <c r="A390" s="57"/>
    </row>
    <row r="391" spans="1:1" x14ac:dyDescent="0.25">
      <c r="A391" s="57"/>
    </row>
    <row r="392" spans="1:1" x14ac:dyDescent="0.25">
      <c r="A392" s="57"/>
    </row>
    <row r="393" spans="1:1" x14ac:dyDescent="0.25">
      <c r="A393" s="57"/>
    </row>
    <row r="394" spans="1:1" x14ac:dyDescent="0.25">
      <c r="A394" s="57"/>
    </row>
    <row r="395" spans="1:1" x14ac:dyDescent="0.25">
      <c r="A395" s="57"/>
    </row>
    <row r="396" spans="1:1" x14ac:dyDescent="0.25">
      <c r="A396" s="57"/>
    </row>
    <row r="397" spans="1:1" x14ac:dyDescent="0.25">
      <c r="A397" s="57"/>
    </row>
    <row r="398" spans="1:1" x14ac:dyDescent="0.25">
      <c r="A398" s="57"/>
    </row>
    <row r="399" spans="1:1" x14ac:dyDescent="0.25">
      <c r="A399" s="57"/>
    </row>
    <row r="400" spans="1:1" x14ac:dyDescent="0.25">
      <c r="A400" s="57"/>
    </row>
    <row r="401" spans="1:1" x14ac:dyDescent="0.25">
      <c r="A401" s="57"/>
    </row>
    <row r="402" spans="1:1" x14ac:dyDescent="0.25">
      <c r="A402" s="57"/>
    </row>
    <row r="403" spans="1:1" x14ac:dyDescent="0.25">
      <c r="A403" s="57"/>
    </row>
    <row r="404" spans="1:1" x14ac:dyDescent="0.25">
      <c r="A404" s="57"/>
    </row>
    <row r="405" spans="1:1" x14ac:dyDescent="0.25">
      <c r="A405" s="57"/>
    </row>
    <row r="406" spans="1:1" x14ac:dyDescent="0.25">
      <c r="A406" s="57"/>
    </row>
    <row r="407" spans="1:1" x14ac:dyDescent="0.25">
      <c r="A407" s="57"/>
    </row>
    <row r="408" spans="1:1" x14ac:dyDescent="0.25">
      <c r="A408" s="57"/>
    </row>
    <row r="409" spans="1:1" x14ac:dyDescent="0.25">
      <c r="A409" s="57"/>
    </row>
    <row r="410" spans="1:1" x14ac:dyDescent="0.25">
      <c r="A410" s="57"/>
    </row>
    <row r="411" spans="1:1" x14ac:dyDescent="0.25">
      <c r="A411" s="57"/>
    </row>
    <row r="412" spans="1:1" x14ac:dyDescent="0.25">
      <c r="A412" s="57"/>
    </row>
    <row r="413" spans="1:1" x14ac:dyDescent="0.25">
      <c r="A413" s="57"/>
    </row>
    <row r="414" spans="1:1" x14ac:dyDescent="0.25">
      <c r="A414" s="57"/>
    </row>
    <row r="415" spans="1:1" x14ac:dyDescent="0.25">
      <c r="A415" s="57"/>
    </row>
    <row r="416" spans="1:1" x14ac:dyDescent="0.25">
      <c r="A416" s="57"/>
    </row>
    <row r="417" spans="1:1" x14ac:dyDescent="0.25">
      <c r="A417" s="57"/>
    </row>
    <row r="418" spans="1:1" x14ac:dyDescent="0.25">
      <c r="A418" s="57"/>
    </row>
    <row r="419" spans="1:1" x14ac:dyDescent="0.25">
      <c r="A419" s="57"/>
    </row>
    <row r="420" spans="1:1" x14ac:dyDescent="0.25">
      <c r="A420" s="57"/>
    </row>
    <row r="421" spans="1:1" x14ac:dyDescent="0.25">
      <c r="A421" s="57"/>
    </row>
    <row r="422" spans="1:1" x14ac:dyDescent="0.25">
      <c r="A422" s="57"/>
    </row>
    <row r="423" spans="1:1" x14ac:dyDescent="0.25">
      <c r="A423" s="57"/>
    </row>
    <row r="424" spans="1:1" x14ac:dyDescent="0.25">
      <c r="A424" s="57"/>
    </row>
    <row r="425" spans="1:1" x14ac:dyDescent="0.25">
      <c r="A425" s="57"/>
    </row>
    <row r="426" spans="1:1" x14ac:dyDescent="0.25">
      <c r="A426" s="57"/>
    </row>
    <row r="427" spans="1:1" x14ac:dyDescent="0.25">
      <c r="A427" s="57"/>
    </row>
    <row r="428" spans="1:1" x14ac:dyDescent="0.25">
      <c r="A428" s="57"/>
    </row>
    <row r="429" spans="1:1" x14ac:dyDescent="0.25">
      <c r="A429" s="57"/>
    </row>
    <row r="430" spans="1:1" x14ac:dyDescent="0.25">
      <c r="A430" s="57"/>
    </row>
    <row r="431" spans="1:1" x14ac:dyDescent="0.25">
      <c r="A431" s="57"/>
    </row>
    <row r="432" spans="1:1" x14ac:dyDescent="0.25">
      <c r="A432" s="57"/>
    </row>
    <row r="433" spans="1:1" x14ac:dyDescent="0.25">
      <c r="A433" s="57"/>
    </row>
    <row r="434" spans="1:1" x14ac:dyDescent="0.25">
      <c r="A434" s="57"/>
    </row>
    <row r="435" spans="1:1" x14ac:dyDescent="0.25">
      <c r="A435" s="57"/>
    </row>
    <row r="436" spans="1:1" x14ac:dyDescent="0.25">
      <c r="A436" s="57"/>
    </row>
    <row r="437" spans="1:1" x14ac:dyDescent="0.25">
      <c r="A437" s="57"/>
    </row>
    <row r="438" spans="1:1" x14ac:dyDescent="0.25">
      <c r="A438" s="57"/>
    </row>
    <row r="439" spans="1:1" x14ac:dyDescent="0.25">
      <c r="A439" s="57"/>
    </row>
    <row r="440" spans="1:1" x14ac:dyDescent="0.25">
      <c r="A440" s="57"/>
    </row>
    <row r="441" spans="1:1" x14ac:dyDescent="0.25">
      <c r="A441" s="57"/>
    </row>
    <row r="442" spans="1:1" x14ac:dyDescent="0.25">
      <c r="A442" s="57"/>
    </row>
    <row r="443" spans="1:1" x14ac:dyDescent="0.25">
      <c r="A443" s="57"/>
    </row>
    <row r="444" spans="1:1" x14ac:dyDescent="0.25">
      <c r="A444" s="57"/>
    </row>
    <row r="445" spans="1:1" x14ac:dyDescent="0.25">
      <c r="A445" s="57"/>
    </row>
    <row r="446" spans="1:1" x14ac:dyDescent="0.25">
      <c r="A446" s="57"/>
    </row>
    <row r="447" spans="1:1" x14ac:dyDescent="0.25">
      <c r="A447" s="57"/>
    </row>
    <row r="448" spans="1:1" x14ac:dyDescent="0.25">
      <c r="A448" s="57"/>
    </row>
    <row r="449" spans="1:1" x14ac:dyDescent="0.25">
      <c r="A449" s="57"/>
    </row>
    <row r="450" spans="1:1" x14ac:dyDescent="0.25">
      <c r="A450" s="57"/>
    </row>
    <row r="451" spans="1:1" x14ac:dyDescent="0.25">
      <c r="A451" s="57"/>
    </row>
    <row r="452" spans="1:1" x14ac:dyDescent="0.25">
      <c r="A452" s="57"/>
    </row>
    <row r="453" spans="1:1" x14ac:dyDescent="0.25">
      <c r="A453" s="57"/>
    </row>
    <row r="454" spans="1:1" x14ac:dyDescent="0.25">
      <c r="A454" s="57"/>
    </row>
    <row r="455" spans="1:1" x14ac:dyDescent="0.25">
      <c r="A455" s="57"/>
    </row>
    <row r="456" spans="1:1" x14ac:dyDescent="0.25">
      <c r="A456" s="57"/>
    </row>
    <row r="457" spans="1:1" x14ac:dyDescent="0.25">
      <c r="A457" s="57"/>
    </row>
    <row r="458" spans="1:1" x14ac:dyDescent="0.25">
      <c r="A458" s="57"/>
    </row>
    <row r="459" spans="1:1" x14ac:dyDescent="0.25">
      <c r="A459" s="57"/>
    </row>
    <row r="460" spans="1:1" x14ac:dyDescent="0.25">
      <c r="A460" s="57"/>
    </row>
    <row r="461" spans="1:1" x14ac:dyDescent="0.25">
      <c r="A461" s="57"/>
    </row>
    <row r="462" spans="1:1" x14ac:dyDescent="0.25">
      <c r="A462" s="57"/>
    </row>
    <row r="463" spans="1:1" x14ac:dyDescent="0.25">
      <c r="A463" s="57"/>
    </row>
    <row r="464" spans="1:1" x14ac:dyDescent="0.25">
      <c r="A464" s="57"/>
    </row>
    <row r="465" spans="1:1" x14ac:dyDescent="0.25">
      <c r="A465" s="57"/>
    </row>
    <row r="466" spans="1:1" x14ac:dyDescent="0.25">
      <c r="A466" s="57"/>
    </row>
    <row r="467" spans="1:1" x14ac:dyDescent="0.25">
      <c r="A467" s="57"/>
    </row>
    <row r="468" spans="1:1" x14ac:dyDescent="0.25">
      <c r="A468" s="57"/>
    </row>
    <row r="469" spans="1:1" x14ac:dyDescent="0.25">
      <c r="A469" s="57"/>
    </row>
    <row r="470" spans="1:1" x14ac:dyDescent="0.25">
      <c r="A470" s="57"/>
    </row>
    <row r="471" spans="1:1" x14ac:dyDescent="0.25">
      <c r="A471" s="57"/>
    </row>
    <row r="472" spans="1:1" x14ac:dyDescent="0.25">
      <c r="A472" s="57"/>
    </row>
    <row r="473" spans="1:1" x14ac:dyDescent="0.25">
      <c r="A473" s="57"/>
    </row>
    <row r="474" spans="1:1" x14ac:dyDescent="0.25">
      <c r="A474" s="57"/>
    </row>
    <row r="475" spans="1:1" x14ac:dyDescent="0.25">
      <c r="A475" s="57"/>
    </row>
    <row r="476" spans="1:1" x14ac:dyDescent="0.25">
      <c r="A476" s="57"/>
    </row>
    <row r="477" spans="1:1" x14ac:dyDescent="0.25">
      <c r="A477" s="57"/>
    </row>
    <row r="478" spans="1:1" x14ac:dyDescent="0.25">
      <c r="A478" s="57"/>
    </row>
    <row r="479" spans="1:1" x14ac:dyDescent="0.25">
      <c r="A479" s="57"/>
    </row>
    <row r="480" spans="1:1" x14ac:dyDescent="0.25">
      <c r="A480" s="57"/>
    </row>
    <row r="481" spans="1:1" x14ac:dyDescent="0.25">
      <c r="A481" s="57"/>
    </row>
    <row r="482" spans="1:1" x14ac:dyDescent="0.25">
      <c r="A482" s="57"/>
    </row>
    <row r="483" spans="1:1" x14ac:dyDescent="0.25">
      <c r="A483" s="57"/>
    </row>
    <row r="484" spans="1:1" x14ac:dyDescent="0.25">
      <c r="A484" s="57"/>
    </row>
    <row r="485" spans="1:1" x14ac:dyDescent="0.25">
      <c r="A485" s="57"/>
    </row>
    <row r="486" spans="1:1" x14ac:dyDescent="0.25">
      <c r="A486" s="57"/>
    </row>
    <row r="487" spans="1:1" x14ac:dyDescent="0.25">
      <c r="A487" s="57"/>
    </row>
    <row r="488" spans="1:1" x14ac:dyDescent="0.25">
      <c r="A488" s="57"/>
    </row>
    <row r="489" spans="1:1" x14ac:dyDescent="0.25">
      <c r="A489" s="57"/>
    </row>
    <row r="490" spans="1:1" x14ac:dyDescent="0.25">
      <c r="A490" s="57"/>
    </row>
    <row r="491" spans="1:1" x14ac:dyDescent="0.25">
      <c r="A491" s="57"/>
    </row>
    <row r="492" spans="1:1" x14ac:dyDescent="0.25">
      <c r="A492" s="57"/>
    </row>
    <row r="493" spans="1:1" x14ac:dyDescent="0.25">
      <c r="A493" s="57"/>
    </row>
    <row r="494" spans="1:1" x14ac:dyDescent="0.25">
      <c r="A494" s="57"/>
    </row>
    <row r="495" spans="1:1" x14ac:dyDescent="0.25">
      <c r="A495" s="57"/>
    </row>
    <row r="496" spans="1:1" x14ac:dyDescent="0.25">
      <c r="A496" s="57"/>
    </row>
    <row r="497" spans="1:1" x14ac:dyDescent="0.25">
      <c r="A497" s="57"/>
    </row>
    <row r="498" spans="1:1" x14ac:dyDescent="0.25">
      <c r="A498" s="57"/>
    </row>
    <row r="499" spans="1:1" x14ac:dyDescent="0.25">
      <c r="A499" s="57"/>
    </row>
    <row r="500" spans="1:1" ht="14.25" customHeight="1" x14ac:dyDescent="0.25">
      <c r="A500" s="57"/>
    </row>
    <row r="501" spans="1:1" x14ac:dyDescent="0.25">
      <c r="A501" s="57"/>
    </row>
    <row r="502" spans="1:1" x14ac:dyDescent="0.25">
      <c r="A502" s="57"/>
    </row>
    <row r="503" spans="1:1" x14ac:dyDescent="0.25">
      <c r="A503" s="57"/>
    </row>
    <row r="504" spans="1:1" x14ac:dyDescent="0.25">
      <c r="A504" s="57"/>
    </row>
    <row r="505" spans="1:1" x14ac:dyDescent="0.25">
      <c r="A505" s="57"/>
    </row>
    <row r="506" spans="1:1" x14ac:dyDescent="0.25">
      <c r="A506" s="57"/>
    </row>
    <row r="507" spans="1:1" x14ac:dyDescent="0.25">
      <c r="A507" s="57"/>
    </row>
    <row r="508" spans="1:1" x14ac:dyDescent="0.25">
      <c r="A508" s="57"/>
    </row>
    <row r="509" spans="1:1" x14ac:dyDescent="0.25">
      <c r="A509" s="57"/>
    </row>
    <row r="510" spans="1:1" x14ac:dyDescent="0.25">
      <c r="A510" s="57"/>
    </row>
    <row r="511" spans="1:1" x14ac:dyDescent="0.25">
      <c r="A511" s="57"/>
    </row>
    <row r="512" spans="1:1" x14ac:dyDescent="0.25">
      <c r="A512" s="57"/>
    </row>
    <row r="513" spans="1:1" x14ac:dyDescent="0.25">
      <c r="A513" s="57"/>
    </row>
    <row r="514" spans="1:1" x14ac:dyDescent="0.25">
      <c r="A514" s="57"/>
    </row>
    <row r="515" spans="1:1" x14ac:dyDescent="0.25">
      <c r="A515" s="57"/>
    </row>
    <row r="516" spans="1:1" x14ac:dyDescent="0.25">
      <c r="A516" s="57"/>
    </row>
    <row r="517" spans="1:1" x14ac:dyDescent="0.25">
      <c r="A517" s="57"/>
    </row>
    <row r="518" spans="1:1" x14ac:dyDescent="0.25">
      <c r="A518" s="57"/>
    </row>
    <row r="519" spans="1:1" x14ac:dyDescent="0.25">
      <c r="A519" s="57"/>
    </row>
    <row r="520" spans="1:1" x14ac:dyDescent="0.25">
      <c r="A520" s="57"/>
    </row>
    <row r="521" spans="1:1" x14ac:dyDescent="0.25">
      <c r="A521" s="57"/>
    </row>
    <row r="522" spans="1:1" x14ac:dyDescent="0.25">
      <c r="A522" s="57"/>
    </row>
    <row r="523" spans="1:1" x14ac:dyDescent="0.25">
      <c r="A523" s="57"/>
    </row>
    <row r="524" spans="1:1" x14ac:dyDescent="0.25">
      <c r="A524" s="57"/>
    </row>
    <row r="525" spans="1:1" x14ac:dyDescent="0.25">
      <c r="A525" s="57"/>
    </row>
    <row r="526" spans="1:1" x14ac:dyDescent="0.25">
      <c r="A526" s="57"/>
    </row>
    <row r="527" spans="1:1" x14ac:dyDescent="0.25">
      <c r="A527" s="57"/>
    </row>
    <row r="528" spans="1:1" x14ac:dyDescent="0.25">
      <c r="A528" s="57"/>
    </row>
    <row r="529" spans="1:1" x14ac:dyDescent="0.25">
      <c r="A529" s="57"/>
    </row>
    <row r="530" spans="1:1" x14ac:dyDescent="0.25">
      <c r="A530" s="57"/>
    </row>
    <row r="531" spans="1:1" x14ac:dyDescent="0.25">
      <c r="A531" s="57"/>
    </row>
    <row r="532" spans="1:1" x14ac:dyDescent="0.25">
      <c r="A532" s="57"/>
    </row>
    <row r="533" spans="1:1" x14ac:dyDescent="0.25">
      <c r="A533" s="57"/>
    </row>
    <row r="534" spans="1:1" x14ac:dyDescent="0.25">
      <c r="A534" s="57"/>
    </row>
    <row r="535" spans="1:1" x14ac:dyDescent="0.25">
      <c r="A535" s="57"/>
    </row>
    <row r="536" spans="1:1" x14ac:dyDescent="0.25">
      <c r="A536" s="57"/>
    </row>
    <row r="537" spans="1:1" x14ac:dyDescent="0.25">
      <c r="A537" s="57"/>
    </row>
    <row r="538" spans="1:1" x14ac:dyDescent="0.25">
      <c r="A538" s="57"/>
    </row>
    <row r="539" spans="1:1" x14ac:dyDescent="0.25">
      <c r="A539" s="57"/>
    </row>
    <row r="540" spans="1:1" x14ac:dyDescent="0.25">
      <c r="A540" s="57"/>
    </row>
    <row r="541" spans="1:1" x14ac:dyDescent="0.25">
      <c r="A541" s="57"/>
    </row>
    <row r="542" spans="1:1" x14ac:dyDescent="0.25">
      <c r="A542" s="57"/>
    </row>
    <row r="543" spans="1:1" x14ac:dyDescent="0.25">
      <c r="A543" s="57"/>
    </row>
    <row r="544" spans="1:1" x14ac:dyDescent="0.25">
      <c r="A544" s="57"/>
    </row>
    <row r="545" spans="1:1" x14ac:dyDescent="0.25">
      <c r="A545" s="57"/>
    </row>
    <row r="546" spans="1:1" x14ac:dyDescent="0.25">
      <c r="A546" s="57"/>
    </row>
    <row r="547" spans="1:1" x14ac:dyDescent="0.25">
      <c r="A547" s="57"/>
    </row>
    <row r="548" spans="1:1" x14ac:dyDescent="0.25">
      <c r="A548" s="57"/>
    </row>
    <row r="549" spans="1:1" x14ac:dyDescent="0.25">
      <c r="A549" s="57"/>
    </row>
    <row r="550" spans="1:1" x14ac:dyDescent="0.25">
      <c r="A550" s="57"/>
    </row>
    <row r="551" spans="1:1" x14ac:dyDescent="0.25">
      <c r="A551" s="57"/>
    </row>
    <row r="552" spans="1:1" x14ac:dyDescent="0.25">
      <c r="A552" s="57"/>
    </row>
    <row r="553" spans="1:1" x14ac:dyDescent="0.25">
      <c r="A553" s="57"/>
    </row>
    <row r="554" spans="1:1" x14ac:dyDescent="0.25">
      <c r="A554" s="57"/>
    </row>
    <row r="555" spans="1:1" x14ac:dyDescent="0.25">
      <c r="A555" s="57"/>
    </row>
    <row r="556" spans="1:1" x14ac:dyDescent="0.25">
      <c r="A556" s="57"/>
    </row>
    <row r="557" spans="1:1" x14ac:dyDescent="0.25">
      <c r="A557" s="57"/>
    </row>
    <row r="558" spans="1:1" x14ac:dyDescent="0.25">
      <c r="A558" s="57"/>
    </row>
    <row r="559" spans="1:1" x14ac:dyDescent="0.25">
      <c r="A559" s="57"/>
    </row>
    <row r="560" spans="1:1" x14ac:dyDescent="0.25">
      <c r="A560" s="57"/>
    </row>
    <row r="561" spans="1:1" x14ac:dyDescent="0.25">
      <c r="A561" s="57"/>
    </row>
    <row r="562" spans="1:1" x14ac:dyDescent="0.25">
      <c r="A562" s="57"/>
    </row>
    <row r="563" spans="1:1" x14ac:dyDescent="0.25">
      <c r="A563" s="57"/>
    </row>
    <row r="564" spans="1:1" x14ac:dyDescent="0.25">
      <c r="A564" s="57"/>
    </row>
    <row r="565" spans="1:1" x14ac:dyDescent="0.25">
      <c r="A565" s="57"/>
    </row>
    <row r="566" spans="1:1" x14ac:dyDescent="0.25">
      <c r="A566" s="57"/>
    </row>
    <row r="567" spans="1:1" x14ac:dyDescent="0.25">
      <c r="A567" s="57"/>
    </row>
    <row r="568" spans="1:1" x14ac:dyDescent="0.25">
      <c r="A568" s="57"/>
    </row>
    <row r="569" spans="1:1" x14ac:dyDescent="0.25">
      <c r="A569" s="57"/>
    </row>
    <row r="570" spans="1:1" x14ac:dyDescent="0.25">
      <c r="A570" s="57"/>
    </row>
    <row r="571" spans="1:1" x14ac:dyDescent="0.25">
      <c r="A571" s="57"/>
    </row>
    <row r="572" spans="1:1" x14ac:dyDescent="0.25">
      <c r="A572" s="57"/>
    </row>
    <row r="573" spans="1:1" x14ac:dyDescent="0.25">
      <c r="A573" s="57"/>
    </row>
    <row r="574" spans="1:1" x14ac:dyDescent="0.25">
      <c r="A574" s="57"/>
    </row>
    <row r="575" spans="1:1" x14ac:dyDescent="0.25">
      <c r="A575" s="57"/>
    </row>
    <row r="576" spans="1:1" x14ac:dyDescent="0.25">
      <c r="A576" s="57"/>
    </row>
    <row r="577" spans="1:1" x14ac:dyDescent="0.25">
      <c r="A577" s="57"/>
    </row>
    <row r="578" spans="1:1" x14ac:dyDescent="0.25">
      <c r="A578" s="57"/>
    </row>
    <row r="579" spans="1:1" x14ac:dyDescent="0.25">
      <c r="A579" s="57"/>
    </row>
    <row r="580" spans="1:1" x14ac:dyDescent="0.25">
      <c r="A580" s="57"/>
    </row>
    <row r="581" spans="1:1" x14ac:dyDescent="0.25">
      <c r="A581" s="57"/>
    </row>
    <row r="582" spans="1:1" x14ac:dyDescent="0.25">
      <c r="A582" s="57"/>
    </row>
    <row r="583" spans="1:1" x14ac:dyDescent="0.25">
      <c r="A583" s="57"/>
    </row>
    <row r="584" spans="1:1" x14ac:dyDescent="0.25">
      <c r="A584" s="57"/>
    </row>
    <row r="585" spans="1:1" x14ac:dyDescent="0.25">
      <c r="A585" s="57"/>
    </row>
    <row r="586" spans="1:1" x14ac:dyDescent="0.25">
      <c r="A586" s="57"/>
    </row>
    <row r="587" spans="1:1" x14ac:dyDescent="0.25">
      <c r="A587" s="57"/>
    </row>
    <row r="588" spans="1:1" x14ac:dyDescent="0.25">
      <c r="A588" s="57"/>
    </row>
    <row r="589" spans="1:1" x14ac:dyDescent="0.25">
      <c r="A589" s="57"/>
    </row>
    <row r="590" spans="1:1" x14ac:dyDescent="0.25">
      <c r="A590" s="57"/>
    </row>
    <row r="591" spans="1:1" x14ac:dyDescent="0.25">
      <c r="A591" s="57"/>
    </row>
    <row r="592" spans="1:1" x14ac:dyDescent="0.25">
      <c r="A592" s="57"/>
    </row>
    <row r="593" spans="1:1" x14ac:dyDescent="0.25">
      <c r="A593" s="57"/>
    </row>
    <row r="594" spans="1:1" x14ac:dyDescent="0.25">
      <c r="A594" s="57"/>
    </row>
    <row r="595" spans="1:1" x14ac:dyDescent="0.25">
      <c r="A595" s="57"/>
    </row>
    <row r="596" spans="1:1" x14ac:dyDescent="0.25">
      <c r="A596" s="57"/>
    </row>
    <row r="597" spans="1:1" x14ac:dyDescent="0.25">
      <c r="A597" s="57"/>
    </row>
    <row r="598" spans="1:1" x14ac:dyDescent="0.25">
      <c r="A598" s="57"/>
    </row>
    <row r="599" spans="1:1" x14ac:dyDescent="0.25">
      <c r="A599" s="57"/>
    </row>
    <row r="600" spans="1:1" x14ac:dyDescent="0.25">
      <c r="A600" s="57"/>
    </row>
    <row r="601" spans="1:1" x14ac:dyDescent="0.25">
      <c r="A601" s="57"/>
    </row>
    <row r="602" spans="1:1" x14ac:dyDescent="0.25">
      <c r="A602" s="57"/>
    </row>
    <row r="603" spans="1:1" x14ac:dyDescent="0.25">
      <c r="A603" s="57"/>
    </row>
    <row r="604" spans="1:1" x14ac:dyDescent="0.25">
      <c r="A604" s="57"/>
    </row>
    <row r="605" spans="1:1" x14ac:dyDescent="0.25">
      <c r="A605" s="57"/>
    </row>
    <row r="606" spans="1:1" x14ac:dyDescent="0.25">
      <c r="A606" s="57"/>
    </row>
    <row r="607" spans="1:1" x14ac:dyDescent="0.25">
      <c r="A607" s="57"/>
    </row>
    <row r="608" spans="1:1" x14ac:dyDescent="0.25">
      <c r="A608" s="57"/>
    </row>
    <row r="609" spans="1:1" x14ac:dyDescent="0.25">
      <c r="A609" s="57"/>
    </row>
    <row r="610" spans="1:1" x14ac:dyDescent="0.25">
      <c r="A610" s="57"/>
    </row>
    <row r="611" spans="1:1" x14ac:dyDescent="0.25">
      <c r="A611" s="57"/>
    </row>
    <row r="612" spans="1:1" x14ac:dyDescent="0.25">
      <c r="A612" s="57"/>
    </row>
    <row r="613" spans="1:1" x14ac:dyDescent="0.25">
      <c r="A613" s="57"/>
    </row>
    <row r="614" spans="1:1" x14ac:dyDescent="0.25">
      <c r="A614" s="57"/>
    </row>
    <row r="615" spans="1:1" x14ac:dyDescent="0.25">
      <c r="A615" s="57"/>
    </row>
    <row r="616" spans="1:1" x14ac:dyDescent="0.25">
      <c r="A616" s="57"/>
    </row>
    <row r="617" spans="1:1" x14ac:dyDescent="0.25">
      <c r="A617" s="57"/>
    </row>
    <row r="618" spans="1:1" x14ac:dyDescent="0.25">
      <c r="A618" s="57"/>
    </row>
    <row r="619" spans="1:1" x14ac:dyDescent="0.25">
      <c r="A619" s="57"/>
    </row>
    <row r="620" spans="1:1" x14ac:dyDescent="0.25">
      <c r="A620" s="57"/>
    </row>
    <row r="621" spans="1:1" x14ac:dyDescent="0.25">
      <c r="A621" s="57"/>
    </row>
    <row r="622" spans="1:1" x14ac:dyDescent="0.25">
      <c r="A622" s="57"/>
    </row>
    <row r="623" spans="1:1" x14ac:dyDescent="0.25">
      <c r="A623" s="57"/>
    </row>
    <row r="624" spans="1:1" x14ac:dyDescent="0.25">
      <c r="A624" s="57"/>
    </row>
    <row r="625" spans="1:1" x14ac:dyDescent="0.25">
      <c r="A625" s="57"/>
    </row>
    <row r="626" spans="1:1" x14ac:dyDescent="0.25">
      <c r="A626" s="57"/>
    </row>
    <row r="627" spans="1:1" x14ac:dyDescent="0.25">
      <c r="A627" s="57"/>
    </row>
    <row r="628" spans="1:1" x14ac:dyDescent="0.25">
      <c r="A628" s="57"/>
    </row>
    <row r="629" spans="1:1" x14ac:dyDescent="0.25">
      <c r="A629" s="57"/>
    </row>
    <row r="630" spans="1:1" x14ac:dyDescent="0.25">
      <c r="A630" s="57"/>
    </row>
    <row r="631" spans="1:1" x14ac:dyDescent="0.25">
      <c r="A631" s="57"/>
    </row>
    <row r="632" spans="1:1" x14ac:dyDescent="0.25">
      <c r="A632" s="57"/>
    </row>
    <row r="633" spans="1:1" x14ac:dyDescent="0.25">
      <c r="A633" s="57"/>
    </row>
    <row r="634" spans="1:1" x14ac:dyDescent="0.25">
      <c r="A634" s="57"/>
    </row>
    <row r="635" spans="1:1" x14ac:dyDescent="0.25">
      <c r="A635" s="57"/>
    </row>
    <row r="636" spans="1:1" x14ac:dyDescent="0.25">
      <c r="A636" s="57"/>
    </row>
    <row r="637" spans="1:1" x14ac:dyDescent="0.25">
      <c r="A637" s="57"/>
    </row>
    <row r="638" spans="1:1" x14ac:dyDescent="0.25">
      <c r="A638" s="57"/>
    </row>
    <row r="639" spans="1:1" x14ac:dyDescent="0.25">
      <c r="A639" s="57"/>
    </row>
    <row r="640" spans="1:1" x14ac:dyDescent="0.25">
      <c r="A640" s="57"/>
    </row>
    <row r="641" spans="1:1" x14ac:dyDescent="0.25">
      <c r="A641" s="57"/>
    </row>
    <row r="642" spans="1:1" x14ac:dyDescent="0.25">
      <c r="A642" s="57"/>
    </row>
    <row r="643" spans="1:1" x14ac:dyDescent="0.25">
      <c r="A643" s="57"/>
    </row>
    <row r="644" spans="1:1" x14ac:dyDescent="0.25">
      <c r="A644" s="57"/>
    </row>
    <row r="645" spans="1:1" x14ac:dyDescent="0.25">
      <c r="A645" s="57"/>
    </row>
    <row r="646" spans="1:1" x14ac:dyDescent="0.25">
      <c r="A646" s="57"/>
    </row>
    <row r="647" spans="1:1" x14ac:dyDescent="0.25">
      <c r="A647" s="57"/>
    </row>
    <row r="648" spans="1:1" x14ac:dyDescent="0.25">
      <c r="A648" s="57"/>
    </row>
    <row r="649" spans="1:1" x14ac:dyDescent="0.25">
      <c r="A649" s="57"/>
    </row>
    <row r="650" spans="1:1" x14ac:dyDescent="0.25">
      <c r="A650" s="57"/>
    </row>
    <row r="651" spans="1:1" x14ac:dyDescent="0.25">
      <c r="A651" s="57"/>
    </row>
    <row r="652" spans="1:1" x14ac:dyDescent="0.25">
      <c r="A652" s="57"/>
    </row>
    <row r="653" spans="1:1" x14ac:dyDescent="0.25">
      <c r="A653" s="57"/>
    </row>
    <row r="654" spans="1:1" x14ac:dyDescent="0.25">
      <c r="A654" s="57"/>
    </row>
    <row r="655" spans="1:1" x14ac:dyDescent="0.25">
      <c r="A655" s="57"/>
    </row>
    <row r="656" spans="1:1" x14ac:dyDescent="0.25">
      <c r="A656" s="57"/>
    </row>
    <row r="657" spans="1:1" x14ac:dyDescent="0.25">
      <c r="A657" s="57"/>
    </row>
    <row r="658" spans="1:1" x14ac:dyDescent="0.25">
      <c r="A658" s="57"/>
    </row>
    <row r="659" spans="1:1" x14ac:dyDescent="0.25">
      <c r="A659" s="57"/>
    </row>
    <row r="660" spans="1:1" x14ac:dyDescent="0.25">
      <c r="A660" s="57"/>
    </row>
    <row r="661" spans="1:1" x14ac:dyDescent="0.25">
      <c r="A661" s="57"/>
    </row>
    <row r="662" spans="1:1" x14ac:dyDescent="0.25">
      <c r="A662" s="57"/>
    </row>
    <row r="663" spans="1:1" x14ac:dyDescent="0.25">
      <c r="A663" s="57"/>
    </row>
    <row r="664" spans="1:1" x14ac:dyDescent="0.25">
      <c r="A664" s="57"/>
    </row>
    <row r="665" spans="1:1" x14ac:dyDescent="0.25">
      <c r="A665" s="57"/>
    </row>
    <row r="666" spans="1:1" x14ac:dyDescent="0.25">
      <c r="A666" s="57"/>
    </row>
    <row r="667" spans="1:1" x14ac:dyDescent="0.25">
      <c r="A667" s="57"/>
    </row>
    <row r="668" spans="1:1" x14ac:dyDescent="0.25">
      <c r="A668" s="57"/>
    </row>
    <row r="669" spans="1:1" x14ac:dyDescent="0.25">
      <c r="A669" s="57"/>
    </row>
    <row r="670" spans="1:1" x14ac:dyDescent="0.25">
      <c r="A670" s="57"/>
    </row>
    <row r="671" spans="1:1" x14ac:dyDescent="0.25">
      <c r="A671" s="57"/>
    </row>
    <row r="672" spans="1:1" x14ac:dyDescent="0.25">
      <c r="A672" s="57"/>
    </row>
    <row r="673" spans="1:1" x14ac:dyDescent="0.25">
      <c r="A673" s="57"/>
    </row>
    <row r="674" spans="1:1" x14ac:dyDescent="0.25">
      <c r="A674" s="57"/>
    </row>
    <row r="675" spans="1:1" x14ac:dyDescent="0.25">
      <c r="A675" s="57"/>
    </row>
    <row r="676" spans="1:1" x14ac:dyDescent="0.25">
      <c r="A676" s="57"/>
    </row>
    <row r="677" spans="1:1" x14ac:dyDescent="0.25">
      <c r="A677" s="57"/>
    </row>
    <row r="678" spans="1:1" x14ac:dyDescent="0.25">
      <c r="A678" s="57"/>
    </row>
    <row r="679" spans="1:1" x14ac:dyDescent="0.25">
      <c r="A679" s="57"/>
    </row>
    <row r="680" spans="1:1" x14ac:dyDescent="0.25">
      <c r="A680" s="57"/>
    </row>
    <row r="681" spans="1:1" x14ac:dyDescent="0.25">
      <c r="A681" s="57"/>
    </row>
    <row r="682" spans="1:1" x14ac:dyDescent="0.25">
      <c r="A682" s="57"/>
    </row>
    <row r="683" spans="1:1" x14ac:dyDescent="0.25">
      <c r="A683" s="57"/>
    </row>
    <row r="684" spans="1:1" x14ac:dyDescent="0.25">
      <c r="A684" s="57"/>
    </row>
    <row r="685" spans="1:1" x14ac:dyDescent="0.25">
      <c r="A685" s="57"/>
    </row>
    <row r="686" spans="1:1" x14ac:dyDescent="0.25">
      <c r="A686" s="57"/>
    </row>
    <row r="687" spans="1:1" x14ac:dyDescent="0.25">
      <c r="A687" s="57"/>
    </row>
    <row r="688" spans="1:1" x14ac:dyDescent="0.25">
      <c r="A688" s="57"/>
    </row>
    <row r="689" spans="1:1" x14ac:dyDescent="0.25">
      <c r="A689" s="57"/>
    </row>
    <row r="690" spans="1:1" x14ac:dyDescent="0.25">
      <c r="A690" s="57"/>
    </row>
    <row r="691" spans="1:1" x14ac:dyDescent="0.25">
      <c r="A691" s="57"/>
    </row>
    <row r="692" spans="1:1" x14ac:dyDescent="0.25">
      <c r="A692" s="57"/>
    </row>
    <row r="693" spans="1:1" x14ac:dyDescent="0.25">
      <c r="A693" s="57"/>
    </row>
    <row r="694" spans="1:1" x14ac:dyDescent="0.25">
      <c r="A694" s="57"/>
    </row>
    <row r="695" spans="1:1" x14ac:dyDescent="0.25">
      <c r="A695" s="57"/>
    </row>
    <row r="696" spans="1:1" x14ac:dyDescent="0.25">
      <c r="A696" s="57"/>
    </row>
    <row r="697" spans="1:1" x14ac:dyDescent="0.25">
      <c r="A697" s="57"/>
    </row>
    <row r="698" spans="1:1" x14ac:dyDescent="0.25">
      <c r="A698" s="57"/>
    </row>
    <row r="699" spans="1:1" x14ac:dyDescent="0.25">
      <c r="A699" s="57"/>
    </row>
    <row r="700" spans="1:1" x14ac:dyDescent="0.25">
      <c r="A700" s="57"/>
    </row>
    <row r="701" spans="1:1" x14ac:dyDescent="0.25">
      <c r="A701" s="57"/>
    </row>
    <row r="702" spans="1:1" x14ac:dyDescent="0.25">
      <c r="A702" s="57"/>
    </row>
    <row r="703" spans="1:1" x14ac:dyDescent="0.25">
      <c r="A703" s="57"/>
    </row>
    <row r="704" spans="1:1" x14ac:dyDescent="0.25">
      <c r="A704" s="57"/>
    </row>
    <row r="705" spans="1:1" x14ac:dyDescent="0.25">
      <c r="A705" s="57"/>
    </row>
    <row r="706" spans="1:1" x14ac:dyDescent="0.25">
      <c r="A706" s="57"/>
    </row>
    <row r="707" spans="1:1" x14ac:dyDescent="0.25">
      <c r="A707" s="57"/>
    </row>
    <row r="708" spans="1:1" x14ac:dyDescent="0.25">
      <c r="A708" s="57"/>
    </row>
    <row r="709" spans="1:1" x14ac:dyDescent="0.25">
      <c r="A709" s="57"/>
    </row>
    <row r="710" spans="1:1" x14ac:dyDescent="0.25">
      <c r="A710" s="57"/>
    </row>
    <row r="711" spans="1:1" x14ac:dyDescent="0.25">
      <c r="A711" s="57"/>
    </row>
    <row r="712" spans="1:1" x14ac:dyDescent="0.25">
      <c r="A712" s="57"/>
    </row>
    <row r="713" spans="1:1" x14ac:dyDescent="0.25">
      <c r="A713" s="57"/>
    </row>
    <row r="714" spans="1:1" x14ac:dyDescent="0.25">
      <c r="A714" s="57"/>
    </row>
    <row r="715" spans="1:1" x14ac:dyDescent="0.25">
      <c r="A715" s="57"/>
    </row>
    <row r="716" spans="1:1" x14ac:dyDescent="0.25">
      <c r="A716" s="57"/>
    </row>
    <row r="717" spans="1:1" x14ac:dyDescent="0.25">
      <c r="A717" s="57"/>
    </row>
    <row r="718" spans="1:1" x14ac:dyDescent="0.25">
      <c r="A718" s="57"/>
    </row>
    <row r="719" spans="1:1" x14ac:dyDescent="0.25">
      <c r="A719" s="57"/>
    </row>
    <row r="720" spans="1:1" x14ac:dyDescent="0.25">
      <c r="A720" s="57"/>
    </row>
    <row r="721" spans="1:1" x14ac:dyDescent="0.25">
      <c r="A721" s="57"/>
    </row>
    <row r="722" spans="1:1" x14ac:dyDescent="0.25">
      <c r="A722" s="57"/>
    </row>
    <row r="723" spans="1:1" x14ac:dyDescent="0.25">
      <c r="A723" s="57"/>
    </row>
    <row r="724" spans="1:1" x14ac:dyDescent="0.25">
      <c r="A724" s="57"/>
    </row>
    <row r="725" spans="1:1" x14ac:dyDescent="0.25">
      <c r="A725" s="57"/>
    </row>
    <row r="726" spans="1:1" x14ac:dyDescent="0.25">
      <c r="A726" s="57"/>
    </row>
    <row r="727" spans="1:1" x14ac:dyDescent="0.25">
      <c r="A727" s="57"/>
    </row>
    <row r="728" spans="1:1" x14ac:dyDescent="0.25">
      <c r="A728" s="57"/>
    </row>
    <row r="729" spans="1:1" x14ac:dyDescent="0.25">
      <c r="A729" s="57"/>
    </row>
    <row r="730" spans="1:1" x14ac:dyDescent="0.25">
      <c r="A730" s="57"/>
    </row>
    <row r="731" spans="1:1" x14ac:dyDescent="0.25">
      <c r="A731" s="57"/>
    </row>
    <row r="732" spans="1:1" x14ac:dyDescent="0.25">
      <c r="A732" s="57"/>
    </row>
    <row r="733" spans="1:1" x14ac:dyDescent="0.25">
      <c r="A733" s="57"/>
    </row>
    <row r="734" spans="1:1" x14ac:dyDescent="0.25">
      <c r="A734" s="57"/>
    </row>
    <row r="735" spans="1:1" x14ac:dyDescent="0.25">
      <c r="A735" s="57"/>
    </row>
    <row r="736" spans="1:1" x14ac:dyDescent="0.25">
      <c r="A736" s="57"/>
    </row>
    <row r="737" spans="1:1" x14ac:dyDescent="0.25">
      <c r="A737" s="57"/>
    </row>
    <row r="738" spans="1:1" x14ac:dyDescent="0.25">
      <c r="A738" s="57"/>
    </row>
    <row r="739" spans="1:1" x14ac:dyDescent="0.25">
      <c r="A739" s="57"/>
    </row>
    <row r="740" spans="1:1" x14ac:dyDescent="0.25">
      <c r="A740" s="57"/>
    </row>
    <row r="741" spans="1:1" x14ac:dyDescent="0.25">
      <c r="A741" s="57"/>
    </row>
    <row r="742" spans="1:1" x14ac:dyDescent="0.25">
      <c r="A742" s="57"/>
    </row>
    <row r="743" spans="1:1" x14ac:dyDescent="0.25">
      <c r="A743" s="57"/>
    </row>
    <row r="744" spans="1:1" x14ac:dyDescent="0.25">
      <c r="A744" s="57"/>
    </row>
    <row r="745" spans="1:1" x14ac:dyDescent="0.25">
      <c r="A745" s="57"/>
    </row>
    <row r="746" spans="1:1" x14ac:dyDescent="0.25">
      <c r="A746" s="57"/>
    </row>
    <row r="747" spans="1:1" x14ac:dyDescent="0.25">
      <c r="A747" s="57"/>
    </row>
    <row r="748" spans="1:1" x14ac:dyDescent="0.25">
      <c r="A748" s="57"/>
    </row>
    <row r="749" spans="1:1" x14ac:dyDescent="0.25">
      <c r="A749" s="57"/>
    </row>
    <row r="750" spans="1:1" x14ac:dyDescent="0.25">
      <c r="A750" s="57"/>
    </row>
    <row r="751" spans="1:1" x14ac:dyDescent="0.25">
      <c r="A751" s="57"/>
    </row>
    <row r="752" spans="1:1" x14ac:dyDescent="0.25">
      <c r="A752" s="57"/>
    </row>
    <row r="753" spans="1:1" x14ac:dyDescent="0.25">
      <c r="A753" s="57"/>
    </row>
    <row r="754" spans="1:1" x14ac:dyDescent="0.25">
      <c r="A754" s="57"/>
    </row>
    <row r="755" spans="1:1" x14ac:dyDescent="0.25">
      <c r="A755" s="57"/>
    </row>
    <row r="756" spans="1:1" x14ac:dyDescent="0.25">
      <c r="A756" s="57"/>
    </row>
    <row r="757" spans="1:1" x14ac:dyDescent="0.25">
      <c r="A757" s="57"/>
    </row>
    <row r="758" spans="1:1" x14ac:dyDescent="0.25">
      <c r="A758" s="57"/>
    </row>
    <row r="759" spans="1:1" x14ac:dyDescent="0.25">
      <c r="A759" s="57"/>
    </row>
    <row r="760" spans="1:1" x14ac:dyDescent="0.25">
      <c r="A760" s="57"/>
    </row>
    <row r="761" spans="1:1" x14ac:dyDescent="0.25">
      <c r="A761" s="57"/>
    </row>
    <row r="762" spans="1:1" x14ac:dyDescent="0.25">
      <c r="A762" s="57"/>
    </row>
    <row r="763" spans="1:1" x14ac:dyDescent="0.25">
      <c r="A763" s="57"/>
    </row>
    <row r="764" spans="1:1" x14ac:dyDescent="0.25">
      <c r="A764" s="57"/>
    </row>
    <row r="765" spans="1:1" x14ac:dyDescent="0.25">
      <c r="A765" s="57"/>
    </row>
    <row r="766" spans="1:1" x14ac:dyDescent="0.25">
      <c r="A766" s="57"/>
    </row>
    <row r="767" spans="1:1" x14ac:dyDescent="0.25">
      <c r="A767" s="57"/>
    </row>
    <row r="768" spans="1:1" x14ac:dyDescent="0.25">
      <c r="A768" s="57"/>
    </row>
    <row r="769" spans="1:1" x14ac:dyDescent="0.25">
      <c r="A769" s="57"/>
    </row>
    <row r="770" spans="1:1" x14ac:dyDescent="0.25">
      <c r="A770" s="57"/>
    </row>
    <row r="771" spans="1:1" x14ac:dyDescent="0.25">
      <c r="A771" s="57"/>
    </row>
    <row r="772" spans="1:1" x14ac:dyDescent="0.25">
      <c r="A772" s="57"/>
    </row>
    <row r="773" spans="1:1" x14ac:dyDescent="0.25">
      <c r="A773" s="57"/>
    </row>
    <row r="774" spans="1:1" x14ac:dyDescent="0.25">
      <c r="A774" s="57"/>
    </row>
    <row r="775" spans="1:1" x14ac:dyDescent="0.25">
      <c r="A775" s="57"/>
    </row>
    <row r="776" spans="1:1" x14ac:dyDescent="0.25">
      <c r="A776" s="57"/>
    </row>
    <row r="777" spans="1:1" x14ac:dyDescent="0.25">
      <c r="A777" s="57"/>
    </row>
    <row r="778" spans="1:1" x14ac:dyDescent="0.25">
      <c r="A778" s="57"/>
    </row>
    <row r="779" spans="1:1" x14ac:dyDescent="0.25">
      <c r="A779" s="57"/>
    </row>
    <row r="780" spans="1:1" x14ac:dyDescent="0.25">
      <c r="A780" s="57"/>
    </row>
    <row r="781" spans="1:1" x14ac:dyDescent="0.25">
      <c r="A781" s="57"/>
    </row>
    <row r="782" spans="1:1" x14ac:dyDescent="0.25">
      <c r="A782" s="57"/>
    </row>
    <row r="783" spans="1:1" x14ac:dyDescent="0.25">
      <c r="A783" s="57"/>
    </row>
    <row r="784" spans="1:1" x14ac:dyDescent="0.25">
      <c r="A784" s="57"/>
    </row>
    <row r="785" spans="1:1" x14ac:dyDescent="0.25">
      <c r="A785" s="57"/>
    </row>
    <row r="786" spans="1:1" x14ac:dyDescent="0.25">
      <c r="A786" s="57"/>
    </row>
    <row r="787" spans="1:1" x14ac:dyDescent="0.25">
      <c r="A787" s="57"/>
    </row>
    <row r="788" spans="1:1" x14ac:dyDescent="0.25">
      <c r="A788" s="57"/>
    </row>
    <row r="789" spans="1:1" x14ac:dyDescent="0.25">
      <c r="A789" s="57"/>
    </row>
    <row r="790" spans="1:1" x14ac:dyDescent="0.25">
      <c r="A790" s="57"/>
    </row>
    <row r="791" spans="1:1" x14ac:dyDescent="0.25">
      <c r="A791" s="57"/>
    </row>
    <row r="792" spans="1:1" x14ac:dyDescent="0.25">
      <c r="A792" s="57"/>
    </row>
    <row r="793" spans="1:1" x14ac:dyDescent="0.25">
      <c r="A793" s="57"/>
    </row>
    <row r="794" spans="1:1" x14ac:dyDescent="0.25">
      <c r="A794" s="57"/>
    </row>
    <row r="795" spans="1:1" x14ac:dyDescent="0.25">
      <c r="A795" s="57"/>
    </row>
    <row r="796" spans="1:1" x14ac:dyDescent="0.25">
      <c r="A796" s="57"/>
    </row>
    <row r="797" spans="1:1" x14ac:dyDescent="0.25">
      <c r="A797" s="57"/>
    </row>
    <row r="798" spans="1:1" x14ac:dyDescent="0.25">
      <c r="A798" s="57"/>
    </row>
    <row r="799" spans="1:1" x14ac:dyDescent="0.25">
      <c r="A799" s="57"/>
    </row>
    <row r="800" spans="1:1" x14ac:dyDescent="0.25">
      <c r="A800" s="57"/>
    </row>
    <row r="801" spans="1:1" x14ac:dyDescent="0.25">
      <c r="A801" s="57"/>
    </row>
    <row r="802" spans="1:1" x14ac:dyDescent="0.25">
      <c r="A802" s="57"/>
    </row>
    <row r="803" spans="1:1" x14ac:dyDescent="0.25">
      <c r="A803" s="57"/>
    </row>
    <row r="804" spans="1:1" x14ac:dyDescent="0.25">
      <c r="A804" s="57"/>
    </row>
    <row r="805" spans="1:1" x14ac:dyDescent="0.25">
      <c r="A805" s="57"/>
    </row>
    <row r="806" spans="1:1" x14ac:dyDescent="0.25">
      <c r="A806" s="57"/>
    </row>
    <row r="807" spans="1:1" x14ac:dyDescent="0.25">
      <c r="A807" s="57"/>
    </row>
    <row r="808" spans="1:1" x14ac:dyDescent="0.25">
      <c r="A808" s="57"/>
    </row>
    <row r="809" spans="1:1" x14ac:dyDescent="0.25">
      <c r="A809" s="57"/>
    </row>
    <row r="810" spans="1:1" x14ac:dyDescent="0.25">
      <c r="A810" s="57"/>
    </row>
    <row r="811" spans="1:1" x14ac:dyDescent="0.25">
      <c r="A811" s="57"/>
    </row>
    <row r="812" spans="1:1" x14ac:dyDescent="0.25">
      <c r="A812" s="57"/>
    </row>
    <row r="813" spans="1:1" x14ac:dyDescent="0.25">
      <c r="A813" s="57"/>
    </row>
    <row r="814" spans="1:1" x14ac:dyDescent="0.25">
      <c r="A814" s="57"/>
    </row>
    <row r="815" spans="1:1" x14ac:dyDescent="0.25">
      <c r="A815" s="57"/>
    </row>
    <row r="816" spans="1:1" x14ac:dyDescent="0.25">
      <c r="A816" s="57"/>
    </row>
    <row r="817" spans="1:1" x14ac:dyDescent="0.25">
      <c r="A817" s="57"/>
    </row>
    <row r="818" spans="1:1" x14ac:dyDescent="0.25">
      <c r="A818" s="57"/>
    </row>
    <row r="819" spans="1:1" x14ac:dyDescent="0.25">
      <c r="A819" s="57"/>
    </row>
    <row r="820" spans="1:1" x14ac:dyDescent="0.25">
      <c r="A820" s="57"/>
    </row>
    <row r="821" spans="1:1" x14ac:dyDescent="0.25">
      <c r="A821" s="57"/>
    </row>
    <row r="822" spans="1:1" x14ac:dyDescent="0.25">
      <c r="A822" s="57"/>
    </row>
    <row r="823" spans="1:1" x14ac:dyDescent="0.25">
      <c r="A823" s="57"/>
    </row>
    <row r="824" spans="1:1" x14ac:dyDescent="0.25">
      <c r="A824" s="57"/>
    </row>
    <row r="825" spans="1:1" x14ac:dyDescent="0.25">
      <c r="A825" s="57"/>
    </row>
    <row r="826" spans="1:1" x14ac:dyDescent="0.25">
      <c r="A826" s="57"/>
    </row>
    <row r="827" spans="1:1" x14ac:dyDescent="0.25">
      <c r="A827" s="57"/>
    </row>
    <row r="828" spans="1:1" x14ac:dyDescent="0.25">
      <c r="A828" s="57"/>
    </row>
    <row r="829" spans="1:1" x14ac:dyDescent="0.25">
      <c r="A829" s="57"/>
    </row>
    <row r="830" spans="1:1" x14ac:dyDescent="0.25">
      <c r="A830" s="57"/>
    </row>
    <row r="831" spans="1:1" x14ac:dyDescent="0.25">
      <c r="A831" s="57"/>
    </row>
    <row r="832" spans="1:1" x14ac:dyDescent="0.25">
      <c r="A832" s="57"/>
    </row>
    <row r="833" spans="1:1" x14ac:dyDescent="0.25">
      <c r="A833" s="57"/>
    </row>
    <row r="834" spans="1:1" x14ac:dyDescent="0.25">
      <c r="A834" s="57"/>
    </row>
    <row r="835" spans="1:1" x14ac:dyDescent="0.25">
      <c r="A835" s="57"/>
    </row>
    <row r="836" spans="1:1" x14ac:dyDescent="0.25">
      <c r="A836" s="57"/>
    </row>
    <row r="837" spans="1:1" x14ac:dyDescent="0.25">
      <c r="A837" s="57"/>
    </row>
    <row r="838" spans="1:1" x14ac:dyDescent="0.25">
      <c r="A838" s="57"/>
    </row>
    <row r="839" spans="1:1" x14ac:dyDescent="0.25">
      <c r="A839" s="57"/>
    </row>
    <row r="840" spans="1:1" x14ac:dyDescent="0.25">
      <c r="A840" s="57"/>
    </row>
    <row r="841" spans="1:1" x14ac:dyDescent="0.25">
      <c r="A841" s="57"/>
    </row>
    <row r="842" spans="1:1" x14ac:dyDescent="0.25">
      <c r="A842" s="57"/>
    </row>
    <row r="843" spans="1:1" x14ac:dyDescent="0.25">
      <c r="A843" s="57"/>
    </row>
    <row r="844" spans="1:1" x14ac:dyDescent="0.25">
      <c r="A844" s="57"/>
    </row>
    <row r="845" spans="1:1" x14ac:dyDescent="0.25">
      <c r="A845" s="57"/>
    </row>
    <row r="846" spans="1:1" x14ac:dyDescent="0.25">
      <c r="A846" s="57"/>
    </row>
    <row r="847" spans="1:1" x14ac:dyDescent="0.25">
      <c r="A847" s="57"/>
    </row>
    <row r="848" spans="1:1" x14ac:dyDescent="0.25">
      <c r="A848" s="57"/>
    </row>
    <row r="849" spans="1:1" x14ac:dyDescent="0.25">
      <c r="A849" s="57"/>
    </row>
    <row r="850" spans="1:1" x14ac:dyDescent="0.25">
      <c r="A850" s="57"/>
    </row>
    <row r="851" spans="1:1" x14ac:dyDescent="0.25">
      <c r="A851" s="57"/>
    </row>
    <row r="852" spans="1:1" x14ac:dyDescent="0.25">
      <c r="A852" s="57"/>
    </row>
    <row r="853" spans="1:1" x14ac:dyDescent="0.25">
      <c r="A853" s="57"/>
    </row>
    <row r="854" spans="1:1" x14ac:dyDescent="0.25">
      <c r="A854" s="57"/>
    </row>
    <row r="855" spans="1:1" x14ac:dyDescent="0.25">
      <c r="A855" s="57"/>
    </row>
    <row r="856" spans="1:1" x14ac:dyDescent="0.25">
      <c r="A856" s="57"/>
    </row>
    <row r="857" spans="1:1" x14ac:dyDescent="0.25">
      <c r="A857" s="57"/>
    </row>
    <row r="858" spans="1:1" x14ac:dyDescent="0.25">
      <c r="A858" s="57"/>
    </row>
    <row r="859" spans="1:1" x14ac:dyDescent="0.25">
      <c r="A859" s="57"/>
    </row>
    <row r="860" spans="1:1" x14ac:dyDescent="0.25">
      <c r="A860" s="57"/>
    </row>
    <row r="861" spans="1:1" x14ac:dyDescent="0.25">
      <c r="A861" s="57"/>
    </row>
    <row r="862" spans="1:1" x14ac:dyDescent="0.25">
      <c r="A862" s="57"/>
    </row>
    <row r="863" spans="1:1" x14ac:dyDescent="0.25">
      <c r="A863" s="57"/>
    </row>
    <row r="864" spans="1:1" x14ac:dyDescent="0.25">
      <c r="A864" s="57"/>
    </row>
    <row r="865" spans="1:1" x14ac:dyDescent="0.25">
      <c r="A865" s="57"/>
    </row>
    <row r="866" spans="1:1" x14ac:dyDescent="0.25">
      <c r="A866" s="57"/>
    </row>
    <row r="867" spans="1:1" x14ac:dyDescent="0.25">
      <c r="A867" s="57"/>
    </row>
    <row r="868" spans="1:1" x14ac:dyDescent="0.25">
      <c r="A868" s="57"/>
    </row>
    <row r="869" spans="1:1" x14ac:dyDescent="0.25">
      <c r="A869" s="57"/>
    </row>
    <row r="870" spans="1:1" x14ac:dyDescent="0.25">
      <c r="A870" s="57"/>
    </row>
    <row r="871" spans="1:1" x14ac:dyDescent="0.25">
      <c r="A871" s="57"/>
    </row>
    <row r="872" spans="1:1" x14ac:dyDescent="0.25">
      <c r="A872" s="57"/>
    </row>
    <row r="873" spans="1:1" x14ac:dyDescent="0.25">
      <c r="A873" s="57"/>
    </row>
    <row r="874" spans="1:1" x14ac:dyDescent="0.25">
      <c r="A874" s="57"/>
    </row>
    <row r="875" spans="1:1" x14ac:dyDescent="0.25">
      <c r="A875" s="57"/>
    </row>
    <row r="876" spans="1:1" x14ac:dyDescent="0.25">
      <c r="A876" s="57"/>
    </row>
    <row r="877" spans="1:1" x14ac:dyDescent="0.25">
      <c r="A877" s="57"/>
    </row>
    <row r="878" spans="1:1" x14ac:dyDescent="0.25">
      <c r="A878" s="57"/>
    </row>
    <row r="879" spans="1:1" x14ac:dyDescent="0.25">
      <c r="A879" s="57"/>
    </row>
    <row r="880" spans="1:1" x14ac:dyDescent="0.25">
      <c r="A880" s="57"/>
    </row>
    <row r="881" spans="1:1" x14ac:dyDescent="0.25">
      <c r="A881" s="57"/>
    </row>
    <row r="882" spans="1:1" x14ac:dyDescent="0.25">
      <c r="A882" s="57"/>
    </row>
    <row r="883" spans="1:1" x14ac:dyDescent="0.25">
      <c r="A883" s="57"/>
    </row>
    <row r="884" spans="1:1" x14ac:dyDescent="0.25">
      <c r="A884" s="57"/>
    </row>
    <row r="885" spans="1:1" x14ac:dyDescent="0.25">
      <c r="A885" s="57"/>
    </row>
    <row r="886" spans="1:1" x14ac:dyDescent="0.25">
      <c r="A886" s="57"/>
    </row>
    <row r="887" spans="1:1" x14ac:dyDescent="0.25">
      <c r="A887" s="57"/>
    </row>
    <row r="888" spans="1:1" x14ac:dyDescent="0.25">
      <c r="A888" s="57"/>
    </row>
    <row r="889" spans="1:1" x14ac:dyDescent="0.25">
      <c r="A889" s="57"/>
    </row>
    <row r="890" spans="1:1" x14ac:dyDescent="0.25">
      <c r="A890" s="57"/>
    </row>
    <row r="891" spans="1:1" x14ac:dyDescent="0.25">
      <c r="A891" s="57"/>
    </row>
    <row r="892" spans="1:1" x14ac:dyDescent="0.25">
      <c r="A892" s="57"/>
    </row>
    <row r="893" spans="1:1" x14ac:dyDescent="0.25">
      <c r="A893" s="57"/>
    </row>
    <row r="894" spans="1:1" x14ac:dyDescent="0.25">
      <c r="A894" s="57"/>
    </row>
    <row r="895" spans="1:1" x14ac:dyDescent="0.25">
      <c r="A895" s="57"/>
    </row>
    <row r="896" spans="1:1" x14ac:dyDescent="0.25">
      <c r="A896" s="57"/>
    </row>
    <row r="897" spans="1:1" x14ac:dyDescent="0.25">
      <c r="A897" s="57"/>
    </row>
    <row r="898" spans="1:1" x14ac:dyDescent="0.25">
      <c r="A898" s="57"/>
    </row>
    <row r="899" spans="1:1" x14ac:dyDescent="0.25">
      <c r="A899" s="57"/>
    </row>
    <row r="900" spans="1:1" x14ac:dyDescent="0.25">
      <c r="A900" s="57"/>
    </row>
    <row r="901" spans="1:1" x14ac:dyDescent="0.25">
      <c r="A901" s="57"/>
    </row>
    <row r="902" spans="1:1" x14ac:dyDescent="0.25">
      <c r="A902" s="57"/>
    </row>
    <row r="903" spans="1:1" x14ac:dyDescent="0.25">
      <c r="A903" s="57"/>
    </row>
    <row r="904" spans="1:1" x14ac:dyDescent="0.25">
      <c r="A904" s="57"/>
    </row>
    <row r="905" spans="1:1" x14ac:dyDescent="0.25">
      <c r="A905" s="57"/>
    </row>
    <row r="906" spans="1:1" x14ac:dyDescent="0.25">
      <c r="A906" s="57"/>
    </row>
    <row r="907" spans="1:1" x14ac:dyDescent="0.25">
      <c r="A907" s="57"/>
    </row>
    <row r="908" spans="1:1" x14ac:dyDescent="0.25">
      <c r="A908" s="57"/>
    </row>
    <row r="909" spans="1:1" x14ac:dyDescent="0.25">
      <c r="A909" s="57"/>
    </row>
    <row r="910" spans="1:1" x14ac:dyDescent="0.25">
      <c r="A910" s="57"/>
    </row>
    <row r="911" spans="1:1" x14ac:dyDescent="0.25">
      <c r="A911" s="57"/>
    </row>
    <row r="912" spans="1:1" x14ac:dyDescent="0.25">
      <c r="A912" s="57"/>
    </row>
    <row r="913" spans="1:1" x14ac:dyDescent="0.25">
      <c r="A913" s="57"/>
    </row>
    <row r="914" spans="1:1" x14ac:dyDescent="0.25">
      <c r="A914" s="57"/>
    </row>
    <row r="915" spans="1:1" x14ac:dyDescent="0.25">
      <c r="A915" s="57"/>
    </row>
    <row r="916" spans="1:1" x14ac:dyDescent="0.25">
      <c r="A916" s="57"/>
    </row>
    <row r="917" spans="1:1" x14ac:dyDescent="0.25">
      <c r="A917" s="57"/>
    </row>
    <row r="918" spans="1:1" x14ac:dyDescent="0.25">
      <c r="A918" s="57"/>
    </row>
    <row r="919" spans="1:1" x14ac:dyDescent="0.25">
      <c r="A919" s="57"/>
    </row>
    <row r="920" spans="1:1" x14ac:dyDescent="0.25">
      <c r="A920" s="57"/>
    </row>
    <row r="921" spans="1:1" x14ac:dyDescent="0.25">
      <c r="A921" s="57"/>
    </row>
    <row r="922" spans="1:1" x14ac:dyDescent="0.25">
      <c r="A922" s="57"/>
    </row>
    <row r="923" spans="1:1" x14ac:dyDescent="0.25">
      <c r="A923" s="57"/>
    </row>
    <row r="924" spans="1:1" x14ac:dyDescent="0.25">
      <c r="A924" s="57"/>
    </row>
    <row r="925" spans="1:1" x14ac:dyDescent="0.25">
      <c r="A925" s="57"/>
    </row>
    <row r="926" spans="1:1" x14ac:dyDescent="0.25">
      <c r="A926" s="57"/>
    </row>
    <row r="927" spans="1:1" x14ac:dyDescent="0.25">
      <c r="A927" s="57"/>
    </row>
    <row r="928" spans="1:1" x14ac:dyDescent="0.25">
      <c r="A928" s="57"/>
    </row>
    <row r="929" spans="1:1" x14ac:dyDescent="0.25">
      <c r="A929" s="57"/>
    </row>
    <row r="930" spans="1:1" x14ac:dyDescent="0.25">
      <c r="A930" s="57"/>
    </row>
    <row r="931" spans="1:1" x14ac:dyDescent="0.25">
      <c r="A931" s="57"/>
    </row>
    <row r="932" spans="1:1" x14ac:dyDescent="0.25">
      <c r="A932" s="57"/>
    </row>
    <row r="933" spans="1:1" x14ac:dyDescent="0.25">
      <c r="A933" s="57"/>
    </row>
    <row r="934" spans="1:1" x14ac:dyDescent="0.25">
      <c r="A934" s="57"/>
    </row>
    <row r="935" spans="1:1" x14ac:dyDescent="0.25">
      <c r="A935" s="57"/>
    </row>
    <row r="936" spans="1:1" x14ac:dyDescent="0.25">
      <c r="A936" s="57"/>
    </row>
    <row r="937" spans="1:1" x14ac:dyDescent="0.25">
      <c r="A937" s="57"/>
    </row>
    <row r="938" spans="1:1" x14ac:dyDescent="0.25">
      <c r="A938" s="57"/>
    </row>
    <row r="939" spans="1:1" x14ac:dyDescent="0.25">
      <c r="A939" s="57"/>
    </row>
    <row r="940" spans="1:1" x14ac:dyDescent="0.25">
      <c r="A940" s="57"/>
    </row>
    <row r="941" spans="1:1" x14ac:dyDescent="0.25">
      <c r="A941" s="57"/>
    </row>
    <row r="942" spans="1:1" x14ac:dyDescent="0.25">
      <c r="A942" s="57"/>
    </row>
    <row r="943" spans="1:1" x14ac:dyDescent="0.25">
      <c r="A943" s="57"/>
    </row>
    <row r="944" spans="1:1" x14ac:dyDescent="0.25">
      <c r="A944" s="57"/>
    </row>
    <row r="945" spans="1:1" x14ac:dyDescent="0.25">
      <c r="A945" s="57"/>
    </row>
    <row r="946" spans="1:1" x14ac:dyDescent="0.25">
      <c r="A946" s="57"/>
    </row>
    <row r="947" spans="1:1" x14ac:dyDescent="0.25">
      <c r="A947" s="57"/>
    </row>
    <row r="948" spans="1:1" x14ac:dyDescent="0.25">
      <c r="A948" s="57"/>
    </row>
    <row r="949" spans="1:1" x14ac:dyDescent="0.25">
      <c r="A949" s="57"/>
    </row>
    <row r="950" spans="1:1" x14ac:dyDescent="0.25">
      <c r="A950" s="57"/>
    </row>
    <row r="951" spans="1:1" x14ac:dyDescent="0.25">
      <c r="A951" s="57"/>
    </row>
    <row r="952" spans="1:1" x14ac:dyDescent="0.25">
      <c r="A952" s="57"/>
    </row>
    <row r="953" spans="1:1" x14ac:dyDescent="0.25">
      <c r="A953" s="57"/>
    </row>
    <row r="954" spans="1:1" x14ac:dyDescent="0.25">
      <c r="A954" s="57"/>
    </row>
    <row r="955" spans="1:1" x14ac:dyDescent="0.25">
      <c r="A955" s="57"/>
    </row>
    <row r="956" spans="1:1" x14ac:dyDescent="0.25">
      <c r="A956" s="57"/>
    </row>
    <row r="957" spans="1:1" x14ac:dyDescent="0.25">
      <c r="A957" s="57"/>
    </row>
    <row r="958" spans="1:1" x14ac:dyDescent="0.25">
      <c r="A958" s="57"/>
    </row>
    <row r="959" spans="1:1" x14ac:dyDescent="0.25">
      <c r="A959" s="57"/>
    </row>
    <row r="960" spans="1:1" x14ac:dyDescent="0.25">
      <c r="A960" s="57"/>
    </row>
    <row r="961" spans="1:1" x14ac:dyDescent="0.25">
      <c r="A961" s="57"/>
    </row>
    <row r="962" spans="1:1" x14ac:dyDescent="0.25">
      <c r="A962" s="57"/>
    </row>
    <row r="963" spans="1:1" x14ac:dyDescent="0.25">
      <c r="A963" s="57"/>
    </row>
    <row r="964" spans="1:1" x14ac:dyDescent="0.25">
      <c r="A964" s="57"/>
    </row>
    <row r="965" spans="1:1" x14ac:dyDescent="0.25">
      <c r="A965" s="57"/>
    </row>
    <row r="966" spans="1:1" x14ac:dyDescent="0.25">
      <c r="A966" s="57"/>
    </row>
    <row r="967" spans="1:1" x14ac:dyDescent="0.25">
      <c r="A967" s="57"/>
    </row>
    <row r="968" spans="1:1" x14ac:dyDescent="0.25">
      <c r="A968" s="57"/>
    </row>
    <row r="969" spans="1:1" x14ac:dyDescent="0.25">
      <c r="A969" s="57"/>
    </row>
    <row r="970" spans="1:1" x14ac:dyDescent="0.25">
      <c r="A970" s="57"/>
    </row>
    <row r="971" spans="1:1" x14ac:dyDescent="0.25">
      <c r="A971" s="57"/>
    </row>
    <row r="972" spans="1:1" x14ac:dyDescent="0.25">
      <c r="A972" s="57"/>
    </row>
    <row r="973" spans="1:1" x14ac:dyDescent="0.25">
      <c r="A973" s="57"/>
    </row>
    <row r="974" spans="1:1" x14ac:dyDescent="0.25">
      <c r="A974" s="57"/>
    </row>
    <row r="975" spans="1:1" x14ac:dyDescent="0.25">
      <c r="A975" s="57"/>
    </row>
    <row r="976" spans="1:1" x14ac:dyDescent="0.25">
      <c r="A976" s="57"/>
    </row>
    <row r="977" spans="1:1" x14ac:dyDescent="0.25">
      <c r="A977" s="57"/>
    </row>
    <row r="978" spans="1:1" x14ac:dyDescent="0.25">
      <c r="A978" s="57"/>
    </row>
    <row r="979" spans="1:1" x14ac:dyDescent="0.25">
      <c r="A979" s="57"/>
    </row>
    <row r="980" spans="1:1" x14ac:dyDescent="0.25">
      <c r="A980" s="57"/>
    </row>
    <row r="981" spans="1:1" x14ac:dyDescent="0.25">
      <c r="A981" s="57"/>
    </row>
    <row r="982" spans="1:1" x14ac:dyDescent="0.25">
      <c r="A982" s="57"/>
    </row>
    <row r="983" spans="1:1" x14ac:dyDescent="0.25">
      <c r="A983" s="57"/>
    </row>
    <row r="984" spans="1:1" x14ac:dyDescent="0.25">
      <c r="A984" s="57"/>
    </row>
    <row r="985" spans="1:1" x14ac:dyDescent="0.25">
      <c r="A985" s="57"/>
    </row>
    <row r="986" spans="1:1" x14ac:dyDescent="0.25">
      <c r="A986" s="57"/>
    </row>
    <row r="987" spans="1:1" x14ac:dyDescent="0.25">
      <c r="A987" s="57"/>
    </row>
    <row r="988" spans="1:1" x14ac:dyDescent="0.25">
      <c r="A988" s="57"/>
    </row>
    <row r="989" spans="1:1" x14ac:dyDescent="0.25">
      <c r="A989" s="57"/>
    </row>
    <row r="990" spans="1:1" x14ac:dyDescent="0.25">
      <c r="A990" s="57"/>
    </row>
    <row r="991" spans="1:1" x14ac:dyDescent="0.25">
      <c r="A991" s="57"/>
    </row>
    <row r="992" spans="1:1" x14ac:dyDescent="0.25">
      <c r="A992" s="57"/>
    </row>
    <row r="993" spans="1:1" x14ac:dyDescent="0.25">
      <c r="A993" s="57"/>
    </row>
    <row r="994" spans="1:1" x14ac:dyDescent="0.25">
      <c r="A994" s="57"/>
    </row>
    <row r="995" spans="1:1" x14ac:dyDescent="0.25">
      <c r="A995" s="57"/>
    </row>
    <row r="996" spans="1:1" x14ac:dyDescent="0.25">
      <c r="A996" s="57"/>
    </row>
    <row r="997" spans="1:1" x14ac:dyDescent="0.25">
      <c r="A997" s="57"/>
    </row>
    <row r="998" spans="1:1" x14ac:dyDescent="0.25">
      <c r="A998" s="57"/>
    </row>
    <row r="999" spans="1:1" x14ac:dyDescent="0.25">
      <c r="A999" s="57"/>
    </row>
    <row r="1000" spans="1:1" x14ac:dyDescent="0.25">
      <c r="A1000" s="57"/>
    </row>
    <row r="1001" spans="1:1" x14ac:dyDescent="0.25">
      <c r="A1001" s="57"/>
    </row>
    <row r="1002" spans="1:1" x14ac:dyDescent="0.25">
      <c r="A1002" s="57"/>
    </row>
    <row r="1003" spans="1:1" x14ac:dyDescent="0.25">
      <c r="A1003" s="57"/>
    </row>
    <row r="1004" spans="1:1" x14ac:dyDescent="0.25">
      <c r="A1004" s="57"/>
    </row>
    <row r="1005" spans="1:1" x14ac:dyDescent="0.25">
      <c r="A1005" s="57"/>
    </row>
    <row r="1006" spans="1:1" x14ac:dyDescent="0.25">
      <c r="A1006" s="57"/>
    </row>
    <row r="1007" spans="1:1" x14ac:dyDescent="0.25">
      <c r="A1007" s="57"/>
    </row>
    <row r="1008" spans="1:1" x14ac:dyDescent="0.25">
      <c r="A1008" s="57"/>
    </row>
    <row r="1009" spans="1:1" x14ac:dyDescent="0.25">
      <c r="A1009" s="57"/>
    </row>
    <row r="1010" spans="1:1" x14ac:dyDescent="0.25">
      <c r="A1010" s="57"/>
    </row>
    <row r="1011" spans="1:1" x14ac:dyDescent="0.25">
      <c r="A1011" s="57"/>
    </row>
    <row r="1012" spans="1:1" x14ac:dyDescent="0.25">
      <c r="A1012" s="57"/>
    </row>
    <row r="1013" spans="1:1" x14ac:dyDescent="0.25">
      <c r="A1013" s="57"/>
    </row>
    <row r="1014" spans="1:1" x14ac:dyDescent="0.25">
      <c r="A1014" s="57"/>
    </row>
    <row r="1015" spans="1:1" x14ac:dyDescent="0.25">
      <c r="A1015" s="57"/>
    </row>
    <row r="1016" spans="1:1" x14ac:dyDescent="0.25">
      <c r="A1016" s="57"/>
    </row>
    <row r="1017" spans="1:1" x14ac:dyDescent="0.25">
      <c r="A1017" s="57"/>
    </row>
    <row r="1018" spans="1:1" x14ac:dyDescent="0.25">
      <c r="A1018" s="57"/>
    </row>
    <row r="1019" spans="1:1" x14ac:dyDescent="0.25">
      <c r="A1019" s="57"/>
    </row>
    <row r="1020" spans="1:1" x14ac:dyDescent="0.25">
      <c r="A1020" s="57"/>
    </row>
    <row r="1021" spans="1:1" x14ac:dyDescent="0.25">
      <c r="A1021" s="57"/>
    </row>
    <row r="1022" spans="1:1" x14ac:dyDescent="0.25">
      <c r="A1022" s="57"/>
    </row>
    <row r="1023" spans="1:1" x14ac:dyDescent="0.25">
      <c r="A1023" s="57"/>
    </row>
    <row r="1024" spans="1:1" x14ac:dyDescent="0.25">
      <c r="A1024" s="57"/>
    </row>
    <row r="1025" spans="1:1" x14ac:dyDescent="0.25">
      <c r="A1025" s="57"/>
    </row>
    <row r="1026" spans="1:1" x14ac:dyDescent="0.25">
      <c r="A1026" s="57"/>
    </row>
    <row r="1027" spans="1:1" x14ac:dyDescent="0.25">
      <c r="A1027" s="57"/>
    </row>
    <row r="1028" spans="1:1" x14ac:dyDescent="0.25">
      <c r="A1028" s="57"/>
    </row>
    <row r="1029" spans="1:1" x14ac:dyDescent="0.25">
      <c r="A1029" s="57"/>
    </row>
    <row r="1030" spans="1:1" x14ac:dyDescent="0.25">
      <c r="A1030" s="57"/>
    </row>
    <row r="1031" spans="1:1" x14ac:dyDescent="0.25">
      <c r="A1031" s="57"/>
    </row>
    <row r="1032" spans="1:1" x14ac:dyDescent="0.25">
      <c r="A1032" s="57"/>
    </row>
    <row r="1033" spans="1:1" x14ac:dyDescent="0.25">
      <c r="A1033" s="57"/>
    </row>
    <row r="1034" spans="1:1" x14ac:dyDescent="0.25">
      <c r="A1034" s="57"/>
    </row>
    <row r="1035" spans="1:1" x14ac:dyDescent="0.25">
      <c r="A1035" s="57"/>
    </row>
    <row r="1036" spans="1:1" x14ac:dyDescent="0.25">
      <c r="A1036" s="57"/>
    </row>
    <row r="1037" spans="1:1" x14ac:dyDescent="0.25">
      <c r="A1037" s="57"/>
    </row>
    <row r="1038" spans="1:1" x14ac:dyDescent="0.25">
      <c r="A1038" s="57"/>
    </row>
    <row r="1039" spans="1:1" x14ac:dyDescent="0.25">
      <c r="A1039" s="57"/>
    </row>
    <row r="1040" spans="1:1" x14ac:dyDescent="0.25">
      <c r="A1040" s="57"/>
    </row>
    <row r="1041" spans="1:1" x14ac:dyDescent="0.25">
      <c r="A1041" s="57"/>
    </row>
    <row r="1042" spans="1:1" x14ac:dyDescent="0.25">
      <c r="A1042" s="57"/>
    </row>
    <row r="1043" spans="1:1" x14ac:dyDescent="0.25">
      <c r="A1043" s="57"/>
    </row>
    <row r="1044" spans="1:1" x14ac:dyDescent="0.25">
      <c r="A1044" s="57"/>
    </row>
    <row r="1045" spans="1:1" x14ac:dyDescent="0.25">
      <c r="A1045" s="57"/>
    </row>
    <row r="1046" spans="1:1" x14ac:dyDescent="0.25">
      <c r="A1046" s="57"/>
    </row>
    <row r="1047" spans="1:1" x14ac:dyDescent="0.25">
      <c r="A1047" s="57"/>
    </row>
    <row r="1048" spans="1:1" x14ac:dyDescent="0.25">
      <c r="A1048" s="57"/>
    </row>
    <row r="1049" spans="1:1" x14ac:dyDescent="0.25">
      <c r="A1049" s="57"/>
    </row>
    <row r="1050" spans="1:1" x14ac:dyDescent="0.25">
      <c r="A1050" s="57"/>
    </row>
    <row r="1051" spans="1:1" x14ac:dyDescent="0.25">
      <c r="A1051" s="57"/>
    </row>
    <row r="1052" spans="1:1" x14ac:dyDescent="0.25">
      <c r="A1052" s="57"/>
    </row>
    <row r="1053" spans="1:1" x14ac:dyDescent="0.25">
      <c r="A1053" s="57"/>
    </row>
    <row r="1054" spans="1:1" x14ac:dyDescent="0.25">
      <c r="A1054" s="57"/>
    </row>
    <row r="1055" spans="1:1" x14ac:dyDescent="0.25">
      <c r="A1055" s="57"/>
    </row>
    <row r="1056" spans="1:1" x14ac:dyDescent="0.25">
      <c r="A1056" s="57"/>
    </row>
    <row r="1057" spans="1:1" x14ac:dyDescent="0.25">
      <c r="A1057" s="57"/>
    </row>
    <row r="1058" spans="1:1" x14ac:dyDescent="0.25">
      <c r="A1058" s="57"/>
    </row>
    <row r="1059" spans="1:1" x14ac:dyDescent="0.25">
      <c r="A1059" s="57"/>
    </row>
    <row r="1060" spans="1:1" x14ac:dyDescent="0.25">
      <c r="A1060" s="57"/>
    </row>
    <row r="1061" spans="1:1" x14ac:dyDescent="0.25">
      <c r="A1061" s="57"/>
    </row>
    <row r="1062" spans="1:1" x14ac:dyDescent="0.25">
      <c r="A1062" s="57"/>
    </row>
    <row r="1063" spans="1:1" x14ac:dyDescent="0.25">
      <c r="A1063" s="57"/>
    </row>
    <row r="1064" spans="1:1" x14ac:dyDescent="0.25">
      <c r="A1064" s="57"/>
    </row>
    <row r="1065" spans="1:1" x14ac:dyDescent="0.25">
      <c r="A1065" s="57"/>
    </row>
    <row r="1066" spans="1:1" x14ac:dyDescent="0.25">
      <c r="A1066" s="57"/>
    </row>
    <row r="1067" spans="1:1" x14ac:dyDescent="0.25">
      <c r="A1067" s="57"/>
    </row>
    <row r="1068" spans="1:1" x14ac:dyDescent="0.25">
      <c r="A1068" s="57"/>
    </row>
  </sheetData>
  <autoFilter ref="A11:Z68" xr:uid="{00000000-0009-0000-0000-000004000000}"/>
  <mergeCells count="5">
    <mergeCell ref="A6:D6"/>
    <mergeCell ref="D1:G1"/>
    <mergeCell ref="A2:H2"/>
    <mergeCell ref="A4:G4"/>
    <mergeCell ref="A5:D5"/>
  </mergeCells>
  <pageMargins left="0.74791666666666701" right="0.74791666666666701" top="0.118055555555556" bottom="0.15763888888888899" header="0.511811023622047" footer="0.511811023622047"/>
  <pageSetup paperSize="9" scale="38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664F-A569-4E3D-82CF-9017BC10368B}">
  <sheetPr>
    <pageSetUpPr fitToPage="1"/>
  </sheetPr>
  <dimension ref="A1:IW237"/>
  <sheetViews>
    <sheetView view="pageBreakPreview" zoomScale="75" zoomScaleNormal="75" zoomScaleSheetLayoutView="75" zoomScalePageLayoutView="75" workbookViewId="0">
      <pane ySplit="10" topLeftCell="A11" activePane="bottomLeft" state="frozen"/>
      <selection pane="bottomLeft" activeCell="C24" sqref="C24"/>
    </sheetView>
  </sheetViews>
  <sheetFormatPr defaultColWidth="9.109375" defaultRowHeight="13.2" x14ac:dyDescent="0.25"/>
  <cols>
    <col min="1" max="1" width="16.33203125" style="409" customWidth="1"/>
    <col min="2" max="2" width="17" style="164" customWidth="1"/>
    <col min="3" max="3" width="29.6640625" style="4" customWidth="1"/>
    <col min="4" max="4" width="32.33203125" style="165" customWidth="1"/>
    <col min="5" max="5" width="34.5546875" style="165" customWidth="1"/>
    <col min="6" max="6" width="16.6640625" style="166" customWidth="1"/>
    <col min="7" max="7" width="16" style="166" customWidth="1"/>
    <col min="8" max="8" width="16" style="167" customWidth="1"/>
    <col min="9" max="9" width="20.33203125" style="4" customWidth="1"/>
    <col min="10" max="10" width="20.33203125" style="62" customWidth="1"/>
    <col min="11" max="11" width="12.5546875" style="4" customWidth="1"/>
    <col min="12" max="257" width="9.109375" style="4"/>
  </cols>
  <sheetData>
    <row r="1" spans="1:12" ht="24.6" x14ac:dyDescent="0.25">
      <c r="A1" s="730" t="s">
        <v>0</v>
      </c>
      <c r="B1" s="730"/>
      <c r="C1" s="730"/>
      <c r="D1" s="730"/>
      <c r="E1" s="730"/>
      <c r="F1" s="730"/>
      <c r="G1" s="730"/>
      <c r="H1" s="168"/>
    </row>
    <row r="2" spans="1:12" ht="15.75" customHeight="1" x14ac:dyDescent="0.25">
      <c r="F2" s="169"/>
      <c r="G2" s="169" t="s">
        <v>71</v>
      </c>
      <c r="H2" s="170"/>
      <c r="I2" s="36"/>
    </row>
    <row r="3" spans="1:12" ht="18" customHeight="1" x14ac:dyDescent="0.25">
      <c r="A3" s="410"/>
      <c r="B3" s="17"/>
      <c r="F3" s="171" t="s">
        <v>72</v>
      </c>
      <c r="G3" s="171"/>
      <c r="H3" s="170"/>
    </row>
    <row r="4" spans="1:12" ht="18" customHeight="1" x14ac:dyDescent="0.25">
      <c r="F4" s="166" t="s">
        <v>73</v>
      </c>
      <c r="G4" s="406">
        <v>-495</v>
      </c>
      <c r="H4" s="407"/>
      <c r="I4" s="36"/>
    </row>
    <row r="5" spans="1:12" ht="18" customHeight="1" x14ac:dyDescent="0.25">
      <c r="F5" s="166" t="s">
        <v>74</v>
      </c>
      <c r="G5" s="172">
        <f>+F37</f>
        <v>0</v>
      </c>
      <c r="H5" s="173"/>
      <c r="I5" s="36"/>
    </row>
    <row r="6" spans="1:12" ht="18" customHeight="1" x14ac:dyDescent="0.25">
      <c r="A6" s="411"/>
      <c r="B6" s="2"/>
      <c r="C6" s="174"/>
      <c r="D6" s="174"/>
      <c r="E6" s="174"/>
      <c r="F6" s="175" t="s">
        <v>75</v>
      </c>
      <c r="G6" s="172">
        <f>G4+G5</f>
        <v>-495</v>
      </c>
      <c r="H6" s="173"/>
    </row>
    <row r="7" spans="1:12" ht="18" customHeight="1" x14ac:dyDescent="0.25">
      <c r="A7" s="412" t="s">
        <v>229</v>
      </c>
      <c r="B7" s="176">
        <v>2026</v>
      </c>
      <c r="D7" s="177"/>
      <c r="E7" s="177"/>
      <c r="F7" s="166" t="s">
        <v>76</v>
      </c>
      <c r="G7" s="172">
        <f>G37</f>
        <v>750</v>
      </c>
      <c r="H7" s="173"/>
    </row>
    <row r="8" spans="1:12" ht="18" customHeight="1" x14ac:dyDescent="0.25">
      <c r="C8" s="4" t="s">
        <v>77</v>
      </c>
      <c r="F8" s="166" t="s">
        <v>78</v>
      </c>
      <c r="G8" s="178">
        <f>G6-G7</f>
        <v>-1245</v>
      </c>
      <c r="H8" s="179"/>
    </row>
    <row r="9" spans="1:12" ht="18" customHeight="1" x14ac:dyDescent="0.25"/>
    <row r="10" spans="1:12" ht="16.5" customHeight="1" x14ac:dyDescent="0.25">
      <c r="A10" s="413" t="s">
        <v>39</v>
      </c>
      <c r="B10" s="180" t="s">
        <v>79</v>
      </c>
      <c r="C10" s="180" t="s">
        <v>29</v>
      </c>
      <c r="D10" s="180" t="s">
        <v>30</v>
      </c>
      <c r="E10" s="180" t="s">
        <v>31</v>
      </c>
      <c r="F10" s="184" t="s">
        <v>80</v>
      </c>
      <c r="G10" s="181" t="s">
        <v>81</v>
      </c>
      <c r="H10" s="182"/>
      <c r="I10" s="183" t="s">
        <v>60</v>
      </c>
      <c r="J10" s="184" t="s">
        <v>82</v>
      </c>
      <c r="K10" s="160"/>
      <c r="L10" s="160"/>
    </row>
    <row r="11" spans="1:12" ht="16.5" customHeight="1" x14ac:dyDescent="0.3">
      <c r="A11" s="416">
        <v>46113</v>
      </c>
      <c r="B11" s="417"/>
      <c r="C11" s="418" t="s">
        <v>83</v>
      </c>
      <c r="D11" s="417"/>
      <c r="E11" s="419"/>
      <c r="F11" s="464"/>
      <c r="G11" s="420"/>
      <c r="H11" s="421">
        <f>+G4</f>
        <v>-495</v>
      </c>
      <c r="I11" s="422"/>
      <c r="J11" s="399"/>
      <c r="K11" s="160"/>
      <c r="L11" s="160"/>
    </row>
    <row r="12" spans="1:12" ht="16.5" customHeight="1" x14ac:dyDescent="0.3">
      <c r="A12" s="518"/>
      <c r="B12" s="519"/>
      <c r="C12" s="522" t="s">
        <v>197</v>
      </c>
      <c r="D12" s="484"/>
      <c r="E12" s="485"/>
      <c r="F12" s="464"/>
      <c r="G12" s="520">
        <v>750</v>
      </c>
      <c r="H12" s="421">
        <f>+H11+F12-G12</f>
        <v>-1245</v>
      </c>
      <c r="I12" s="422"/>
      <c r="J12" s="489">
        <f t="shared" ref="J12:J36" si="0">+G12-I12</f>
        <v>750</v>
      </c>
      <c r="K12" s="160"/>
      <c r="L12" s="160"/>
    </row>
    <row r="13" spans="1:12" ht="16.5" customHeight="1" x14ac:dyDescent="0.3">
      <c r="A13" s="518"/>
      <c r="B13" s="519"/>
      <c r="C13" s="522"/>
      <c r="D13" s="521"/>
      <c r="E13" s="728"/>
      <c r="F13" s="464"/>
      <c r="G13" s="520"/>
      <c r="H13" s="421">
        <f t="shared" ref="H13:H18" si="1">+H12+F13-G13</f>
        <v>-1245</v>
      </c>
      <c r="I13" s="523"/>
      <c r="J13" s="489">
        <f t="shared" si="0"/>
        <v>0</v>
      </c>
      <c r="K13" s="160"/>
      <c r="L13" s="160"/>
    </row>
    <row r="14" spans="1:12" ht="16.5" customHeight="1" x14ac:dyDescent="0.3">
      <c r="A14" s="483"/>
      <c r="B14" s="484"/>
      <c r="C14" s="484"/>
      <c r="D14" s="484"/>
      <c r="E14" s="485"/>
      <c r="F14" s="486"/>
      <c r="G14" s="465"/>
      <c r="H14" s="421">
        <f t="shared" si="1"/>
        <v>-1245</v>
      </c>
      <c r="I14" s="488">
        <f>+G14*0.137931034482759</f>
        <v>0</v>
      </c>
      <c r="J14" s="489">
        <f>+G14-I14</f>
        <v>0</v>
      </c>
      <c r="K14" s="160"/>
      <c r="L14" s="160"/>
    </row>
    <row r="15" spans="1:12" ht="16.5" customHeight="1" x14ac:dyDescent="0.3">
      <c r="A15" s="483"/>
      <c r="B15" s="490"/>
      <c r="C15" s="484"/>
      <c r="D15" s="484"/>
      <c r="E15" s="485"/>
      <c r="F15" s="486"/>
      <c r="G15" s="465"/>
      <c r="H15" s="421">
        <f t="shared" si="1"/>
        <v>-1245</v>
      </c>
      <c r="I15" s="488">
        <f>+G15*0.137931034482759</f>
        <v>0</v>
      </c>
      <c r="J15" s="489">
        <f t="shared" ref="J15:J19" si="2">+G15-I15</f>
        <v>0</v>
      </c>
      <c r="K15" s="160"/>
      <c r="L15" s="160"/>
    </row>
    <row r="16" spans="1:12" ht="16.5" customHeight="1" x14ac:dyDescent="0.3">
      <c r="A16" s="483"/>
      <c r="B16" s="484"/>
      <c r="C16" s="484"/>
      <c r="D16" s="484"/>
      <c r="E16" s="485"/>
      <c r="F16" s="486"/>
      <c r="G16" s="465"/>
      <c r="H16" s="421">
        <f t="shared" si="1"/>
        <v>-1245</v>
      </c>
      <c r="I16" s="488">
        <f>+G16*0.137931034482759</f>
        <v>0</v>
      </c>
      <c r="J16" s="489">
        <f t="shared" si="2"/>
        <v>0</v>
      </c>
      <c r="K16" s="160"/>
      <c r="L16" s="160"/>
    </row>
    <row r="17" spans="1:13" ht="16.5" customHeight="1" x14ac:dyDescent="0.3">
      <c r="A17" s="483"/>
      <c r="B17" s="484"/>
      <c r="C17" s="484"/>
      <c r="D17" s="484"/>
      <c r="E17" s="485"/>
      <c r="F17" s="486"/>
      <c r="G17" s="465"/>
      <c r="H17" s="421">
        <f t="shared" si="1"/>
        <v>-1245</v>
      </c>
      <c r="I17" s="488">
        <v>0</v>
      </c>
      <c r="J17" s="489">
        <f t="shared" si="2"/>
        <v>0</v>
      </c>
      <c r="K17" s="160"/>
      <c r="L17" s="160"/>
    </row>
    <row r="18" spans="1:13" ht="17.25" customHeight="1" x14ac:dyDescent="0.3">
      <c r="A18" s="483"/>
      <c r="B18" s="484"/>
      <c r="C18" s="484"/>
      <c r="D18" s="485"/>
      <c r="E18" s="485"/>
      <c r="F18" s="486"/>
      <c r="G18" s="465"/>
      <c r="H18" s="421">
        <f t="shared" si="1"/>
        <v>-1245</v>
      </c>
      <c r="I18" s="488">
        <v>0</v>
      </c>
      <c r="J18" s="489">
        <f t="shared" si="2"/>
        <v>0</v>
      </c>
      <c r="K18" s="160"/>
      <c r="L18" s="160"/>
    </row>
    <row r="19" spans="1:13" ht="17.25" customHeight="1" x14ac:dyDescent="0.3">
      <c r="A19" s="483"/>
      <c r="B19" s="484"/>
      <c r="C19" s="484"/>
      <c r="D19" s="484"/>
      <c r="E19" s="485"/>
      <c r="F19" s="487"/>
      <c r="G19" s="466"/>
      <c r="H19" s="421">
        <f t="shared" ref="H19" si="3">+H18+F19-G19</f>
        <v>-1245</v>
      </c>
      <c r="I19" s="488">
        <v>0</v>
      </c>
      <c r="J19" s="489">
        <f t="shared" si="2"/>
        <v>0</v>
      </c>
      <c r="K19" s="160"/>
      <c r="L19" s="160"/>
    </row>
    <row r="20" spans="1:13" ht="17.25" customHeight="1" x14ac:dyDescent="0.3">
      <c r="A20" s="483"/>
      <c r="B20" s="490"/>
      <c r="C20" s="484"/>
      <c r="D20" s="484"/>
      <c r="E20" s="484"/>
      <c r="F20" s="488"/>
      <c r="G20" s="466"/>
      <c r="H20" s="487">
        <f t="shared" ref="H20:H27" si="4">+H19+F20-G20</f>
        <v>-1245</v>
      </c>
      <c r="I20" s="488">
        <v>0</v>
      </c>
      <c r="J20" s="489">
        <f t="shared" si="0"/>
        <v>0</v>
      </c>
      <c r="K20" s="160"/>
      <c r="L20" s="160"/>
    </row>
    <row r="21" spans="1:13" ht="17.25" customHeight="1" x14ac:dyDescent="0.3">
      <c r="A21" s="483"/>
      <c r="B21" s="484"/>
      <c r="C21" s="484"/>
      <c r="D21" s="484"/>
      <c r="E21" s="485"/>
      <c r="F21" s="491"/>
      <c r="G21" s="466"/>
      <c r="H21" s="487">
        <f t="shared" si="4"/>
        <v>-1245</v>
      </c>
      <c r="I21" s="488">
        <v>0</v>
      </c>
      <c r="J21" s="489">
        <f t="shared" si="0"/>
        <v>0</v>
      </c>
      <c r="K21" s="160"/>
      <c r="L21" s="160"/>
    </row>
    <row r="22" spans="1:13" ht="17.25" customHeight="1" x14ac:dyDescent="0.3">
      <c r="A22" s="483"/>
      <c r="B22" s="484"/>
      <c r="C22" s="484"/>
      <c r="D22" s="484"/>
      <c r="E22" s="485"/>
      <c r="F22" s="488"/>
      <c r="G22" s="398"/>
      <c r="H22" s="487">
        <f t="shared" si="4"/>
        <v>-1245</v>
      </c>
      <c r="I22" s="488">
        <v>0</v>
      </c>
      <c r="J22" s="489">
        <f t="shared" si="0"/>
        <v>0</v>
      </c>
      <c r="K22" s="160"/>
      <c r="L22" s="160"/>
    </row>
    <row r="23" spans="1:13" ht="17.25" customHeight="1" x14ac:dyDescent="0.3">
      <c r="A23" s="492"/>
      <c r="B23" s="493"/>
      <c r="C23" s="493"/>
      <c r="D23" s="493"/>
      <c r="E23" s="494"/>
      <c r="F23" s="494"/>
      <c r="G23" s="400"/>
      <c r="H23" s="487">
        <f t="shared" si="4"/>
        <v>-1245</v>
      </c>
      <c r="I23" s="488">
        <v>0</v>
      </c>
      <c r="J23" s="489"/>
      <c r="K23" s="160"/>
      <c r="L23" s="160"/>
    </row>
    <row r="24" spans="1:13" ht="17.25" customHeight="1" x14ac:dyDescent="0.25">
      <c r="A24" s="495"/>
      <c r="B24" s="496"/>
      <c r="C24" s="488"/>
      <c r="D24" s="488"/>
      <c r="E24" s="488"/>
      <c r="F24" s="488"/>
      <c r="G24" s="488"/>
      <c r="H24" s="487">
        <f t="shared" si="4"/>
        <v>-1245</v>
      </c>
      <c r="I24" s="488">
        <f>G24/1.17*0.17</f>
        <v>0</v>
      </c>
      <c r="J24" s="489">
        <f t="shared" si="0"/>
        <v>0</v>
      </c>
      <c r="K24" s="160"/>
      <c r="L24" s="160"/>
    </row>
    <row r="25" spans="1:13" s="408" customFormat="1" ht="17.100000000000001" customHeight="1" x14ac:dyDescent="0.25">
      <c r="A25" s="495"/>
      <c r="B25" s="497"/>
      <c r="C25" s="488"/>
      <c r="D25" s="494"/>
      <c r="E25" s="494"/>
      <c r="F25" s="488"/>
      <c r="G25" s="498"/>
      <c r="H25" s="499">
        <f t="shared" si="4"/>
        <v>-1245</v>
      </c>
      <c r="I25" s="488">
        <f>G25/1.17*0.17</f>
        <v>0</v>
      </c>
      <c r="J25" s="489">
        <f t="shared" si="0"/>
        <v>0</v>
      </c>
      <c r="K25" s="189"/>
      <c r="L25" s="160"/>
      <c r="M25" s="62"/>
    </row>
    <row r="26" spans="1:13" ht="17.25" customHeight="1" x14ac:dyDescent="0.25">
      <c r="A26" s="500"/>
      <c r="B26" s="501"/>
      <c r="C26" s="502"/>
      <c r="D26" s="488"/>
      <c r="E26" s="488"/>
      <c r="F26" s="488"/>
      <c r="G26" s="503"/>
      <c r="H26" s="499">
        <f t="shared" si="4"/>
        <v>-1245</v>
      </c>
      <c r="I26" s="488">
        <f>G26/1.17*0.17</f>
        <v>0</v>
      </c>
      <c r="J26" s="489">
        <f t="shared" si="0"/>
        <v>0</v>
      </c>
      <c r="K26" s="160"/>
      <c r="L26" s="160"/>
    </row>
    <row r="27" spans="1:13" ht="17.25" customHeight="1" x14ac:dyDescent="0.25">
      <c r="A27" s="500"/>
      <c r="B27" s="501"/>
      <c r="C27" s="502"/>
      <c r="D27" s="488"/>
      <c r="E27" s="488"/>
      <c r="F27" s="488"/>
      <c r="G27" s="503"/>
      <c r="H27" s="499">
        <f t="shared" si="4"/>
        <v>-1245</v>
      </c>
      <c r="I27" s="488">
        <f>G27/1.16*0.16</f>
        <v>0</v>
      </c>
      <c r="J27" s="489">
        <f t="shared" si="0"/>
        <v>0</v>
      </c>
      <c r="K27" s="160"/>
      <c r="L27" s="160"/>
    </row>
    <row r="28" spans="1:13" ht="17.25" customHeight="1" x14ac:dyDescent="0.25">
      <c r="A28" s="500"/>
      <c r="B28" s="501"/>
      <c r="C28" s="502"/>
      <c r="D28" s="488"/>
      <c r="E28" s="488"/>
      <c r="F28" s="488"/>
      <c r="G28" s="503"/>
      <c r="H28" s="499">
        <f t="shared" ref="H28:H36" si="5">H27+F28-G28</f>
        <v>-1245</v>
      </c>
      <c r="I28" s="488">
        <f t="shared" ref="I28:I36" si="6">G28/1.17*0.17</f>
        <v>0</v>
      </c>
      <c r="J28" s="489">
        <f t="shared" si="0"/>
        <v>0</v>
      </c>
      <c r="K28" s="160"/>
      <c r="L28" s="160"/>
    </row>
    <row r="29" spans="1:13" ht="17.25" customHeight="1" x14ac:dyDescent="0.25">
      <c r="A29" s="500"/>
      <c r="B29" s="501"/>
      <c r="C29" s="502"/>
      <c r="D29" s="488"/>
      <c r="E29" s="488"/>
      <c r="F29" s="488"/>
      <c r="G29" s="503"/>
      <c r="H29" s="499">
        <f t="shared" si="5"/>
        <v>-1245</v>
      </c>
      <c r="I29" s="488">
        <f t="shared" si="6"/>
        <v>0</v>
      </c>
      <c r="J29" s="489">
        <f t="shared" si="0"/>
        <v>0</v>
      </c>
      <c r="K29" s="160"/>
      <c r="L29" s="160"/>
    </row>
    <row r="30" spans="1:13" ht="17.25" customHeight="1" x14ac:dyDescent="0.25">
      <c r="A30" s="500"/>
      <c r="B30" s="501"/>
      <c r="C30" s="502"/>
      <c r="D30" s="488"/>
      <c r="E30" s="488"/>
      <c r="F30" s="488"/>
      <c r="G30" s="503"/>
      <c r="H30" s="499">
        <f t="shared" si="5"/>
        <v>-1245</v>
      </c>
      <c r="I30" s="488">
        <f t="shared" si="6"/>
        <v>0</v>
      </c>
      <c r="J30" s="489">
        <f t="shared" si="0"/>
        <v>0</v>
      </c>
      <c r="K30" s="160"/>
      <c r="L30" s="160"/>
    </row>
    <row r="31" spans="1:13" ht="17.25" customHeight="1" x14ac:dyDescent="0.25">
      <c r="A31" s="500"/>
      <c r="B31" s="501"/>
      <c r="C31" s="502"/>
      <c r="D31" s="488"/>
      <c r="E31" s="488"/>
      <c r="F31" s="488"/>
      <c r="G31" s="503"/>
      <c r="H31" s="499">
        <f t="shared" si="5"/>
        <v>-1245</v>
      </c>
      <c r="I31" s="488">
        <f t="shared" si="6"/>
        <v>0</v>
      </c>
      <c r="J31" s="489">
        <f t="shared" si="0"/>
        <v>0</v>
      </c>
      <c r="K31" s="160"/>
      <c r="L31" s="160"/>
    </row>
    <row r="32" spans="1:13" ht="17.25" customHeight="1" x14ac:dyDescent="0.25">
      <c r="A32" s="500"/>
      <c r="B32" s="501"/>
      <c r="C32" s="502"/>
      <c r="D32" s="504"/>
      <c r="E32" s="488"/>
      <c r="F32" s="488"/>
      <c r="G32" s="503"/>
      <c r="H32" s="499">
        <f t="shared" si="5"/>
        <v>-1245</v>
      </c>
      <c r="I32" s="488">
        <f t="shared" si="6"/>
        <v>0</v>
      </c>
      <c r="J32" s="489">
        <f t="shared" si="0"/>
        <v>0</v>
      </c>
      <c r="K32" s="160"/>
      <c r="L32" s="160"/>
    </row>
    <row r="33" spans="1:12" ht="17.25" customHeight="1" x14ac:dyDescent="0.25">
      <c r="A33" s="500"/>
      <c r="B33" s="505"/>
      <c r="C33" s="502"/>
      <c r="D33" s="488"/>
      <c r="E33" s="488"/>
      <c r="F33" s="488"/>
      <c r="G33" s="503"/>
      <c r="H33" s="499">
        <f t="shared" si="5"/>
        <v>-1245</v>
      </c>
      <c r="I33" s="488">
        <f t="shared" si="6"/>
        <v>0</v>
      </c>
      <c r="J33" s="489">
        <f t="shared" si="0"/>
        <v>0</v>
      </c>
      <c r="K33" s="160"/>
      <c r="L33" s="160"/>
    </row>
    <row r="34" spans="1:12" ht="17.25" customHeight="1" x14ac:dyDescent="0.25">
      <c r="A34" s="500"/>
      <c r="B34" s="505"/>
      <c r="C34" s="502"/>
      <c r="D34" s="488"/>
      <c r="E34" s="488"/>
      <c r="F34" s="488"/>
      <c r="G34" s="503"/>
      <c r="H34" s="499">
        <f t="shared" si="5"/>
        <v>-1245</v>
      </c>
      <c r="I34" s="488">
        <f t="shared" si="6"/>
        <v>0</v>
      </c>
      <c r="J34" s="489">
        <f t="shared" si="0"/>
        <v>0</v>
      </c>
      <c r="K34" s="160"/>
      <c r="L34" s="160"/>
    </row>
    <row r="35" spans="1:12" ht="17.25" customHeight="1" x14ac:dyDescent="0.25">
      <c r="A35" s="500"/>
      <c r="B35" s="505"/>
      <c r="C35" s="502"/>
      <c r="D35" s="488"/>
      <c r="E35" s="488"/>
      <c r="F35" s="488"/>
      <c r="G35" s="503"/>
      <c r="H35" s="499">
        <f t="shared" si="5"/>
        <v>-1245</v>
      </c>
      <c r="I35" s="488">
        <f t="shared" si="6"/>
        <v>0</v>
      </c>
      <c r="J35" s="489">
        <f t="shared" si="0"/>
        <v>0</v>
      </c>
      <c r="K35" s="160"/>
      <c r="L35" s="160"/>
    </row>
    <row r="36" spans="1:12" ht="17.25" customHeight="1" x14ac:dyDescent="0.25">
      <c r="A36" s="500"/>
      <c r="B36" s="505"/>
      <c r="C36" s="502"/>
      <c r="D36" s="488"/>
      <c r="E36" s="488"/>
      <c r="F36" s="488"/>
      <c r="G36" s="488"/>
      <c r="H36" s="487">
        <f t="shared" si="5"/>
        <v>-1245</v>
      </c>
      <c r="I36" s="488">
        <f t="shared" si="6"/>
        <v>0</v>
      </c>
      <c r="J36" s="489">
        <f t="shared" si="0"/>
        <v>0</v>
      </c>
      <c r="K36" s="160"/>
      <c r="L36" s="160"/>
    </row>
    <row r="37" spans="1:12" ht="17.25" customHeight="1" x14ac:dyDescent="0.25">
      <c r="A37" s="506"/>
      <c r="B37" s="507"/>
      <c r="C37" s="508"/>
      <c r="D37" s="509"/>
      <c r="E37" s="509"/>
      <c r="F37" s="510">
        <f>SUM(F12:F36)</f>
        <v>0</v>
      </c>
      <c r="G37" s="510">
        <f>SUM(G12:G36)</f>
        <v>750</v>
      </c>
      <c r="H37" s="511">
        <f>+H36</f>
        <v>-1245</v>
      </c>
      <c r="I37" s="510">
        <f>SUM(I12:I36)</f>
        <v>0</v>
      </c>
      <c r="J37" s="510">
        <f>SUM(J11:J36)</f>
        <v>750</v>
      </c>
      <c r="K37" s="160"/>
      <c r="L37" s="160"/>
    </row>
    <row r="38" spans="1:12" ht="13.8" x14ac:dyDescent="0.25">
      <c r="A38" s="414"/>
      <c r="B38" s="190"/>
      <c r="C38" s="157"/>
      <c r="D38" s="191"/>
      <c r="E38" s="191"/>
      <c r="F38" s="157"/>
      <c r="G38" s="157"/>
      <c r="H38" s="192"/>
      <c r="I38" s="157"/>
      <c r="J38" s="193"/>
      <c r="K38" s="160"/>
      <c r="L38" s="160"/>
    </row>
    <row r="39" spans="1:12" ht="13.8" x14ac:dyDescent="0.25">
      <c r="A39" s="414"/>
      <c r="B39" s="190"/>
      <c r="C39" s="157"/>
      <c r="D39" s="191"/>
      <c r="E39" s="191"/>
      <c r="F39" s="157"/>
      <c r="G39" s="157"/>
      <c r="H39" s="192"/>
      <c r="I39" s="157"/>
      <c r="J39" s="193"/>
      <c r="K39" s="160"/>
      <c r="L39" s="160"/>
    </row>
    <row r="40" spans="1:12" ht="13.8" x14ac:dyDescent="0.25">
      <c r="A40" s="414"/>
      <c r="B40" s="190"/>
      <c r="C40" s="157"/>
      <c r="D40" s="191"/>
      <c r="E40" s="191"/>
      <c r="F40" s="157"/>
      <c r="G40" s="157"/>
      <c r="H40" s="192"/>
      <c r="I40" s="157"/>
      <c r="J40" s="193"/>
      <c r="K40" s="160"/>
      <c r="L40" s="160"/>
    </row>
    <row r="41" spans="1:12" ht="30" customHeight="1" x14ac:dyDescent="0.25">
      <c r="A41" s="745"/>
      <c r="B41" s="745"/>
      <c r="C41" s="745"/>
      <c r="D41" s="745"/>
      <c r="E41" s="745"/>
      <c r="F41" s="745"/>
      <c r="G41" s="745"/>
      <c r="H41" s="194"/>
      <c r="I41" s="157"/>
      <c r="J41" s="193"/>
      <c r="K41" s="160"/>
      <c r="L41" s="160"/>
    </row>
    <row r="42" spans="1:12" ht="13.8" x14ac:dyDescent="0.25">
      <c r="A42" s="414"/>
      <c r="B42" s="190"/>
      <c r="C42" s="157"/>
      <c r="D42" s="191"/>
      <c r="E42" s="191"/>
      <c r="F42" s="157"/>
      <c r="G42" s="157"/>
      <c r="H42" s="192"/>
      <c r="I42" s="157"/>
      <c r="J42" s="193"/>
      <c r="K42" s="160"/>
      <c r="L42" s="160"/>
    </row>
    <row r="43" spans="1:12" ht="13.8" x14ac:dyDescent="0.25">
      <c r="A43" s="414"/>
      <c r="B43" s="190"/>
      <c r="C43" s="157"/>
      <c r="D43" s="191"/>
      <c r="E43" s="191"/>
      <c r="F43" s="157"/>
      <c r="G43" s="157"/>
      <c r="H43" s="192"/>
      <c r="I43" s="157"/>
      <c r="J43" s="193"/>
      <c r="K43" s="160"/>
      <c r="L43" s="160"/>
    </row>
    <row r="44" spans="1:12" ht="13.8" x14ac:dyDescent="0.25">
      <c r="A44" s="414"/>
      <c r="B44" s="190"/>
      <c r="C44" s="157"/>
      <c r="D44" s="191"/>
      <c r="E44" s="191"/>
      <c r="F44" s="157"/>
      <c r="G44" s="157"/>
      <c r="H44" s="192"/>
      <c r="I44" s="157"/>
      <c r="J44" s="193"/>
      <c r="K44" s="160"/>
      <c r="L44" s="160"/>
    </row>
    <row r="45" spans="1:12" ht="13.8" x14ac:dyDescent="0.25">
      <c r="A45" s="414"/>
      <c r="B45" s="190"/>
      <c r="C45" s="157"/>
      <c r="D45" s="191"/>
      <c r="E45" s="191"/>
      <c r="F45" s="157"/>
      <c r="G45" s="157"/>
      <c r="H45" s="192"/>
      <c r="I45" s="157"/>
      <c r="J45" s="193"/>
      <c r="K45" s="160"/>
      <c r="L45" s="160"/>
    </row>
    <row r="46" spans="1:12" ht="13.8" x14ac:dyDescent="0.25">
      <c r="A46" s="415"/>
      <c r="B46" s="195"/>
      <c r="C46" s="196"/>
      <c r="D46" s="197"/>
      <c r="E46" s="197"/>
      <c r="F46" s="196"/>
      <c r="G46" s="196"/>
      <c r="H46" s="198"/>
      <c r="I46" s="157"/>
      <c r="J46" s="193"/>
      <c r="K46" s="160"/>
      <c r="L46" s="160"/>
    </row>
    <row r="47" spans="1:12" ht="13.8" x14ac:dyDescent="0.25">
      <c r="A47" s="414"/>
      <c r="B47" s="190"/>
      <c r="C47" s="157"/>
      <c r="D47" s="191"/>
      <c r="E47" s="191"/>
      <c r="F47" s="199"/>
      <c r="G47" s="199"/>
      <c r="H47" s="200"/>
      <c r="I47" s="160"/>
      <c r="J47" s="193"/>
      <c r="K47" s="160"/>
      <c r="L47" s="160"/>
    </row>
    <row r="48" spans="1:12" ht="13.8" x14ac:dyDescent="0.25">
      <c r="A48" s="414"/>
      <c r="B48" s="190"/>
      <c r="C48" s="157"/>
      <c r="D48" s="191"/>
      <c r="E48" s="191"/>
      <c r="F48" s="199"/>
      <c r="G48" s="199"/>
      <c r="H48" s="200"/>
      <c r="I48" s="160"/>
      <c r="J48" s="193"/>
      <c r="K48" s="160"/>
      <c r="L48" s="160"/>
    </row>
    <row r="49" spans="1:12" ht="13.8" x14ac:dyDescent="0.25">
      <c r="A49" s="414"/>
      <c r="B49" s="190"/>
      <c r="C49" s="157"/>
      <c r="D49" s="191"/>
      <c r="E49" s="191"/>
      <c r="F49" s="199"/>
      <c r="G49" s="199"/>
      <c r="H49" s="200"/>
      <c r="I49" s="160"/>
      <c r="J49" s="193"/>
      <c r="K49" s="160"/>
      <c r="L49" s="160"/>
    </row>
    <row r="50" spans="1:12" ht="13.8" x14ac:dyDescent="0.25">
      <c r="A50" s="414"/>
      <c r="B50" s="190"/>
      <c r="C50" s="157"/>
      <c r="D50" s="191"/>
      <c r="E50" s="191"/>
      <c r="F50" s="199"/>
      <c r="G50" s="199"/>
      <c r="H50" s="200"/>
      <c r="I50" s="160"/>
      <c r="J50" s="193"/>
      <c r="K50" s="160"/>
      <c r="L50" s="160"/>
    </row>
    <row r="51" spans="1:12" ht="13.8" x14ac:dyDescent="0.25">
      <c r="A51" s="414"/>
      <c r="B51" s="190"/>
      <c r="C51" s="157"/>
      <c r="D51" s="191"/>
      <c r="E51" s="191"/>
      <c r="F51" s="199"/>
      <c r="G51" s="199"/>
      <c r="H51" s="200"/>
      <c r="I51" s="160"/>
      <c r="J51" s="193"/>
      <c r="K51" s="160"/>
      <c r="L51" s="160"/>
    </row>
    <row r="52" spans="1:12" ht="13.8" x14ac:dyDescent="0.25">
      <c r="A52" s="414"/>
      <c r="B52" s="190"/>
      <c r="C52" s="157"/>
      <c r="D52" s="191"/>
      <c r="E52" s="191"/>
      <c r="F52" s="199"/>
      <c r="G52" s="199"/>
      <c r="H52" s="200"/>
      <c r="I52" s="160"/>
      <c r="J52" s="193"/>
      <c r="K52" s="160"/>
      <c r="L52" s="160"/>
    </row>
    <row r="53" spans="1:12" ht="13.8" x14ac:dyDescent="0.25">
      <c r="A53" s="414"/>
      <c r="B53" s="190"/>
      <c r="C53" s="157"/>
      <c r="D53" s="191"/>
      <c r="E53" s="191"/>
      <c r="F53" s="199"/>
      <c r="G53" s="199"/>
      <c r="H53" s="200"/>
      <c r="I53" s="160"/>
      <c r="J53" s="193"/>
      <c r="K53" s="160"/>
      <c r="L53" s="160"/>
    </row>
    <row r="54" spans="1:12" ht="13.8" x14ac:dyDescent="0.25">
      <c r="A54" s="414"/>
      <c r="B54" s="190"/>
      <c r="C54" s="157"/>
      <c r="D54" s="191"/>
      <c r="E54" s="191"/>
      <c r="F54" s="199"/>
      <c r="G54" s="199"/>
      <c r="H54" s="200"/>
      <c r="I54" s="160"/>
      <c r="J54" s="193"/>
      <c r="K54" s="160"/>
      <c r="L54" s="160"/>
    </row>
    <row r="55" spans="1:12" ht="13.8" x14ac:dyDescent="0.25">
      <c r="A55" s="414"/>
      <c r="B55" s="190"/>
      <c r="C55" s="157"/>
      <c r="D55" s="191"/>
      <c r="E55" s="191"/>
      <c r="F55" s="199"/>
      <c r="G55" s="199"/>
      <c r="H55" s="200"/>
      <c r="I55" s="160"/>
      <c r="J55" s="193"/>
      <c r="K55" s="160"/>
      <c r="L55" s="160"/>
    </row>
    <row r="56" spans="1:12" ht="13.8" x14ac:dyDescent="0.25">
      <c r="A56" s="414"/>
      <c r="B56" s="190"/>
      <c r="C56" s="157"/>
      <c r="D56" s="191"/>
      <c r="E56" s="191"/>
      <c r="F56" s="199"/>
      <c r="G56" s="199"/>
      <c r="H56" s="200"/>
      <c r="I56" s="160"/>
      <c r="J56" s="193"/>
      <c r="K56" s="160"/>
      <c r="L56" s="160"/>
    </row>
    <row r="57" spans="1:12" ht="13.8" x14ac:dyDescent="0.25">
      <c r="A57" s="414"/>
      <c r="B57" s="190"/>
      <c r="C57" s="157"/>
      <c r="D57" s="191"/>
      <c r="E57" s="191"/>
      <c r="F57" s="199"/>
      <c r="G57" s="199"/>
      <c r="H57" s="200"/>
      <c r="I57" s="160"/>
      <c r="J57" s="193"/>
      <c r="K57" s="160"/>
      <c r="L57" s="160"/>
    </row>
    <row r="58" spans="1:12" ht="13.8" x14ac:dyDescent="0.25">
      <c r="A58" s="414"/>
      <c r="B58" s="190"/>
      <c r="C58" s="157"/>
      <c r="D58" s="191"/>
      <c r="E58" s="191"/>
      <c r="F58" s="199"/>
      <c r="G58" s="199"/>
      <c r="H58" s="200"/>
      <c r="I58" s="160"/>
      <c r="J58" s="193"/>
      <c r="K58" s="160"/>
      <c r="L58" s="160"/>
    </row>
    <row r="59" spans="1:12" ht="13.8" x14ac:dyDescent="0.25">
      <c r="A59" s="414"/>
      <c r="B59" s="190"/>
      <c r="C59" s="157"/>
      <c r="D59" s="191"/>
      <c r="E59" s="191"/>
      <c r="F59" s="199"/>
      <c r="G59" s="199"/>
      <c r="H59" s="200"/>
      <c r="I59" s="160"/>
      <c r="J59" s="193"/>
      <c r="K59" s="160"/>
      <c r="L59" s="160"/>
    </row>
    <row r="60" spans="1:12" ht="13.8" x14ac:dyDescent="0.25">
      <c r="A60" s="414"/>
      <c r="B60" s="190"/>
      <c r="C60" s="157"/>
      <c r="D60" s="191"/>
      <c r="E60" s="191"/>
      <c r="F60" s="199"/>
      <c r="G60" s="199"/>
      <c r="H60" s="200"/>
      <c r="I60" s="160"/>
      <c r="J60" s="193"/>
      <c r="K60" s="160"/>
      <c r="L60" s="160"/>
    </row>
    <row r="61" spans="1:12" ht="13.8" x14ac:dyDescent="0.25">
      <c r="A61" s="414"/>
      <c r="B61" s="190"/>
      <c r="C61" s="157"/>
      <c r="D61" s="191"/>
      <c r="E61" s="191"/>
      <c r="F61" s="199"/>
      <c r="G61" s="199"/>
      <c r="H61" s="200"/>
      <c r="I61" s="160"/>
      <c r="J61" s="193"/>
      <c r="K61" s="160"/>
      <c r="L61" s="160"/>
    </row>
    <row r="62" spans="1:12" ht="13.8" x14ac:dyDescent="0.25">
      <c r="A62" s="414"/>
      <c r="B62" s="190"/>
      <c r="C62" s="157"/>
      <c r="D62" s="191"/>
      <c r="E62" s="191"/>
      <c r="F62" s="199"/>
      <c r="G62" s="199"/>
      <c r="H62" s="200"/>
      <c r="I62" s="160"/>
      <c r="J62" s="193"/>
      <c r="K62" s="160"/>
      <c r="L62" s="160"/>
    </row>
    <row r="63" spans="1:12" ht="13.8" x14ac:dyDescent="0.25">
      <c r="A63" s="414"/>
      <c r="B63" s="190"/>
      <c r="C63" s="157"/>
      <c r="D63" s="191"/>
      <c r="E63" s="191"/>
      <c r="F63" s="199"/>
      <c r="G63" s="199"/>
      <c r="H63" s="200"/>
      <c r="I63" s="160"/>
      <c r="J63" s="193"/>
      <c r="K63" s="160"/>
      <c r="L63" s="160"/>
    </row>
    <row r="64" spans="1:12" ht="13.8" x14ac:dyDescent="0.25">
      <c r="A64" s="414"/>
      <c r="B64" s="190"/>
      <c r="C64" s="157"/>
      <c r="D64" s="191"/>
      <c r="E64" s="191"/>
      <c r="F64" s="199"/>
      <c r="G64" s="199"/>
      <c r="H64" s="200"/>
      <c r="I64" s="160"/>
      <c r="J64" s="193"/>
      <c r="K64" s="160"/>
      <c r="L64" s="160"/>
    </row>
    <row r="65" spans="1:12" ht="13.8" x14ac:dyDescent="0.25">
      <c r="A65" s="414"/>
      <c r="B65" s="190"/>
      <c r="C65" s="157"/>
      <c r="D65" s="191"/>
      <c r="E65" s="191"/>
      <c r="F65" s="199"/>
      <c r="G65" s="199"/>
      <c r="H65" s="200"/>
      <c r="I65" s="160"/>
      <c r="J65" s="193"/>
      <c r="K65" s="160"/>
      <c r="L65" s="160"/>
    </row>
    <row r="66" spans="1:12" ht="13.8" x14ac:dyDescent="0.25">
      <c r="A66" s="414"/>
      <c r="B66" s="190"/>
      <c r="C66" s="157"/>
      <c r="D66" s="191"/>
      <c r="E66" s="191"/>
      <c r="F66" s="199"/>
      <c r="G66" s="199"/>
      <c r="H66" s="200"/>
      <c r="I66" s="160"/>
      <c r="J66" s="193"/>
      <c r="K66" s="160"/>
      <c r="L66" s="160"/>
    </row>
    <row r="67" spans="1:12" ht="13.8" x14ac:dyDescent="0.25">
      <c r="A67" s="414"/>
      <c r="B67" s="190"/>
      <c r="C67" s="157"/>
      <c r="D67" s="191"/>
      <c r="E67" s="191"/>
      <c r="F67" s="199"/>
      <c r="G67" s="199"/>
      <c r="H67" s="200"/>
      <c r="I67" s="160"/>
      <c r="J67" s="193"/>
      <c r="K67" s="160"/>
      <c r="L67" s="160"/>
    </row>
    <row r="68" spans="1:12" ht="13.8" x14ac:dyDescent="0.25">
      <c r="A68" s="414"/>
      <c r="B68" s="190"/>
      <c r="C68" s="157"/>
      <c r="D68" s="191"/>
      <c r="E68" s="191"/>
      <c r="F68" s="199"/>
      <c r="G68" s="199"/>
      <c r="H68" s="200"/>
      <c r="I68" s="160"/>
      <c r="J68" s="193"/>
      <c r="K68" s="160"/>
      <c r="L68" s="160"/>
    </row>
    <row r="69" spans="1:12" ht="13.8" x14ac:dyDescent="0.25">
      <c r="A69" s="414"/>
      <c r="B69" s="190"/>
      <c r="C69" s="157"/>
      <c r="D69" s="191"/>
      <c r="E69" s="191"/>
      <c r="F69" s="199"/>
      <c r="G69" s="199"/>
      <c r="H69" s="200"/>
      <c r="I69" s="160"/>
      <c r="J69" s="193"/>
      <c r="K69" s="160"/>
      <c r="L69" s="160"/>
    </row>
    <row r="70" spans="1:12" ht="13.8" x14ac:dyDescent="0.25">
      <c r="A70" s="414"/>
      <c r="B70" s="190"/>
      <c r="C70" s="157"/>
      <c r="D70" s="191"/>
      <c r="E70" s="191"/>
      <c r="F70" s="199"/>
      <c r="G70" s="199"/>
      <c r="H70" s="200"/>
      <c r="I70" s="160"/>
      <c r="J70" s="193"/>
      <c r="K70" s="160"/>
      <c r="L70" s="160"/>
    </row>
    <row r="71" spans="1:12" ht="13.8" x14ac:dyDescent="0.25">
      <c r="A71" s="414"/>
      <c r="B71" s="190"/>
      <c r="C71" s="157"/>
      <c r="D71" s="191"/>
      <c r="E71" s="191"/>
      <c r="F71" s="199"/>
      <c r="G71" s="199"/>
      <c r="H71" s="200"/>
      <c r="I71" s="160"/>
      <c r="J71" s="193"/>
      <c r="K71" s="160"/>
      <c r="L71" s="160"/>
    </row>
    <row r="72" spans="1:12" ht="13.8" x14ac:dyDescent="0.25">
      <c r="A72" s="414"/>
      <c r="B72" s="190"/>
      <c r="C72" s="157"/>
      <c r="D72" s="191"/>
      <c r="E72" s="191"/>
      <c r="F72" s="199"/>
      <c r="G72" s="199"/>
      <c r="H72" s="200"/>
      <c r="I72" s="160"/>
      <c r="J72" s="193"/>
      <c r="K72" s="160"/>
      <c r="L72" s="160"/>
    </row>
    <row r="73" spans="1:12" ht="13.8" x14ac:dyDescent="0.25">
      <c r="A73" s="414"/>
      <c r="B73" s="190"/>
      <c r="C73" s="157"/>
      <c r="D73" s="191"/>
      <c r="E73" s="191"/>
      <c r="F73" s="199"/>
      <c r="G73" s="199"/>
      <c r="H73" s="200"/>
      <c r="I73" s="160"/>
      <c r="J73" s="193"/>
      <c r="K73" s="160"/>
      <c r="L73" s="160"/>
    </row>
    <row r="74" spans="1:12" ht="13.8" x14ac:dyDescent="0.25">
      <c r="A74" s="414"/>
      <c r="B74" s="190"/>
      <c r="C74" s="157"/>
      <c r="D74" s="191"/>
      <c r="E74" s="191"/>
      <c r="F74" s="199"/>
      <c r="G74" s="199"/>
      <c r="H74" s="200"/>
      <c r="I74" s="160"/>
      <c r="J74" s="193"/>
      <c r="K74" s="160"/>
      <c r="L74" s="160"/>
    </row>
    <row r="75" spans="1:12" ht="13.8" x14ac:dyDescent="0.25">
      <c r="A75" s="414"/>
      <c r="B75" s="190"/>
      <c r="C75" s="157"/>
      <c r="D75" s="191"/>
      <c r="E75" s="191"/>
      <c r="F75" s="199"/>
      <c r="G75" s="199"/>
      <c r="H75" s="200"/>
      <c r="I75" s="160"/>
      <c r="J75" s="193"/>
      <c r="K75" s="160"/>
      <c r="L75" s="160"/>
    </row>
    <row r="76" spans="1:12" ht="13.8" x14ac:dyDescent="0.25">
      <c r="A76" s="414"/>
      <c r="B76" s="190"/>
      <c r="C76" s="157"/>
      <c r="D76" s="191"/>
      <c r="E76" s="191"/>
      <c r="F76" s="199"/>
      <c r="G76" s="199"/>
      <c r="H76" s="200"/>
      <c r="I76" s="160"/>
      <c r="J76" s="193"/>
      <c r="K76" s="160"/>
      <c r="L76" s="160"/>
    </row>
    <row r="77" spans="1:12" ht="13.8" x14ac:dyDescent="0.25">
      <c r="A77" s="414"/>
      <c r="B77" s="190"/>
      <c r="C77" s="157"/>
      <c r="D77" s="191"/>
      <c r="E77" s="191"/>
      <c r="F77" s="199"/>
      <c r="G77" s="199"/>
      <c r="H77" s="200"/>
      <c r="I77" s="160"/>
      <c r="J77" s="193"/>
      <c r="K77" s="160"/>
      <c r="L77" s="160"/>
    </row>
    <row r="78" spans="1:12" ht="13.8" x14ac:dyDescent="0.25">
      <c r="A78" s="414"/>
      <c r="B78" s="190"/>
      <c r="C78" s="157"/>
      <c r="D78" s="191"/>
      <c r="E78" s="191"/>
      <c r="F78" s="199"/>
      <c r="G78" s="199"/>
      <c r="H78" s="200"/>
      <c r="I78" s="160"/>
      <c r="J78" s="193"/>
      <c r="K78" s="160"/>
      <c r="L78" s="160"/>
    </row>
    <row r="79" spans="1:12" ht="13.8" x14ac:dyDescent="0.25">
      <c r="A79" s="414"/>
      <c r="B79" s="190"/>
      <c r="C79" s="157"/>
      <c r="D79" s="191"/>
      <c r="E79" s="191"/>
      <c r="F79" s="199"/>
      <c r="G79" s="199"/>
      <c r="H79" s="200"/>
      <c r="I79" s="160"/>
      <c r="J79" s="193"/>
      <c r="K79" s="160"/>
      <c r="L79" s="160"/>
    </row>
    <row r="80" spans="1:12" ht="13.8" x14ac:dyDescent="0.25">
      <c r="A80" s="414"/>
      <c r="B80" s="190"/>
      <c r="C80" s="157"/>
      <c r="D80" s="191"/>
      <c r="E80" s="191"/>
      <c r="F80" s="199"/>
      <c r="G80" s="199"/>
      <c r="H80" s="200"/>
      <c r="I80" s="160"/>
      <c r="J80" s="193"/>
      <c r="K80" s="160"/>
      <c r="L80" s="160"/>
    </row>
    <row r="81" spans="1:12" ht="13.8" x14ac:dyDescent="0.25">
      <c r="A81" s="414"/>
      <c r="B81" s="190"/>
      <c r="C81" s="157"/>
      <c r="D81" s="191"/>
      <c r="E81" s="191"/>
      <c r="F81" s="199"/>
      <c r="G81" s="199"/>
      <c r="H81" s="200"/>
      <c r="I81" s="160"/>
      <c r="J81" s="193"/>
      <c r="K81" s="160"/>
      <c r="L81" s="160"/>
    </row>
    <row r="82" spans="1:12" ht="13.8" x14ac:dyDescent="0.25">
      <c r="A82" s="414"/>
      <c r="B82" s="190"/>
      <c r="C82" s="157"/>
      <c r="D82" s="191"/>
      <c r="E82" s="191"/>
      <c r="F82" s="199"/>
      <c r="G82" s="199"/>
      <c r="H82" s="200"/>
      <c r="I82" s="160"/>
      <c r="J82" s="193"/>
      <c r="K82" s="160"/>
      <c r="L82" s="160"/>
    </row>
    <row r="83" spans="1:12" ht="13.8" x14ac:dyDescent="0.25">
      <c r="A83" s="414"/>
      <c r="B83" s="190"/>
      <c r="C83" s="157"/>
      <c r="D83" s="191"/>
      <c r="E83" s="191"/>
      <c r="F83" s="199"/>
      <c r="G83" s="199"/>
      <c r="H83" s="200"/>
      <c r="I83" s="160"/>
      <c r="J83" s="193"/>
      <c r="K83" s="160"/>
      <c r="L83" s="160"/>
    </row>
    <row r="84" spans="1:12" ht="13.8" x14ac:dyDescent="0.25">
      <c r="A84" s="414"/>
      <c r="B84" s="190"/>
      <c r="C84" s="157"/>
      <c r="D84" s="191"/>
      <c r="E84" s="191"/>
      <c r="F84" s="199"/>
      <c r="G84" s="199"/>
      <c r="H84" s="200"/>
      <c r="I84" s="160"/>
      <c r="J84" s="193"/>
      <c r="K84" s="160"/>
      <c r="L84" s="160"/>
    </row>
    <row r="85" spans="1:12" ht="13.8" x14ac:dyDescent="0.25">
      <c r="A85" s="414"/>
      <c r="B85" s="190"/>
      <c r="C85" s="157"/>
      <c r="D85" s="191"/>
      <c r="E85" s="191"/>
      <c r="F85" s="199"/>
      <c r="G85" s="199"/>
      <c r="H85" s="200"/>
      <c r="I85" s="160"/>
      <c r="J85" s="193"/>
      <c r="K85" s="160"/>
      <c r="L85" s="160"/>
    </row>
    <row r="86" spans="1:12" ht="13.8" x14ac:dyDescent="0.25">
      <c r="A86" s="414"/>
      <c r="B86" s="190"/>
      <c r="C86" s="157"/>
      <c r="D86" s="191"/>
      <c r="E86" s="191"/>
      <c r="F86" s="199"/>
      <c r="G86" s="199"/>
      <c r="H86" s="200"/>
      <c r="I86" s="160"/>
      <c r="J86" s="193"/>
      <c r="K86" s="160"/>
      <c r="L86" s="160"/>
    </row>
    <row r="87" spans="1:12" ht="13.8" x14ac:dyDescent="0.25">
      <c r="A87" s="414"/>
      <c r="B87" s="190"/>
      <c r="C87" s="157"/>
      <c r="D87" s="191"/>
      <c r="E87" s="191"/>
      <c r="F87" s="199"/>
      <c r="G87" s="199"/>
      <c r="H87" s="200"/>
      <c r="I87" s="160"/>
      <c r="J87" s="193"/>
      <c r="K87" s="160"/>
      <c r="L87" s="160"/>
    </row>
    <row r="88" spans="1:12" ht="13.8" x14ac:dyDescent="0.25">
      <c r="A88" s="414"/>
      <c r="B88" s="190"/>
      <c r="C88" s="157"/>
      <c r="D88" s="191"/>
      <c r="E88" s="191"/>
      <c r="F88" s="199"/>
      <c r="G88" s="199"/>
      <c r="H88" s="200"/>
      <c r="I88" s="160"/>
      <c r="J88" s="193"/>
      <c r="K88" s="160"/>
      <c r="L88" s="160"/>
    </row>
    <row r="89" spans="1:12" ht="13.8" x14ac:dyDescent="0.25">
      <c r="A89" s="414"/>
      <c r="B89" s="190"/>
      <c r="C89" s="157"/>
      <c r="D89" s="191"/>
      <c r="E89" s="191"/>
      <c r="F89" s="199"/>
      <c r="G89" s="199"/>
      <c r="H89" s="200"/>
      <c r="I89" s="160"/>
      <c r="J89" s="193"/>
      <c r="K89" s="160"/>
      <c r="L89" s="160"/>
    </row>
    <row r="90" spans="1:12" ht="13.8" x14ac:dyDescent="0.25">
      <c r="A90" s="414"/>
      <c r="B90" s="190"/>
      <c r="C90" s="157"/>
      <c r="D90" s="191"/>
      <c r="E90" s="191"/>
      <c r="F90" s="199"/>
      <c r="G90" s="199"/>
      <c r="H90" s="200"/>
      <c r="I90" s="160"/>
      <c r="J90" s="193"/>
      <c r="K90" s="160"/>
      <c r="L90" s="160"/>
    </row>
    <row r="91" spans="1:12" x14ac:dyDescent="0.25">
      <c r="C91" s="36"/>
      <c r="D91" s="201"/>
      <c r="E91" s="201"/>
    </row>
    <row r="92" spans="1:12" x14ac:dyDescent="0.25">
      <c r="C92" s="36"/>
      <c r="D92" s="201"/>
      <c r="E92" s="201"/>
    </row>
    <row r="93" spans="1:12" x14ac:dyDescent="0.25">
      <c r="C93" s="36"/>
      <c r="D93" s="201"/>
      <c r="E93" s="201"/>
    </row>
    <row r="94" spans="1:12" x14ac:dyDescent="0.25">
      <c r="C94" s="36"/>
      <c r="D94" s="201"/>
      <c r="E94" s="201"/>
    </row>
    <row r="95" spans="1:12" x14ac:dyDescent="0.25">
      <c r="C95" s="36"/>
      <c r="D95" s="201"/>
      <c r="E95" s="201"/>
    </row>
    <row r="96" spans="1:12" x14ac:dyDescent="0.25">
      <c r="C96" s="36"/>
      <c r="D96" s="201"/>
      <c r="E96" s="201"/>
    </row>
    <row r="100" spans="1:8" ht="24.6" x14ac:dyDescent="0.25">
      <c r="A100" s="730"/>
      <c r="B100" s="730"/>
      <c r="C100" s="730"/>
      <c r="D100" s="730"/>
      <c r="E100" s="730"/>
      <c r="F100" s="730"/>
      <c r="G100" s="730"/>
      <c r="H100" s="168"/>
    </row>
    <row r="101" spans="1:8" x14ac:dyDescent="0.25">
      <c r="F101" s="169"/>
      <c r="G101" s="169"/>
      <c r="H101" s="170"/>
    </row>
    <row r="102" spans="1:8" x14ac:dyDescent="0.25">
      <c r="A102" s="410"/>
      <c r="B102" s="17"/>
      <c r="F102" s="171"/>
      <c r="G102" s="171"/>
      <c r="H102" s="170"/>
    </row>
    <row r="104" spans="1:8" ht="3" customHeight="1" x14ac:dyDescent="0.25"/>
    <row r="106" spans="1:8" ht="3" customHeight="1" x14ac:dyDescent="0.25"/>
    <row r="107" spans="1:8" ht="13.5" customHeight="1" x14ac:dyDescent="0.25">
      <c r="A107" s="411"/>
      <c r="B107" s="2"/>
      <c r="C107" s="174"/>
      <c r="D107" s="174"/>
      <c r="E107" s="174"/>
      <c r="F107" s="175"/>
    </row>
    <row r="108" spans="1:8" ht="3" customHeight="1" x14ac:dyDescent="0.25"/>
    <row r="110" spans="1:8" ht="3" customHeight="1" x14ac:dyDescent="0.25"/>
    <row r="111" spans="1:8" x14ac:dyDescent="0.25">
      <c r="G111" s="169"/>
      <c r="H111" s="170"/>
    </row>
    <row r="112" spans="1:8" ht="3" customHeight="1" x14ac:dyDescent="0.25"/>
    <row r="117" spans="1:8" x14ac:dyDescent="0.25">
      <c r="A117" s="410"/>
      <c r="B117" s="17"/>
      <c r="C117" s="17"/>
      <c r="D117" s="202"/>
      <c r="E117" s="202"/>
      <c r="F117" s="171"/>
      <c r="G117" s="171"/>
      <c r="H117" s="170"/>
    </row>
    <row r="118" spans="1:8" x14ac:dyDescent="0.25">
      <c r="C118" s="36"/>
      <c r="D118" s="201"/>
      <c r="E118" s="201"/>
    </row>
    <row r="119" spans="1:8" x14ac:dyDescent="0.25">
      <c r="C119" s="36"/>
      <c r="D119" s="201"/>
      <c r="E119" s="201"/>
    </row>
    <row r="120" spans="1:8" x14ac:dyDescent="0.25">
      <c r="C120" s="36"/>
      <c r="D120" s="201"/>
      <c r="E120" s="201"/>
    </row>
    <row r="121" spans="1:8" x14ac:dyDescent="0.25">
      <c r="C121" s="36"/>
      <c r="D121" s="201"/>
      <c r="E121" s="201"/>
    </row>
    <row r="122" spans="1:8" x14ac:dyDescent="0.25">
      <c r="C122" s="36"/>
      <c r="D122" s="201"/>
      <c r="E122" s="201"/>
    </row>
    <row r="123" spans="1:8" x14ac:dyDescent="0.25">
      <c r="C123" s="36"/>
      <c r="D123" s="201"/>
      <c r="E123" s="201"/>
    </row>
    <row r="124" spans="1:8" x14ac:dyDescent="0.25">
      <c r="C124" s="36"/>
      <c r="D124" s="201"/>
      <c r="E124" s="201"/>
    </row>
    <row r="125" spans="1:8" x14ac:dyDescent="0.25">
      <c r="C125" s="36"/>
      <c r="D125" s="201"/>
      <c r="E125" s="201"/>
    </row>
    <row r="126" spans="1:8" x14ac:dyDescent="0.25">
      <c r="C126" s="36"/>
      <c r="D126" s="201"/>
      <c r="E126" s="201"/>
    </row>
    <row r="127" spans="1:8" x14ac:dyDescent="0.25">
      <c r="C127" s="36"/>
      <c r="D127" s="201"/>
      <c r="E127" s="201"/>
    </row>
    <row r="128" spans="1:8" x14ac:dyDescent="0.25">
      <c r="C128" s="36"/>
      <c r="D128" s="201"/>
      <c r="E128" s="201"/>
    </row>
    <row r="129" spans="3:6" x14ac:dyDescent="0.25">
      <c r="C129" s="36"/>
      <c r="D129" s="201"/>
      <c r="E129" s="201"/>
    </row>
    <row r="130" spans="3:6" x14ac:dyDescent="0.25">
      <c r="C130" s="36"/>
      <c r="D130" s="201"/>
      <c r="E130" s="201"/>
    </row>
    <row r="131" spans="3:6" x14ac:dyDescent="0.25">
      <c r="C131" s="36"/>
      <c r="D131" s="201"/>
      <c r="E131" s="201"/>
    </row>
    <row r="132" spans="3:6" x14ac:dyDescent="0.25">
      <c r="C132" s="36"/>
      <c r="D132" s="201"/>
      <c r="E132" s="201"/>
    </row>
    <row r="133" spans="3:6" x14ac:dyDescent="0.25">
      <c r="C133" s="36"/>
      <c r="D133" s="201"/>
      <c r="E133" s="201"/>
    </row>
    <row r="134" spans="3:6" x14ac:dyDescent="0.25">
      <c r="C134" s="36"/>
      <c r="D134" s="201"/>
      <c r="E134" s="201"/>
    </row>
    <row r="135" spans="3:6" x14ac:dyDescent="0.25">
      <c r="C135" s="36"/>
      <c r="D135" s="201"/>
      <c r="E135" s="201"/>
    </row>
    <row r="136" spans="3:6" x14ac:dyDescent="0.25">
      <c r="C136" s="36"/>
      <c r="D136" s="201"/>
      <c r="E136" s="201"/>
      <c r="F136" s="36"/>
    </row>
    <row r="137" spans="3:6" x14ac:dyDescent="0.25">
      <c r="C137" s="36"/>
      <c r="D137" s="201"/>
      <c r="E137" s="201"/>
    </row>
    <row r="138" spans="3:6" x14ac:dyDescent="0.25">
      <c r="C138" s="36"/>
      <c r="D138" s="201"/>
      <c r="E138" s="201"/>
    </row>
    <row r="139" spans="3:6" x14ac:dyDescent="0.25">
      <c r="C139" s="36"/>
      <c r="D139" s="201"/>
      <c r="E139" s="201"/>
    </row>
    <row r="140" spans="3:6" x14ac:dyDescent="0.25">
      <c r="C140" s="36"/>
      <c r="D140" s="201"/>
      <c r="E140" s="201"/>
    </row>
    <row r="141" spans="3:6" x14ac:dyDescent="0.25">
      <c r="C141" s="36"/>
      <c r="D141" s="201"/>
      <c r="E141" s="201"/>
    </row>
    <row r="142" spans="3:6" x14ac:dyDescent="0.25">
      <c r="C142" s="36"/>
      <c r="D142" s="201"/>
      <c r="E142" s="201"/>
    </row>
    <row r="143" spans="3:6" x14ac:dyDescent="0.25">
      <c r="C143" s="36"/>
      <c r="D143" s="201"/>
      <c r="E143" s="201"/>
    </row>
    <row r="144" spans="3:6" x14ac:dyDescent="0.25">
      <c r="C144" s="36"/>
      <c r="D144" s="201"/>
      <c r="E144" s="201"/>
    </row>
    <row r="145" spans="3:5" x14ac:dyDescent="0.25">
      <c r="C145" s="36"/>
      <c r="D145" s="201"/>
      <c r="E145" s="201"/>
    </row>
    <row r="146" spans="3:5" x14ac:dyDescent="0.25">
      <c r="C146" s="36"/>
      <c r="D146" s="201"/>
      <c r="E146" s="201"/>
    </row>
    <row r="147" spans="3:5" x14ac:dyDescent="0.25">
      <c r="C147" s="36"/>
      <c r="D147" s="201"/>
      <c r="E147" s="201"/>
    </row>
    <row r="148" spans="3:5" x14ac:dyDescent="0.25">
      <c r="C148" s="36"/>
      <c r="D148" s="201"/>
      <c r="E148" s="201"/>
    </row>
    <row r="149" spans="3:5" x14ac:dyDescent="0.25">
      <c r="C149" s="36"/>
      <c r="D149" s="201"/>
      <c r="E149" s="201"/>
    </row>
    <row r="150" spans="3:5" x14ac:dyDescent="0.25">
      <c r="C150" s="36"/>
      <c r="D150" s="201"/>
      <c r="E150" s="201"/>
    </row>
    <row r="151" spans="3:5" x14ac:dyDescent="0.25">
      <c r="C151" s="36"/>
      <c r="D151" s="201"/>
      <c r="E151" s="201"/>
    </row>
    <row r="152" spans="3:5" x14ac:dyDescent="0.25">
      <c r="C152" s="36"/>
      <c r="D152" s="201"/>
      <c r="E152" s="201"/>
    </row>
    <row r="153" spans="3:5" x14ac:dyDescent="0.25">
      <c r="C153" s="36"/>
      <c r="D153" s="201"/>
      <c r="E153" s="201"/>
    </row>
    <row r="154" spans="3:5" x14ac:dyDescent="0.25">
      <c r="C154" s="36"/>
      <c r="D154" s="201"/>
      <c r="E154" s="201"/>
    </row>
    <row r="155" spans="3:5" x14ac:dyDescent="0.25">
      <c r="C155" s="36"/>
      <c r="D155" s="201"/>
      <c r="E155" s="201"/>
    </row>
    <row r="156" spans="3:5" x14ac:dyDescent="0.25">
      <c r="C156" s="36"/>
      <c r="D156" s="201"/>
      <c r="E156" s="201"/>
    </row>
    <row r="157" spans="3:5" x14ac:dyDescent="0.25">
      <c r="C157" s="36"/>
      <c r="D157" s="201"/>
      <c r="E157" s="201"/>
    </row>
    <row r="158" spans="3:5" x14ac:dyDescent="0.25">
      <c r="C158" s="36"/>
      <c r="D158" s="201"/>
      <c r="E158" s="201"/>
    </row>
    <row r="159" spans="3:5" x14ac:dyDescent="0.25">
      <c r="C159" s="36"/>
      <c r="D159" s="201"/>
      <c r="E159" s="201"/>
    </row>
    <row r="160" spans="3:5" x14ac:dyDescent="0.25">
      <c r="C160" s="36"/>
      <c r="D160" s="201"/>
      <c r="E160" s="201"/>
    </row>
    <row r="161" spans="1:8" x14ac:dyDescent="0.25">
      <c r="C161" s="36"/>
      <c r="D161" s="201"/>
      <c r="E161" s="201"/>
    </row>
    <row r="162" spans="1:8" x14ac:dyDescent="0.25">
      <c r="C162" s="36"/>
      <c r="D162" s="201"/>
      <c r="E162" s="201"/>
    </row>
    <row r="163" spans="1:8" x14ac:dyDescent="0.25">
      <c r="C163" s="36"/>
      <c r="D163" s="201"/>
      <c r="E163" s="201"/>
    </row>
    <row r="164" spans="1:8" x14ac:dyDescent="0.25">
      <c r="C164" s="36"/>
      <c r="D164" s="201"/>
      <c r="E164" s="201"/>
    </row>
    <row r="165" spans="1:8" x14ac:dyDescent="0.25">
      <c r="C165" s="36"/>
      <c r="D165" s="201"/>
      <c r="E165" s="201"/>
    </row>
    <row r="166" spans="1:8" x14ac:dyDescent="0.25">
      <c r="C166" s="36"/>
      <c r="D166" s="201"/>
      <c r="E166" s="201"/>
    </row>
    <row r="171" spans="1:8" ht="24.6" x14ac:dyDescent="0.25">
      <c r="A171" s="730"/>
      <c r="B171" s="730"/>
      <c r="C171" s="730"/>
      <c r="D171" s="730"/>
      <c r="E171" s="730"/>
      <c r="F171" s="730"/>
      <c r="G171" s="730"/>
      <c r="H171" s="168"/>
    </row>
    <row r="172" spans="1:8" x14ac:dyDescent="0.25">
      <c r="F172" s="169"/>
      <c r="G172" s="169"/>
      <c r="H172" s="170"/>
    </row>
    <row r="173" spans="1:8" x14ac:dyDescent="0.25">
      <c r="A173" s="410"/>
      <c r="B173" s="17"/>
      <c r="F173" s="171"/>
      <c r="G173" s="171"/>
      <c r="H173" s="170"/>
    </row>
    <row r="175" spans="1:8" ht="3" customHeight="1" x14ac:dyDescent="0.25"/>
    <row r="177" spans="1:8" ht="3" customHeight="1" x14ac:dyDescent="0.25"/>
    <row r="178" spans="1:8" ht="12.75" customHeight="1" x14ac:dyDescent="0.25">
      <c r="A178" s="411"/>
      <c r="B178" s="2"/>
      <c r="C178" s="174"/>
      <c r="D178" s="174"/>
      <c r="E178" s="174"/>
      <c r="F178" s="175"/>
    </row>
    <row r="179" spans="1:8" ht="3" customHeight="1" x14ac:dyDescent="0.25"/>
    <row r="181" spans="1:8" ht="3" customHeight="1" x14ac:dyDescent="0.25"/>
    <row r="182" spans="1:8" x14ac:dyDescent="0.25">
      <c r="G182" s="169"/>
      <c r="H182" s="170"/>
    </row>
    <row r="183" spans="1:8" ht="3" customHeight="1" x14ac:dyDescent="0.25"/>
    <row r="188" spans="1:8" x14ac:dyDescent="0.25">
      <c r="A188" s="410"/>
      <c r="B188" s="17"/>
      <c r="C188" s="17"/>
      <c r="D188" s="202"/>
      <c r="E188" s="202"/>
      <c r="F188" s="171"/>
      <c r="G188" s="171"/>
      <c r="H188" s="170"/>
    </row>
    <row r="189" spans="1:8" x14ac:dyDescent="0.25">
      <c r="C189" s="36"/>
      <c r="D189" s="201"/>
      <c r="E189" s="201"/>
    </row>
    <row r="190" spans="1:8" x14ac:dyDescent="0.25">
      <c r="C190" s="36"/>
      <c r="D190" s="201"/>
      <c r="E190" s="201"/>
    </row>
    <row r="191" spans="1:8" x14ac:dyDescent="0.25">
      <c r="C191" s="36"/>
      <c r="D191" s="201"/>
      <c r="E191" s="201"/>
    </row>
    <row r="192" spans="1:8" x14ac:dyDescent="0.25">
      <c r="C192" s="36"/>
      <c r="D192" s="201"/>
      <c r="E192" s="201"/>
    </row>
    <row r="193" spans="3:5" x14ac:dyDescent="0.25">
      <c r="C193" s="36"/>
      <c r="D193" s="201"/>
      <c r="E193" s="201"/>
    </row>
    <row r="194" spans="3:5" x14ac:dyDescent="0.25">
      <c r="C194" s="36"/>
      <c r="D194" s="201"/>
      <c r="E194" s="201"/>
    </row>
    <row r="195" spans="3:5" x14ac:dyDescent="0.25">
      <c r="C195" s="36"/>
      <c r="D195" s="201"/>
      <c r="E195" s="201"/>
    </row>
    <row r="196" spans="3:5" x14ac:dyDescent="0.25">
      <c r="C196" s="36"/>
      <c r="D196" s="201"/>
      <c r="E196" s="201"/>
    </row>
    <row r="197" spans="3:5" x14ac:dyDescent="0.25">
      <c r="C197" s="36"/>
      <c r="D197" s="201"/>
      <c r="E197" s="201"/>
    </row>
    <row r="198" spans="3:5" x14ac:dyDescent="0.25">
      <c r="C198" s="36"/>
      <c r="D198" s="201"/>
      <c r="E198" s="201"/>
    </row>
    <row r="199" spans="3:5" x14ac:dyDescent="0.25">
      <c r="C199" s="36"/>
      <c r="D199" s="201"/>
      <c r="E199" s="201"/>
    </row>
    <row r="200" spans="3:5" x14ac:dyDescent="0.25">
      <c r="C200" s="36"/>
      <c r="D200" s="201"/>
      <c r="E200" s="201"/>
    </row>
    <row r="201" spans="3:5" x14ac:dyDescent="0.25">
      <c r="C201" s="36"/>
      <c r="D201" s="201"/>
      <c r="E201" s="201"/>
    </row>
    <row r="202" spans="3:5" x14ac:dyDescent="0.25">
      <c r="C202" s="36"/>
      <c r="D202" s="201"/>
      <c r="E202" s="201"/>
    </row>
    <row r="203" spans="3:5" x14ac:dyDescent="0.25">
      <c r="C203" s="36"/>
      <c r="D203" s="201"/>
      <c r="E203" s="201"/>
    </row>
    <row r="204" spans="3:5" x14ac:dyDescent="0.25">
      <c r="C204" s="36"/>
      <c r="D204" s="201"/>
      <c r="E204" s="201"/>
    </row>
    <row r="205" spans="3:5" x14ac:dyDescent="0.25">
      <c r="C205" s="36"/>
      <c r="D205" s="201"/>
      <c r="E205" s="201"/>
    </row>
    <row r="206" spans="3:5" x14ac:dyDescent="0.25">
      <c r="C206" s="36"/>
      <c r="D206" s="201"/>
      <c r="E206" s="201"/>
    </row>
    <row r="207" spans="3:5" x14ac:dyDescent="0.25">
      <c r="C207" s="36"/>
      <c r="D207" s="201"/>
      <c r="E207" s="201"/>
    </row>
    <row r="208" spans="3:5" x14ac:dyDescent="0.25">
      <c r="C208" s="36"/>
      <c r="D208" s="201"/>
      <c r="E208" s="201"/>
    </row>
    <row r="209" spans="3:5" x14ac:dyDescent="0.25">
      <c r="C209" s="36"/>
      <c r="D209" s="201"/>
      <c r="E209" s="201"/>
    </row>
    <row r="210" spans="3:5" x14ac:dyDescent="0.25">
      <c r="C210" s="36"/>
      <c r="D210" s="201"/>
      <c r="E210" s="201"/>
    </row>
    <row r="211" spans="3:5" x14ac:dyDescent="0.25">
      <c r="C211" s="36"/>
      <c r="D211" s="201"/>
      <c r="E211" s="201"/>
    </row>
    <row r="212" spans="3:5" x14ac:dyDescent="0.25">
      <c r="C212" s="36"/>
      <c r="D212" s="201"/>
      <c r="E212" s="201"/>
    </row>
    <row r="213" spans="3:5" x14ac:dyDescent="0.25">
      <c r="C213" s="36"/>
      <c r="D213" s="201"/>
      <c r="E213" s="201"/>
    </row>
    <row r="214" spans="3:5" x14ac:dyDescent="0.25">
      <c r="C214" s="36"/>
      <c r="D214" s="201"/>
      <c r="E214" s="201"/>
    </row>
    <row r="215" spans="3:5" x14ac:dyDescent="0.25">
      <c r="C215" s="36"/>
      <c r="D215" s="201"/>
      <c r="E215" s="201"/>
    </row>
    <row r="216" spans="3:5" x14ac:dyDescent="0.25">
      <c r="C216" s="36"/>
      <c r="D216" s="201"/>
      <c r="E216" s="201"/>
    </row>
    <row r="217" spans="3:5" x14ac:dyDescent="0.25">
      <c r="C217" s="36"/>
      <c r="D217" s="201"/>
      <c r="E217" s="201"/>
    </row>
    <row r="218" spans="3:5" x14ac:dyDescent="0.25">
      <c r="C218" s="36"/>
      <c r="D218" s="201"/>
      <c r="E218" s="201"/>
    </row>
    <row r="219" spans="3:5" x14ac:dyDescent="0.25">
      <c r="C219" s="36"/>
      <c r="D219" s="201"/>
      <c r="E219" s="201"/>
    </row>
    <row r="220" spans="3:5" x14ac:dyDescent="0.25">
      <c r="C220" s="36"/>
      <c r="D220" s="201"/>
      <c r="E220" s="201"/>
    </row>
    <row r="221" spans="3:5" x14ac:dyDescent="0.25">
      <c r="C221" s="36"/>
      <c r="D221" s="201"/>
      <c r="E221" s="201"/>
    </row>
    <row r="222" spans="3:5" x14ac:dyDescent="0.25">
      <c r="C222" s="36"/>
      <c r="D222" s="201"/>
      <c r="E222" s="201"/>
    </row>
    <row r="223" spans="3:5" x14ac:dyDescent="0.25">
      <c r="C223" s="36"/>
      <c r="D223" s="201"/>
      <c r="E223" s="201"/>
    </row>
    <row r="224" spans="3:5" x14ac:dyDescent="0.25">
      <c r="C224" s="36"/>
      <c r="D224" s="201"/>
      <c r="E224" s="201"/>
    </row>
    <row r="225" spans="3:5" x14ac:dyDescent="0.25">
      <c r="C225" s="36"/>
      <c r="D225" s="201"/>
      <c r="E225" s="201"/>
    </row>
    <row r="226" spans="3:5" x14ac:dyDescent="0.25">
      <c r="C226" s="36"/>
      <c r="D226" s="201"/>
      <c r="E226" s="201"/>
    </row>
    <row r="227" spans="3:5" x14ac:dyDescent="0.25">
      <c r="C227" s="36"/>
      <c r="D227" s="201"/>
      <c r="E227" s="201"/>
    </row>
    <row r="228" spans="3:5" x14ac:dyDescent="0.25">
      <c r="C228" s="36"/>
      <c r="D228" s="201"/>
      <c r="E228" s="201"/>
    </row>
    <row r="229" spans="3:5" x14ac:dyDescent="0.25">
      <c r="C229" s="36"/>
      <c r="D229" s="201"/>
      <c r="E229" s="201"/>
    </row>
    <row r="230" spans="3:5" x14ac:dyDescent="0.25">
      <c r="C230" s="36"/>
      <c r="D230" s="201"/>
      <c r="E230" s="201"/>
    </row>
    <row r="231" spans="3:5" x14ac:dyDescent="0.25">
      <c r="C231" s="36"/>
      <c r="D231" s="201"/>
      <c r="E231" s="201"/>
    </row>
    <row r="232" spans="3:5" x14ac:dyDescent="0.25">
      <c r="C232" s="36"/>
      <c r="D232" s="201"/>
      <c r="E232" s="201"/>
    </row>
    <row r="233" spans="3:5" x14ac:dyDescent="0.25">
      <c r="C233" s="36"/>
      <c r="D233" s="201"/>
      <c r="E233" s="201"/>
    </row>
    <row r="234" spans="3:5" x14ac:dyDescent="0.25">
      <c r="C234" s="36"/>
      <c r="D234" s="201"/>
      <c r="E234" s="201"/>
    </row>
    <row r="235" spans="3:5" x14ac:dyDescent="0.25">
      <c r="C235" s="36"/>
      <c r="D235" s="201"/>
      <c r="E235" s="201"/>
    </row>
    <row r="236" spans="3:5" x14ac:dyDescent="0.25">
      <c r="C236" s="36"/>
      <c r="D236" s="201"/>
      <c r="E236" s="201"/>
    </row>
    <row r="237" spans="3:5" x14ac:dyDescent="0.25">
      <c r="C237" s="36"/>
      <c r="D237" s="201"/>
      <c r="E237" s="201"/>
    </row>
  </sheetData>
  <autoFilter ref="A10:W37" xr:uid="{00000000-0009-0000-0000-000005000000}"/>
  <mergeCells count="4">
    <mergeCell ref="A1:G1"/>
    <mergeCell ref="A41:G41"/>
    <mergeCell ref="A100:G100"/>
    <mergeCell ref="A171:G171"/>
  </mergeCells>
  <pageMargins left="0.25" right="0.25" top="0.75" bottom="0.75" header="0.511811023622047" footer="0.511811023622047"/>
  <pageSetup paperSize="9" scale="21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6714-0559-4385-9FB2-6BC3A94B3B1B}">
  <sheetPr>
    <pageSetUpPr fitToPage="1"/>
  </sheetPr>
  <dimension ref="A1:IW229"/>
  <sheetViews>
    <sheetView view="pageBreakPreview" zoomScale="75" zoomScaleNormal="75" zoomScalePageLayoutView="75" workbookViewId="0">
      <pane ySplit="10" topLeftCell="A11" activePane="bottomLeft" state="frozen"/>
      <selection pane="bottomLeft" activeCell="E22" sqref="E22"/>
    </sheetView>
  </sheetViews>
  <sheetFormatPr defaultColWidth="9.109375" defaultRowHeight="13.2" x14ac:dyDescent="0.25"/>
  <cols>
    <col min="1" max="1" width="16.33203125" style="265" customWidth="1"/>
    <col min="2" max="2" width="17" style="164" customWidth="1"/>
    <col min="3" max="3" width="29.6640625" style="4" customWidth="1"/>
    <col min="4" max="4" width="32.33203125" style="165" customWidth="1"/>
    <col min="5" max="5" width="27.109375" style="165" customWidth="1"/>
    <col min="6" max="6" width="16.6640625" style="36" customWidth="1"/>
    <col min="7" max="7" width="16" style="480" customWidth="1"/>
    <col min="8" max="8" width="16" style="167" customWidth="1"/>
    <col min="9" max="9" width="20.33203125" style="4" customWidth="1"/>
    <col min="10" max="10" width="20.33203125" style="62" customWidth="1"/>
    <col min="11" max="11" width="12.5546875" style="4" customWidth="1"/>
    <col min="12" max="257" width="9.109375" style="4"/>
  </cols>
  <sheetData>
    <row r="1" spans="1:12" ht="24.6" x14ac:dyDescent="0.25">
      <c r="A1" s="730" t="s">
        <v>0</v>
      </c>
      <c r="B1" s="730"/>
      <c r="C1" s="730"/>
      <c r="D1" s="730"/>
      <c r="E1" s="730"/>
      <c r="F1" s="730"/>
      <c r="G1" s="730"/>
      <c r="H1" s="168"/>
    </row>
    <row r="2" spans="1:12" ht="15.75" customHeight="1" x14ac:dyDescent="0.25">
      <c r="F2" s="126"/>
      <c r="G2" s="470" t="s">
        <v>71</v>
      </c>
      <c r="H2" s="170"/>
      <c r="I2" s="36"/>
    </row>
    <row r="3" spans="1:12" ht="18" customHeight="1" x14ac:dyDescent="0.3">
      <c r="A3" s="266"/>
      <c r="B3" s="17"/>
      <c r="E3" s="456"/>
      <c r="F3" s="457" t="s">
        <v>72</v>
      </c>
      <c r="G3" s="471"/>
      <c r="H3" s="458"/>
    </row>
    <row r="4" spans="1:12" ht="18" customHeight="1" x14ac:dyDescent="0.3">
      <c r="E4" s="456" t="s">
        <v>97</v>
      </c>
      <c r="F4" s="450" t="s">
        <v>73</v>
      </c>
      <c r="G4" s="472">
        <v>32537.27</v>
      </c>
      <c r="H4" s="459"/>
      <c r="I4" s="454"/>
    </row>
    <row r="5" spans="1:12" ht="18" customHeight="1" x14ac:dyDescent="0.3">
      <c r="E5" s="456"/>
      <c r="F5" s="450" t="s">
        <v>74</v>
      </c>
      <c r="G5" s="472">
        <f>+F29</f>
        <v>0</v>
      </c>
      <c r="H5" s="459"/>
      <c r="I5" s="454"/>
    </row>
    <row r="6" spans="1:12" ht="18" customHeight="1" x14ac:dyDescent="0.3">
      <c r="A6" s="267"/>
      <c r="B6" s="2"/>
      <c r="C6" s="174"/>
      <c r="D6" s="174"/>
      <c r="E6" s="460"/>
      <c r="F6" s="451" t="s">
        <v>75</v>
      </c>
      <c r="G6" s="472">
        <f>G4+G5</f>
        <v>32537.27</v>
      </c>
      <c r="H6" s="459"/>
      <c r="I6" s="455"/>
    </row>
    <row r="7" spans="1:12" ht="18" customHeight="1" x14ac:dyDescent="0.3">
      <c r="A7" s="268" t="s">
        <v>99</v>
      </c>
      <c r="B7" s="176">
        <v>2026</v>
      </c>
      <c r="D7" s="177"/>
      <c r="E7" s="461"/>
      <c r="F7" s="450" t="s">
        <v>76</v>
      </c>
      <c r="G7" s="472">
        <f>G29</f>
        <v>0</v>
      </c>
      <c r="H7" s="459"/>
      <c r="I7" s="455"/>
    </row>
    <row r="8" spans="1:12" ht="18" customHeight="1" x14ac:dyDescent="0.3">
      <c r="C8" s="4" t="s">
        <v>77</v>
      </c>
      <c r="E8" s="456"/>
      <c r="F8" s="450" t="s">
        <v>78</v>
      </c>
      <c r="G8" s="473">
        <f>G6-G7</f>
        <v>32537.27</v>
      </c>
      <c r="H8" s="462"/>
      <c r="I8" s="454"/>
    </row>
    <row r="9" spans="1:12" ht="18" customHeight="1" x14ac:dyDescent="0.3">
      <c r="E9" s="456"/>
      <c r="F9" s="450"/>
      <c r="G9" s="474"/>
      <c r="H9" s="463"/>
      <c r="I9" s="455"/>
    </row>
    <row r="10" spans="1:12" ht="16.5" customHeight="1" x14ac:dyDescent="0.3">
      <c r="A10" s="269" t="s">
        <v>39</v>
      </c>
      <c r="B10" s="180" t="s">
        <v>79</v>
      </c>
      <c r="C10" s="180" t="s">
        <v>29</v>
      </c>
      <c r="D10" s="180" t="s">
        <v>30</v>
      </c>
      <c r="E10" s="180" t="s">
        <v>31</v>
      </c>
      <c r="F10" s="184" t="s">
        <v>80</v>
      </c>
      <c r="G10" s="475" t="s">
        <v>81</v>
      </c>
      <c r="H10" s="182"/>
      <c r="I10" s="183" t="s">
        <v>60</v>
      </c>
      <c r="J10" s="184" t="s">
        <v>82</v>
      </c>
      <c r="K10" s="160"/>
      <c r="L10" s="160"/>
    </row>
    <row r="11" spans="1:12" ht="16.5" customHeight="1" x14ac:dyDescent="0.3">
      <c r="A11" s="257">
        <v>46054</v>
      </c>
      <c r="B11" s="185"/>
      <c r="C11" s="186" t="s">
        <v>83</v>
      </c>
      <c r="D11" s="185"/>
      <c r="E11" s="108"/>
      <c r="F11" s="260"/>
      <c r="G11" s="476"/>
      <c r="H11" s="187">
        <f>+G4</f>
        <v>32537.27</v>
      </c>
      <c r="I11" s="183"/>
      <c r="J11" s="184"/>
      <c r="K11" s="160"/>
      <c r="L11" s="160"/>
    </row>
    <row r="12" spans="1:12" ht="17.25" customHeight="1" x14ac:dyDescent="0.3">
      <c r="A12" s="429"/>
      <c r="B12" s="437"/>
      <c r="C12" s="431"/>
      <c r="D12" s="431"/>
      <c r="E12" s="431"/>
      <c r="F12" s="438"/>
      <c r="G12" s="468"/>
      <c r="H12" s="434">
        <f>+H11+F12-G12</f>
        <v>32537.27</v>
      </c>
      <c r="I12" s="435"/>
      <c r="J12" s="436">
        <f t="shared" ref="J12:J13" si="0">+G12-I12</f>
        <v>0</v>
      </c>
      <c r="K12" s="160"/>
      <c r="L12" s="160"/>
    </row>
    <row r="13" spans="1:12" ht="17.25" customHeight="1" x14ac:dyDescent="0.3">
      <c r="A13" s="429"/>
      <c r="B13" s="439"/>
      <c r="C13" s="431"/>
      <c r="D13" s="432"/>
      <c r="E13" s="432"/>
      <c r="F13" s="433"/>
      <c r="G13" s="468"/>
      <c r="H13" s="434">
        <f t="shared" ref="H13:H25" si="1">+H12+F13-G13</f>
        <v>32537.27</v>
      </c>
      <c r="I13" s="435"/>
      <c r="J13" s="436">
        <f t="shared" si="0"/>
        <v>0</v>
      </c>
      <c r="K13" s="160"/>
    </row>
    <row r="14" spans="1:12" ht="17.25" customHeight="1" x14ac:dyDescent="0.3">
      <c r="A14" s="429"/>
      <c r="B14" s="439"/>
      <c r="C14" s="431"/>
      <c r="D14" s="431"/>
      <c r="E14" s="440"/>
      <c r="F14" s="434"/>
      <c r="G14" s="468"/>
      <c r="H14" s="434">
        <f t="shared" si="1"/>
        <v>32537.27</v>
      </c>
      <c r="I14" s="435"/>
      <c r="J14" s="436"/>
      <c r="K14" s="160"/>
    </row>
    <row r="15" spans="1:12" ht="17.25" customHeight="1" x14ac:dyDescent="0.3">
      <c r="A15" s="429"/>
      <c r="B15" s="439"/>
      <c r="C15" s="431"/>
      <c r="D15" s="481"/>
      <c r="E15" s="440"/>
      <c r="F15" s="433"/>
      <c r="G15" s="468"/>
      <c r="H15" s="434">
        <f t="shared" si="1"/>
        <v>32537.27</v>
      </c>
      <c r="I15" s="435"/>
      <c r="J15" s="436"/>
      <c r="K15" s="160"/>
      <c r="L15" s="160"/>
    </row>
    <row r="16" spans="1:12" ht="17.25" customHeight="1" x14ac:dyDescent="0.3">
      <c r="A16" s="429"/>
      <c r="B16" s="430"/>
      <c r="C16" s="431"/>
      <c r="D16" s="431"/>
      <c r="E16" s="440"/>
      <c r="F16" s="433"/>
      <c r="G16" s="468"/>
      <c r="H16" s="434">
        <f>+H15+F16-G16</f>
        <v>32537.27</v>
      </c>
      <c r="I16" s="435"/>
      <c r="J16" s="436"/>
      <c r="K16" s="160"/>
      <c r="L16" s="160"/>
    </row>
    <row r="17" spans="1:13" s="57" customFormat="1" ht="17.100000000000001" customHeight="1" x14ac:dyDescent="0.3">
      <c r="A17" s="429"/>
      <c r="B17" s="441"/>
      <c r="C17" s="431"/>
      <c r="D17" s="481"/>
      <c r="E17" s="440"/>
      <c r="F17" s="438"/>
      <c r="G17" s="467"/>
      <c r="H17" s="434">
        <f t="shared" si="1"/>
        <v>32537.27</v>
      </c>
      <c r="I17" s="435"/>
      <c r="J17" s="436"/>
      <c r="K17" s="482"/>
      <c r="L17" s="160"/>
      <c r="M17" s="111"/>
    </row>
    <row r="18" spans="1:13" ht="17.25" customHeight="1" x14ac:dyDescent="0.3">
      <c r="A18" s="429"/>
      <c r="B18" s="439"/>
      <c r="C18" s="431"/>
      <c r="D18" s="431"/>
      <c r="E18" s="442"/>
      <c r="F18" s="433"/>
      <c r="G18" s="467"/>
      <c r="H18" s="434">
        <f t="shared" si="1"/>
        <v>32537.27</v>
      </c>
      <c r="I18" s="435"/>
      <c r="J18" s="436"/>
      <c r="K18" s="160"/>
      <c r="L18" s="160"/>
    </row>
    <row r="19" spans="1:13" ht="17.25" customHeight="1" x14ac:dyDescent="0.3">
      <c r="A19" s="429"/>
      <c r="B19" s="439"/>
      <c r="C19" s="431"/>
      <c r="D19" s="431"/>
      <c r="E19" s="432"/>
      <c r="F19" s="433"/>
      <c r="G19" s="467"/>
      <c r="H19" s="434">
        <f t="shared" si="1"/>
        <v>32537.27</v>
      </c>
      <c r="I19" s="435"/>
      <c r="J19" s="436"/>
      <c r="K19" s="160"/>
      <c r="L19" s="160"/>
    </row>
    <row r="20" spans="1:13" ht="17.25" customHeight="1" x14ac:dyDescent="0.3">
      <c r="A20" s="443"/>
      <c r="B20" s="437"/>
      <c r="C20" s="431"/>
      <c r="D20" s="481"/>
      <c r="E20" s="440"/>
      <c r="F20" s="438"/>
      <c r="G20" s="469"/>
      <c r="H20" s="434">
        <f t="shared" si="1"/>
        <v>32537.27</v>
      </c>
      <c r="I20" s="435"/>
      <c r="J20" s="436"/>
      <c r="K20" s="160"/>
      <c r="L20" s="160"/>
    </row>
    <row r="21" spans="1:13" ht="17.25" customHeight="1" x14ac:dyDescent="0.3">
      <c r="A21" s="443"/>
      <c r="B21" s="441"/>
      <c r="C21" s="444"/>
      <c r="D21" s="438"/>
      <c r="E21" s="440"/>
      <c r="F21" s="438"/>
      <c r="G21" s="469"/>
      <c r="H21" s="434">
        <f t="shared" si="1"/>
        <v>32537.27</v>
      </c>
      <c r="I21" s="435"/>
      <c r="J21" s="436"/>
      <c r="K21" s="160"/>
      <c r="L21" s="160"/>
    </row>
    <row r="22" spans="1:13" ht="17.25" customHeight="1" x14ac:dyDescent="0.3">
      <c r="A22" s="443"/>
      <c r="B22" s="441"/>
      <c r="C22" s="444"/>
      <c r="D22" s="438"/>
      <c r="E22" s="438"/>
      <c r="F22" s="438"/>
      <c r="G22" s="469"/>
      <c r="H22" s="434">
        <f t="shared" si="1"/>
        <v>32537.27</v>
      </c>
      <c r="I22" s="435"/>
      <c r="J22" s="436"/>
      <c r="K22" s="160"/>
      <c r="L22" s="160"/>
    </row>
    <row r="23" spans="1:13" ht="17.25" customHeight="1" x14ac:dyDescent="0.3">
      <c r="A23" s="443"/>
      <c r="B23" s="441"/>
      <c r="C23" s="444"/>
      <c r="D23" s="481"/>
      <c r="E23" s="440"/>
      <c r="F23" s="438"/>
      <c r="G23" s="469"/>
      <c r="H23" s="434">
        <f t="shared" si="1"/>
        <v>32537.27</v>
      </c>
      <c r="I23" s="435"/>
      <c r="J23" s="436"/>
      <c r="K23" s="160"/>
      <c r="L23" s="160"/>
    </row>
    <row r="24" spans="1:13" ht="17.25" customHeight="1" x14ac:dyDescent="0.3">
      <c r="A24" s="443"/>
      <c r="B24" s="441"/>
      <c r="C24" s="444"/>
      <c r="D24" s="481"/>
      <c r="E24" s="440"/>
      <c r="F24" s="438"/>
      <c r="G24" s="469"/>
      <c r="H24" s="434">
        <f t="shared" si="1"/>
        <v>32537.27</v>
      </c>
      <c r="I24" s="435"/>
      <c r="J24" s="436"/>
      <c r="K24" s="160"/>
      <c r="L24" s="160"/>
    </row>
    <row r="25" spans="1:13" ht="17.25" customHeight="1" x14ac:dyDescent="0.3">
      <c r="A25" s="443"/>
      <c r="B25" s="445"/>
      <c r="C25" s="444"/>
      <c r="D25" s="438"/>
      <c r="E25" s="438"/>
      <c r="F25" s="438"/>
      <c r="G25" s="469"/>
      <c r="H25" s="434">
        <f t="shared" si="1"/>
        <v>32537.27</v>
      </c>
      <c r="I25" s="435"/>
      <c r="J25" s="436"/>
      <c r="K25" s="160"/>
      <c r="L25" s="160"/>
    </row>
    <row r="26" spans="1:13" ht="17.25" customHeight="1" x14ac:dyDescent="0.3">
      <c r="A26" s="443"/>
      <c r="B26" s="446"/>
      <c r="C26" s="444"/>
      <c r="D26" s="438"/>
      <c r="E26" s="438"/>
      <c r="F26" s="438"/>
      <c r="G26" s="469"/>
      <c r="H26" s="447">
        <f t="shared" ref="H26:H28" si="2">H25+F26-G26</f>
        <v>32537.27</v>
      </c>
      <c r="I26" s="435"/>
      <c r="J26" s="436"/>
      <c r="K26" s="160"/>
      <c r="L26" s="160"/>
    </row>
    <row r="27" spans="1:13" ht="17.25" customHeight="1" x14ac:dyDescent="0.3">
      <c r="A27" s="443"/>
      <c r="B27" s="445"/>
      <c r="C27" s="444"/>
      <c r="D27" s="438"/>
      <c r="E27" s="438"/>
      <c r="F27" s="438"/>
      <c r="G27" s="469"/>
      <c r="H27" s="447">
        <f t="shared" si="2"/>
        <v>32537.27</v>
      </c>
      <c r="I27" s="435"/>
      <c r="J27" s="436"/>
      <c r="K27" s="160"/>
      <c r="L27" s="160"/>
    </row>
    <row r="28" spans="1:13" ht="17.25" customHeight="1" x14ac:dyDescent="0.3">
      <c r="A28" s="443"/>
      <c r="B28" s="445"/>
      <c r="C28" s="444"/>
      <c r="D28" s="438"/>
      <c r="E28" s="438"/>
      <c r="F28" s="438"/>
      <c r="G28" s="468"/>
      <c r="H28" s="434">
        <f t="shared" si="2"/>
        <v>32537.27</v>
      </c>
      <c r="I28" s="435"/>
      <c r="J28" s="436"/>
      <c r="K28" s="160"/>
      <c r="L28" s="160"/>
    </row>
    <row r="29" spans="1:13" ht="17.25" customHeight="1" x14ac:dyDescent="0.3">
      <c r="A29" s="448"/>
      <c r="B29" s="449"/>
      <c r="C29" s="450"/>
      <c r="D29" s="451"/>
      <c r="E29" s="451"/>
      <c r="F29" s="452">
        <f>SUM(F12:F28)</f>
        <v>0</v>
      </c>
      <c r="G29" s="477">
        <f>SUM(G12:G28)</f>
        <v>0</v>
      </c>
      <c r="H29" s="453">
        <f>+H28</f>
        <v>32537.27</v>
      </c>
      <c r="I29" s="452">
        <f>SUM(I12:I28)</f>
        <v>0</v>
      </c>
      <c r="J29" s="452">
        <f>SUM(J12:J28)</f>
        <v>0</v>
      </c>
      <c r="K29" s="160"/>
      <c r="L29" s="160"/>
    </row>
    <row r="30" spans="1:13" ht="13.8" x14ac:dyDescent="0.3">
      <c r="A30" s="270"/>
      <c r="B30" s="190"/>
      <c r="C30" s="157"/>
      <c r="D30" s="191"/>
      <c r="E30" s="191"/>
      <c r="F30" s="157"/>
      <c r="G30" s="161"/>
      <c r="H30" s="192"/>
      <c r="I30" s="157"/>
      <c r="J30" s="193"/>
      <c r="K30" s="160"/>
      <c r="L30" s="160"/>
    </row>
    <row r="31" spans="1:13" ht="13.8" x14ac:dyDescent="0.3">
      <c r="A31" s="270"/>
      <c r="B31" s="190"/>
      <c r="C31" s="157"/>
      <c r="D31" s="191"/>
      <c r="E31" s="191"/>
      <c r="F31" s="157"/>
      <c r="G31" s="161"/>
      <c r="H31" s="192"/>
      <c r="I31" s="157"/>
      <c r="J31" s="193"/>
      <c r="K31" s="160"/>
      <c r="L31" s="160"/>
    </row>
    <row r="32" spans="1:13" ht="13.8" x14ac:dyDescent="0.3">
      <c r="A32" s="270"/>
      <c r="B32" s="190"/>
      <c r="C32" s="157"/>
      <c r="D32" s="191"/>
      <c r="E32" s="191"/>
      <c r="F32" s="157"/>
      <c r="G32" s="161"/>
      <c r="H32" s="192"/>
      <c r="I32" s="157"/>
      <c r="J32" s="193"/>
      <c r="K32" s="160"/>
      <c r="L32" s="160"/>
    </row>
    <row r="33" spans="1:12" ht="30" customHeight="1" x14ac:dyDescent="0.25">
      <c r="A33" s="745"/>
      <c r="B33" s="745"/>
      <c r="C33" s="745"/>
      <c r="D33" s="745"/>
      <c r="E33" s="745"/>
      <c r="F33" s="745"/>
      <c r="G33" s="745"/>
      <c r="H33" s="194"/>
      <c r="I33" s="157"/>
      <c r="J33" s="193"/>
      <c r="K33" s="160"/>
      <c r="L33" s="160"/>
    </row>
    <row r="34" spans="1:12" ht="13.8" x14ac:dyDescent="0.3">
      <c r="A34" s="270"/>
      <c r="B34" s="190"/>
      <c r="C34" s="157"/>
      <c r="D34" s="191"/>
      <c r="E34" s="191"/>
      <c r="F34" s="157"/>
      <c r="G34" s="161"/>
      <c r="H34" s="192"/>
      <c r="I34" s="157"/>
      <c r="J34" s="193"/>
      <c r="K34" s="160"/>
      <c r="L34" s="160"/>
    </row>
    <row r="35" spans="1:12" ht="13.8" x14ac:dyDescent="0.3">
      <c r="A35" s="270"/>
      <c r="B35" s="190"/>
      <c r="C35" s="157"/>
      <c r="D35" s="191"/>
      <c r="E35" s="191"/>
      <c r="F35" s="157"/>
      <c r="G35" s="161"/>
      <c r="H35" s="192"/>
      <c r="I35" s="157"/>
      <c r="J35" s="193"/>
      <c r="K35" s="160"/>
      <c r="L35" s="160"/>
    </row>
    <row r="36" spans="1:12" ht="13.8" x14ac:dyDescent="0.3">
      <c r="A36" s="270"/>
      <c r="B36" s="190"/>
      <c r="C36" s="157"/>
      <c r="D36" s="191"/>
      <c r="E36" s="191"/>
      <c r="F36" s="157"/>
      <c r="G36" s="161"/>
      <c r="H36" s="192"/>
      <c r="I36" s="157"/>
      <c r="J36" s="193"/>
      <c r="K36" s="160"/>
      <c r="L36" s="160"/>
    </row>
    <row r="37" spans="1:12" ht="13.8" x14ac:dyDescent="0.3">
      <c r="A37" s="270"/>
      <c r="B37" s="190"/>
      <c r="C37" s="157"/>
      <c r="D37" s="191"/>
      <c r="E37" s="191"/>
      <c r="F37" s="157"/>
      <c r="G37" s="161"/>
      <c r="H37" s="192"/>
      <c r="I37" s="157"/>
      <c r="J37" s="193"/>
      <c r="K37" s="160"/>
      <c r="L37" s="160"/>
    </row>
    <row r="38" spans="1:12" ht="13.8" x14ac:dyDescent="0.3">
      <c r="A38" s="271"/>
      <c r="B38" s="195"/>
      <c r="C38" s="196"/>
      <c r="D38" s="197"/>
      <c r="E38" s="197"/>
      <c r="F38" s="196"/>
      <c r="G38" s="478"/>
      <c r="H38" s="198"/>
      <c r="I38" s="157"/>
      <c r="J38" s="193"/>
      <c r="K38" s="160"/>
      <c r="L38" s="160"/>
    </row>
    <row r="39" spans="1:12" ht="13.8" x14ac:dyDescent="0.3">
      <c r="A39" s="270"/>
      <c r="B39" s="190"/>
      <c r="C39" s="157"/>
      <c r="D39" s="191"/>
      <c r="E39" s="191"/>
      <c r="F39" s="157"/>
      <c r="G39" s="479"/>
      <c r="H39" s="200"/>
      <c r="I39" s="160"/>
      <c r="J39" s="193"/>
      <c r="K39" s="160"/>
      <c r="L39" s="160"/>
    </row>
    <row r="40" spans="1:12" ht="13.8" x14ac:dyDescent="0.3">
      <c r="A40" s="270"/>
      <c r="B40" s="190"/>
      <c r="C40" s="157"/>
      <c r="D40" s="191"/>
      <c r="E40" s="191"/>
      <c r="F40" s="157"/>
      <c r="G40" s="479"/>
      <c r="H40" s="200"/>
      <c r="I40" s="160"/>
      <c r="J40" s="193"/>
      <c r="K40" s="160"/>
      <c r="L40" s="160"/>
    </row>
    <row r="41" spans="1:12" ht="13.8" x14ac:dyDescent="0.3">
      <c r="A41" s="270"/>
      <c r="B41" s="190"/>
      <c r="C41" s="157"/>
      <c r="D41" s="191"/>
      <c r="E41" s="191"/>
      <c r="F41" s="157"/>
      <c r="G41" s="479"/>
      <c r="H41" s="200"/>
      <c r="I41" s="160"/>
      <c r="J41" s="193"/>
      <c r="K41" s="160"/>
      <c r="L41" s="160"/>
    </row>
    <row r="42" spans="1:12" ht="13.8" x14ac:dyDescent="0.3">
      <c r="A42" s="270"/>
      <c r="B42" s="190"/>
      <c r="C42" s="157"/>
      <c r="D42" s="191"/>
      <c r="E42" s="191"/>
      <c r="F42" s="157"/>
      <c r="G42" s="479"/>
      <c r="H42" s="200"/>
      <c r="I42" s="160"/>
      <c r="J42" s="193"/>
      <c r="K42" s="160"/>
      <c r="L42" s="160"/>
    </row>
    <row r="43" spans="1:12" ht="13.8" x14ac:dyDescent="0.3">
      <c r="A43" s="270"/>
      <c r="B43" s="190"/>
      <c r="C43" s="157"/>
      <c r="D43" s="191"/>
      <c r="E43" s="191"/>
      <c r="F43" s="157"/>
      <c r="G43" s="479"/>
      <c r="H43" s="200"/>
      <c r="I43" s="160"/>
      <c r="J43" s="193"/>
      <c r="K43" s="160"/>
      <c r="L43" s="160"/>
    </row>
    <row r="44" spans="1:12" ht="13.8" x14ac:dyDescent="0.3">
      <c r="A44" s="270"/>
      <c r="B44" s="190"/>
      <c r="C44" s="157"/>
      <c r="D44" s="191"/>
      <c r="E44" s="191"/>
      <c r="F44" s="157"/>
      <c r="G44" s="479"/>
      <c r="H44" s="200"/>
      <c r="I44" s="160"/>
      <c r="J44" s="193"/>
      <c r="K44" s="160"/>
      <c r="L44" s="160"/>
    </row>
    <row r="45" spans="1:12" ht="13.8" x14ac:dyDescent="0.3">
      <c r="A45" s="270"/>
      <c r="B45" s="190"/>
      <c r="C45" s="157"/>
      <c r="D45" s="191"/>
      <c r="E45" s="191"/>
      <c r="F45" s="157"/>
      <c r="G45" s="479"/>
      <c r="H45" s="200"/>
      <c r="I45" s="160"/>
      <c r="J45" s="193"/>
      <c r="K45" s="160"/>
      <c r="L45" s="160"/>
    </row>
    <row r="46" spans="1:12" ht="13.8" x14ac:dyDescent="0.3">
      <c r="A46" s="270"/>
      <c r="B46" s="190"/>
      <c r="C46" s="157"/>
      <c r="D46" s="191"/>
      <c r="E46" s="191"/>
      <c r="F46" s="157"/>
      <c r="G46" s="479"/>
      <c r="H46" s="200"/>
      <c r="I46" s="160"/>
      <c r="J46" s="193"/>
      <c r="K46" s="160"/>
      <c r="L46" s="160"/>
    </row>
    <row r="47" spans="1:12" ht="13.8" x14ac:dyDescent="0.3">
      <c r="A47" s="270"/>
      <c r="B47" s="190"/>
      <c r="C47" s="157"/>
      <c r="D47" s="191"/>
      <c r="E47" s="191"/>
      <c r="F47" s="157"/>
      <c r="G47" s="479"/>
      <c r="H47" s="200"/>
      <c r="I47" s="160"/>
      <c r="J47" s="193"/>
      <c r="K47" s="160"/>
      <c r="L47" s="160"/>
    </row>
    <row r="48" spans="1:12" ht="13.8" x14ac:dyDescent="0.3">
      <c r="A48" s="270"/>
      <c r="B48" s="190"/>
      <c r="C48" s="157"/>
      <c r="D48" s="191"/>
      <c r="E48" s="191"/>
      <c r="F48" s="157"/>
      <c r="G48" s="479"/>
      <c r="H48" s="200"/>
      <c r="I48" s="160"/>
      <c r="J48" s="193"/>
      <c r="K48" s="160"/>
      <c r="L48" s="160"/>
    </row>
    <row r="49" spans="1:12" ht="13.8" x14ac:dyDescent="0.3">
      <c r="A49" s="270"/>
      <c r="B49" s="190"/>
      <c r="C49" s="157"/>
      <c r="D49" s="191"/>
      <c r="E49" s="191"/>
      <c r="F49" s="157"/>
      <c r="G49" s="479"/>
      <c r="H49" s="200"/>
      <c r="I49" s="160"/>
      <c r="J49" s="193"/>
      <c r="K49" s="160"/>
      <c r="L49" s="160"/>
    </row>
    <row r="50" spans="1:12" ht="13.8" x14ac:dyDescent="0.3">
      <c r="A50" s="270"/>
      <c r="B50" s="190"/>
      <c r="C50" s="157"/>
      <c r="D50" s="191"/>
      <c r="E50" s="191"/>
      <c r="F50" s="157"/>
      <c r="G50" s="479"/>
      <c r="H50" s="200"/>
      <c r="I50" s="160"/>
      <c r="J50" s="193"/>
      <c r="K50" s="160"/>
      <c r="L50" s="160"/>
    </row>
    <row r="51" spans="1:12" ht="13.8" x14ac:dyDescent="0.3">
      <c r="A51" s="270"/>
      <c r="B51" s="190"/>
      <c r="C51" s="157"/>
      <c r="D51" s="191"/>
      <c r="E51" s="191"/>
      <c r="F51" s="157"/>
      <c r="G51" s="479"/>
      <c r="H51" s="200"/>
      <c r="I51" s="160"/>
      <c r="J51" s="193"/>
      <c r="K51" s="160"/>
      <c r="L51" s="160"/>
    </row>
    <row r="52" spans="1:12" ht="13.8" x14ac:dyDescent="0.3">
      <c r="A52" s="270"/>
      <c r="B52" s="190"/>
      <c r="C52" s="157"/>
      <c r="D52" s="191"/>
      <c r="E52" s="191"/>
      <c r="F52" s="157"/>
      <c r="G52" s="479"/>
      <c r="H52" s="200"/>
      <c r="I52" s="160"/>
      <c r="J52" s="193"/>
      <c r="K52" s="160"/>
      <c r="L52" s="160"/>
    </row>
    <row r="53" spans="1:12" ht="13.8" x14ac:dyDescent="0.3">
      <c r="A53" s="270"/>
      <c r="B53" s="190"/>
      <c r="C53" s="157"/>
      <c r="D53" s="191"/>
      <c r="E53" s="191"/>
      <c r="F53" s="157"/>
      <c r="G53" s="479"/>
      <c r="H53" s="200"/>
      <c r="I53" s="160"/>
      <c r="J53" s="193"/>
      <c r="K53" s="160"/>
      <c r="L53" s="160"/>
    </row>
    <row r="54" spans="1:12" ht="13.8" x14ac:dyDescent="0.3">
      <c r="A54" s="270"/>
      <c r="B54" s="190"/>
      <c r="C54" s="157"/>
      <c r="D54" s="191"/>
      <c r="E54" s="191"/>
      <c r="F54" s="157"/>
      <c r="G54" s="479"/>
      <c r="H54" s="200"/>
      <c r="I54" s="160"/>
      <c r="J54" s="193"/>
      <c r="K54" s="160"/>
      <c r="L54" s="160"/>
    </row>
    <row r="55" spans="1:12" ht="13.8" x14ac:dyDescent="0.3">
      <c r="A55" s="270"/>
      <c r="B55" s="190"/>
      <c r="C55" s="157"/>
      <c r="D55" s="191"/>
      <c r="E55" s="191"/>
      <c r="F55" s="157"/>
      <c r="G55" s="479"/>
      <c r="H55" s="200"/>
      <c r="I55" s="160"/>
      <c r="J55" s="193"/>
      <c r="K55" s="160"/>
      <c r="L55" s="160"/>
    </row>
    <row r="56" spans="1:12" ht="13.8" x14ac:dyDescent="0.3">
      <c r="A56" s="270"/>
      <c r="B56" s="190"/>
      <c r="C56" s="157"/>
      <c r="D56" s="191"/>
      <c r="E56" s="191"/>
      <c r="F56" s="157"/>
      <c r="G56" s="479"/>
      <c r="H56" s="200"/>
      <c r="I56" s="160"/>
      <c r="J56" s="193"/>
      <c r="K56" s="160"/>
      <c r="L56" s="160"/>
    </row>
    <row r="57" spans="1:12" ht="13.8" x14ac:dyDescent="0.3">
      <c r="A57" s="270"/>
      <c r="B57" s="190"/>
      <c r="C57" s="157"/>
      <c r="D57" s="191"/>
      <c r="E57" s="191"/>
      <c r="F57" s="157"/>
      <c r="G57" s="479"/>
      <c r="H57" s="200"/>
      <c r="I57" s="160"/>
      <c r="J57" s="193"/>
      <c r="K57" s="160"/>
      <c r="L57" s="160"/>
    </row>
    <row r="58" spans="1:12" ht="13.8" x14ac:dyDescent="0.3">
      <c r="A58" s="270"/>
      <c r="B58" s="190"/>
      <c r="C58" s="157"/>
      <c r="D58" s="191"/>
      <c r="E58" s="191"/>
      <c r="F58" s="157"/>
      <c r="G58" s="479"/>
      <c r="H58" s="200"/>
      <c r="I58" s="160"/>
      <c r="J58" s="193"/>
      <c r="K58" s="160"/>
      <c r="L58" s="160"/>
    </row>
    <row r="59" spans="1:12" ht="13.8" x14ac:dyDescent="0.3">
      <c r="A59" s="270"/>
      <c r="B59" s="190"/>
      <c r="C59" s="157"/>
      <c r="D59" s="191"/>
      <c r="E59" s="191"/>
      <c r="F59" s="157"/>
      <c r="G59" s="479"/>
      <c r="H59" s="200"/>
      <c r="I59" s="160"/>
      <c r="J59" s="193"/>
      <c r="K59" s="160"/>
      <c r="L59" s="160"/>
    </row>
    <row r="60" spans="1:12" ht="13.8" x14ac:dyDescent="0.3">
      <c r="A60" s="270"/>
      <c r="B60" s="190"/>
      <c r="C60" s="157"/>
      <c r="D60" s="191"/>
      <c r="E60" s="191"/>
      <c r="F60" s="157"/>
      <c r="G60" s="479"/>
      <c r="H60" s="200"/>
      <c r="I60" s="160"/>
      <c r="J60" s="193"/>
      <c r="K60" s="160"/>
      <c r="L60" s="160"/>
    </row>
    <row r="61" spans="1:12" ht="13.8" x14ac:dyDescent="0.3">
      <c r="A61" s="270"/>
      <c r="B61" s="190"/>
      <c r="C61" s="157"/>
      <c r="D61" s="191"/>
      <c r="E61" s="191"/>
      <c r="F61" s="157"/>
      <c r="G61" s="479"/>
      <c r="H61" s="200"/>
      <c r="I61" s="160"/>
      <c r="J61" s="193"/>
      <c r="K61" s="160"/>
      <c r="L61" s="160"/>
    </row>
    <row r="62" spans="1:12" ht="13.8" x14ac:dyDescent="0.3">
      <c r="A62" s="270"/>
      <c r="B62" s="190"/>
      <c r="C62" s="157"/>
      <c r="D62" s="191"/>
      <c r="E62" s="191"/>
      <c r="F62" s="157"/>
      <c r="G62" s="479"/>
      <c r="H62" s="200"/>
      <c r="I62" s="160"/>
      <c r="J62" s="193"/>
      <c r="K62" s="160"/>
      <c r="L62" s="160"/>
    </row>
    <row r="63" spans="1:12" ht="13.8" x14ac:dyDescent="0.3">
      <c r="A63" s="270"/>
      <c r="B63" s="190"/>
      <c r="C63" s="157"/>
      <c r="D63" s="191"/>
      <c r="E63" s="191"/>
      <c r="F63" s="157"/>
      <c r="G63" s="479"/>
      <c r="H63" s="200"/>
      <c r="I63" s="160"/>
      <c r="J63" s="193"/>
      <c r="K63" s="160"/>
      <c r="L63" s="160"/>
    </row>
    <row r="64" spans="1:12" ht="13.8" x14ac:dyDescent="0.3">
      <c r="A64" s="270"/>
      <c r="B64" s="190"/>
      <c r="C64" s="157"/>
      <c r="D64" s="191"/>
      <c r="E64" s="191"/>
      <c r="F64" s="157"/>
      <c r="G64" s="479"/>
      <c r="H64" s="200"/>
      <c r="I64" s="160"/>
      <c r="J64" s="193"/>
      <c r="K64" s="160"/>
      <c r="L64" s="160"/>
    </row>
    <row r="65" spans="1:12" ht="13.8" x14ac:dyDescent="0.3">
      <c r="A65" s="270"/>
      <c r="B65" s="190"/>
      <c r="C65" s="157"/>
      <c r="D65" s="191"/>
      <c r="E65" s="191"/>
      <c r="F65" s="157"/>
      <c r="G65" s="479"/>
      <c r="H65" s="200"/>
      <c r="I65" s="160"/>
      <c r="J65" s="193"/>
      <c r="K65" s="160"/>
      <c r="L65" s="160"/>
    </row>
    <row r="66" spans="1:12" ht="13.8" x14ac:dyDescent="0.3">
      <c r="A66" s="270"/>
      <c r="B66" s="190"/>
      <c r="C66" s="157"/>
      <c r="D66" s="191"/>
      <c r="E66" s="191"/>
      <c r="F66" s="157"/>
      <c r="G66" s="479"/>
      <c r="H66" s="200"/>
      <c r="I66" s="160"/>
      <c r="J66" s="193"/>
      <c r="K66" s="160"/>
      <c r="L66" s="160"/>
    </row>
    <row r="67" spans="1:12" ht="13.8" x14ac:dyDescent="0.3">
      <c r="A67" s="270"/>
      <c r="B67" s="190"/>
      <c r="C67" s="157"/>
      <c r="D67" s="191"/>
      <c r="E67" s="191"/>
      <c r="F67" s="157"/>
      <c r="G67" s="479"/>
      <c r="H67" s="200"/>
      <c r="I67" s="160"/>
      <c r="J67" s="193"/>
      <c r="K67" s="160"/>
      <c r="L67" s="160"/>
    </row>
    <row r="68" spans="1:12" ht="13.8" x14ac:dyDescent="0.3">
      <c r="A68" s="270"/>
      <c r="B68" s="190"/>
      <c r="C68" s="157"/>
      <c r="D68" s="191"/>
      <c r="E68" s="191"/>
      <c r="F68" s="157"/>
      <c r="G68" s="479"/>
      <c r="H68" s="200"/>
      <c r="I68" s="160"/>
      <c r="J68" s="193"/>
      <c r="K68" s="160"/>
      <c r="L68" s="160"/>
    </row>
    <row r="69" spans="1:12" ht="13.8" x14ac:dyDescent="0.3">
      <c r="A69" s="270"/>
      <c r="B69" s="190"/>
      <c r="C69" s="157"/>
      <c r="D69" s="191"/>
      <c r="E69" s="191"/>
      <c r="F69" s="157"/>
      <c r="G69" s="479"/>
      <c r="H69" s="200"/>
      <c r="I69" s="160"/>
      <c r="J69" s="193"/>
      <c r="K69" s="160"/>
      <c r="L69" s="160"/>
    </row>
    <row r="70" spans="1:12" ht="13.8" x14ac:dyDescent="0.3">
      <c r="A70" s="270"/>
      <c r="B70" s="190"/>
      <c r="C70" s="157"/>
      <c r="D70" s="191"/>
      <c r="E70" s="191"/>
      <c r="F70" s="157"/>
      <c r="G70" s="479"/>
      <c r="H70" s="200"/>
      <c r="I70" s="160"/>
      <c r="J70" s="193"/>
      <c r="K70" s="160"/>
      <c r="L70" s="160"/>
    </row>
    <row r="71" spans="1:12" ht="13.8" x14ac:dyDescent="0.3">
      <c r="A71" s="270"/>
      <c r="B71" s="190"/>
      <c r="C71" s="157"/>
      <c r="D71" s="191"/>
      <c r="E71" s="191"/>
      <c r="F71" s="157"/>
      <c r="G71" s="479"/>
      <c r="H71" s="200"/>
      <c r="I71" s="160"/>
      <c r="J71" s="193"/>
      <c r="K71" s="160"/>
      <c r="L71" s="160"/>
    </row>
    <row r="72" spans="1:12" ht="13.8" x14ac:dyDescent="0.3">
      <c r="A72" s="270"/>
      <c r="B72" s="190"/>
      <c r="C72" s="157"/>
      <c r="D72" s="191"/>
      <c r="E72" s="191"/>
      <c r="F72" s="157"/>
      <c r="G72" s="479"/>
      <c r="H72" s="200"/>
      <c r="I72" s="160"/>
      <c r="J72" s="193"/>
      <c r="K72" s="160"/>
      <c r="L72" s="160"/>
    </row>
    <row r="73" spans="1:12" ht="13.8" x14ac:dyDescent="0.3">
      <c r="A73" s="270"/>
      <c r="B73" s="190"/>
      <c r="C73" s="157"/>
      <c r="D73" s="191"/>
      <c r="E73" s="191"/>
      <c r="F73" s="157"/>
      <c r="G73" s="479"/>
      <c r="H73" s="200"/>
      <c r="I73" s="160"/>
      <c r="J73" s="193"/>
      <c r="K73" s="160"/>
      <c r="L73" s="160"/>
    </row>
    <row r="74" spans="1:12" ht="13.8" x14ac:dyDescent="0.3">
      <c r="A74" s="270"/>
      <c r="B74" s="190"/>
      <c r="C74" s="157"/>
      <c r="D74" s="191"/>
      <c r="E74" s="191"/>
      <c r="F74" s="157"/>
      <c r="G74" s="479"/>
      <c r="H74" s="200"/>
      <c r="I74" s="160"/>
      <c r="J74" s="193"/>
      <c r="K74" s="160"/>
      <c r="L74" s="160"/>
    </row>
    <row r="75" spans="1:12" ht="13.8" x14ac:dyDescent="0.3">
      <c r="A75" s="270"/>
      <c r="B75" s="190"/>
      <c r="C75" s="157"/>
      <c r="D75" s="191"/>
      <c r="E75" s="191"/>
      <c r="F75" s="157"/>
      <c r="G75" s="479"/>
      <c r="H75" s="200"/>
      <c r="I75" s="160"/>
      <c r="J75" s="193"/>
      <c r="K75" s="160"/>
      <c r="L75" s="160"/>
    </row>
    <row r="76" spans="1:12" ht="13.8" x14ac:dyDescent="0.3">
      <c r="A76" s="270"/>
      <c r="B76" s="190"/>
      <c r="C76" s="157"/>
      <c r="D76" s="191"/>
      <c r="E76" s="191"/>
      <c r="F76" s="157"/>
      <c r="G76" s="479"/>
      <c r="H76" s="200"/>
      <c r="I76" s="160"/>
      <c r="J76" s="193"/>
      <c r="K76" s="160"/>
      <c r="L76" s="160"/>
    </row>
    <row r="77" spans="1:12" ht="13.8" x14ac:dyDescent="0.3">
      <c r="A77" s="270"/>
      <c r="B77" s="190"/>
      <c r="C77" s="157"/>
      <c r="D77" s="191"/>
      <c r="E77" s="191"/>
      <c r="F77" s="157"/>
      <c r="G77" s="479"/>
      <c r="H77" s="200"/>
      <c r="I77" s="160"/>
      <c r="J77" s="193"/>
      <c r="K77" s="160"/>
      <c r="L77" s="160"/>
    </row>
    <row r="78" spans="1:12" ht="13.8" x14ac:dyDescent="0.3">
      <c r="A78" s="270"/>
      <c r="B78" s="190"/>
      <c r="C78" s="157"/>
      <c r="D78" s="191"/>
      <c r="E78" s="191"/>
      <c r="F78" s="157"/>
      <c r="G78" s="479"/>
      <c r="H78" s="200"/>
      <c r="I78" s="160"/>
      <c r="J78" s="193"/>
      <c r="K78" s="160"/>
      <c r="L78" s="160"/>
    </row>
    <row r="79" spans="1:12" ht="13.8" x14ac:dyDescent="0.3">
      <c r="A79" s="270"/>
      <c r="B79" s="190"/>
      <c r="C79" s="157"/>
      <c r="D79" s="191"/>
      <c r="E79" s="191"/>
      <c r="F79" s="157"/>
      <c r="G79" s="479"/>
      <c r="H79" s="200"/>
      <c r="I79" s="160"/>
      <c r="J79" s="193"/>
      <c r="K79" s="160"/>
      <c r="L79" s="160"/>
    </row>
    <row r="80" spans="1:12" ht="13.8" x14ac:dyDescent="0.3">
      <c r="A80" s="270"/>
      <c r="B80" s="190"/>
      <c r="C80" s="157"/>
      <c r="D80" s="191"/>
      <c r="E80" s="191"/>
      <c r="F80" s="157"/>
      <c r="G80" s="479"/>
      <c r="H80" s="200"/>
      <c r="I80" s="160"/>
      <c r="J80" s="193"/>
      <c r="K80" s="160"/>
      <c r="L80" s="160"/>
    </row>
    <row r="81" spans="1:12" ht="13.8" x14ac:dyDescent="0.3">
      <c r="A81" s="270"/>
      <c r="B81" s="190"/>
      <c r="C81" s="157"/>
      <c r="D81" s="191"/>
      <c r="E81" s="191"/>
      <c r="F81" s="157"/>
      <c r="G81" s="479"/>
      <c r="H81" s="200"/>
      <c r="I81" s="160"/>
      <c r="J81" s="193"/>
      <c r="K81" s="160"/>
      <c r="L81" s="160"/>
    </row>
    <row r="82" spans="1:12" ht="13.8" x14ac:dyDescent="0.3">
      <c r="A82" s="270"/>
      <c r="B82" s="190"/>
      <c r="C82" s="157"/>
      <c r="D82" s="191"/>
      <c r="E82" s="191"/>
      <c r="F82" s="157"/>
      <c r="G82" s="479"/>
      <c r="H82" s="200"/>
      <c r="I82" s="160"/>
      <c r="J82" s="193"/>
      <c r="K82" s="160"/>
      <c r="L82" s="160"/>
    </row>
    <row r="83" spans="1:12" x14ac:dyDescent="0.25">
      <c r="C83" s="36"/>
      <c r="D83" s="201"/>
      <c r="E83" s="201"/>
    </row>
    <row r="84" spans="1:12" x14ac:dyDescent="0.25">
      <c r="C84" s="36"/>
      <c r="D84" s="201"/>
      <c r="E84" s="201"/>
    </row>
    <row r="85" spans="1:12" x14ac:dyDescent="0.25">
      <c r="C85" s="36"/>
      <c r="D85" s="201"/>
      <c r="E85" s="201"/>
    </row>
    <row r="86" spans="1:12" x14ac:dyDescent="0.25">
      <c r="C86" s="36"/>
      <c r="D86" s="201"/>
      <c r="E86" s="201"/>
    </row>
    <row r="87" spans="1:12" x14ac:dyDescent="0.25">
      <c r="C87" s="36"/>
      <c r="D87" s="201"/>
      <c r="E87" s="201"/>
    </row>
    <row r="88" spans="1:12" x14ac:dyDescent="0.25">
      <c r="C88" s="36"/>
      <c r="D88" s="201"/>
      <c r="E88" s="201"/>
    </row>
    <row r="92" spans="1:12" ht="24.6" x14ac:dyDescent="0.25">
      <c r="A92" s="730"/>
      <c r="B92" s="730"/>
      <c r="C92" s="730"/>
      <c r="D92" s="730"/>
      <c r="E92" s="730"/>
      <c r="F92" s="730"/>
      <c r="G92" s="730"/>
      <c r="H92" s="168"/>
    </row>
    <row r="93" spans="1:12" x14ac:dyDescent="0.25">
      <c r="F93" s="126"/>
      <c r="G93" s="470"/>
      <c r="H93" s="170"/>
    </row>
    <row r="94" spans="1:12" x14ac:dyDescent="0.25">
      <c r="A94" s="266"/>
      <c r="B94" s="17"/>
      <c r="F94" s="259"/>
      <c r="G94" s="470"/>
      <c r="H94" s="170"/>
    </row>
    <row r="96" spans="1:12" ht="3" customHeight="1" x14ac:dyDescent="0.25"/>
    <row r="98" spans="1:8" ht="3" customHeight="1" x14ac:dyDescent="0.25"/>
    <row r="99" spans="1:8" ht="13.5" customHeight="1" x14ac:dyDescent="0.25">
      <c r="A99" s="267"/>
      <c r="B99" s="2"/>
      <c r="C99" s="174"/>
      <c r="D99" s="174"/>
      <c r="E99" s="174"/>
      <c r="F99" s="201"/>
    </row>
    <row r="100" spans="1:8" ht="3" customHeight="1" x14ac:dyDescent="0.25"/>
    <row r="102" spans="1:8" ht="3" customHeight="1" x14ac:dyDescent="0.25"/>
    <row r="103" spans="1:8" x14ac:dyDescent="0.25">
      <c r="G103" s="470"/>
      <c r="H103" s="170"/>
    </row>
    <row r="104" spans="1:8" ht="3" customHeight="1" x14ac:dyDescent="0.25"/>
    <row r="109" spans="1:8" x14ac:dyDescent="0.25">
      <c r="A109" s="266"/>
      <c r="B109" s="17"/>
      <c r="C109" s="17"/>
      <c r="D109" s="202"/>
      <c r="E109" s="202"/>
      <c r="F109" s="259"/>
      <c r="G109" s="470"/>
      <c r="H109" s="170"/>
    </row>
    <row r="110" spans="1:8" x14ac:dyDescent="0.25">
      <c r="C110" s="36"/>
      <c r="D110" s="201"/>
      <c r="E110" s="201"/>
    </row>
    <row r="111" spans="1:8" x14ac:dyDescent="0.25">
      <c r="C111" s="36"/>
      <c r="D111" s="201"/>
      <c r="E111" s="201"/>
    </row>
    <row r="112" spans="1:8" x14ac:dyDescent="0.25">
      <c r="C112" s="36"/>
      <c r="D112" s="201"/>
      <c r="E112" s="201"/>
    </row>
    <row r="113" spans="3:5" x14ac:dyDescent="0.25">
      <c r="C113" s="36"/>
      <c r="D113" s="201"/>
      <c r="E113" s="201"/>
    </row>
    <row r="114" spans="3:5" x14ac:dyDescent="0.25">
      <c r="C114" s="36"/>
      <c r="D114" s="201"/>
      <c r="E114" s="201"/>
    </row>
    <row r="115" spans="3:5" x14ac:dyDescent="0.25">
      <c r="C115" s="36"/>
      <c r="D115" s="201"/>
      <c r="E115" s="201"/>
    </row>
    <row r="116" spans="3:5" x14ac:dyDescent="0.25">
      <c r="C116" s="36"/>
      <c r="D116" s="201"/>
      <c r="E116" s="201"/>
    </row>
    <row r="117" spans="3:5" x14ac:dyDescent="0.25">
      <c r="C117" s="36"/>
      <c r="D117" s="201"/>
      <c r="E117" s="201"/>
    </row>
    <row r="118" spans="3:5" x14ac:dyDescent="0.25">
      <c r="C118" s="36"/>
      <c r="D118" s="201"/>
      <c r="E118" s="201"/>
    </row>
    <row r="119" spans="3:5" x14ac:dyDescent="0.25">
      <c r="C119" s="36"/>
      <c r="D119" s="201"/>
      <c r="E119" s="201"/>
    </row>
    <row r="120" spans="3:5" x14ac:dyDescent="0.25">
      <c r="C120" s="36"/>
      <c r="D120" s="201"/>
      <c r="E120" s="201"/>
    </row>
    <row r="121" spans="3:5" x14ac:dyDescent="0.25">
      <c r="C121" s="36"/>
      <c r="D121" s="201"/>
      <c r="E121" s="201"/>
    </row>
    <row r="122" spans="3:5" x14ac:dyDescent="0.25">
      <c r="C122" s="36"/>
      <c r="D122" s="201"/>
      <c r="E122" s="201"/>
    </row>
    <row r="123" spans="3:5" x14ac:dyDescent="0.25">
      <c r="C123" s="36"/>
      <c r="D123" s="201"/>
      <c r="E123" s="201"/>
    </row>
    <row r="124" spans="3:5" x14ac:dyDescent="0.25">
      <c r="C124" s="36"/>
      <c r="D124" s="201"/>
      <c r="E124" s="201"/>
    </row>
    <row r="125" spans="3:5" x14ac:dyDescent="0.25">
      <c r="C125" s="36"/>
      <c r="D125" s="201"/>
      <c r="E125" s="201"/>
    </row>
    <row r="126" spans="3:5" x14ac:dyDescent="0.25">
      <c r="C126" s="36"/>
      <c r="D126" s="201"/>
      <c r="E126" s="201"/>
    </row>
    <row r="127" spans="3:5" x14ac:dyDescent="0.25">
      <c r="C127" s="36"/>
      <c r="D127" s="201"/>
      <c r="E127" s="201"/>
    </row>
    <row r="128" spans="3:5" x14ac:dyDescent="0.25">
      <c r="C128" s="36"/>
      <c r="D128" s="201"/>
      <c r="E128" s="201"/>
    </row>
    <row r="129" spans="3:5" x14ac:dyDescent="0.25">
      <c r="C129" s="36"/>
      <c r="D129" s="201"/>
      <c r="E129" s="201"/>
    </row>
    <row r="130" spans="3:5" x14ac:dyDescent="0.25">
      <c r="C130" s="36"/>
      <c r="D130" s="201"/>
      <c r="E130" s="201"/>
    </row>
    <row r="131" spans="3:5" x14ac:dyDescent="0.25">
      <c r="C131" s="36"/>
      <c r="D131" s="201"/>
      <c r="E131" s="201"/>
    </row>
    <row r="132" spans="3:5" x14ac:dyDescent="0.25">
      <c r="C132" s="36"/>
      <c r="D132" s="201"/>
      <c r="E132" s="201"/>
    </row>
    <row r="133" spans="3:5" x14ac:dyDescent="0.25">
      <c r="C133" s="36"/>
      <c r="D133" s="201"/>
      <c r="E133" s="201"/>
    </row>
    <row r="134" spans="3:5" x14ac:dyDescent="0.25">
      <c r="C134" s="36"/>
      <c r="D134" s="201"/>
      <c r="E134" s="201"/>
    </row>
    <row r="135" spans="3:5" x14ac:dyDescent="0.25">
      <c r="C135" s="36"/>
      <c r="D135" s="201"/>
      <c r="E135" s="201"/>
    </row>
    <row r="136" spans="3:5" x14ac:dyDescent="0.25">
      <c r="C136" s="36"/>
      <c r="D136" s="201"/>
      <c r="E136" s="201"/>
    </row>
    <row r="137" spans="3:5" x14ac:dyDescent="0.25">
      <c r="C137" s="36"/>
      <c r="D137" s="201"/>
      <c r="E137" s="201"/>
    </row>
    <row r="138" spans="3:5" x14ac:dyDescent="0.25">
      <c r="C138" s="36"/>
      <c r="D138" s="201"/>
      <c r="E138" s="201"/>
    </row>
    <row r="139" spans="3:5" x14ac:dyDescent="0.25">
      <c r="C139" s="36"/>
      <c r="D139" s="201"/>
      <c r="E139" s="201"/>
    </row>
    <row r="140" spans="3:5" x14ac:dyDescent="0.25">
      <c r="C140" s="36"/>
      <c r="D140" s="201"/>
      <c r="E140" s="201"/>
    </row>
    <row r="141" spans="3:5" x14ac:dyDescent="0.25">
      <c r="C141" s="36"/>
      <c r="D141" s="201"/>
      <c r="E141" s="201"/>
    </row>
    <row r="142" spans="3:5" x14ac:dyDescent="0.25">
      <c r="C142" s="36"/>
      <c r="D142" s="201"/>
      <c r="E142" s="201"/>
    </row>
    <row r="143" spans="3:5" x14ac:dyDescent="0.25">
      <c r="C143" s="36"/>
      <c r="D143" s="201"/>
      <c r="E143" s="201"/>
    </row>
    <row r="144" spans="3:5" x14ac:dyDescent="0.25">
      <c r="C144" s="36"/>
      <c r="D144" s="201"/>
      <c r="E144" s="201"/>
    </row>
    <row r="145" spans="3:5" x14ac:dyDescent="0.25">
      <c r="C145" s="36"/>
      <c r="D145" s="201"/>
      <c r="E145" s="201"/>
    </row>
    <row r="146" spans="3:5" x14ac:dyDescent="0.25">
      <c r="C146" s="36"/>
      <c r="D146" s="201"/>
      <c r="E146" s="201"/>
    </row>
    <row r="147" spans="3:5" x14ac:dyDescent="0.25">
      <c r="C147" s="36"/>
      <c r="D147" s="201"/>
      <c r="E147" s="201"/>
    </row>
    <row r="148" spans="3:5" x14ac:dyDescent="0.25">
      <c r="C148" s="36"/>
      <c r="D148" s="201"/>
      <c r="E148" s="201"/>
    </row>
    <row r="149" spans="3:5" x14ac:dyDescent="0.25">
      <c r="C149" s="36"/>
      <c r="D149" s="201"/>
      <c r="E149" s="201"/>
    </row>
    <row r="150" spans="3:5" x14ac:dyDescent="0.25">
      <c r="C150" s="36"/>
      <c r="D150" s="201"/>
      <c r="E150" s="201"/>
    </row>
    <row r="151" spans="3:5" x14ac:dyDescent="0.25">
      <c r="C151" s="36"/>
      <c r="D151" s="201"/>
      <c r="E151" s="201"/>
    </row>
    <row r="152" spans="3:5" x14ac:dyDescent="0.25">
      <c r="C152" s="36"/>
      <c r="D152" s="201"/>
      <c r="E152" s="201"/>
    </row>
    <row r="153" spans="3:5" x14ac:dyDescent="0.25">
      <c r="C153" s="36"/>
      <c r="D153" s="201"/>
      <c r="E153" s="201"/>
    </row>
    <row r="154" spans="3:5" x14ac:dyDescent="0.25">
      <c r="C154" s="36"/>
      <c r="D154" s="201"/>
      <c r="E154" s="201"/>
    </row>
    <row r="155" spans="3:5" x14ac:dyDescent="0.25">
      <c r="C155" s="36"/>
      <c r="D155" s="201"/>
      <c r="E155" s="201"/>
    </row>
    <row r="156" spans="3:5" x14ac:dyDescent="0.25">
      <c r="C156" s="36"/>
      <c r="D156" s="201"/>
      <c r="E156" s="201"/>
    </row>
    <row r="157" spans="3:5" x14ac:dyDescent="0.25">
      <c r="C157" s="36"/>
      <c r="D157" s="201"/>
      <c r="E157" s="201"/>
    </row>
    <row r="158" spans="3:5" x14ac:dyDescent="0.25">
      <c r="C158" s="36"/>
      <c r="D158" s="201"/>
      <c r="E158" s="201"/>
    </row>
    <row r="163" spans="1:8" ht="24.6" x14ac:dyDescent="0.25">
      <c r="A163" s="730"/>
      <c r="B163" s="730"/>
      <c r="C163" s="730"/>
      <c r="D163" s="730"/>
      <c r="E163" s="730"/>
      <c r="F163" s="730"/>
      <c r="G163" s="730"/>
      <c r="H163" s="168"/>
    </row>
    <row r="164" spans="1:8" x14ac:dyDescent="0.25">
      <c r="F164" s="126"/>
      <c r="G164" s="470"/>
      <c r="H164" s="170"/>
    </row>
    <row r="165" spans="1:8" x14ac:dyDescent="0.25">
      <c r="A165" s="266"/>
      <c r="B165" s="17"/>
      <c r="F165" s="259"/>
      <c r="G165" s="470"/>
      <c r="H165" s="170"/>
    </row>
    <row r="167" spans="1:8" ht="3" customHeight="1" x14ac:dyDescent="0.25"/>
    <row r="169" spans="1:8" ht="3" customHeight="1" x14ac:dyDescent="0.25"/>
    <row r="170" spans="1:8" ht="12.75" customHeight="1" x14ac:dyDescent="0.25">
      <c r="A170" s="267"/>
      <c r="B170" s="2"/>
      <c r="C170" s="174"/>
      <c r="D170" s="174"/>
      <c r="E170" s="174"/>
      <c r="F170" s="201"/>
    </row>
    <row r="171" spans="1:8" ht="3" customHeight="1" x14ac:dyDescent="0.25"/>
    <row r="173" spans="1:8" ht="3" customHeight="1" x14ac:dyDescent="0.25"/>
    <row r="174" spans="1:8" x14ac:dyDescent="0.25">
      <c r="G174" s="470"/>
      <c r="H174" s="170"/>
    </row>
    <row r="175" spans="1:8" ht="3" customHeight="1" x14ac:dyDescent="0.25"/>
    <row r="180" spans="1:8" x14ac:dyDescent="0.25">
      <c r="A180" s="266"/>
      <c r="B180" s="17"/>
      <c r="C180" s="17"/>
      <c r="D180" s="202"/>
      <c r="E180" s="202"/>
      <c r="F180" s="259"/>
      <c r="G180" s="470"/>
      <c r="H180" s="170"/>
    </row>
    <row r="181" spans="1:8" x14ac:dyDescent="0.25">
      <c r="C181" s="36"/>
      <c r="D181" s="201"/>
      <c r="E181" s="201"/>
    </row>
    <row r="182" spans="1:8" x14ac:dyDescent="0.25">
      <c r="C182" s="36"/>
      <c r="D182" s="201"/>
      <c r="E182" s="201"/>
    </row>
    <row r="183" spans="1:8" x14ac:dyDescent="0.25">
      <c r="C183" s="36"/>
      <c r="D183" s="201"/>
      <c r="E183" s="201"/>
    </row>
    <row r="184" spans="1:8" x14ac:dyDescent="0.25">
      <c r="C184" s="36"/>
      <c r="D184" s="201"/>
      <c r="E184" s="201"/>
    </row>
    <row r="185" spans="1:8" x14ac:dyDescent="0.25">
      <c r="C185" s="36"/>
      <c r="D185" s="201"/>
      <c r="E185" s="201"/>
    </row>
    <row r="186" spans="1:8" x14ac:dyDescent="0.25">
      <c r="C186" s="36"/>
      <c r="D186" s="201"/>
      <c r="E186" s="201"/>
    </row>
    <row r="187" spans="1:8" x14ac:dyDescent="0.25">
      <c r="C187" s="36"/>
      <c r="D187" s="201"/>
      <c r="E187" s="201"/>
    </row>
    <row r="188" spans="1:8" x14ac:dyDescent="0.25">
      <c r="C188" s="36"/>
      <c r="D188" s="201"/>
      <c r="E188" s="201"/>
    </row>
    <row r="189" spans="1:8" x14ac:dyDescent="0.25">
      <c r="C189" s="36"/>
      <c r="D189" s="201"/>
      <c r="E189" s="201"/>
    </row>
    <row r="190" spans="1:8" x14ac:dyDescent="0.25">
      <c r="C190" s="36"/>
      <c r="D190" s="201"/>
      <c r="E190" s="201"/>
    </row>
    <row r="191" spans="1:8" x14ac:dyDescent="0.25">
      <c r="C191" s="36"/>
      <c r="D191" s="201"/>
      <c r="E191" s="201"/>
    </row>
    <row r="192" spans="1:8" x14ac:dyDescent="0.25">
      <c r="C192" s="36"/>
      <c r="D192" s="201"/>
      <c r="E192" s="201"/>
    </row>
    <row r="193" spans="3:5" x14ac:dyDescent="0.25">
      <c r="C193" s="36"/>
      <c r="D193" s="201"/>
      <c r="E193" s="201"/>
    </row>
    <row r="194" spans="3:5" x14ac:dyDescent="0.25">
      <c r="C194" s="36"/>
      <c r="D194" s="201"/>
      <c r="E194" s="201"/>
    </row>
    <row r="195" spans="3:5" x14ac:dyDescent="0.25">
      <c r="C195" s="36"/>
      <c r="D195" s="201"/>
      <c r="E195" s="201"/>
    </row>
    <row r="196" spans="3:5" x14ac:dyDescent="0.25">
      <c r="C196" s="36"/>
      <c r="D196" s="201"/>
      <c r="E196" s="201"/>
    </row>
    <row r="197" spans="3:5" x14ac:dyDescent="0.25">
      <c r="C197" s="36"/>
      <c r="D197" s="201"/>
      <c r="E197" s="201"/>
    </row>
    <row r="198" spans="3:5" x14ac:dyDescent="0.25">
      <c r="C198" s="36"/>
      <c r="D198" s="201"/>
      <c r="E198" s="201"/>
    </row>
    <row r="199" spans="3:5" x14ac:dyDescent="0.25">
      <c r="C199" s="36"/>
      <c r="D199" s="201"/>
      <c r="E199" s="201"/>
    </row>
    <row r="200" spans="3:5" x14ac:dyDescent="0.25">
      <c r="C200" s="36"/>
      <c r="D200" s="201"/>
      <c r="E200" s="201"/>
    </row>
    <row r="201" spans="3:5" x14ac:dyDescent="0.25">
      <c r="C201" s="36"/>
      <c r="D201" s="201"/>
      <c r="E201" s="201"/>
    </row>
    <row r="202" spans="3:5" x14ac:dyDescent="0.25">
      <c r="C202" s="36"/>
      <c r="D202" s="201"/>
      <c r="E202" s="201"/>
    </row>
    <row r="203" spans="3:5" x14ac:dyDescent="0.25">
      <c r="C203" s="36"/>
      <c r="D203" s="201"/>
      <c r="E203" s="201"/>
    </row>
    <row r="204" spans="3:5" x14ac:dyDescent="0.25">
      <c r="C204" s="36"/>
      <c r="D204" s="201"/>
      <c r="E204" s="201"/>
    </row>
    <row r="205" spans="3:5" x14ac:dyDescent="0.25">
      <c r="C205" s="36"/>
      <c r="D205" s="201"/>
      <c r="E205" s="201"/>
    </row>
    <row r="206" spans="3:5" x14ac:dyDescent="0.25">
      <c r="C206" s="36"/>
      <c r="D206" s="201"/>
      <c r="E206" s="201"/>
    </row>
    <row r="207" spans="3:5" x14ac:dyDescent="0.25">
      <c r="C207" s="36"/>
      <c r="D207" s="201"/>
      <c r="E207" s="201"/>
    </row>
    <row r="208" spans="3:5" x14ac:dyDescent="0.25">
      <c r="C208" s="36"/>
      <c r="D208" s="201"/>
      <c r="E208" s="201"/>
    </row>
    <row r="209" spans="3:5" x14ac:dyDescent="0.25">
      <c r="C209" s="36"/>
      <c r="D209" s="201"/>
      <c r="E209" s="201"/>
    </row>
    <row r="210" spans="3:5" x14ac:dyDescent="0.25">
      <c r="C210" s="36"/>
      <c r="D210" s="201"/>
      <c r="E210" s="201"/>
    </row>
    <row r="211" spans="3:5" x14ac:dyDescent="0.25">
      <c r="C211" s="36"/>
      <c r="D211" s="201"/>
      <c r="E211" s="201"/>
    </row>
    <row r="212" spans="3:5" x14ac:dyDescent="0.25">
      <c r="C212" s="36"/>
      <c r="D212" s="201"/>
      <c r="E212" s="201"/>
    </row>
    <row r="213" spans="3:5" x14ac:dyDescent="0.25">
      <c r="C213" s="36"/>
      <c r="D213" s="201"/>
      <c r="E213" s="201"/>
    </row>
    <row r="214" spans="3:5" x14ac:dyDescent="0.25">
      <c r="C214" s="36"/>
      <c r="D214" s="201"/>
      <c r="E214" s="201"/>
    </row>
    <row r="215" spans="3:5" x14ac:dyDescent="0.25">
      <c r="C215" s="36"/>
      <c r="D215" s="201"/>
      <c r="E215" s="201"/>
    </row>
    <row r="216" spans="3:5" x14ac:dyDescent="0.25">
      <c r="C216" s="36"/>
      <c r="D216" s="201"/>
      <c r="E216" s="201"/>
    </row>
    <row r="217" spans="3:5" x14ac:dyDescent="0.25">
      <c r="C217" s="36"/>
      <c r="D217" s="201"/>
      <c r="E217" s="201"/>
    </row>
    <row r="218" spans="3:5" x14ac:dyDescent="0.25">
      <c r="C218" s="36"/>
      <c r="D218" s="201"/>
      <c r="E218" s="201"/>
    </row>
    <row r="219" spans="3:5" x14ac:dyDescent="0.25">
      <c r="C219" s="36"/>
      <c r="D219" s="201"/>
      <c r="E219" s="201"/>
    </row>
    <row r="220" spans="3:5" x14ac:dyDescent="0.25">
      <c r="C220" s="36"/>
      <c r="D220" s="201"/>
      <c r="E220" s="201"/>
    </row>
    <row r="221" spans="3:5" x14ac:dyDescent="0.25">
      <c r="C221" s="36"/>
      <c r="D221" s="201"/>
      <c r="E221" s="201"/>
    </row>
    <row r="222" spans="3:5" x14ac:dyDescent="0.25">
      <c r="C222" s="36"/>
      <c r="D222" s="201"/>
      <c r="E222" s="201"/>
    </row>
    <row r="223" spans="3:5" x14ac:dyDescent="0.25">
      <c r="C223" s="36"/>
      <c r="D223" s="201"/>
      <c r="E223" s="201"/>
    </row>
    <row r="224" spans="3:5" x14ac:dyDescent="0.25">
      <c r="C224" s="36"/>
      <c r="D224" s="201"/>
      <c r="E224" s="201"/>
    </row>
    <row r="225" spans="3:5" x14ac:dyDescent="0.25">
      <c r="C225" s="36"/>
      <c r="D225" s="201"/>
      <c r="E225" s="201"/>
    </row>
    <row r="226" spans="3:5" x14ac:dyDescent="0.25">
      <c r="C226" s="36"/>
      <c r="D226" s="201"/>
      <c r="E226" s="201"/>
    </row>
    <row r="227" spans="3:5" x14ac:dyDescent="0.25">
      <c r="C227" s="36"/>
      <c r="D227" s="201"/>
      <c r="E227" s="201"/>
    </row>
    <row r="228" spans="3:5" x14ac:dyDescent="0.25">
      <c r="C228" s="36"/>
      <c r="D228" s="201"/>
      <c r="E228" s="201"/>
    </row>
    <row r="229" spans="3:5" x14ac:dyDescent="0.25">
      <c r="C229" s="36"/>
      <c r="D229" s="201"/>
      <c r="E229" s="201"/>
    </row>
  </sheetData>
  <autoFilter ref="A10:W29" xr:uid="{00000000-0009-0000-0000-000005000000}"/>
  <mergeCells count="4">
    <mergeCell ref="A1:G1"/>
    <mergeCell ref="A33:G33"/>
    <mergeCell ref="A92:G92"/>
    <mergeCell ref="A163:G163"/>
  </mergeCells>
  <phoneticPr fontId="10" type="noConversion"/>
  <pageMargins left="0.25" right="0.25" top="0.75" bottom="0.75" header="0.511811023622047" footer="0.511811023622047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A8D9-DC6A-403C-B392-755404476554}">
  <sheetPr>
    <tabColor rgb="FFFFFF99"/>
    <pageSetUpPr fitToPage="1"/>
  </sheetPr>
  <dimension ref="A4:JD42"/>
  <sheetViews>
    <sheetView view="pageBreakPreview" topLeftCell="A6" zoomScale="41" zoomScaleNormal="100" zoomScaleSheetLayoutView="41" zoomScalePageLayoutView="40" workbookViewId="0">
      <pane xSplit="3" ySplit="4" topLeftCell="J10" activePane="bottomRight" state="frozen"/>
      <selection activeCell="A6" sqref="A6"/>
      <selection pane="topRight" activeCell="D6" sqref="D6"/>
      <selection pane="bottomLeft" activeCell="A10" sqref="A10"/>
      <selection pane="bottomRight" activeCell="AA21" sqref="AA21"/>
    </sheetView>
  </sheetViews>
  <sheetFormatPr defaultColWidth="9.109375" defaultRowHeight="22.8" x14ac:dyDescent="0.25"/>
  <cols>
    <col min="1" max="2" width="10.6640625" style="705" customWidth="1"/>
    <col min="3" max="3" width="81" style="583" customWidth="1"/>
    <col min="4" max="5" width="21.44140625" style="706" hidden="1" customWidth="1"/>
    <col min="6" max="7" width="34.6640625" style="583" hidden="1" customWidth="1"/>
    <col min="8" max="8" width="39.33203125" style="707" hidden="1" customWidth="1"/>
    <col min="9" max="9" width="28.33203125" style="708" hidden="1" customWidth="1"/>
    <col min="10" max="12" width="28.33203125" style="708" customWidth="1"/>
    <col min="13" max="13" width="14.33203125" style="705" customWidth="1"/>
    <col min="14" max="14" width="31.6640625" style="709" customWidth="1"/>
    <col min="15" max="15" width="18.5546875" style="710" customWidth="1"/>
    <col min="16" max="16" width="25" style="708" customWidth="1"/>
    <col min="17" max="17" width="14.33203125" style="711" customWidth="1"/>
    <col min="18" max="18" width="17" style="708" customWidth="1"/>
    <col min="19" max="19" width="14.33203125" style="712" customWidth="1"/>
    <col min="20" max="20" width="25.109375" style="708" customWidth="1"/>
    <col min="21" max="21" width="16.88671875" style="583" hidden="1" customWidth="1"/>
    <col min="22" max="22" width="16.44140625" style="583" customWidth="1"/>
    <col min="23" max="23" width="14.33203125" style="583" customWidth="1"/>
    <col min="24" max="24" width="24.109375" style="583" customWidth="1"/>
    <col min="25" max="25" width="30.6640625" style="708" customWidth="1"/>
    <col min="26" max="26" width="29.88671875" style="708" customWidth="1"/>
    <col min="27" max="27" width="30.44140625" style="708" customWidth="1"/>
    <col min="28" max="28" width="12" style="583" customWidth="1"/>
    <col min="29" max="29" width="27.5546875" style="708" customWidth="1"/>
    <col min="30" max="30" width="27.44140625" style="708" customWidth="1"/>
    <col min="31" max="31" width="27.5546875" style="708" customWidth="1"/>
    <col min="32" max="32" width="31.44140625" style="708" customWidth="1"/>
    <col min="33" max="33" width="53.88671875" style="583" customWidth="1"/>
    <col min="34" max="35" width="30.6640625" style="708" customWidth="1"/>
    <col min="36" max="36" width="40.5546875" style="580" customWidth="1"/>
    <col min="37" max="37" width="21" style="581" customWidth="1"/>
    <col min="38" max="38" width="23" style="582" customWidth="1"/>
    <col min="40" max="264" width="9.109375" style="583"/>
  </cols>
  <sheetData>
    <row r="4" spans="1:39" ht="28.2" x14ac:dyDescent="0.25">
      <c r="A4" s="746" t="s">
        <v>100</v>
      </c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Z4" s="746"/>
      <c r="AA4" s="746"/>
      <c r="AB4" s="746"/>
      <c r="AC4" s="746"/>
      <c r="AD4" s="746"/>
      <c r="AE4" s="746"/>
      <c r="AF4" s="746"/>
      <c r="AG4" s="577"/>
      <c r="AH4" s="578" t="s">
        <v>101</v>
      </c>
      <c r="AI4" s="579"/>
    </row>
    <row r="5" spans="1:39" ht="28.2" x14ac:dyDescent="0.25">
      <c r="A5" s="526"/>
      <c r="B5" s="526"/>
      <c r="C5" s="584"/>
      <c r="D5" s="585"/>
      <c r="E5" s="585"/>
      <c r="F5" s="584"/>
      <c r="G5" s="584"/>
      <c r="H5" s="586"/>
      <c r="I5" s="587" t="s">
        <v>102</v>
      </c>
      <c r="J5" s="587"/>
      <c r="K5" s="587"/>
      <c r="L5" s="587"/>
      <c r="M5" s="588"/>
      <c r="N5" s="589" t="s">
        <v>103</v>
      </c>
      <c r="O5" s="590"/>
      <c r="P5" s="591"/>
      <c r="Q5" s="592"/>
      <c r="R5" s="587"/>
      <c r="S5" s="593"/>
      <c r="T5" s="591"/>
      <c r="U5" s="594"/>
      <c r="V5" s="595" t="s">
        <v>104</v>
      </c>
      <c r="W5" s="594"/>
      <c r="X5" s="596">
        <v>400122792</v>
      </c>
      <c r="Y5" s="589"/>
      <c r="Z5" s="589"/>
      <c r="AA5" s="591"/>
      <c r="AB5" s="595"/>
      <c r="AC5" s="591"/>
      <c r="AD5" s="591"/>
      <c r="AE5" s="591"/>
      <c r="AF5" s="591"/>
      <c r="AG5" s="597" t="s">
        <v>105</v>
      </c>
      <c r="AH5" s="598">
        <v>2025</v>
      </c>
      <c r="AI5" s="599"/>
    </row>
    <row r="6" spans="1:39" ht="33" x14ac:dyDescent="0.25">
      <c r="A6" s="600"/>
      <c r="B6" s="600"/>
      <c r="C6" s="601"/>
      <c r="D6" s="602"/>
      <c r="E6" s="602"/>
      <c r="F6" s="601"/>
      <c r="G6" s="601"/>
      <c r="H6" s="603"/>
      <c r="I6" s="587" t="s">
        <v>106</v>
      </c>
      <c r="J6" s="587" t="s">
        <v>106</v>
      </c>
      <c r="K6" s="587"/>
      <c r="L6" s="587"/>
      <c r="M6" s="588"/>
      <c r="N6" s="589" t="s">
        <v>107</v>
      </c>
      <c r="O6" s="590"/>
      <c r="P6" s="591"/>
      <c r="Q6" s="592"/>
      <c r="R6" s="587"/>
      <c r="S6" s="593"/>
      <c r="T6" s="591"/>
      <c r="U6" s="594"/>
      <c r="V6" s="595" t="s">
        <v>108</v>
      </c>
      <c r="W6" s="594"/>
      <c r="X6" s="584" t="s">
        <v>109</v>
      </c>
      <c r="Y6" s="591"/>
      <c r="Z6" s="591"/>
      <c r="AA6" s="591"/>
      <c r="AB6" s="594"/>
      <c r="AC6" s="591"/>
      <c r="AD6" s="591"/>
      <c r="AE6" s="591"/>
      <c r="AF6" s="591"/>
      <c r="AG6" s="604" t="s">
        <v>110</v>
      </c>
      <c r="AH6" s="605" t="s">
        <v>203</v>
      </c>
      <c r="AI6" s="599"/>
    </row>
    <row r="7" spans="1:39" ht="28.2" x14ac:dyDescent="0.25">
      <c r="A7" s="600"/>
      <c r="B7" s="600"/>
      <c r="C7" s="595"/>
      <c r="D7" s="606"/>
      <c r="E7" s="606"/>
      <c r="F7" s="595"/>
      <c r="G7" s="595"/>
      <c r="H7" s="603"/>
      <c r="I7" s="587"/>
      <c r="J7" s="587"/>
      <c r="K7" s="587"/>
      <c r="L7" s="587"/>
      <c r="M7" s="603"/>
      <c r="N7" s="607"/>
      <c r="O7" s="608"/>
      <c r="P7" s="591"/>
      <c r="Q7" s="592"/>
      <c r="R7" s="587"/>
      <c r="S7" s="593"/>
      <c r="T7" s="587"/>
      <c r="U7" s="595"/>
      <c r="V7" s="595"/>
      <c r="W7" s="595"/>
      <c r="X7" s="595"/>
      <c r="Y7" s="591"/>
      <c r="Z7" s="591"/>
      <c r="AA7" s="591"/>
      <c r="AB7" s="594"/>
      <c r="AC7" s="591"/>
      <c r="AD7" s="591"/>
      <c r="AE7" s="591"/>
      <c r="AF7" s="591"/>
      <c r="AG7" s="584"/>
      <c r="AH7" s="599"/>
      <c r="AI7" s="599"/>
    </row>
    <row r="8" spans="1:39" s="583" customFormat="1" ht="30.75" customHeight="1" x14ac:dyDescent="0.25">
      <c r="A8" s="747" t="s">
        <v>111</v>
      </c>
      <c r="B8" s="609"/>
      <c r="C8" s="747" t="s">
        <v>112</v>
      </c>
      <c r="D8" s="748" t="s">
        <v>113</v>
      </c>
      <c r="E8" s="748" t="s">
        <v>204</v>
      </c>
      <c r="F8" s="747" t="s">
        <v>114</v>
      </c>
      <c r="G8" s="609"/>
      <c r="H8" s="747" t="s">
        <v>115</v>
      </c>
      <c r="I8" s="747" t="s">
        <v>116</v>
      </c>
      <c r="J8" s="747"/>
      <c r="K8" s="747"/>
      <c r="L8" s="747"/>
      <c r="M8" s="747"/>
      <c r="N8" s="747"/>
      <c r="O8" s="747"/>
      <c r="P8" s="747"/>
      <c r="Q8" s="747"/>
      <c r="R8" s="747"/>
      <c r="S8" s="747"/>
      <c r="T8" s="747"/>
      <c r="U8" s="747"/>
      <c r="V8" s="747"/>
      <c r="W8" s="747"/>
      <c r="X8" s="747"/>
      <c r="Y8" s="747"/>
      <c r="Z8" s="609"/>
      <c r="AA8" s="747" t="s">
        <v>117</v>
      </c>
      <c r="AB8" s="747"/>
      <c r="AC8" s="747"/>
      <c r="AD8" s="747"/>
      <c r="AE8" s="747"/>
      <c r="AF8" s="610"/>
      <c r="AG8" s="611"/>
      <c r="AH8" s="610"/>
      <c r="AI8" s="612"/>
      <c r="AJ8" s="580"/>
      <c r="AK8" s="581"/>
      <c r="AL8" s="582"/>
    </row>
    <row r="9" spans="1:39" s="583" customFormat="1" ht="279.89999999999998" customHeight="1" x14ac:dyDescent="0.25">
      <c r="A9" s="747"/>
      <c r="B9" s="609"/>
      <c r="C9" s="747"/>
      <c r="D9" s="748"/>
      <c r="E9" s="748"/>
      <c r="F9" s="747"/>
      <c r="G9" s="609" t="s">
        <v>205</v>
      </c>
      <c r="H9" s="747"/>
      <c r="I9" s="613" t="s">
        <v>118</v>
      </c>
      <c r="J9" s="611">
        <v>2025</v>
      </c>
      <c r="K9" s="613" t="s">
        <v>119</v>
      </c>
      <c r="L9" s="613" t="s">
        <v>120</v>
      </c>
      <c r="M9" s="611" t="s">
        <v>121</v>
      </c>
      <c r="N9" s="613" t="s">
        <v>122</v>
      </c>
      <c r="O9" s="614" t="s">
        <v>123</v>
      </c>
      <c r="P9" s="613" t="s">
        <v>124</v>
      </c>
      <c r="Q9" s="615" t="s">
        <v>125</v>
      </c>
      <c r="R9" s="613" t="s">
        <v>126</v>
      </c>
      <c r="S9" s="615" t="s">
        <v>127</v>
      </c>
      <c r="T9" s="613" t="s">
        <v>128</v>
      </c>
      <c r="U9" s="611" t="s">
        <v>129</v>
      </c>
      <c r="V9" s="611" t="s">
        <v>130</v>
      </c>
      <c r="W9" s="611" t="s">
        <v>131</v>
      </c>
      <c r="X9" s="611" t="s">
        <v>132</v>
      </c>
      <c r="Y9" s="616" t="s">
        <v>133</v>
      </c>
      <c r="Z9" s="617" t="s">
        <v>134</v>
      </c>
      <c r="AA9" s="527" t="s">
        <v>135</v>
      </c>
      <c r="AB9" s="618" t="s">
        <v>136</v>
      </c>
      <c r="AC9" s="619" t="s">
        <v>137</v>
      </c>
      <c r="AD9" s="619" t="s">
        <v>138</v>
      </c>
      <c r="AE9" s="619" t="s">
        <v>139</v>
      </c>
      <c r="AF9" s="619" t="s">
        <v>140</v>
      </c>
      <c r="AG9" s="619" t="s">
        <v>141</v>
      </c>
      <c r="AH9" s="610" t="s">
        <v>142</v>
      </c>
      <c r="AI9" s="612"/>
      <c r="AJ9" s="620"/>
      <c r="AK9" s="621"/>
      <c r="AL9" s="582"/>
    </row>
    <row r="10" spans="1:39" s="536" customFormat="1" ht="55.5" customHeight="1" x14ac:dyDescent="0.25">
      <c r="A10" s="622">
        <v>1</v>
      </c>
      <c r="B10" s="622" t="s">
        <v>143</v>
      </c>
      <c r="C10" s="623" t="s">
        <v>144</v>
      </c>
      <c r="D10" s="624">
        <v>39173</v>
      </c>
      <c r="E10" s="624">
        <v>24963</v>
      </c>
      <c r="F10" s="623">
        <v>122956547</v>
      </c>
      <c r="G10" s="623" t="s">
        <v>206</v>
      </c>
      <c r="H10" s="530" t="s">
        <v>145</v>
      </c>
      <c r="I10" s="531">
        <v>74180</v>
      </c>
      <c r="J10" s="531">
        <v>73000.000000000015</v>
      </c>
      <c r="K10" s="531">
        <v>8000</v>
      </c>
      <c r="L10" s="531">
        <v>0</v>
      </c>
      <c r="M10" s="532">
        <v>30</v>
      </c>
      <c r="N10" s="533">
        <f>J10/30*M10+K10+L10</f>
        <v>81000.000000000015</v>
      </c>
      <c r="O10" s="534"/>
      <c r="P10" s="533"/>
      <c r="Q10" s="530">
        <v>0</v>
      </c>
      <c r="R10" s="533">
        <f t="shared" ref="R10:R30" si="0">I10/192*Q10*1.5</f>
        <v>0</v>
      </c>
      <c r="S10" s="530"/>
      <c r="T10" s="533">
        <f>N10/192*S10*2</f>
        <v>0</v>
      </c>
      <c r="U10" s="530"/>
      <c r="V10" s="530">
        <v>0</v>
      </c>
      <c r="W10" s="532">
        <v>0</v>
      </c>
      <c r="X10" s="530">
        <f>N10/30*W10</f>
        <v>0</v>
      </c>
      <c r="Y10" s="531">
        <f t="shared" ref="Y10:Y30" si="1">N10+P10+R10+T10+U10+V10+X10</f>
        <v>81000.000000000015</v>
      </c>
      <c r="Z10" s="531"/>
      <c r="AA10" s="531">
        <v>10437.5</v>
      </c>
      <c r="AB10" s="532"/>
      <c r="AC10" s="531">
        <f t="shared" ref="AC10:AC30" si="2">Y10*3%</f>
        <v>2430.0000000000005</v>
      </c>
      <c r="AD10" s="531">
        <f t="shared" ref="AD10:AD30" si="3">Y10*0.01</f>
        <v>810.00000000000011</v>
      </c>
      <c r="AE10" s="531">
        <f t="shared" ref="AE10:AE30" si="4">+Z10+AA10+AB10+AC10+AD10</f>
        <v>13677.5</v>
      </c>
      <c r="AF10" s="531">
        <f t="shared" ref="AF10:AF30" si="5">Y10-AE10</f>
        <v>67322.500000000015</v>
      </c>
      <c r="AG10" s="535">
        <v>304762846</v>
      </c>
      <c r="AH10" s="625">
        <f>SUM(Y10:Y17)</f>
        <v>164821</v>
      </c>
      <c r="AI10" s="626">
        <f>+AH10*1.04</f>
        <v>171413.84</v>
      </c>
      <c r="AJ10" s="627"/>
      <c r="AK10" s="628"/>
      <c r="AL10" s="628"/>
      <c r="AM10" s="629"/>
    </row>
    <row r="11" spans="1:39" s="539" customFormat="1" ht="55.5" customHeight="1" x14ac:dyDescent="0.25">
      <c r="A11" s="622">
        <f>+A10+1</f>
        <v>2</v>
      </c>
      <c r="B11" s="630" t="s">
        <v>143</v>
      </c>
      <c r="C11" s="631" t="s">
        <v>146</v>
      </c>
      <c r="D11" s="624">
        <v>38504</v>
      </c>
      <c r="E11" s="624">
        <v>26884</v>
      </c>
      <c r="F11" s="642">
        <v>136243251</v>
      </c>
      <c r="G11" s="631" t="s">
        <v>207</v>
      </c>
      <c r="H11" s="631" t="s">
        <v>147</v>
      </c>
      <c r="I11" s="531">
        <v>10400</v>
      </c>
      <c r="J11" s="531">
        <v>11336</v>
      </c>
      <c r="K11" s="531"/>
      <c r="L11" s="531">
        <v>0</v>
      </c>
      <c r="M11" s="532">
        <v>30</v>
      </c>
      <c r="N11" s="533">
        <f t="shared" ref="N11:N30" si="6">J11/30*M11+K11+L11</f>
        <v>11336</v>
      </c>
      <c r="O11" s="534">
        <v>160</v>
      </c>
      <c r="P11" s="533">
        <f>+N11/M11/8*O11*0.25</f>
        <v>1889.3333333333335</v>
      </c>
      <c r="Q11" s="530">
        <v>0</v>
      </c>
      <c r="R11" s="533">
        <f t="shared" si="0"/>
        <v>0</v>
      </c>
      <c r="S11" s="530"/>
      <c r="T11" s="533">
        <f t="shared" ref="T11:T30" si="7">N11/192*S11*2</f>
        <v>0</v>
      </c>
      <c r="U11" s="537"/>
      <c r="V11" s="530">
        <v>0</v>
      </c>
      <c r="W11" s="532">
        <v>0</v>
      </c>
      <c r="X11" s="530">
        <f t="shared" ref="X11:X30" si="8">N11/30*W11</f>
        <v>0</v>
      </c>
      <c r="Y11" s="531">
        <f t="shared" si="1"/>
        <v>13225.333333333334</v>
      </c>
      <c r="Z11" s="531"/>
      <c r="AA11" s="538"/>
      <c r="AB11" s="538"/>
      <c r="AC11" s="531">
        <f t="shared" si="2"/>
        <v>396.76</v>
      </c>
      <c r="AD11" s="531">
        <f t="shared" si="3"/>
        <v>132.25333333333333</v>
      </c>
      <c r="AE11" s="531">
        <f t="shared" si="4"/>
        <v>529.01333333333332</v>
      </c>
      <c r="AF11" s="531">
        <f t="shared" si="5"/>
        <v>12696.32</v>
      </c>
      <c r="AG11" s="535">
        <v>312688813</v>
      </c>
      <c r="AH11" s="631"/>
      <c r="AI11" s="626"/>
      <c r="AJ11" s="627"/>
      <c r="AK11" s="632"/>
      <c r="AL11" s="632"/>
      <c r="AM11" s="633"/>
    </row>
    <row r="12" spans="1:39" s="536" customFormat="1" ht="55.5" customHeight="1" x14ac:dyDescent="0.25">
      <c r="A12" s="622">
        <f t="shared" ref="A12:A30" si="9">+A11+1</f>
        <v>3</v>
      </c>
      <c r="B12" s="622" t="s">
        <v>143</v>
      </c>
      <c r="C12" s="634" t="s">
        <v>148</v>
      </c>
      <c r="D12" s="635">
        <v>38504</v>
      </c>
      <c r="E12" s="635">
        <v>27626</v>
      </c>
      <c r="F12" s="634">
        <v>122857018</v>
      </c>
      <c r="G12" s="634" t="s">
        <v>208</v>
      </c>
      <c r="H12" s="623" t="s">
        <v>147</v>
      </c>
      <c r="I12" s="531">
        <v>10400</v>
      </c>
      <c r="J12" s="531">
        <v>11336</v>
      </c>
      <c r="K12" s="531"/>
      <c r="L12" s="531">
        <v>0</v>
      </c>
      <c r="M12" s="532">
        <v>30</v>
      </c>
      <c r="N12" s="533">
        <f t="shared" si="6"/>
        <v>11336</v>
      </c>
      <c r="O12" s="534">
        <v>160</v>
      </c>
      <c r="P12" s="533">
        <f t="shared" ref="P12:P18" si="10">+N12/M12/8*O12*0.25</f>
        <v>1889.3333333333335</v>
      </c>
      <c r="Q12" s="530">
        <v>0</v>
      </c>
      <c r="R12" s="533">
        <f t="shared" si="0"/>
        <v>0</v>
      </c>
      <c r="S12" s="530"/>
      <c r="T12" s="533">
        <f t="shared" si="7"/>
        <v>0</v>
      </c>
      <c r="U12" s="530"/>
      <c r="V12" s="530">
        <v>0</v>
      </c>
      <c r="W12" s="532">
        <v>0</v>
      </c>
      <c r="X12" s="530">
        <f t="shared" si="8"/>
        <v>0</v>
      </c>
      <c r="Y12" s="531">
        <f t="shared" si="1"/>
        <v>13225.333333333334</v>
      </c>
      <c r="Z12" s="540"/>
      <c r="AA12" s="531"/>
      <c r="AB12" s="532"/>
      <c r="AC12" s="531">
        <f t="shared" si="2"/>
        <v>396.76</v>
      </c>
      <c r="AD12" s="531">
        <f t="shared" si="3"/>
        <v>132.25333333333333</v>
      </c>
      <c r="AE12" s="531">
        <f t="shared" si="4"/>
        <v>529.01333333333332</v>
      </c>
      <c r="AF12" s="531">
        <f t="shared" si="5"/>
        <v>12696.32</v>
      </c>
      <c r="AG12" s="535">
        <v>88904090</v>
      </c>
      <c r="AH12" s="625"/>
      <c r="AI12" s="626"/>
      <c r="AJ12" s="627"/>
      <c r="AK12" s="628"/>
      <c r="AL12" s="628"/>
      <c r="AM12" s="629"/>
    </row>
    <row r="13" spans="1:39" s="536" customFormat="1" ht="55.5" customHeight="1" x14ac:dyDescent="0.25">
      <c r="A13" s="622">
        <f t="shared" si="9"/>
        <v>4</v>
      </c>
      <c r="B13" s="622" t="s">
        <v>143</v>
      </c>
      <c r="C13" s="623" t="s">
        <v>149</v>
      </c>
      <c r="D13" s="624">
        <v>40299</v>
      </c>
      <c r="E13" s="624">
        <v>28643</v>
      </c>
      <c r="F13" s="623">
        <v>122748758</v>
      </c>
      <c r="G13" s="623" t="s">
        <v>209</v>
      </c>
      <c r="H13" s="623" t="s">
        <v>147</v>
      </c>
      <c r="I13" s="531">
        <v>10400</v>
      </c>
      <c r="J13" s="531">
        <v>11336</v>
      </c>
      <c r="K13" s="531"/>
      <c r="L13" s="531">
        <v>0</v>
      </c>
      <c r="M13" s="532">
        <v>30</v>
      </c>
      <c r="N13" s="533">
        <f t="shared" si="6"/>
        <v>11336</v>
      </c>
      <c r="O13" s="534">
        <v>160</v>
      </c>
      <c r="P13" s="533">
        <f t="shared" si="10"/>
        <v>1889.3333333333335</v>
      </c>
      <c r="Q13" s="530">
        <v>0</v>
      </c>
      <c r="R13" s="533">
        <f t="shared" si="0"/>
        <v>0</v>
      </c>
      <c r="S13" s="530"/>
      <c r="T13" s="533">
        <f t="shared" si="7"/>
        <v>0</v>
      </c>
      <c r="U13" s="530"/>
      <c r="V13" s="530">
        <v>0</v>
      </c>
      <c r="W13" s="532">
        <v>0</v>
      </c>
      <c r="X13" s="530">
        <f t="shared" si="8"/>
        <v>0</v>
      </c>
      <c r="Y13" s="531">
        <f t="shared" si="1"/>
        <v>13225.333333333334</v>
      </c>
      <c r="Z13" s="540"/>
      <c r="AA13" s="531"/>
      <c r="AB13" s="532"/>
      <c r="AC13" s="531">
        <f t="shared" si="2"/>
        <v>396.76</v>
      </c>
      <c r="AD13" s="531">
        <f t="shared" si="3"/>
        <v>132.25333333333333</v>
      </c>
      <c r="AE13" s="531">
        <f t="shared" si="4"/>
        <v>529.01333333333332</v>
      </c>
      <c r="AF13" s="531">
        <f t="shared" si="5"/>
        <v>12696.32</v>
      </c>
      <c r="AG13" s="535">
        <v>311846368</v>
      </c>
      <c r="AH13" s="625"/>
      <c r="AI13" s="626"/>
      <c r="AJ13" s="627"/>
      <c r="AK13" s="628"/>
      <c r="AL13" s="628"/>
      <c r="AM13" s="629"/>
    </row>
    <row r="14" spans="1:39" s="536" customFormat="1" ht="55.5" customHeight="1" x14ac:dyDescent="0.25">
      <c r="A14" s="622">
        <f t="shared" si="9"/>
        <v>5</v>
      </c>
      <c r="B14" s="622" t="s">
        <v>143</v>
      </c>
      <c r="C14" s="623" t="s">
        <v>150</v>
      </c>
      <c r="D14" s="624">
        <v>43709</v>
      </c>
      <c r="E14" s="624">
        <v>33551</v>
      </c>
      <c r="F14" s="623">
        <v>162213849</v>
      </c>
      <c r="G14" s="623" t="s">
        <v>210</v>
      </c>
      <c r="H14" s="623" t="s">
        <v>151</v>
      </c>
      <c r="I14" s="531">
        <v>10000</v>
      </c>
      <c r="J14" s="531">
        <v>10900</v>
      </c>
      <c r="K14" s="531"/>
      <c r="L14" s="531">
        <v>0</v>
      </c>
      <c r="M14" s="532">
        <v>30</v>
      </c>
      <c r="N14" s="533">
        <f t="shared" si="6"/>
        <v>10900</v>
      </c>
      <c r="O14" s="534"/>
      <c r="P14" s="533">
        <f t="shared" si="10"/>
        <v>0</v>
      </c>
      <c r="Q14" s="530">
        <v>0</v>
      </c>
      <c r="R14" s="533">
        <f t="shared" si="0"/>
        <v>0</v>
      </c>
      <c r="S14" s="530"/>
      <c r="T14" s="533">
        <f t="shared" si="7"/>
        <v>0</v>
      </c>
      <c r="U14" s="530"/>
      <c r="V14" s="530">
        <v>0</v>
      </c>
      <c r="W14" s="532">
        <v>0</v>
      </c>
      <c r="X14" s="530">
        <f t="shared" si="8"/>
        <v>0</v>
      </c>
      <c r="Y14" s="531">
        <f t="shared" si="1"/>
        <v>10900</v>
      </c>
      <c r="Z14" s="540"/>
      <c r="AA14" s="531"/>
      <c r="AB14" s="532"/>
      <c r="AC14" s="531">
        <f t="shared" si="2"/>
        <v>327</v>
      </c>
      <c r="AD14" s="531">
        <f t="shared" si="3"/>
        <v>109</v>
      </c>
      <c r="AE14" s="531">
        <f t="shared" si="4"/>
        <v>436</v>
      </c>
      <c r="AF14" s="531">
        <f t="shared" si="5"/>
        <v>10464</v>
      </c>
      <c r="AG14" s="535">
        <v>465121888</v>
      </c>
      <c r="AH14" s="625"/>
      <c r="AI14" s="626"/>
      <c r="AJ14" s="627"/>
      <c r="AK14" s="628"/>
      <c r="AL14" s="628"/>
      <c r="AM14" s="629"/>
    </row>
    <row r="15" spans="1:39" s="536" customFormat="1" ht="55.5" customHeight="1" x14ac:dyDescent="0.25">
      <c r="A15" s="622">
        <f t="shared" si="9"/>
        <v>6</v>
      </c>
      <c r="B15" s="622" t="s">
        <v>143</v>
      </c>
      <c r="C15" s="623" t="s">
        <v>152</v>
      </c>
      <c r="D15" s="624">
        <v>43709</v>
      </c>
      <c r="E15" s="624">
        <v>35712</v>
      </c>
      <c r="F15" s="623">
        <v>162213180</v>
      </c>
      <c r="G15" s="623" t="s">
        <v>211</v>
      </c>
      <c r="H15" s="623" t="s">
        <v>153</v>
      </c>
      <c r="I15" s="531">
        <v>10500</v>
      </c>
      <c r="J15" s="531">
        <v>11445</v>
      </c>
      <c r="K15" s="531"/>
      <c r="L15" s="531">
        <v>0</v>
      </c>
      <c r="M15" s="532">
        <v>30</v>
      </c>
      <c r="N15" s="533">
        <f t="shared" si="6"/>
        <v>11445</v>
      </c>
      <c r="O15" s="534"/>
      <c r="P15" s="533">
        <f t="shared" si="10"/>
        <v>0</v>
      </c>
      <c r="Q15" s="530">
        <v>0</v>
      </c>
      <c r="R15" s="533">
        <f t="shared" si="0"/>
        <v>0</v>
      </c>
      <c r="S15" s="530"/>
      <c r="T15" s="533">
        <f t="shared" si="7"/>
        <v>0</v>
      </c>
      <c r="U15" s="530"/>
      <c r="V15" s="530">
        <v>0</v>
      </c>
      <c r="W15" s="532">
        <v>0</v>
      </c>
      <c r="X15" s="530">
        <f t="shared" si="8"/>
        <v>0</v>
      </c>
      <c r="Y15" s="531">
        <f t="shared" si="1"/>
        <v>11445</v>
      </c>
      <c r="Z15" s="540">
        <v>2300</v>
      </c>
      <c r="AA15" s="531"/>
      <c r="AB15" s="532"/>
      <c r="AC15" s="531">
        <f t="shared" si="2"/>
        <v>343.34999999999997</v>
      </c>
      <c r="AD15" s="531">
        <f t="shared" si="3"/>
        <v>114.45</v>
      </c>
      <c r="AE15" s="531">
        <f t="shared" si="4"/>
        <v>2757.7999999999997</v>
      </c>
      <c r="AF15" s="531">
        <f t="shared" si="5"/>
        <v>8687.2000000000007</v>
      </c>
      <c r="AG15" s="541">
        <v>465126932</v>
      </c>
      <c r="AH15" s="625"/>
      <c r="AI15" s="626"/>
      <c r="AJ15" s="627"/>
      <c r="AK15" s="628"/>
      <c r="AL15" s="628"/>
      <c r="AM15" s="629"/>
    </row>
    <row r="16" spans="1:39" s="536" customFormat="1" ht="55.5" customHeight="1" x14ac:dyDescent="0.25">
      <c r="A16" s="622">
        <f t="shared" si="9"/>
        <v>7</v>
      </c>
      <c r="B16" s="622" t="s">
        <v>143</v>
      </c>
      <c r="C16" s="542" t="s">
        <v>154</v>
      </c>
      <c r="D16" s="543">
        <v>44442</v>
      </c>
      <c r="E16" s="543">
        <v>33513</v>
      </c>
      <c r="F16" s="542">
        <v>151700586</v>
      </c>
      <c r="G16" s="542" t="s">
        <v>212</v>
      </c>
      <c r="H16" s="636" t="s">
        <v>153</v>
      </c>
      <c r="I16" s="544">
        <v>10000</v>
      </c>
      <c r="J16" s="544">
        <v>10900</v>
      </c>
      <c r="K16" s="531"/>
      <c r="L16" s="531">
        <v>0</v>
      </c>
      <c r="M16" s="545">
        <v>30</v>
      </c>
      <c r="N16" s="533">
        <f t="shared" si="6"/>
        <v>10900</v>
      </c>
      <c r="O16" s="534"/>
      <c r="P16" s="533">
        <f t="shared" si="10"/>
        <v>0</v>
      </c>
      <c r="Q16" s="546">
        <v>0</v>
      </c>
      <c r="R16" s="547">
        <f t="shared" si="0"/>
        <v>0</v>
      </c>
      <c r="S16" s="530"/>
      <c r="T16" s="533">
        <f t="shared" si="7"/>
        <v>0</v>
      </c>
      <c r="U16" s="546"/>
      <c r="V16" s="546">
        <v>0</v>
      </c>
      <c r="W16" s="545">
        <v>0</v>
      </c>
      <c r="X16" s="530">
        <f t="shared" si="8"/>
        <v>0</v>
      </c>
      <c r="Y16" s="531">
        <f t="shared" si="1"/>
        <v>10900</v>
      </c>
      <c r="Z16" s="548"/>
      <c r="AA16" s="544"/>
      <c r="AB16" s="545"/>
      <c r="AC16" s="531">
        <f t="shared" si="2"/>
        <v>327</v>
      </c>
      <c r="AD16" s="531">
        <f t="shared" si="3"/>
        <v>109</v>
      </c>
      <c r="AE16" s="531">
        <f t="shared" si="4"/>
        <v>436</v>
      </c>
      <c r="AF16" s="544">
        <f t="shared" si="5"/>
        <v>10464</v>
      </c>
      <c r="AG16" s="545">
        <v>784781120</v>
      </c>
      <c r="AH16" s="637"/>
      <c r="AI16" s="626"/>
      <c r="AJ16" s="627"/>
      <c r="AK16" s="628"/>
      <c r="AL16" s="628"/>
      <c r="AM16" s="629"/>
    </row>
    <row r="17" spans="1:180" s="536" customFormat="1" ht="55.5" customHeight="1" x14ac:dyDescent="0.25">
      <c r="A17" s="622">
        <f t="shared" si="9"/>
        <v>8</v>
      </c>
      <c r="B17" s="622" t="s">
        <v>143</v>
      </c>
      <c r="C17" s="542" t="s">
        <v>155</v>
      </c>
      <c r="D17" s="543">
        <v>45809</v>
      </c>
      <c r="E17" s="543">
        <v>37588</v>
      </c>
      <c r="F17" s="542">
        <v>145174406</v>
      </c>
      <c r="G17" s="542" t="s">
        <v>213</v>
      </c>
      <c r="H17" s="636" t="s">
        <v>153</v>
      </c>
      <c r="I17" s="531">
        <v>10000</v>
      </c>
      <c r="J17" s="531">
        <v>10900</v>
      </c>
      <c r="K17" s="531"/>
      <c r="L17" s="531">
        <v>0</v>
      </c>
      <c r="M17" s="532">
        <v>30</v>
      </c>
      <c r="N17" s="533">
        <f t="shared" si="6"/>
        <v>10900</v>
      </c>
      <c r="O17" s="534"/>
      <c r="P17" s="533">
        <f t="shared" si="10"/>
        <v>0</v>
      </c>
      <c r="Q17" s="530">
        <v>0</v>
      </c>
      <c r="R17" s="533">
        <f t="shared" si="0"/>
        <v>0</v>
      </c>
      <c r="S17" s="530"/>
      <c r="T17" s="533">
        <f t="shared" si="7"/>
        <v>0</v>
      </c>
      <c r="U17" s="530"/>
      <c r="V17" s="530">
        <v>0</v>
      </c>
      <c r="W17" s="532">
        <v>0</v>
      </c>
      <c r="X17" s="530">
        <f t="shared" si="8"/>
        <v>0</v>
      </c>
      <c r="Y17" s="531">
        <f>N17+P17+R17+T17+U17+V17+X17</f>
        <v>10900</v>
      </c>
      <c r="Z17" s="540"/>
      <c r="AA17" s="531"/>
      <c r="AB17" s="532"/>
      <c r="AC17" s="531">
        <f t="shared" si="2"/>
        <v>327</v>
      </c>
      <c r="AD17" s="531">
        <f t="shared" si="3"/>
        <v>109</v>
      </c>
      <c r="AE17" s="531">
        <f t="shared" si="4"/>
        <v>436</v>
      </c>
      <c r="AF17" s="531">
        <f t="shared" si="5"/>
        <v>10464</v>
      </c>
      <c r="AG17" s="545">
        <v>1236577535</v>
      </c>
      <c r="AH17" s="638"/>
      <c r="AI17" s="626"/>
      <c r="AJ17" s="627"/>
      <c r="AK17" s="628"/>
      <c r="AL17" s="628"/>
      <c r="AM17" s="629"/>
    </row>
    <row r="18" spans="1:180" s="549" customFormat="1" ht="55.5" customHeight="1" x14ac:dyDescent="0.25">
      <c r="A18" s="622">
        <f t="shared" si="9"/>
        <v>9</v>
      </c>
      <c r="B18" s="622" t="s">
        <v>156</v>
      </c>
      <c r="C18" s="623" t="s">
        <v>157</v>
      </c>
      <c r="D18" s="639">
        <v>39546</v>
      </c>
      <c r="E18" s="639">
        <v>30536</v>
      </c>
      <c r="F18" s="636">
        <v>122997979</v>
      </c>
      <c r="G18" s="636" t="s">
        <v>214</v>
      </c>
      <c r="H18" s="636" t="s">
        <v>151</v>
      </c>
      <c r="I18" s="531">
        <v>10050</v>
      </c>
      <c r="J18" s="531">
        <v>10955</v>
      </c>
      <c r="K18" s="531"/>
      <c r="L18" s="531">
        <v>0</v>
      </c>
      <c r="M18" s="532">
        <v>30</v>
      </c>
      <c r="N18" s="533">
        <f t="shared" si="6"/>
        <v>10955</v>
      </c>
      <c r="O18" s="534"/>
      <c r="P18" s="533">
        <f t="shared" si="10"/>
        <v>0</v>
      </c>
      <c r="Q18" s="530">
        <v>0</v>
      </c>
      <c r="R18" s="533">
        <f t="shared" si="0"/>
        <v>0</v>
      </c>
      <c r="S18" s="546"/>
      <c r="T18" s="533">
        <f t="shared" si="7"/>
        <v>0</v>
      </c>
      <c r="U18" s="530"/>
      <c r="V18" s="530">
        <v>0</v>
      </c>
      <c r="W18" s="532">
        <v>0</v>
      </c>
      <c r="X18" s="530">
        <f t="shared" si="8"/>
        <v>0</v>
      </c>
      <c r="Y18" s="531">
        <f t="shared" si="1"/>
        <v>10955</v>
      </c>
      <c r="Z18" s="540"/>
      <c r="AA18" s="531"/>
      <c r="AB18" s="532"/>
      <c r="AC18" s="531">
        <f t="shared" si="2"/>
        <v>328.65</v>
      </c>
      <c r="AD18" s="531">
        <f t="shared" si="3"/>
        <v>109.55</v>
      </c>
      <c r="AE18" s="531">
        <f t="shared" si="4"/>
        <v>438.2</v>
      </c>
      <c r="AF18" s="531">
        <f t="shared" si="5"/>
        <v>10516.8</v>
      </c>
      <c r="AG18" s="532">
        <v>312354163</v>
      </c>
      <c r="AH18" s="640">
        <f>SUM(Y18:Y20)-6500</f>
        <v>34870.875</v>
      </c>
      <c r="AI18" s="626">
        <f>+AH18*1.04</f>
        <v>36265.71</v>
      </c>
      <c r="AJ18" s="627"/>
      <c r="AK18" s="628"/>
      <c r="AL18" s="628"/>
      <c r="AM18" s="629"/>
      <c r="AN18" s="536"/>
      <c r="AO18" s="536"/>
      <c r="AP18" s="536"/>
      <c r="AQ18" s="536"/>
      <c r="AR18" s="536"/>
      <c r="AS18" s="536"/>
      <c r="AT18" s="536"/>
      <c r="AU18" s="536"/>
      <c r="AV18" s="536"/>
      <c r="AW18" s="536"/>
      <c r="AX18" s="536"/>
      <c r="AY18" s="536"/>
      <c r="AZ18" s="536"/>
      <c r="BA18" s="536"/>
      <c r="BB18" s="536"/>
      <c r="BC18" s="536"/>
      <c r="BD18" s="536"/>
      <c r="BE18" s="536"/>
      <c r="BF18" s="536"/>
      <c r="BG18" s="536"/>
      <c r="BH18" s="536"/>
      <c r="BI18" s="536"/>
      <c r="BJ18" s="536"/>
      <c r="BK18" s="536"/>
      <c r="BL18" s="536"/>
      <c r="BM18" s="536"/>
      <c r="BN18" s="536"/>
      <c r="BO18" s="536"/>
      <c r="BP18" s="536"/>
      <c r="BQ18" s="536"/>
      <c r="BR18" s="536"/>
      <c r="BS18" s="536"/>
      <c r="BT18" s="536"/>
      <c r="BU18" s="536"/>
      <c r="BV18" s="536"/>
      <c r="BW18" s="536"/>
      <c r="BX18" s="536"/>
      <c r="BY18" s="536"/>
      <c r="BZ18" s="536"/>
      <c r="CA18" s="536"/>
      <c r="CB18" s="536"/>
      <c r="CC18" s="536"/>
      <c r="CD18" s="536"/>
      <c r="CE18" s="536"/>
      <c r="CF18" s="536"/>
      <c r="CG18" s="536"/>
      <c r="CH18" s="536"/>
      <c r="CI18" s="536"/>
      <c r="CJ18" s="536"/>
      <c r="CK18" s="536"/>
      <c r="CL18" s="536"/>
      <c r="CM18" s="536"/>
      <c r="CN18" s="536"/>
      <c r="CO18" s="536"/>
      <c r="CP18" s="536"/>
      <c r="CQ18" s="536"/>
      <c r="CR18" s="536"/>
      <c r="CS18" s="536"/>
      <c r="CT18" s="536"/>
      <c r="CU18" s="536"/>
      <c r="CV18" s="536"/>
      <c r="CW18" s="536"/>
      <c r="CX18" s="536"/>
      <c r="CY18" s="536"/>
      <c r="CZ18" s="536"/>
      <c r="DA18" s="536"/>
      <c r="DB18" s="536"/>
      <c r="DC18" s="536"/>
      <c r="DD18" s="536"/>
      <c r="DE18" s="536"/>
      <c r="DF18" s="536"/>
      <c r="DG18" s="536"/>
      <c r="DH18" s="536"/>
      <c r="DI18" s="536"/>
      <c r="DJ18" s="536"/>
      <c r="DK18" s="536"/>
      <c r="DL18" s="536"/>
      <c r="DM18" s="536"/>
      <c r="DN18" s="536"/>
      <c r="DO18" s="536"/>
      <c r="DP18" s="536"/>
      <c r="DQ18" s="536"/>
      <c r="DR18" s="536"/>
      <c r="DS18" s="536"/>
      <c r="DT18" s="536"/>
      <c r="DU18" s="536"/>
      <c r="DV18" s="536"/>
      <c r="DW18" s="536"/>
      <c r="DX18" s="536"/>
      <c r="DY18" s="536"/>
      <c r="DZ18" s="536"/>
      <c r="EA18" s="536"/>
      <c r="EB18" s="536"/>
      <c r="EC18" s="536"/>
      <c r="ED18" s="536"/>
      <c r="EE18" s="536"/>
      <c r="EF18" s="536"/>
      <c r="EG18" s="536"/>
      <c r="EH18" s="536"/>
      <c r="EI18" s="536"/>
      <c r="EJ18" s="536"/>
      <c r="EK18" s="536"/>
      <c r="EL18" s="536"/>
      <c r="EM18" s="536"/>
      <c r="EN18" s="536"/>
      <c r="EO18" s="536"/>
      <c r="EP18" s="536"/>
      <c r="EQ18" s="536"/>
      <c r="ER18" s="536"/>
      <c r="ES18" s="536"/>
      <c r="ET18" s="536"/>
      <c r="EU18" s="536"/>
      <c r="EV18" s="536"/>
      <c r="EW18" s="536"/>
      <c r="EX18" s="536"/>
      <c r="EY18" s="536"/>
      <c r="EZ18" s="536"/>
      <c r="FA18" s="536"/>
      <c r="FB18" s="536"/>
      <c r="FC18" s="536"/>
      <c r="FD18" s="536"/>
      <c r="FE18" s="536"/>
      <c r="FF18" s="536"/>
      <c r="FG18" s="536"/>
      <c r="FH18" s="536"/>
      <c r="FI18" s="536"/>
      <c r="FJ18" s="536"/>
      <c r="FK18" s="536"/>
      <c r="FL18" s="536"/>
      <c r="FM18" s="536"/>
      <c r="FN18" s="536"/>
      <c r="FO18" s="536"/>
      <c r="FP18" s="536"/>
      <c r="FQ18" s="536"/>
      <c r="FR18" s="536"/>
      <c r="FS18" s="536"/>
      <c r="FT18" s="536"/>
      <c r="FU18" s="536"/>
      <c r="FV18" s="536"/>
      <c r="FW18" s="536"/>
      <c r="FX18" s="536"/>
    </row>
    <row r="19" spans="1:180" s="549" customFormat="1" ht="55.5" customHeight="1" x14ac:dyDescent="0.25">
      <c r="A19" s="622">
        <f t="shared" si="9"/>
        <v>10</v>
      </c>
      <c r="B19" s="622" t="s">
        <v>156</v>
      </c>
      <c r="C19" s="528" t="s">
        <v>158</v>
      </c>
      <c r="D19" s="529">
        <v>43221</v>
      </c>
      <c r="E19" s="529">
        <v>31255</v>
      </c>
      <c r="F19" s="528">
        <v>158140764</v>
      </c>
      <c r="G19" s="528" t="s">
        <v>215</v>
      </c>
      <c r="H19" s="623" t="s">
        <v>216</v>
      </c>
      <c r="I19" s="531">
        <v>13600</v>
      </c>
      <c r="J19" s="531">
        <v>14824.000000000002</v>
      </c>
      <c r="K19" s="531"/>
      <c r="L19" s="531">
        <v>0</v>
      </c>
      <c r="M19" s="532">
        <v>30</v>
      </c>
      <c r="N19" s="533">
        <f t="shared" si="6"/>
        <v>14824.000000000002</v>
      </c>
      <c r="O19" s="534"/>
      <c r="P19" s="533"/>
      <c r="Q19" s="530">
        <v>0</v>
      </c>
      <c r="R19" s="533">
        <f t="shared" si="0"/>
        <v>0</v>
      </c>
      <c r="S19" s="530"/>
      <c r="T19" s="533">
        <f t="shared" si="7"/>
        <v>0</v>
      </c>
      <c r="U19" s="530"/>
      <c r="V19" s="530">
        <v>0</v>
      </c>
      <c r="W19" s="532">
        <v>0</v>
      </c>
      <c r="X19" s="530">
        <f t="shared" si="8"/>
        <v>0</v>
      </c>
      <c r="Y19" s="531">
        <f t="shared" si="1"/>
        <v>14824.000000000002</v>
      </c>
      <c r="Z19" s="540"/>
      <c r="AA19" s="531"/>
      <c r="AB19" s="532"/>
      <c r="AC19" s="531">
        <f t="shared" si="2"/>
        <v>444.72</v>
      </c>
      <c r="AD19" s="531">
        <f t="shared" si="3"/>
        <v>148.24</v>
      </c>
      <c r="AE19" s="531">
        <f t="shared" si="4"/>
        <v>592.96</v>
      </c>
      <c r="AF19" s="531">
        <f t="shared" si="5"/>
        <v>14231.04</v>
      </c>
      <c r="AG19" s="532">
        <v>426758485</v>
      </c>
      <c r="AH19" s="532"/>
      <c r="AI19" s="550"/>
      <c r="AJ19" s="627"/>
      <c r="AK19" s="628"/>
      <c r="AL19" s="628"/>
      <c r="AM19" s="629"/>
      <c r="AN19" s="536"/>
      <c r="AO19" s="536"/>
      <c r="AP19" s="536"/>
      <c r="AQ19" s="536"/>
      <c r="AR19" s="536"/>
      <c r="AS19" s="536"/>
      <c r="AT19" s="536"/>
      <c r="AU19" s="536"/>
      <c r="AV19" s="536"/>
      <c r="AW19" s="536"/>
      <c r="AX19" s="536"/>
      <c r="AY19" s="536"/>
      <c r="AZ19" s="536"/>
      <c r="BA19" s="536"/>
      <c r="BB19" s="536"/>
      <c r="BC19" s="536"/>
      <c r="BD19" s="536"/>
      <c r="BE19" s="536"/>
      <c r="BF19" s="536"/>
      <c r="BG19" s="536"/>
      <c r="BH19" s="536"/>
      <c r="BI19" s="536"/>
      <c r="BJ19" s="536"/>
      <c r="BK19" s="536"/>
      <c r="BL19" s="536"/>
      <c r="BM19" s="536"/>
      <c r="BN19" s="536"/>
      <c r="BO19" s="536"/>
      <c r="BP19" s="536"/>
      <c r="BQ19" s="536"/>
      <c r="BR19" s="536"/>
      <c r="BS19" s="536"/>
      <c r="BT19" s="536"/>
      <c r="BU19" s="536"/>
      <c r="BV19" s="536"/>
      <c r="BW19" s="536"/>
      <c r="BX19" s="536"/>
      <c r="BY19" s="536"/>
      <c r="BZ19" s="536"/>
      <c r="CA19" s="536"/>
      <c r="CB19" s="536"/>
      <c r="CC19" s="536"/>
      <c r="CD19" s="536"/>
      <c r="CE19" s="536"/>
      <c r="CF19" s="536"/>
      <c r="CG19" s="536"/>
      <c r="CH19" s="536"/>
      <c r="CI19" s="536"/>
      <c r="CJ19" s="536"/>
      <c r="CK19" s="536"/>
      <c r="CL19" s="536"/>
      <c r="CM19" s="536"/>
      <c r="CN19" s="536"/>
      <c r="CO19" s="536"/>
      <c r="CP19" s="536"/>
      <c r="CQ19" s="536"/>
      <c r="CR19" s="536"/>
      <c r="CS19" s="536"/>
      <c r="CT19" s="536"/>
      <c r="CU19" s="536"/>
      <c r="CV19" s="536"/>
      <c r="CW19" s="536"/>
      <c r="CX19" s="536"/>
      <c r="CY19" s="536"/>
      <c r="CZ19" s="536"/>
      <c r="DA19" s="536"/>
      <c r="DB19" s="536"/>
      <c r="DC19" s="536"/>
      <c r="DD19" s="536"/>
      <c r="DE19" s="536"/>
      <c r="DF19" s="536"/>
      <c r="DG19" s="536"/>
      <c r="DH19" s="536"/>
      <c r="DI19" s="536"/>
      <c r="DJ19" s="536"/>
      <c r="DK19" s="536"/>
      <c r="DL19" s="536"/>
      <c r="DM19" s="536"/>
      <c r="DN19" s="536"/>
      <c r="DO19" s="536"/>
      <c r="DP19" s="536"/>
      <c r="DQ19" s="536"/>
      <c r="DR19" s="536"/>
      <c r="DS19" s="536"/>
      <c r="DT19" s="536"/>
      <c r="DU19" s="536"/>
      <c r="DV19" s="536"/>
      <c r="DW19" s="536"/>
      <c r="DX19" s="536"/>
      <c r="DY19" s="536"/>
      <c r="DZ19" s="536"/>
      <c r="EA19" s="536"/>
      <c r="EB19" s="536"/>
      <c r="EC19" s="536"/>
      <c r="ED19" s="536"/>
      <c r="EE19" s="536"/>
      <c r="EF19" s="536"/>
      <c r="EG19" s="536"/>
      <c r="EH19" s="536"/>
      <c r="EI19" s="536"/>
      <c r="EJ19" s="536"/>
      <c r="EK19" s="536"/>
      <c r="EL19" s="536"/>
      <c r="EM19" s="536"/>
      <c r="EN19" s="536"/>
      <c r="EO19" s="536"/>
      <c r="EP19" s="536"/>
      <c r="EQ19" s="536"/>
      <c r="ER19" s="536"/>
      <c r="ES19" s="536"/>
      <c r="ET19" s="536"/>
      <c r="EU19" s="536"/>
      <c r="EV19" s="536"/>
      <c r="EW19" s="536"/>
      <c r="EX19" s="536"/>
      <c r="EY19" s="536"/>
      <c r="EZ19" s="536"/>
      <c r="FA19" s="536"/>
      <c r="FB19" s="536"/>
      <c r="FC19" s="536"/>
      <c r="FD19" s="536"/>
      <c r="FE19" s="536"/>
      <c r="FF19" s="536"/>
      <c r="FG19" s="536"/>
      <c r="FH19" s="536"/>
      <c r="FI19" s="536"/>
      <c r="FJ19" s="536"/>
      <c r="FK19" s="536"/>
      <c r="FL19" s="536"/>
      <c r="FM19" s="536"/>
      <c r="FN19" s="536"/>
      <c r="FO19" s="536"/>
      <c r="FP19" s="536"/>
      <c r="FQ19" s="536"/>
      <c r="FR19" s="536"/>
      <c r="FS19" s="536"/>
      <c r="FT19" s="536"/>
      <c r="FU19" s="536"/>
      <c r="FV19" s="536"/>
      <c r="FW19" s="536"/>
      <c r="FX19" s="536"/>
    </row>
    <row r="20" spans="1:180" s="536" customFormat="1" ht="73.5" customHeight="1" x14ac:dyDescent="0.25">
      <c r="A20" s="622">
        <f t="shared" si="9"/>
        <v>11</v>
      </c>
      <c r="B20" s="641" t="s">
        <v>159</v>
      </c>
      <c r="C20" s="528" t="s">
        <v>160</v>
      </c>
      <c r="D20" s="529">
        <v>44829</v>
      </c>
      <c r="E20" s="529">
        <v>35471</v>
      </c>
      <c r="F20" s="528">
        <v>155246677</v>
      </c>
      <c r="G20" s="528" t="s">
        <v>217</v>
      </c>
      <c r="H20" s="623" t="s">
        <v>161</v>
      </c>
      <c r="I20" s="531">
        <v>13000</v>
      </c>
      <c r="J20" s="531">
        <v>14170.000000000002</v>
      </c>
      <c r="K20" s="531"/>
      <c r="L20" s="531">
        <v>0</v>
      </c>
      <c r="M20" s="532">
        <v>30</v>
      </c>
      <c r="N20" s="533">
        <f t="shared" si="6"/>
        <v>14170.000000000002</v>
      </c>
      <c r="O20" s="534"/>
      <c r="P20" s="533"/>
      <c r="Q20" s="530">
        <v>14</v>
      </c>
      <c r="R20" s="533">
        <f t="shared" si="0"/>
        <v>1421.875</v>
      </c>
      <c r="S20" s="530"/>
      <c r="T20" s="533">
        <f t="shared" si="7"/>
        <v>0</v>
      </c>
      <c r="U20" s="530"/>
      <c r="V20" s="530">
        <v>0</v>
      </c>
      <c r="W20" s="532">
        <v>0</v>
      </c>
      <c r="X20" s="530">
        <f t="shared" si="8"/>
        <v>0</v>
      </c>
      <c r="Y20" s="531">
        <f t="shared" si="1"/>
        <v>15591.875000000002</v>
      </c>
      <c r="Z20" s="540"/>
      <c r="AA20" s="531"/>
      <c r="AB20" s="532"/>
      <c r="AC20" s="531">
        <f t="shared" si="2"/>
        <v>467.75625000000002</v>
      </c>
      <c r="AD20" s="531">
        <f t="shared" si="3"/>
        <v>155.91875000000002</v>
      </c>
      <c r="AE20" s="531">
        <f t="shared" si="4"/>
        <v>623.67500000000007</v>
      </c>
      <c r="AF20" s="531">
        <f t="shared" si="5"/>
        <v>14968.200000000003</v>
      </c>
      <c r="AG20" s="535" t="s">
        <v>162</v>
      </c>
      <c r="AH20" s="625"/>
      <c r="AI20" s="626"/>
      <c r="AJ20" s="627"/>
      <c r="AK20" s="628"/>
      <c r="AL20" s="628"/>
      <c r="AM20" s="629"/>
    </row>
    <row r="21" spans="1:180" s="536" customFormat="1" ht="60.75" customHeight="1" x14ac:dyDescent="0.25">
      <c r="A21" s="622">
        <f t="shared" si="9"/>
        <v>12</v>
      </c>
      <c r="B21" s="622" t="s">
        <v>163</v>
      </c>
      <c r="C21" s="623" t="s">
        <v>164</v>
      </c>
      <c r="D21" s="624">
        <v>38367</v>
      </c>
      <c r="E21" s="624">
        <v>32345</v>
      </c>
      <c r="F21" s="623">
        <v>123147911</v>
      </c>
      <c r="G21" s="623" t="s">
        <v>218</v>
      </c>
      <c r="H21" s="623" t="s">
        <v>165</v>
      </c>
      <c r="I21" s="531">
        <v>13650</v>
      </c>
      <c r="J21" s="531">
        <v>14879.000000000002</v>
      </c>
      <c r="K21" s="531"/>
      <c r="L21" s="531">
        <v>0</v>
      </c>
      <c r="M21" s="532">
        <v>30</v>
      </c>
      <c r="N21" s="533">
        <f t="shared" si="6"/>
        <v>14879.000000000002</v>
      </c>
      <c r="O21" s="534"/>
      <c r="P21" s="533"/>
      <c r="Q21" s="530">
        <v>0</v>
      </c>
      <c r="R21" s="533">
        <f t="shared" si="0"/>
        <v>0</v>
      </c>
      <c r="S21" s="530"/>
      <c r="T21" s="533">
        <f t="shared" si="7"/>
        <v>0</v>
      </c>
      <c r="U21" s="530"/>
      <c r="V21" s="530">
        <v>0</v>
      </c>
      <c r="W21" s="532">
        <v>0</v>
      </c>
      <c r="X21" s="530">
        <f t="shared" si="8"/>
        <v>0</v>
      </c>
      <c r="Y21" s="531">
        <f t="shared" si="1"/>
        <v>14879.000000000002</v>
      </c>
      <c r="Z21" s="540"/>
      <c r="AA21" s="531">
        <v>129.49</v>
      </c>
      <c r="AB21" s="532"/>
      <c r="AC21" s="531">
        <f t="shared" si="2"/>
        <v>446.37000000000006</v>
      </c>
      <c r="AD21" s="531">
        <f t="shared" si="3"/>
        <v>148.79000000000002</v>
      </c>
      <c r="AE21" s="531">
        <f t="shared" si="4"/>
        <v>724.65000000000009</v>
      </c>
      <c r="AF21" s="531">
        <f t="shared" si="5"/>
        <v>14154.350000000002</v>
      </c>
      <c r="AG21" s="532">
        <v>311712702</v>
      </c>
      <c r="AH21" s="625">
        <f>SUM(Y21:Y24)</f>
        <v>58534</v>
      </c>
      <c r="AI21" s="626">
        <f>+AH21*1.04</f>
        <v>60875.360000000001</v>
      </c>
      <c r="AJ21" s="627"/>
      <c r="AK21" s="628"/>
      <c r="AL21" s="628"/>
      <c r="AM21" s="629"/>
    </row>
    <row r="22" spans="1:180" s="536" customFormat="1" ht="53.25" customHeight="1" x14ac:dyDescent="0.25">
      <c r="A22" s="622">
        <f t="shared" si="9"/>
        <v>13</v>
      </c>
      <c r="B22" s="622" t="s">
        <v>163</v>
      </c>
      <c r="C22" s="623" t="s">
        <v>166</v>
      </c>
      <c r="D22" s="624">
        <v>44809</v>
      </c>
      <c r="E22" s="624">
        <v>27185</v>
      </c>
      <c r="F22" s="623">
        <v>100807841</v>
      </c>
      <c r="G22" s="623" t="s">
        <v>219</v>
      </c>
      <c r="H22" s="623" t="s">
        <v>151</v>
      </c>
      <c r="I22" s="531">
        <v>10050</v>
      </c>
      <c r="J22" s="531">
        <v>10955</v>
      </c>
      <c r="K22" s="531"/>
      <c r="L22" s="531">
        <v>0</v>
      </c>
      <c r="M22" s="532">
        <v>30</v>
      </c>
      <c r="N22" s="533">
        <f t="shared" si="6"/>
        <v>10955</v>
      </c>
      <c r="O22" s="534"/>
      <c r="P22" s="533"/>
      <c r="Q22" s="530">
        <v>0</v>
      </c>
      <c r="R22" s="533">
        <f t="shared" si="0"/>
        <v>0</v>
      </c>
      <c r="S22" s="530"/>
      <c r="T22" s="533">
        <f t="shared" si="7"/>
        <v>0</v>
      </c>
      <c r="U22" s="530"/>
      <c r="V22" s="530">
        <v>0</v>
      </c>
      <c r="W22" s="532">
        <v>0</v>
      </c>
      <c r="X22" s="530">
        <f t="shared" si="8"/>
        <v>0</v>
      </c>
      <c r="Y22" s="531">
        <f t="shared" si="1"/>
        <v>10955</v>
      </c>
      <c r="Z22" s="540"/>
      <c r="AA22" s="531"/>
      <c r="AB22" s="532"/>
      <c r="AC22" s="531">
        <f t="shared" si="2"/>
        <v>328.65</v>
      </c>
      <c r="AD22" s="531">
        <f t="shared" si="3"/>
        <v>109.55</v>
      </c>
      <c r="AE22" s="531">
        <f t="shared" si="4"/>
        <v>438.2</v>
      </c>
      <c r="AF22" s="531">
        <f t="shared" si="5"/>
        <v>10516.8</v>
      </c>
      <c r="AG22" s="532">
        <v>98059241</v>
      </c>
      <c r="AH22" s="625"/>
      <c r="AI22" s="626"/>
      <c r="AJ22" s="627"/>
      <c r="AK22" s="628"/>
      <c r="AL22" s="628"/>
      <c r="AM22" s="629"/>
    </row>
    <row r="23" spans="1:180" s="536" customFormat="1" ht="53.25" customHeight="1" x14ac:dyDescent="0.25">
      <c r="A23" s="622">
        <f t="shared" si="9"/>
        <v>14</v>
      </c>
      <c r="B23" s="622" t="s">
        <v>163</v>
      </c>
      <c r="C23" s="634" t="s">
        <v>167</v>
      </c>
      <c r="D23" s="635">
        <v>43116</v>
      </c>
      <c r="E23" s="635">
        <v>31134</v>
      </c>
      <c r="F23" s="634">
        <v>120921363</v>
      </c>
      <c r="G23" s="634" t="s">
        <v>220</v>
      </c>
      <c r="H23" s="623" t="s">
        <v>161</v>
      </c>
      <c r="I23" s="531">
        <v>15000</v>
      </c>
      <c r="J23" s="531">
        <v>16350.000000000002</v>
      </c>
      <c r="K23" s="531"/>
      <c r="L23" s="531">
        <v>0</v>
      </c>
      <c r="M23" s="532">
        <v>30</v>
      </c>
      <c r="N23" s="533">
        <f t="shared" si="6"/>
        <v>16350.000000000004</v>
      </c>
      <c r="O23" s="534"/>
      <c r="P23" s="533"/>
      <c r="Q23" s="530">
        <v>0</v>
      </c>
      <c r="R23" s="533">
        <f t="shared" si="0"/>
        <v>0</v>
      </c>
      <c r="S23" s="530"/>
      <c r="T23" s="533">
        <f t="shared" si="7"/>
        <v>0</v>
      </c>
      <c r="U23" s="530"/>
      <c r="V23" s="530">
        <v>0</v>
      </c>
      <c r="W23" s="532">
        <v>0</v>
      </c>
      <c r="X23" s="530">
        <f t="shared" si="8"/>
        <v>0</v>
      </c>
      <c r="Y23" s="531">
        <f t="shared" si="1"/>
        <v>16350.000000000004</v>
      </c>
      <c r="Z23" s="540"/>
      <c r="AA23" s="531"/>
      <c r="AB23" s="532"/>
      <c r="AC23" s="531">
        <f t="shared" si="2"/>
        <v>490.50000000000011</v>
      </c>
      <c r="AD23" s="531">
        <f t="shared" si="3"/>
        <v>163.50000000000003</v>
      </c>
      <c r="AE23" s="531">
        <f t="shared" si="4"/>
        <v>654.00000000000011</v>
      </c>
      <c r="AF23" s="531">
        <f t="shared" si="5"/>
        <v>15696.000000000004</v>
      </c>
      <c r="AG23" s="642">
        <v>411440730</v>
      </c>
      <c r="AH23" s="625"/>
      <c r="AI23" s="626"/>
      <c r="AJ23" s="627"/>
      <c r="AK23" s="628"/>
      <c r="AL23" s="628"/>
      <c r="AM23" s="629"/>
    </row>
    <row r="24" spans="1:180" s="536" customFormat="1" ht="55.5" customHeight="1" x14ac:dyDescent="0.25">
      <c r="A24" s="622">
        <f t="shared" si="9"/>
        <v>15</v>
      </c>
      <c r="B24" s="622" t="s">
        <v>163</v>
      </c>
      <c r="C24" s="528" t="s">
        <v>168</v>
      </c>
      <c r="D24" s="529">
        <v>45139</v>
      </c>
      <c r="E24" s="529">
        <v>32973</v>
      </c>
      <c r="F24" s="528">
        <v>147597851</v>
      </c>
      <c r="G24" s="528" t="s">
        <v>221</v>
      </c>
      <c r="H24" s="623" t="s">
        <v>216</v>
      </c>
      <c r="I24" s="531">
        <v>15000</v>
      </c>
      <c r="J24" s="531">
        <v>16350.000000000002</v>
      </c>
      <c r="K24" s="531"/>
      <c r="L24" s="531">
        <v>0</v>
      </c>
      <c r="M24" s="532">
        <v>30</v>
      </c>
      <c r="N24" s="533">
        <f t="shared" si="6"/>
        <v>16350.000000000004</v>
      </c>
      <c r="O24" s="534"/>
      <c r="P24" s="533"/>
      <c r="Q24" s="530">
        <v>0</v>
      </c>
      <c r="R24" s="533">
        <f t="shared" si="0"/>
        <v>0</v>
      </c>
      <c r="S24" s="530"/>
      <c r="T24" s="533">
        <f t="shared" si="7"/>
        <v>0</v>
      </c>
      <c r="U24" s="530"/>
      <c r="V24" s="530">
        <v>0</v>
      </c>
      <c r="W24" s="532">
        <v>0</v>
      </c>
      <c r="X24" s="530">
        <f t="shared" si="8"/>
        <v>0</v>
      </c>
      <c r="Y24" s="531">
        <f t="shared" si="1"/>
        <v>16350.000000000004</v>
      </c>
      <c r="Z24" s="540">
        <v>1500</v>
      </c>
      <c r="AA24" s="531"/>
      <c r="AB24" s="532"/>
      <c r="AC24" s="531">
        <f t="shared" si="2"/>
        <v>490.50000000000011</v>
      </c>
      <c r="AD24" s="531">
        <f t="shared" si="3"/>
        <v>163.50000000000003</v>
      </c>
      <c r="AE24" s="531">
        <f t="shared" si="4"/>
        <v>2154</v>
      </c>
      <c r="AF24" s="531">
        <f t="shared" si="5"/>
        <v>14196.000000000004</v>
      </c>
      <c r="AG24" s="551" t="s">
        <v>169</v>
      </c>
      <c r="AH24" s="625"/>
      <c r="AI24" s="626"/>
      <c r="AJ24" s="627"/>
      <c r="AK24" s="628"/>
      <c r="AL24" s="629"/>
    </row>
    <row r="25" spans="1:180" s="536" customFormat="1" ht="55.5" customHeight="1" x14ac:dyDescent="0.25">
      <c r="A25" s="622">
        <f t="shared" si="9"/>
        <v>16</v>
      </c>
      <c r="B25" s="622" t="s">
        <v>170</v>
      </c>
      <c r="C25" s="623" t="s">
        <v>171</v>
      </c>
      <c r="D25" s="624">
        <v>44409</v>
      </c>
      <c r="E25" s="624">
        <v>33067</v>
      </c>
      <c r="F25" s="623">
        <v>121952742</v>
      </c>
      <c r="G25" s="623" t="s">
        <v>222</v>
      </c>
      <c r="H25" s="623" t="s">
        <v>172</v>
      </c>
      <c r="I25" s="531">
        <v>10500</v>
      </c>
      <c r="J25" s="531">
        <v>11445</v>
      </c>
      <c r="K25" s="531"/>
      <c r="L25" s="531">
        <v>0</v>
      </c>
      <c r="M25" s="532">
        <v>30</v>
      </c>
      <c r="N25" s="533">
        <f t="shared" si="6"/>
        <v>11445</v>
      </c>
      <c r="O25" s="534"/>
      <c r="P25" s="533"/>
      <c r="Q25" s="530">
        <v>0</v>
      </c>
      <c r="R25" s="533">
        <f t="shared" si="0"/>
        <v>0</v>
      </c>
      <c r="S25" s="530"/>
      <c r="T25" s="533">
        <f t="shared" si="7"/>
        <v>0</v>
      </c>
      <c r="U25" s="530"/>
      <c r="V25" s="530">
        <v>0</v>
      </c>
      <c r="W25" s="532">
        <v>0</v>
      </c>
      <c r="X25" s="530">
        <f t="shared" si="8"/>
        <v>0</v>
      </c>
      <c r="Y25" s="531">
        <f t="shared" si="1"/>
        <v>11445</v>
      </c>
      <c r="Z25" s="540"/>
      <c r="AA25" s="531"/>
      <c r="AB25" s="532"/>
      <c r="AC25" s="531">
        <f t="shared" si="2"/>
        <v>343.34999999999997</v>
      </c>
      <c r="AD25" s="531">
        <f t="shared" si="3"/>
        <v>114.45</v>
      </c>
      <c r="AE25" s="531">
        <f t="shared" si="4"/>
        <v>457.79999999999995</v>
      </c>
      <c r="AF25" s="531">
        <f t="shared" si="5"/>
        <v>10987.2</v>
      </c>
      <c r="AG25" s="532">
        <v>393221511</v>
      </c>
      <c r="AH25" s="625">
        <f>SUM(Y25:Y27)</f>
        <v>36625</v>
      </c>
      <c r="AI25" s="626">
        <f>+AH25*1.04</f>
        <v>38090</v>
      </c>
      <c r="AJ25" s="627"/>
      <c r="AK25" s="628"/>
      <c r="AL25" s="628"/>
      <c r="AM25" s="629"/>
    </row>
    <row r="26" spans="1:180" s="536" customFormat="1" ht="55.5" customHeight="1" x14ac:dyDescent="0.25">
      <c r="A26" s="622">
        <f t="shared" si="9"/>
        <v>17</v>
      </c>
      <c r="B26" s="622" t="s">
        <v>170</v>
      </c>
      <c r="C26" s="623" t="s">
        <v>173</v>
      </c>
      <c r="D26" s="624">
        <v>38418</v>
      </c>
      <c r="E26" s="624">
        <v>31414</v>
      </c>
      <c r="F26" s="623">
        <v>136714831</v>
      </c>
      <c r="G26" s="623" t="s">
        <v>223</v>
      </c>
      <c r="H26" s="623" t="s">
        <v>151</v>
      </c>
      <c r="I26" s="531">
        <v>10050</v>
      </c>
      <c r="J26" s="531">
        <v>10955</v>
      </c>
      <c r="K26" s="531"/>
      <c r="L26" s="531">
        <v>0</v>
      </c>
      <c r="M26" s="532">
        <v>30</v>
      </c>
      <c r="N26" s="533">
        <f t="shared" si="6"/>
        <v>10955</v>
      </c>
      <c r="O26" s="534"/>
      <c r="P26" s="533"/>
      <c r="Q26" s="530">
        <v>0</v>
      </c>
      <c r="R26" s="533">
        <f t="shared" si="0"/>
        <v>0</v>
      </c>
      <c r="S26" s="530"/>
      <c r="T26" s="533">
        <f t="shared" si="7"/>
        <v>0</v>
      </c>
      <c r="U26" s="530"/>
      <c r="V26" s="530">
        <v>0</v>
      </c>
      <c r="W26" s="532">
        <v>0</v>
      </c>
      <c r="X26" s="530">
        <f t="shared" si="8"/>
        <v>0</v>
      </c>
      <c r="Y26" s="531">
        <f t="shared" si="1"/>
        <v>10955</v>
      </c>
      <c r="Z26" s="540"/>
      <c r="AA26" s="531"/>
      <c r="AB26" s="532"/>
      <c r="AC26" s="531">
        <f t="shared" si="2"/>
        <v>328.65</v>
      </c>
      <c r="AD26" s="531">
        <f t="shared" si="3"/>
        <v>109.55</v>
      </c>
      <c r="AE26" s="531">
        <f t="shared" si="4"/>
        <v>438.2</v>
      </c>
      <c r="AF26" s="531">
        <f t="shared" si="5"/>
        <v>10516.8</v>
      </c>
      <c r="AG26" s="532">
        <v>313333863</v>
      </c>
      <c r="AH26" s="625"/>
      <c r="AI26" s="626"/>
      <c r="AJ26" s="627"/>
      <c r="AK26" s="628"/>
      <c r="AL26" s="628"/>
      <c r="AM26" s="629"/>
    </row>
    <row r="27" spans="1:180" s="536" customFormat="1" ht="55.5" customHeight="1" x14ac:dyDescent="0.25">
      <c r="A27" s="622">
        <f t="shared" si="9"/>
        <v>18</v>
      </c>
      <c r="B27" s="622" t="s">
        <v>170</v>
      </c>
      <c r="C27" s="623" t="s">
        <v>174</v>
      </c>
      <c r="D27" s="624">
        <v>41275</v>
      </c>
      <c r="E27" s="624">
        <v>31417</v>
      </c>
      <c r="F27" s="623">
        <v>125028217</v>
      </c>
      <c r="G27" s="623" t="s">
        <v>224</v>
      </c>
      <c r="H27" s="623" t="s">
        <v>216</v>
      </c>
      <c r="I27" s="531">
        <v>13050</v>
      </c>
      <c r="J27" s="531">
        <v>14225.000000000002</v>
      </c>
      <c r="K27" s="531"/>
      <c r="L27" s="531">
        <v>0</v>
      </c>
      <c r="M27" s="532">
        <v>30</v>
      </c>
      <c r="N27" s="533">
        <f t="shared" si="6"/>
        <v>14225.000000000002</v>
      </c>
      <c r="O27" s="534"/>
      <c r="P27" s="533"/>
      <c r="Q27" s="530">
        <v>0</v>
      </c>
      <c r="R27" s="533">
        <f t="shared" si="0"/>
        <v>0</v>
      </c>
      <c r="S27" s="530"/>
      <c r="T27" s="533">
        <f t="shared" si="7"/>
        <v>0</v>
      </c>
      <c r="U27" s="530"/>
      <c r="V27" s="530">
        <v>0</v>
      </c>
      <c r="W27" s="532">
        <v>0</v>
      </c>
      <c r="X27" s="530">
        <f t="shared" si="8"/>
        <v>0</v>
      </c>
      <c r="Y27" s="531">
        <f t="shared" si="1"/>
        <v>14225.000000000002</v>
      </c>
      <c r="Z27" s="540"/>
      <c r="AA27" s="531"/>
      <c r="AB27" s="532"/>
      <c r="AC27" s="531">
        <f t="shared" si="2"/>
        <v>426.75000000000006</v>
      </c>
      <c r="AD27" s="531">
        <f t="shared" si="3"/>
        <v>142.25000000000003</v>
      </c>
      <c r="AE27" s="531">
        <f t="shared" si="4"/>
        <v>569.00000000000011</v>
      </c>
      <c r="AF27" s="531">
        <f t="shared" si="5"/>
        <v>13656.000000000002</v>
      </c>
      <c r="AG27" s="532">
        <v>305745068</v>
      </c>
      <c r="AH27" s="625"/>
      <c r="AI27" s="626"/>
      <c r="AJ27" s="627"/>
      <c r="AK27" s="628"/>
      <c r="AL27" s="628"/>
      <c r="AM27" s="629"/>
    </row>
    <row r="28" spans="1:180" s="536" customFormat="1" ht="55.5" customHeight="1" x14ac:dyDescent="0.25">
      <c r="A28" s="622">
        <f t="shared" si="9"/>
        <v>19</v>
      </c>
      <c r="B28" s="622" t="s">
        <v>175</v>
      </c>
      <c r="C28" s="623" t="s">
        <v>176</v>
      </c>
      <c r="D28" s="624">
        <v>38473</v>
      </c>
      <c r="E28" s="624">
        <v>28017</v>
      </c>
      <c r="F28" s="623">
        <v>123151488</v>
      </c>
      <c r="G28" s="623" t="s">
        <v>225</v>
      </c>
      <c r="H28" s="623" t="s">
        <v>177</v>
      </c>
      <c r="I28" s="531">
        <v>10500</v>
      </c>
      <c r="J28" s="531">
        <v>11445</v>
      </c>
      <c r="K28" s="531"/>
      <c r="L28" s="531">
        <v>0</v>
      </c>
      <c r="M28" s="532">
        <v>30</v>
      </c>
      <c r="N28" s="533">
        <f t="shared" si="6"/>
        <v>11445</v>
      </c>
      <c r="O28" s="534"/>
      <c r="P28" s="533"/>
      <c r="Q28" s="530">
        <v>0</v>
      </c>
      <c r="R28" s="533">
        <f t="shared" si="0"/>
        <v>0</v>
      </c>
      <c r="S28" s="530"/>
      <c r="T28" s="533">
        <f t="shared" si="7"/>
        <v>0</v>
      </c>
      <c r="U28" s="530"/>
      <c r="V28" s="530">
        <v>0</v>
      </c>
      <c r="W28" s="532">
        <v>0</v>
      </c>
      <c r="X28" s="530">
        <f t="shared" si="8"/>
        <v>0</v>
      </c>
      <c r="Y28" s="531">
        <f t="shared" si="1"/>
        <v>11445</v>
      </c>
      <c r="Z28" s="540">
        <v>5000</v>
      </c>
      <c r="AA28" s="531"/>
      <c r="AB28" s="532"/>
      <c r="AC28" s="531">
        <f t="shared" si="2"/>
        <v>343.34999999999997</v>
      </c>
      <c r="AD28" s="531">
        <f t="shared" si="3"/>
        <v>114.45</v>
      </c>
      <c r="AE28" s="531">
        <f t="shared" si="4"/>
        <v>5457.8</v>
      </c>
      <c r="AF28" s="531">
        <f t="shared" si="5"/>
        <v>5987.2</v>
      </c>
      <c r="AG28" s="532">
        <v>311818141</v>
      </c>
      <c r="AH28" s="625">
        <f>SUM(Y28:Y30)+6500</f>
        <v>43125</v>
      </c>
      <c r="AI28" s="626">
        <f>+AH28*1.04</f>
        <v>44850</v>
      </c>
      <c r="AJ28" s="627"/>
      <c r="AK28" s="628"/>
      <c r="AL28" s="628"/>
      <c r="AM28" s="629"/>
    </row>
    <row r="29" spans="1:180" s="536" customFormat="1" ht="55.5" customHeight="1" x14ac:dyDescent="0.25">
      <c r="A29" s="622">
        <f t="shared" si="9"/>
        <v>20</v>
      </c>
      <c r="B29" s="622" t="s">
        <v>175</v>
      </c>
      <c r="C29" s="623" t="s">
        <v>178</v>
      </c>
      <c r="D29" s="624">
        <v>44593</v>
      </c>
      <c r="E29" s="624">
        <v>27010</v>
      </c>
      <c r="F29" s="623">
        <v>108267186</v>
      </c>
      <c r="G29" s="623" t="s">
        <v>226</v>
      </c>
      <c r="H29" s="623" t="s">
        <v>216</v>
      </c>
      <c r="I29" s="531">
        <v>13050</v>
      </c>
      <c r="J29" s="531">
        <v>14225.000000000002</v>
      </c>
      <c r="K29" s="531"/>
      <c r="L29" s="531">
        <v>0</v>
      </c>
      <c r="M29" s="532">
        <v>30</v>
      </c>
      <c r="N29" s="533">
        <f t="shared" si="6"/>
        <v>14225.000000000002</v>
      </c>
      <c r="O29" s="534"/>
      <c r="P29" s="533"/>
      <c r="Q29" s="530">
        <v>0</v>
      </c>
      <c r="R29" s="533">
        <f t="shared" si="0"/>
        <v>0</v>
      </c>
      <c r="S29" s="530"/>
      <c r="T29" s="533">
        <f t="shared" si="7"/>
        <v>0</v>
      </c>
      <c r="U29" s="530"/>
      <c r="V29" s="530">
        <v>0</v>
      </c>
      <c r="W29" s="532">
        <v>0</v>
      </c>
      <c r="X29" s="530">
        <f t="shared" si="8"/>
        <v>0</v>
      </c>
      <c r="Y29" s="531">
        <f t="shared" si="1"/>
        <v>14225.000000000002</v>
      </c>
      <c r="Z29" s="540"/>
      <c r="AA29" s="531"/>
      <c r="AB29" s="532"/>
      <c r="AC29" s="531">
        <f t="shared" si="2"/>
        <v>426.75000000000006</v>
      </c>
      <c r="AD29" s="531">
        <f t="shared" si="3"/>
        <v>142.25000000000003</v>
      </c>
      <c r="AE29" s="531">
        <f t="shared" si="4"/>
        <v>569.00000000000011</v>
      </c>
      <c r="AF29" s="531">
        <f t="shared" si="5"/>
        <v>13656.000000000002</v>
      </c>
      <c r="AG29" s="532">
        <v>169475394</v>
      </c>
      <c r="AH29" s="625"/>
      <c r="AI29" s="626"/>
      <c r="AJ29" s="627"/>
      <c r="AK29" s="628"/>
      <c r="AL29" s="628"/>
      <c r="AM29" s="629"/>
    </row>
    <row r="30" spans="1:180" s="536" customFormat="1" ht="66" customHeight="1" x14ac:dyDescent="0.25">
      <c r="A30" s="622">
        <f t="shared" si="9"/>
        <v>21</v>
      </c>
      <c r="B30" s="643" t="s">
        <v>175</v>
      </c>
      <c r="C30" s="644" t="s">
        <v>179</v>
      </c>
      <c r="D30" s="645">
        <v>44809</v>
      </c>
      <c r="E30" s="645">
        <v>31326</v>
      </c>
      <c r="F30" s="644">
        <v>122598829</v>
      </c>
      <c r="G30" s="644" t="s">
        <v>227</v>
      </c>
      <c r="H30" s="623" t="s">
        <v>151</v>
      </c>
      <c r="I30" s="552">
        <v>10050</v>
      </c>
      <c r="J30" s="552">
        <v>10955</v>
      </c>
      <c r="K30" s="531"/>
      <c r="L30" s="531">
        <v>0</v>
      </c>
      <c r="M30" s="553">
        <v>30</v>
      </c>
      <c r="N30" s="533">
        <f t="shared" si="6"/>
        <v>10955</v>
      </c>
      <c r="O30" s="554"/>
      <c r="P30" s="555"/>
      <c r="Q30" s="530">
        <v>0</v>
      </c>
      <c r="R30" s="533">
        <f t="shared" si="0"/>
        <v>0</v>
      </c>
      <c r="S30" s="530"/>
      <c r="T30" s="533">
        <f t="shared" si="7"/>
        <v>0</v>
      </c>
      <c r="U30" s="530"/>
      <c r="V30" s="530">
        <v>0</v>
      </c>
      <c r="W30" s="532">
        <v>0</v>
      </c>
      <c r="X30" s="530">
        <f t="shared" si="8"/>
        <v>0</v>
      </c>
      <c r="Y30" s="531">
        <f t="shared" si="1"/>
        <v>10955</v>
      </c>
      <c r="Z30" s="540"/>
      <c r="AA30" s="531"/>
      <c r="AB30" s="532"/>
      <c r="AC30" s="531">
        <f t="shared" si="2"/>
        <v>328.65</v>
      </c>
      <c r="AD30" s="531">
        <f t="shared" si="3"/>
        <v>109.55</v>
      </c>
      <c r="AE30" s="531">
        <f t="shared" si="4"/>
        <v>438.2</v>
      </c>
      <c r="AF30" s="531">
        <f t="shared" si="5"/>
        <v>10516.8</v>
      </c>
      <c r="AG30" s="553">
        <v>257804370</v>
      </c>
      <c r="AH30" s="646"/>
      <c r="AI30" s="626"/>
      <c r="AJ30" s="627"/>
      <c r="AK30" s="628"/>
      <c r="AL30" s="628"/>
      <c r="AM30" s="629"/>
    </row>
    <row r="31" spans="1:180" s="564" customFormat="1" ht="55.5" customHeight="1" x14ac:dyDescent="0.25">
      <c r="A31" s="556"/>
      <c r="B31" s="556"/>
      <c r="C31" s="557"/>
      <c r="D31" s="558"/>
      <c r="E31" s="558"/>
      <c r="F31" s="557"/>
      <c r="G31" s="557"/>
      <c r="H31" s="557"/>
      <c r="I31" s="557"/>
      <c r="J31" s="559">
        <f>SUM(J10:J30)</f>
        <v>322886</v>
      </c>
      <c r="K31" s="557"/>
      <c r="L31" s="557">
        <f>SUM(L10:L30)</f>
        <v>0</v>
      </c>
      <c r="M31" s="557"/>
      <c r="N31" s="559">
        <f>SUM(N10:N30)</f>
        <v>330886</v>
      </c>
      <c r="O31" s="560"/>
      <c r="P31" s="561">
        <f t="shared" ref="P31:AE31" si="11">SUM(P10:P30)</f>
        <v>5668</v>
      </c>
      <c r="Q31" s="561">
        <f t="shared" si="11"/>
        <v>14</v>
      </c>
      <c r="R31" s="561">
        <f t="shared" si="11"/>
        <v>1421.875</v>
      </c>
      <c r="S31" s="561">
        <f t="shared" si="11"/>
        <v>0</v>
      </c>
      <c r="T31" s="561">
        <f t="shared" si="11"/>
        <v>0</v>
      </c>
      <c r="U31" s="561">
        <f t="shared" si="11"/>
        <v>0</v>
      </c>
      <c r="V31" s="561">
        <f t="shared" si="11"/>
        <v>0</v>
      </c>
      <c r="W31" s="561">
        <f t="shared" si="11"/>
        <v>0</v>
      </c>
      <c r="X31" s="561">
        <f t="shared" si="11"/>
        <v>0</v>
      </c>
      <c r="Y31" s="561">
        <f t="shared" si="11"/>
        <v>337975.875</v>
      </c>
      <c r="Z31" s="561">
        <f t="shared" si="11"/>
        <v>8800</v>
      </c>
      <c r="AA31" s="561">
        <f t="shared" si="11"/>
        <v>10566.99</v>
      </c>
      <c r="AB31" s="561">
        <f t="shared" si="11"/>
        <v>0</v>
      </c>
      <c r="AC31" s="561">
        <f t="shared" si="11"/>
        <v>10139.276250000001</v>
      </c>
      <c r="AD31" s="561">
        <f t="shared" si="11"/>
        <v>3379.75875</v>
      </c>
      <c r="AE31" s="561">
        <f t="shared" si="11"/>
        <v>32886.024999999994</v>
      </c>
      <c r="AF31" s="561">
        <f>SUM(AF10:AF30)</f>
        <v>305089.85000000003</v>
      </c>
      <c r="AG31" s="560"/>
      <c r="AH31" s="559">
        <f>SUM(AH10:AH30)</f>
        <v>337975.875</v>
      </c>
      <c r="AI31" s="562"/>
      <c r="AJ31" s="627"/>
      <c r="AK31" s="628"/>
      <c r="AL31" s="563"/>
    </row>
    <row r="32" spans="1:180" s="564" customFormat="1" ht="55.5" customHeight="1" x14ac:dyDescent="0.25">
      <c r="A32" s="565"/>
      <c r="B32" s="565"/>
      <c r="C32" s="566"/>
      <c r="D32" s="567"/>
      <c r="E32" s="567"/>
      <c r="F32" s="566"/>
      <c r="G32" s="566"/>
      <c r="H32" s="566"/>
      <c r="I32" s="562"/>
      <c r="J32" s="562"/>
      <c r="K32" s="562"/>
      <c r="L32" s="562"/>
      <c r="M32" s="566"/>
      <c r="N32" s="568"/>
      <c r="O32" s="569"/>
      <c r="P32" s="568"/>
      <c r="Q32" s="570"/>
      <c r="R32" s="568"/>
      <c r="S32" s="570"/>
      <c r="T32" s="568"/>
      <c r="U32" s="569"/>
      <c r="V32" s="569"/>
      <c r="W32" s="569"/>
      <c r="X32" s="569"/>
      <c r="Y32" s="568"/>
      <c r="Z32" s="568"/>
      <c r="AA32" s="568" t="s">
        <v>180</v>
      </c>
      <c r="AB32" s="569"/>
      <c r="AC32" s="568">
        <f>+Y31*0.07</f>
        <v>23658.311250000002</v>
      </c>
      <c r="AD32" s="568"/>
      <c r="AE32" s="568"/>
      <c r="AF32" s="568"/>
      <c r="AG32" s="569" t="s">
        <v>181</v>
      </c>
      <c r="AH32" s="562">
        <f>+AH31*0.04</f>
        <v>13519.035</v>
      </c>
      <c r="AI32" s="562"/>
      <c r="AJ32" s="627"/>
      <c r="AK32" s="628"/>
      <c r="AL32" s="563"/>
    </row>
    <row r="33" spans="1:39" s="564" customFormat="1" ht="55.5" customHeight="1" x14ac:dyDescent="0.25">
      <c r="A33" s="565"/>
      <c r="B33" s="565"/>
      <c r="C33" s="647"/>
      <c r="D33" s="648"/>
      <c r="E33" s="648"/>
      <c r="F33" s="647"/>
      <c r="G33" s="647"/>
      <c r="H33" s="571"/>
      <c r="I33" s="562"/>
      <c r="J33" s="562"/>
      <c r="K33" s="562"/>
      <c r="L33" s="562"/>
      <c r="M33" s="566"/>
      <c r="N33" s="568"/>
      <c r="O33" s="569"/>
      <c r="P33" s="568"/>
      <c r="Q33" s="570"/>
      <c r="R33" s="568"/>
      <c r="S33" s="570"/>
      <c r="T33" s="568"/>
      <c r="U33" s="569"/>
      <c r="V33" s="569"/>
      <c r="W33" s="569"/>
      <c r="X33" s="569"/>
      <c r="Y33" s="568"/>
      <c r="Z33" s="568"/>
      <c r="AA33" s="569"/>
      <c r="AB33" s="569"/>
      <c r="AC33" s="569"/>
      <c r="AD33" s="568"/>
      <c r="AE33" s="568"/>
      <c r="AF33" s="572"/>
      <c r="AG33" s="572"/>
      <c r="AH33" s="562"/>
      <c r="AI33" s="562"/>
      <c r="AJ33" s="627"/>
      <c r="AK33" s="628"/>
      <c r="AL33" s="563"/>
    </row>
    <row r="34" spans="1:39" s="564" customFormat="1" ht="55.5" customHeight="1" x14ac:dyDescent="0.25">
      <c r="A34" s="565"/>
      <c r="B34" s="565"/>
      <c r="C34" s="566"/>
      <c r="D34" s="567"/>
      <c r="E34" s="567"/>
      <c r="F34" s="566"/>
      <c r="G34" s="566"/>
      <c r="H34" s="566"/>
      <c r="I34" s="562"/>
      <c r="J34" s="562"/>
      <c r="K34" s="562"/>
      <c r="L34" s="562"/>
      <c r="M34" s="566"/>
      <c r="N34" s="568"/>
      <c r="O34" s="569"/>
      <c r="P34" s="568"/>
      <c r="Q34" s="570"/>
      <c r="R34" s="568"/>
      <c r="S34" s="570"/>
      <c r="T34" s="568"/>
      <c r="U34" s="569"/>
      <c r="V34" s="569"/>
      <c r="W34" s="569"/>
      <c r="X34" s="569"/>
      <c r="Y34" s="568"/>
      <c r="Z34" s="568"/>
      <c r="AA34" s="568"/>
      <c r="AB34" s="569"/>
      <c r="AC34" s="568"/>
      <c r="AD34" s="568"/>
      <c r="AE34" s="568"/>
      <c r="AF34" s="568">
        <f>SUM(AF31:AF33)</f>
        <v>305089.85000000003</v>
      </c>
      <c r="AG34" s="569"/>
      <c r="AH34" s="562">
        <f>SUM(AH31:AH32)</f>
        <v>351494.91</v>
      </c>
      <c r="AI34" s="562">
        <f>SUM(AI10:AI33)</f>
        <v>351494.91</v>
      </c>
      <c r="AJ34" s="649"/>
      <c r="AK34" s="628"/>
      <c r="AL34" s="563"/>
    </row>
    <row r="35" spans="1:39" s="662" customFormat="1" ht="28.5" customHeight="1" x14ac:dyDescent="0.5">
      <c r="A35" s="650"/>
      <c r="B35" s="651"/>
      <c r="C35" s="652"/>
      <c r="D35" s="653"/>
      <c r="E35" s="653"/>
      <c r="F35" s="652"/>
      <c r="G35" s="652"/>
      <c r="H35" s="652"/>
      <c r="I35" s="626"/>
      <c r="J35" s="626"/>
      <c r="K35" s="626"/>
      <c r="L35" s="626"/>
      <c r="M35" s="652"/>
      <c r="N35" s="626"/>
      <c r="O35" s="654"/>
      <c r="P35" s="626"/>
      <c r="Q35" s="655"/>
      <c r="R35" s="626"/>
      <c r="S35" s="656"/>
      <c r="T35" s="657"/>
      <c r="U35" s="652"/>
      <c r="V35" s="652"/>
      <c r="W35" s="652"/>
      <c r="X35" s="652"/>
      <c r="Y35" s="657"/>
      <c r="Z35" s="657"/>
      <c r="AA35" s="626"/>
      <c r="AB35" s="658"/>
      <c r="AC35" s="626"/>
      <c r="AD35" s="626"/>
      <c r="AE35" s="626"/>
      <c r="AF35" s="626"/>
      <c r="AG35" s="658"/>
      <c r="AH35" s="659"/>
      <c r="AI35" s="626"/>
      <c r="AJ35" s="649"/>
      <c r="AK35" s="628"/>
      <c r="AL35" s="660"/>
      <c r="AM35" s="661"/>
    </row>
    <row r="36" spans="1:39" s="662" customFormat="1" ht="28.5" customHeight="1" x14ac:dyDescent="0.5">
      <c r="A36" s="663"/>
      <c r="B36" s="664"/>
      <c r="C36" s="665"/>
      <c r="D36" s="666"/>
      <c r="E36" s="666"/>
      <c r="F36" s="665"/>
      <c r="G36" s="665"/>
      <c r="H36" s="629"/>
      <c r="I36" s="649"/>
      <c r="J36" s="649"/>
      <c r="K36" s="649"/>
      <c r="L36" s="649"/>
      <c r="M36" s="664"/>
      <c r="N36" s="667"/>
      <c r="O36" s="668"/>
      <c r="P36" s="669"/>
      <c r="Q36" s="670"/>
      <c r="R36" s="671" t="s">
        <v>182</v>
      </c>
      <c r="S36" s="670"/>
      <c r="T36" s="669"/>
      <c r="U36" s="672"/>
      <c r="V36" s="672"/>
      <c r="W36" s="672"/>
      <c r="X36" s="672"/>
      <c r="Y36" s="673"/>
      <c r="Z36" s="673"/>
      <c r="AA36" s="669"/>
      <c r="AB36" s="672"/>
      <c r="AC36" s="674"/>
      <c r="AD36" s="675"/>
      <c r="AE36" s="649"/>
      <c r="AF36" s="649"/>
      <c r="AG36" s="676"/>
      <c r="AH36" s="677"/>
      <c r="AI36" s="649"/>
      <c r="AJ36" s="649"/>
      <c r="AK36" s="628"/>
      <c r="AL36" s="660"/>
      <c r="AM36" s="661"/>
    </row>
    <row r="37" spans="1:39" s="662" customFormat="1" ht="28.5" customHeight="1" x14ac:dyDescent="0.5">
      <c r="A37" s="663" t="s">
        <v>183</v>
      </c>
      <c r="B37" s="664"/>
      <c r="C37" s="665" t="s">
        <v>184</v>
      </c>
      <c r="D37" s="666"/>
      <c r="E37" s="666"/>
      <c r="F37" s="665"/>
      <c r="G37" s="665"/>
      <c r="H37" s="629"/>
      <c r="I37" s="649"/>
      <c r="J37" s="649"/>
      <c r="K37" s="649"/>
      <c r="L37" s="649"/>
      <c r="M37" s="664"/>
      <c r="N37" s="678" t="s">
        <v>185</v>
      </c>
      <c r="O37" s="679"/>
      <c r="P37" s="649"/>
      <c r="Q37" s="680"/>
      <c r="R37" s="649"/>
      <c r="S37" s="681"/>
      <c r="T37" s="649"/>
      <c r="U37" s="665"/>
      <c r="V37" s="665"/>
      <c r="W37" s="665"/>
      <c r="X37" s="665"/>
      <c r="Y37" s="675"/>
      <c r="Z37" s="675"/>
      <c r="AA37" s="649"/>
      <c r="AB37" s="665"/>
      <c r="AC37" s="682"/>
      <c r="AD37" s="675"/>
      <c r="AE37" s="649"/>
      <c r="AF37" s="649"/>
      <c r="AG37" s="665"/>
      <c r="AH37" s="683"/>
      <c r="AI37" s="649"/>
      <c r="AJ37" s="649"/>
      <c r="AK37" s="628"/>
      <c r="AL37" s="660"/>
      <c r="AM37" s="661"/>
    </row>
    <row r="38" spans="1:39" s="662" customFormat="1" ht="28.5" customHeight="1" x14ac:dyDescent="0.5">
      <c r="A38" s="663" t="s">
        <v>186</v>
      </c>
      <c r="B38" s="664"/>
      <c r="C38" s="665" t="s">
        <v>187</v>
      </c>
      <c r="D38" s="666"/>
      <c r="E38" s="666"/>
      <c r="F38" s="665"/>
      <c r="G38" s="665"/>
      <c r="H38" s="629"/>
      <c r="I38" s="649"/>
      <c r="J38" s="649"/>
      <c r="K38" s="649"/>
      <c r="L38" s="649"/>
      <c r="M38" s="664"/>
      <c r="N38" s="678" t="s">
        <v>188</v>
      </c>
      <c r="O38" s="679"/>
      <c r="P38" s="649"/>
      <c r="Q38" s="680"/>
      <c r="R38" s="649"/>
      <c r="S38" s="681"/>
      <c r="T38" s="649"/>
      <c r="U38" s="665"/>
      <c r="V38" s="665"/>
      <c r="W38" s="665"/>
      <c r="X38" s="665"/>
      <c r="Y38" s="675"/>
      <c r="Z38" s="675"/>
      <c r="AA38" s="649"/>
      <c r="AB38" s="665"/>
      <c r="AC38" s="682"/>
      <c r="AD38" s="675"/>
      <c r="AE38" s="649"/>
      <c r="AF38" s="649"/>
      <c r="AG38" s="676"/>
      <c r="AH38" s="677"/>
      <c r="AI38" s="649"/>
      <c r="AJ38" s="649"/>
      <c r="AK38" s="628"/>
      <c r="AL38" s="660"/>
      <c r="AM38" s="661"/>
    </row>
    <row r="39" spans="1:39" s="662" customFormat="1" ht="28.5" customHeight="1" x14ac:dyDescent="0.5">
      <c r="A39" s="663" t="s">
        <v>189</v>
      </c>
      <c r="B39" s="664"/>
      <c r="C39" s="665" t="s">
        <v>190</v>
      </c>
      <c r="D39" s="666"/>
      <c r="E39" s="666"/>
      <c r="F39" s="665"/>
      <c r="G39" s="665"/>
      <c r="H39" s="629"/>
      <c r="I39" s="649"/>
      <c r="J39" s="649"/>
      <c r="K39" s="649"/>
      <c r="L39" s="649"/>
      <c r="M39" s="664"/>
      <c r="N39" s="678" t="s">
        <v>191</v>
      </c>
      <c r="O39" s="679"/>
      <c r="P39" s="649"/>
      <c r="Q39" s="680"/>
      <c r="R39" s="649"/>
      <c r="S39" s="681"/>
      <c r="T39" s="649"/>
      <c r="U39" s="665"/>
      <c r="V39" s="665"/>
      <c r="W39" s="665"/>
      <c r="X39" s="665"/>
      <c r="Y39" s="675"/>
      <c r="Z39" s="675"/>
      <c r="AA39" s="649"/>
      <c r="AB39" s="665"/>
      <c r="AC39" s="682"/>
      <c r="AD39" s="675"/>
      <c r="AE39" s="649"/>
      <c r="AF39" s="649"/>
      <c r="AG39" s="665"/>
      <c r="AH39" s="683"/>
      <c r="AI39" s="649"/>
      <c r="AJ39" s="649"/>
      <c r="AK39" s="628"/>
      <c r="AL39" s="660"/>
      <c r="AM39" s="661"/>
    </row>
    <row r="40" spans="1:39" s="662" customFormat="1" ht="28.5" customHeight="1" x14ac:dyDescent="0.5">
      <c r="A40" s="663" t="s">
        <v>192</v>
      </c>
      <c r="B40" s="664"/>
      <c r="C40" s="665" t="s">
        <v>193</v>
      </c>
      <c r="D40" s="666"/>
      <c r="E40" s="666"/>
      <c r="F40" s="665"/>
      <c r="G40" s="665"/>
      <c r="H40" s="629"/>
      <c r="I40" s="649"/>
      <c r="J40" s="649"/>
      <c r="K40" s="649"/>
      <c r="L40" s="649"/>
      <c r="M40" s="664"/>
      <c r="N40" s="684"/>
      <c r="O40" s="685"/>
      <c r="P40" s="649"/>
      <c r="Q40" s="680"/>
      <c r="R40" s="649"/>
      <c r="S40" s="681"/>
      <c r="T40" s="649"/>
      <c r="U40" s="665"/>
      <c r="V40" s="665"/>
      <c r="W40" s="665"/>
      <c r="X40" s="665"/>
      <c r="Y40" s="675"/>
      <c r="Z40" s="675"/>
      <c r="AA40" s="649"/>
      <c r="AB40" s="665"/>
      <c r="AC40" s="682"/>
      <c r="AD40" s="675"/>
      <c r="AE40" s="649"/>
      <c r="AF40" s="649"/>
      <c r="AG40" s="676"/>
      <c r="AH40" s="677"/>
      <c r="AI40" s="649"/>
      <c r="AJ40" s="649"/>
      <c r="AK40" s="628"/>
      <c r="AL40" s="660"/>
      <c r="AM40" s="661"/>
    </row>
    <row r="41" spans="1:39" s="662" customFormat="1" ht="28.5" customHeight="1" x14ac:dyDescent="0.5">
      <c r="A41" s="663"/>
      <c r="B41" s="664"/>
      <c r="C41" s="665"/>
      <c r="D41" s="666"/>
      <c r="E41" s="666"/>
      <c r="F41" s="665"/>
      <c r="G41" s="665"/>
      <c r="H41" s="629"/>
      <c r="I41" s="649"/>
      <c r="J41" s="649"/>
      <c r="K41" s="649"/>
      <c r="L41" s="649"/>
      <c r="M41" s="664"/>
      <c r="N41" s="686" t="s">
        <v>194</v>
      </c>
      <c r="O41" s="687"/>
      <c r="P41" s="688"/>
      <c r="Q41" s="689"/>
      <c r="R41" s="688"/>
      <c r="S41" s="690"/>
      <c r="T41" s="688"/>
      <c r="U41" s="691"/>
      <c r="V41" s="691"/>
      <c r="W41" s="691"/>
      <c r="X41" s="691"/>
      <c r="Y41" s="692"/>
      <c r="Z41" s="692"/>
      <c r="AA41" s="688"/>
      <c r="AB41" s="691"/>
      <c r="AC41" s="693"/>
      <c r="AD41" s="675"/>
      <c r="AE41" s="649"/>
      <c r="AF41" s="649"/>
      <c r="AG41" s="665"/>
      <c r="AH41" s="683"/>
      <c r="AI41" s="649"/>
      <c r="AJ41" s="649"/>
      <c r="AK41" s="628"/>
      <c r="AL41" s="660"/>
      <c r="AM41" s="661"/>
    </row>
    <row r="42" spans="1:39" s="662" customFormat="1" ht="28.5" customHeight="1" thickBot="1" x14ac:dyDescent="0.55000000000000004">
      <c r="A42" s="694"/>
      <c r="B42" s="695"/>
      <c r="C42" s="696"/>
      <c r="D42" s="697"/>
      <c r="E42" s="697"/>
      <c r="F42" s="696"/>
      <c r="G42" s="696"/>
      <c r="H42" s="698"/>
      <c r="I42" s="699"/>
      <c r="J42" s="699"/>
      <c r="K42" s="699"/>
      <c r="L42" s="699"/>
      <c r="M42" s="695"/>
      <c r="N42" s="700"/>
      <c r="O42" s="701"/>
      <c r="P42" s="699"/>
      <c r="Q42" s="702"/>
      <c r="R42" s="699"/>
      <c r="S42" s="703"/>
      <c r="T42" s="699"/>
      <c r="U42" s="696"/>
      <c r="V42" s="696"/>
      <c r="W42" s="696"/>
      <c r="X42" s="696"/>
      <c r="Y42" s="699"/>
      <c r="Z42" s="699"/>
      <c r="AA42" s="699"/>
      <c r="AB42" s="696"/>
      <c r="AC42" s="699"/>
      <c r="AD42" s="699"/>
      <c r="AE42" s="699"/>
      <c r="AF42" s="699"/>
      <c r="AG42" s="696"/>
      <c r="AH42" s="704"/>
      <c r="AI42" s="649"/>
      <c r="AJ42" s="649"/>
      <c r="AK42" s="628"/>
      <c r="AL42" s="660"/>
      <c r="AM42" s="661"/>
    </row>
  </sheetData>
  <autoFilter ref="A9:AQ31" xr:uid="{00000000-0009-0000-0000-000000000000}"/>
  <mergeCells count="9">
    <mergeCell ref="A4:AF4"/>
    <mergeCell ref="A8:A9"/>
    <mergeCell ref="C8:C9"/>
    <mergeCell ref="D8:D9"/>
    <mergeCell ref="E8:E9"/>
    <mergeCell ref="F8:F9"/>
    <mergeCell ref="H8:H9"/>
    <mergeCell ref="I8:Y8"/>
    <mergeCell ref="AA8:AE8"/>
  </mergeCells>
  <printOptions horizontalCentered="1"/>
  <pageMargins left="0.23611111111111099" right="0" top="0.31527777777777799" bottom="0.31527777777777799" header="0.511811023622047" footer="0.511811023622047"/>
  <pageSetup paperSize="9" scale="20" orientation="landscape" horizontalDpi="360" verticalDpi="36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W842"/>
  <sheetViews>
    <sheetView view="pageBreakPreview" zoomScale="80" zoomScaleNormal="100" zoomScalePageLayoutView="80" workbookViewId="0">
      <selection activeCell="G6" sqref="G6"/>
    </sheetView>
  </sheetViews>
  <sheetFormatPr defaultColWidth="9.109375" defaultRowHeight="13.2" x14ac:dyDescent="0.25"/>
  <cols>
    <col min="1" max="1" width="3.44140625" style="203" customWidth="1"/>
    <col min="2" max="2" width="12.6640625" style="204" customWidth="1"/>
    <col min="3" max="3" width="12.5546875" style="203" customWidth="1"/>
    <col min="4" max="4" width="35.33203125" style="203" customWidth="1"/>
    <col min="5" max="6" width="19.5546875" style="203" customWidth="1"/>
    <col min="7" max="7" width="17.44140625" style="203" customWidth="1"/>
    <col min="8" max="8" width="11.33203125" style="205" customWidth="1"/>
    <col min="9" max="257" width="9.109375" style="203"/>
  </cols>
  <sheetData>
    <row r="1" spans="1:8" ht="29.25" customHeight="1" x14ac:dyDescent="0.25">
      <c r="B1" s="206" t="s">
        <v>0</v>
      </c>
      <c r="C1" s="207"/>
    </row>
    <row r="2" spans="1:8" ht="13.5" customHeight="1" x14ac:dyDescent="0.25">
      <c r="B2" s="208"/>
      <c r="C2" s="209"/>
    </row>
    <row r="3" spans="1:8" ht="15" customHeight="1" x14ac:dyDescent="0.25">
      <c r="B3" s="210" t="s">
        <v>84</v>
      </c>
      <c r="C3" s="211"/>
    </row>
    <row r="4" spans="1:8" ht="10.5" customHeight="1" x14ac:dyDescent="0.25">
      <c r="F4" s="211"/>
    </row>
    <row r="5" spans="1:8" ht="17.25" customHeight="1" x14ac:dyDescent="0.25">
      <c r="B5" s="204" t="s">
        <v>2</v>
      </c>
      <c r="F5" s="212" t="s">
        <v>99</v>
      </c>
      <c r="G5" s="213">
        <v>2026</v>
      </c>
    </row>
    <row r="6" spans="1:8" ht="12.75" customHeight="1" x14ac:dyDescent="0.25"/>
    <row r="7" spans="1:8" x14ac:dyDescent="0.25">
      <c r="E7" s="214" t="s">
        <v>3</v>
      </c>
      <c r="F7" s="215"/>
      <c r="G7" s="216"/>
    </row>
    <row r="8" spans="1:8" x14ac:dyDescent="0.25">
      <c r="E8" s="217" t="s">
        <v>4</v>
      </c>
      <c r="F8" s="218">
        <v>63.25</v>
      </c>
      <c r="G8" s="219"/>
    </row>
    <row r="9" spans="1:8" x14ac:dyDescent="0.25">
      <c r="E9" s="220" t="s">
        <v>5</v>
      </c>
      <c r="F9" s="221">
        <v>3.5</v>
      </c>
      <c r="G9" s="222"/>
    </row>
    <row r="12" spans="1:8" ht="12.75" customHeight="1" x14ac:dyDescent="0.25">
      <c r="A12" s="223" t="s">
        <v>26</v>
      </c>
      <c r="B12" s="224" t="s">
        <v>27</v>
      </c>
      <c r="C12" s="225" t="s">
        <v>28</v>
      </c>
      <c r="D12" s="225"/>
      <c r="E12" s="225" t="s">
        <v>36</v>
      </c>
      <c r="F12" s="223" t="s">
        <v>37</v>
      </c>
      <c r="G12" s="223" t="s">
        <v>85</v>
      </c>
      <c r="H12" s="226"/>
    </row>
    <row r="13" spans="1:8" x14ac:dyDescent="0.25">
      <c r="A13" s="227"/>
      <c r="B13" s="228" t="s">
        <v>39</v>
      </c>
      <c r="C13" s="229" t="s">
        <v>86</v>
      </c>
      <c r="D13" s="229" t="s">
        <v>41</v>
      </c>
      <c r="E13" s="229" t="s">
        <v>42</v>
      </c>
      <c r="F13" s="230">
        <v>0.16</v>
      </c>
      <c r="G13" s="227"/>
      <c r="H13" s="226"/>
    </row>
    <row r="14" spans="1:8" x14ac:dyDescent="0.25">
      <c r="A14" s="231"/>
      <c r="B14" s="232"/>
      <c r="C14" s="233"/>
      <c r="D14" s="233"/>
      <c r="E14" s="233"/>
      <c r="F14" s="231"/>
      <c r="G14" s="231"/>
      <c r="H14" s="226"/>
    </row>
    <row r="15" spans="1:8" ht="15" customHeight="1" x14ac:dyDescent="0.25">
      <c r="A15" s="234">
        <v>1</v>
      </c>
      <c r="B15" s="235"/>
      <c r="C15" s="513"/>
      <c r="D15" s="512"/>
      <c r="E15" s="237"/>
      <c r="F15" s="237"/>
      <c r="G15" s="237"/>
      <c r="H15" s="226"/>
    </row>
    <row r="16" spans="1:8" ht="15" customHeight="1" x14ac:dyDescent="0.25">
      <c r="A16" s="234">
        <v>2</v>
      </c>
      <c r="B16" s="235"/>
      <c r="C16" s="236"/>
      <c r="D16" s="234"/>
      <c r="E16" s="237"/>
      <c r="F16" s="237">
        <f>G16/1.16*0.16</f>
        <v>0</v>
      </c>
      <c r="G16" s="237"/>
    </row>
    <row r="17" spans="1:8" ht="15" customHeight="1" x14ac:dyDescent="0.25">
      <c r="A17" s="234">
        <v>3</v>
      </c>
      <c r="B17" s="238"/>
      <c r="C17" s="236"/>
      <c r="D17" s="234"/>
      <c r="E17" s="237"/>
      <c r="F17" s="237">
        <f>G17/1.16*0.16</f>
        <v>0</v>
      </c>
      <c r="G17" s="237"/>
    </row>
    <row r="18" spans="1:8" ht="15" customHeight="1" x14ac:dyDescent="0.25">
      <c r="A18" s="234">
        <v>4</v>
      </c>
      <c r="B18" s="238"/>
      <c r="C18" s="236"/>
      <c r="D18" s="234"/>
      <c r="E18" s="237"/>
      <c r="F18" s="237">
        <f>G18/1.16*0.16</f>
        <v>0</v>
      </c>
      <c r="G18" s="237"/>
    </row>
    <row r="19" spans="1:8" ht="15" customHeight="1" x14ac:dyDescent="0.25">
      <c r="A19" s="234">
        <v>5</v>
      </c>
      <c r="B19" s="238"/>
      <c r="C19" s="236"/>
      <c r="D19" s="234"/>
      <c r="E19" s="237"/>
      <c r="F19" s="237">
        <f>G19/1.16*0.16</f>
        <v>0</v>
      </c>
      <c r="G19" s="237"/>
    </row>
    <row r="20" spans="1:8" ht="15" customHeight="1" x14ac:dyDescent="0.25">
      <c r="A20" s="234">
        <v>6</v>
      </c>
      <c r="B20" s="238"/>
      <c r="C20" s="236"/>
      <c r="D20" s="234"/>
      <c r="E20" s="237"/>
      <c r="F20" s="237"/>
      <c r="G20" s="237"/>
    </row>
    <row r="21" spans="1:8" ht="15" customHeight="1" x14ac:dyDescent="0.25">
      <c r="A21" s="234">
        <v>7</v>
      </c>
      <c r="B21" s="235"/>
      <c r="C21" s="236"/>
      <c r="D21" s="234"/>
      <c r="E21" s="239"/>
      <c r="F21" s="237"/>
      <c r="G21" s="237"/>
    </row>
    <row r="22" spans="1:8" ht="15" customHeight="1" x14ac:dyDescent="0.25">
      <c r="A22" s="234">
        <v>8</v>
      </c>
      <c r="B22" s="240"/>
      <c r="C22" s="236"/>
      <c r="D22" s="234"/>
      <c r="E22" s="239"/>
      <c r="F22" s="237"/>
      <c r="G22" s="237"/>
    </row>
    <row r="23" spans="1:8" ht="15" customHeight="1" x14ac:dyDescent="0.25">
      <c r="A23" s="234">
        <v>9</v>
      </c>
      <c r="B23" s="240"/>
      <c r="C23" s="236"/>
      <c r="D23" s="234"/>
      <c r="E23" s="237"/>
      <c r="F23" s="237"/>
      <c r="G23" s="237"/>
    </row>
    <row r="24" spans="1:8" ht="15" customHeight="1" x14ac:dyDescent="0.25">
      <c r="A24" s="234">
        <v>10</v>
      </c>
      <c r="B24" s="241"/>
      <c r="C24" s="242"/>
      <c r="D24" s="234"/>
      <c r="E24" s="237"/>
      <c r="F24" s="237"/>
      <c r="G24" s="237"/>
    </row>
    <row r="25" spans="1:8" x14ac:dyDescent="0.25">
      <c r="B25" s="210"/>
      <c r="C25" s="243"/>
      <c r="D25" s="211"/>
      <c r="E25" s="244">
        <f>SUM(E15:E24)</f>
        <v>0</v>
      </c>
      <c r="F25" s="244">
        <f>SUM(F15:F24)</f>
        <v>0</v>
      </c>
      <c r="G25" s="244">
        <f>SUM(G15:G24)</f>
        <v>0</v>
      </c>
      <c r="H25" s="226"/>
    </row>
    <row r="26" spans="1:8" x14ac:dyDescent="0.25">
      <c r="A26" s="211"/>
      <c r="B26" s="210"/>
      <c r="C26" s="243"/>
      <c r="D26" s="245"/>
      <c r="E26" s="246"/>
      <c r="F26" s="246"/>
      <c r="G26" s="246"/>
    </row>
    <row r="27" spans="1:8" x14ac:dyDescent="0.25">
      <c r="C27" s="247"/>
      <c r="D27" s="248"/>
      <c r="E27" s="218"/>
      <c r="F27" s="218"/>
      <c r="G27" s="218"/>
    </row>
    <row r="28" spans="1:8" x14ac:dyDescent="0.25">
      <c r="C28" s="247"/>
      <c r="D28" s="248"/>
      <c r="E28" s="249"/>
      <c r="F28" s="249"/>
      <c r="G28" s="249"/>
    </row>
    <row r="29" spans="1:8" ht="29.25" customHeight="1" x14ac:dyDescent="0.25">
      <c r="B29" s="206" t="s">
        <v>0</v>
      </c>
      <c r="C29" s="207"/>
    </row>
    <row r="30" spans="1:8" ht="13.5" customHeight="1" x14ac:dyDescent="0.25">
      <c r="B30" s="208"/>
      <c r="C30" s="209"/>
    </row>
    <row r="31" spans="1:8" ht="15" customHeight="1" x14ac:dyDescent="0.25">
      <c r="B31" s="210" t="s">
        <v>87</v>
      </c>
      <c r="C31" s="211"/>
    </row>
    <row r="32" spans="1:8" ht="10.5" customHeight="1" x14ac:dyDescent="0.25">
      <c r="F32" s="211"/>
    </row>
    <row r="33" spans="1:8" ht="17.25" customHeight="1" x14ac:dyDescent="0.25">
      <c r="B33" s="204" t="s">
        <v>2</v>
      </c>
      <c r="F33" s="212" t="s">
        <v>88</v>
      </c>
      <c r="G33" s="213">
        <v>2024</v>
      </c>
    </row>
    <row r="34" spans="1:8" ht="12.75" customHeight="1" x14ac:dyDescent="0.25"/>
    <row r="35" spans="1:8" x14ac:dyDescent="0.25">
      <c r="E35" s="214" t="s">
        <v>3</v>
      </c>
      <c r="F35" s="215"/>
      <c r="G35" s="216"/>
    </row>
    <row r="36" spans="1:8" x14ac:dyDescent="0.25">
      <c r="E36" s="217" t="s">
        <v>4</v>
      </c>
      <c r="F36" s="218">
        <v>63.25</v>
      </c>
      <c r="G36" s="219"/>
    </row>
    <row r="37" spans="1:8" x14ac:dyDescent="0.25">
      <c r="E37" s="220" t="s">
        <v>5</v>
      </c>
      <c r="F37" s="221">
        <f>F9</f>
        <v>3.5</v>
      </c>
      <c r="G37" s="222"/>
    </row>
    <row r="40" spans="1:8" ht="12.75" customHeight="1" x14ac:dyDescent="0.25">
      <c r="A40" s="223" t="s">
        <v>26</v>
      </c>
      <c r="B40" s="224" t="s">
        <v>27</v>
      </c>
      <c r="C40" s="225" t="s">
        <v>28</v>
      </c>
      <c r="D40" s="225"/>
      <c r="E40" s="225" t="s">
        <v>36</v>
      </c>
      <c r="F40" s="223" t="s">
        <v>37</v>
      </c>
      <c r="G40" s="223" t="s">
        <v>85</v>
      </c>
      <c r="H40" s="226"/>
    </row>
    <row r="41" spans="1:8" x14ac:dyDescent="0.25">
      <c r="A41" s="227"/>
      <c r="B41" s="228" t="s">
        <v>39</v>
      </c>
      <c r="C41" s="229" t="s">
        <v>86</v>
      </c>
      <c r="D41" s="229" t="s">
        <v>41</v>
      </c>
      <c r="E41" s="229" t="s">
        <v>42</v>
      </c>
      <c r="F41" s="230">
        <v>0.17</v>
      </c>
      <c r="G41" s="227"/>
      <c r="H41" s="226"/>
    </row>
    <row r="42" spans="1:8" x14ac:dyDescent="0.25">
      <c r="A42" s="227"/>
      <c r="B42" s="228"/>
      <c r="C42" s="229"/>
      <c r="D42" s="229"/>
      <c r="E42" s="229"/>
      <c r="F42" s="227"/>
      <c r="G42" s="227"/>
      <c r="H42" s="226"/>
    </row>
    <row r="43" spans="1:8" ht="15" customHeight="1" x14ac:dyDescent="0.25">
      <c r="A43" s="234">
        <v>1</v>
      </c>
      <c r="B43" s="235"/>
      <c r="C43" s="236"/>
      <c r="D43" s="125"/>
      <c r="E43" s="237">
        <f t="shared" ref="E43:E52" si="0">G43-F43</f>
        <v>0</v>
      </c>
      <c r="F43" s="237">
        <v>0</v>
      </c>
      <c r="G43" s="237"/>
      <c r="H43" s="226"/>
    </row>
    <row r="44" spans="1:8" ht="15" customHeight="1" x14ac:dyDescent="0.25">
      <c r="A44" s="234">
        <v>2</v>
      </c>
      <c r="B44" s="240"/>
      <c r="C44" s="250"/>
      <c r="D44" s="234"/>
      <c r="E44" s="237">
        <f t="shared" si="0"/>
        <v>0</v>
      </c>
      <c r="F44" s="237">
        <v>0</v>
      </c>
      <c r="G44" s="237"/>
    </row>
    <row r="45" spans="1:8" ht="15" customHeight="1" x14ac:dyDescent="0.25">
      <c r="A45" s="234">
        <v>3</v>
      </c>
      <c r="B45" s="240"/>
      <c r="C45" s="251"/>
      <c r="D45" s="234"/>
      <c r="E45" s="237">
        <f t="shared" si="0"/>
        <v>0</v>
      </c>
      <c r="F45" s="237">
        <f t="shared" ref="F45:F52" si="1">G45/1.17*0.17</f>
        <v>0</v>
      </c>
      <c r="G45" s="237"/>
    </row>
    <row r="46" spans="1:8" ht="15" customHeight="1" x14ac:dyDescent="0.25">
      <c r="A46" s="234">
        <v>4</v>
      </c>
      <c r="B46" s="241"/>
      <c r="C46" s="252"/>
      <c r="D46" s="234"/>
      <c r="E46" s="237">
        <f t="shared" si="0"/>
        <v>0</v>
      </c>
      <c r="F46" s="237">
        <f t="shared" si="1"/>
        <v>0</v>
      </c>
      <c r="G46" s="237"/>
    </row>
    <row r="47" spans="1:8" ht="15" customHeight="1" x14ac:dyDescent="0.25">
      <c r="A47" s="234">
        <v>5</v>
      </c>
      <c r="B47" s="241"/>
      <c r="C47" s="252"/>
      <c r="D47" s="234"/>
      <c r="E47" s="237">
        <f t="shared" si="0"/>
        <v>0</v>
      </c>
      <c r="F47" s="237">
        <f t="shared" si="1"/>
        <v>0</v>
      </c>
      <c r="G47" s="237"/>
    </row>
    <row r="48" spans="1:8" ht="15" customHeight="1" x14ac:dyDescent="0.25">
      <c r="A48" s="234">
        <v>6</v>
      </c>
      <c r="B48" s="241"/>
      <c r="C48" s="252"/>
      <c r="D48" s="234"/>
      <c r="E48" s="237">
        <f t="shared" si="0"/>
        <v>0</v>
      </c>
      <c r="F48" s="237">
        <f t="shared" si="1"/>
        <v>0</v>
      </c>
      <c r="G48" s="237"/>
    </row>
    <row r="49" spans="1:8" ht="15" customHeight="1" x14ac:dyDescent="0.25">
      <c r="A49" s="234">
        <v>7</v>
      </c>
      <c r="B49" s="240"/>
      <c r="C49" s="251"/>
      <c r="D49" s="234"/>
      <c r="E49" s="239">
        <f t="shared" si="0"/>
        <v>0</v>
      </c>
      <c r="F49" s="237">
        <f t="shared" si="1"/>
        <v>0</v>
      </c>
      <c r="G49" s="237"/>
    </row>
    <row r="50" spans="1:8" ht="15" customHeight="1" x14ac:dyDescent="0.25">
      <c r="A50" s="234">
        <v>8</v>
      </c>
      <c r="B50" s="240"/>
      <c r="C50" s="253"/>
      <c r="D50" s="254"/>
      <c r="E50" s="239">
        <f t="shared" si="0"/>
        <v>0</v>
      </c>
      <c r="F50" s="237">
        <f t="shared" si="1"/>
        <v>0</v>
      </c>
      <c r="G50" s="237"/>
    </row>
    <row r="51" spans="1:8" ht="15" customHeight="1" x14ac:dyDescent="0.25">
      <c r="A51" s="234">
        <v>9</v>
      </c>
      <c r="B51" s="240"/>
      <c r="C51" s="251"/>
      <c r="D51" s="234"/>
      <c r="E51" s="237">
        <f t="shared" si="0"/>
        <v>0</v>
      </c>
      <c r="F51" s="237">
        <f t="shared" si="1"/>
        <v>0</v>
      </c>
      <c r="G51" s="237"/>
    </row>
    <row r="52" spans="1:8" ht="15" customHeight="1" x14ac:dyDescent="0.25">
      <c r="A52" s="234">
        <v>10</v>
      </c>
      <c r="B52" s="241"/>
      <c r="C52" s="242"/>
      <c r="D52" s="234"/>
      <c r="E52" s="237">
        <f t="shared" si="0"/>
        <v>0</v>
      </c>
      <c r="F52" s="237">
        <f t="shared" si="1"/>
        <v>0</v>
      </c>
      <c r="G52" s="237"/>
    </row>
    <row r="53" spans="1:8" x14ac:dyDescent="0.25">
      <c r="B53" s="210"/>
      <c r="C53" s="243"/>
      <c r="D53" s="211"/>
      <c r="E53" s="244">
        <f>SUM(E43:E52)</f>
        <v>0</v>
      </c>
      <c r="F53" s="244">
        <f>SUM(F43:F52)</f>
        <v>0</v>
      </c>
      <c r="G53" s="255">
        <f>SUM(G43:G52)</f>
        <v>0</v>
      </c>
      <c r="H53" s="226"/>
    </row>
    <row r="54" spans="1:8" x14ac:dyDescent="0.25">
      <c r="A54" s="211"/>
      <c r="B54" s="210"/>
      <c r="C54" s="243"/>
      <c r="D54" s="245"/>
      <c r="E54" s="246"/>
      <c r="F54" s="246"/>
      <c r="G54" s="246"/>
    </row>
    <row r="55" spans="1:8" x14ac:dyDescent="0.25">
      <c r="C55" s="247"/>
      <c r="D55" s="248"/>
      <c r="E55" s="218"/>
      <c r="F55" s="218"/>
      <c r="G55" s="218"/>
    </row>
    <row r="56" spans="1:8" x14ac:dyDescent="0.25">
      <c r="C56" s="247"/>
      <c r="D56" s="248"/>
      <c r="E56" s="249"/>
      <c r="F56" s="249"/>
      <c r="G56" s="249"/>
    </row>
    <row r="57" spans="1:8" x14ac:dyDescent="0.25">
      <c r="C57" s="247"/>
      <c r="D57" s="248"/>
      <c r="E57" s="249"/>
      <c r="F57" s="249"/>
      <c r="G57" s="249"/>
    </row>
    <row r="58" spans="1:8" x14ac:dyDescent="0.25">
      <c r="C58" s="247"/>
      <c r="D58" s="248"/>
      <c r="E58" s="249"/>
      <c r="F58" s="249"/>
      <c r="G58" s="249"/>
    </row>
    <row r="59" spans="1:8" x14ac:dyDescent="0.25">
      <c r="C59" s="247"/>
      <c r="D59" s="248"/>
      <c r="E59" s="249"/>
      <c r="F59" s="249"/>
      <c r="G59" s="249"/>
    </row>
    <row r="60" spans="1:8" x14ac:dyDescent="0.25">
      <c r="C60" s="247"/>
      <c r="D60" s="248"/>
      <c r="E60" s="249"/>
      <c r="F60" s="249"/>
      <c r="G60" s="249"/>
    </row>
    <row r="61" spans="1:8" x14ac:dyDescent="0.25">
      <c r="C61" s="247"/>
      <c r="D61" s="248"/>
      <c r="E61" s="249"/>
      <c r="F61" s="249"/>
      <c r="G61" s="249"/>
    </row>
    <row r="62" spans="1:8" x14ac:dyDescent="0.25">
      <c r="C62" s="247"/>
      <c r="E62" s="249"/>
      <c r="F62" s="249"/>
      <c r="G62" s="249"/>
    </row>
    <row r="63" spans="1:8" x14ac:dyDescent="0.25">
      <c r="C63" s="247"/>
      <c r="E63" s="249"/>
      <c r="F63" s="249"/>
      <c r="G63" s="249"/>
    </row>
    <row r="64" spans="1:8" x14ac:dyDescent="0.25">
      <c r="C64" s="247"/>
      <c r="E64" s="249"/>
      <c r="F64" s="249"/>
      <c r="G64" s="249"/>
    </row>
    <row r="65" spans="3:7" x14ac:dyDescent="0.25">
      <c r="C65" s="247"/>
      <c r="E65" s="249"/>
      <c r="F65" s="249"/>
      <c r="G65" s="249"/>
    </row>
    <row r="66" spans="3:7" x14ac:dyDescent="0.25">
      <c r="C66" s="247"/>
      <c r="E66" s="249"/>
      <c r="F66" s="249"/>
      <c r="G66" s="249"/>
    </row>
    <row r="67" spans="3:7" x14ac:dyDescent="0.25">
      <c r="C67" s="247"/>
      <c r="E67" s="249"/>
      <c r="F67" s="249"/>
      <c r="G67" s="249"/>
    </row>
    <row r="68" spans="3:7" x14ac:dyDescent="0.25">
      <c r="C68" s="247"/>
      <c r="E68" s="249"/>
      <c r="F68" s="249"/>
      <c r="G68" s="249"/>
    </row>
    <row r="69" spans="3:7" x14ac:dyDescent="0.25">
      <c r="C69" s="247"/>
      <c r="E69" s="249"/>
      <c r="F69" s="249"/>
      <c r="G69" s="249"/>
    </row>
    <row r="70" spans="3:7" x14ac:dyDescent="0.25">
      <c r="C70" s="247"/>
      <c r="E70" s="249"/>
      <c r="F70" s="249"/>
      <c r="G70" s="249"/>
    </row>
    <row r="71" spans="3:7" x14ac:dyDescent="0.25">
      <c r="C71" s="247"/>
      <c r="E71" s="249"/>
      <c r="F71" s="249"/>
      <c r="G71" s="249"/>
    </row>
    <row r="72" spans="3:7" x14ac:dyDescent="0.25">
      <c r="C72" s="247"/>
      <c r="E72" s="249"/>
      <c r="F72" s="249"/>
      <c r="G72" s="249"/>
    </row>
    <row r="73" spans="3:7" x14ac:dyDescent="0.25">
      <c r="C73" s="247"/>
      <c r="E73" s="249"/>
      <c r="F73" s="249"/>
      <c r="G73" s="249"/>
    </row>
    <row r="74" spans="3:7" x14ac:dyDescent="0.25">
      <c r="C74" s="247"/>
      <c r="E74" s="249"/>
      <c r="F74" s="249"/>
      <c r="G74" s="249"/>
    </row>
    <row r="75" spans="3:7" x14ac:dyDescent="0.25">
      <c r="C75" s="247"/>
      <c r="E75" s="249"/>
      <c r="F75" s="249"/>
      <c r="G75" s="249"/>
    </row>
    <row r="76" spans="3:7" x14ac:dyDescent="0.25">
      <c r="C76" s="247"/>
      <c r="E76" s="249"/>
      <c r="F76" s="249"/>
      <c r="G76" s="249"/>
    </row>
    <row r="77" spans="3:7" x14ac:dyDescent="0.25">
      <c r="C77" s="247"/>
      <c r="E77" s="249"/>
      <c r="F77" s="249"/>
      <c r="G77" s="249"/>
    </row>
    <row r="78" spans="3:7" x14ac:dyDescent="0.25">
      <c r="C78" s="247"/>
      <c r="E78" s="249"/>
      <c r="F78" s="249"/>
      <c r="G78" s="249"/>
    </row>
    <row r="79" spans="3:7" x14ac:dyDescent="0.25">
      <c r="C79" s="247"/>
      <c r="E79" s="249"/>
      <c r="F79" s="249"/>
      <c r="G79" s="249"/>
    </row>
    <row r="80" spans="3:7" x14ac:dyDescent="0.25">
      <c r="C80" s="247"/>
      <c r="E80" s="249"/>
      <c r="F80" s="249"/>
      <c r="G80" s="249"/>
    </row>
    <row r="81" spans="3:7" x14ac:dyDescent="0.25">
      <c r="C81" s="256"/>
      <c r="E81" s="249"/>
      <c r="F81" s="249"/>
      <c r="G81" s="249"/>
    </row>
    <row r="82" spans="3:7" x14ac:dyDescent="0.25">
      <c r="C82" s="256"/>
      <c r="E82" s="249"/>
      <c r="F82" s="249"/>
      <c r="G82" s="249"/>
    </row>
    <row r="83" spans="3:7" x14ac:dyDescent="0.25">
      <c r="C83" s="256"/>
      <c r="E83" s="249"/>
      <c r="F83" s="249"/>
      <c r="G83" s="249"/>
    </row>
    <row r="84" spans="3:7" x14ac:dyDescent="0.25">
      <c r="C84" s="256"/>
      <c r="E84" s="249"/>
      <c r="F84" s="249"/>
      <c r="G84" s="249"/>
    </row>
    <row r="85" spans="3:7" x14ac:dyDescent="0.25">
      <c r="C85" s="256"/>
      <c r="E85" s="249"/>
      <c r="F85" s="249"/>
      <c r="G85" s="249"/>
    </row>
    <row r="86" spans="3:7" x14ac:dyDescent="0.25">
      <c r="C86" s="256"/>
      <c r="E86" s="249"/>
      <c r="F86" s="249"/>
      <c r="G86" s="249"/>
    </row>
    <row r="87" spans="3:7" x14ac:dyDescent="0.25">
      <c r="C87" s="256"/>
      <c r="E87" s="249"/>
      <c r="F87" s="249"/>
      <c r="G87" s="249"/>
    </row>
    <row r="88" spans="3:7" x14ac:dyDescent="0.25">
      <c r="C88" s="256"/>
      <c r="E88" s="249"/>
      <c r="F88" s="249"/>
      <c r="G88" s="249"/>
    </row>
    <row r="89" spans="3:7" x14ac:dyDescent="0.25">
      <c r="C89" s="256"/>
      <c r="E89" s="249"/>
      <c r="F89" s="249"/>
      <c r="G89" s="249"/>
    </row>
    <row r="90" spans="3:7" x14ac:dyDescent="0.25">
      <c r="C90" s="256"/>
      <c r="E90" s="249"/>
      <c r="F90" s="249"/>
      <c r="G90" s="249"/>
    </row>
    <row r="91" spans="3:7" x14ac:dyDescent="0.25">
      <c r="C91" s="256"/>
      <c r="E91" s="249"/>
      <c r="F91" s="249"/>
      <c r="G91" s="249"/>
    </row>
    <row r="92" spans="3:7" x14ac:dyDescent="0.25">
      <c r="C92" s="256"/>
      <c r="E92" s="249"/>
      <c r="F92" s="249"/>
      <c r="G92" s="249"/>
    </row>
    <row r="93" spans="3:7" x14ac:dyDescent="0.25">
      <c r="C93" s="256"/>
      <c r="E93" s="249"/>
      <c r="F93" s="249"/>
      <c r="G93" s="249"/>
    </row>
    <row r="94" spans="3:7" x14ac:dyDescent="0.25">
      <c r="C94" s="256"/>
      <c r="E94" s="249"/>
      <c r="F94" s="249"/>
      <c r="G94" s="249"/>
    </row>
    <row r="95" spans="3:7" x14ac:dyDescent="0.25">
      <c r="C95" s="256"/>
      <c r="E95" s="249"/>
      <c r="F95" s="249"/>
      <c r="G95" s="249"/>
    </row>
    <row r="96" spans="3:7" x14ac:dyDescent="0.25">
      <c r="C96" s="256"/>
      <c r="E96" s="249"/>
      <c r="F96" s="249"/>
      <c r="G96" s="249"/>
    </row>
    <row r="97" spans="3:7" x14ac:dyDescent="0.25">
      <c r="C97" s="256"/>
      <c r="E97" s="249"/>
      <c r="F97" s="249"/>
      <c r="G97" s="249"/>
    </row>
    <row r="98" spans="3:7" x14ac:dyDescent="0.25">
      <c r="C98" s="256"/>
      <c r="E98" s="249"/>
      <c r="F98" s="249"/>
      <c r="G98" s="249"/>
    </row>
    <row r="99" spans="3:7" x14ac:dyDescent="0.25">
      <c r="C99" s="256"/>
      <c r="E99" s="249"/>
      <c r="F99" s="249"/>
      <c r="G99" s="249"/>
    </row>
    <row r="100" spans="3:7" x14ac:dyDescent="0.25">
      <c r="C100" s="256"/>
      <c r="E100" s="249"/>
      <c r="F100" s="249"/>
      <c r="G100" s="249"/>
    </row>
    <row r="101" spans="3:7" x14ac:dyDescent="0.25">
      <c r="C101" s="256"/>
      <c r="E101" s="249"/>
      <c r="F101" s="249"/>
      <c r="G101" s="249"/>
    </row>
    <row r="102" spans="3:7" x14ac:dyDescent="0.25">
      <c r="C102" s="256"/>
      <c r="E102" s="249"/>
      <c r="F102" s="249"/>
      <c r="G102" s="249"/>
    </row>
    <row r="103" spans="3:7" x14ac:dyDescent="0.25">
      <c r="C103" s="256"/>
      <c r="E103" s="249"/>
      <c r="F103" s="249"/>
      <c r="G103" s="249"/>
    </row>
    <row r="104" spans="3:7" x14ac:dyDescent="0.25">
      <c r="C104" s="256"/>
      <c r="E104" s="249"/>
      <c r="F104" s="249"/>
      <c r="G104" s="249"/>
    </row>
    <row r="105" spans="3:7" x14ac:dyDescent="0.25">
      <c r="C105" s="256"/>
      <c r="E105" s="249"/>
      <c r="F105" s="249"/>
      <c r="G105" s="249"/>
    </row>
    <row r="106" spans="3:7" x14ac:dyDescent="0.25">
      <c r="C106" s="256"/>
      <c r="E106" s="249"/>
      <c r="F106" s="249"/>
      <c r="G106" s="249"/>
    </row>
    <row r="107" spans="3:7" x14ac:dyDescent="0.25">
      <c r="C107" s="256"/>
      <c r="E107" s="249"/>
      <c r="F107" s="249"/>
      <c r="G107" s="249"/>
    </row>
    <row r="108" spans="3:7" x14ac:dyDescent="0.25">
      <c r="C108" s="256"/>
      <c r="E108" s="249"/>
      <c r="F108" s="249"/>
      <c r="G108" s="249"/>
    </row>
    <row r="109" spans="3:7" x14ac:dyDescent="0.25">
      <c r="C109" s="256"/>
      <c r="E109" s="249"/>
      <c r="F109" s="249"/>
      <c r="G109" s="249"/>
    </row>
    <row r="110" spans="3:7" x14ac:dyDescent="0.25">
      <c r="C110" s="256"/>
      <c r="E110" s="249"/>
      <c r="F110" s="249"/>
      <c r="G110" s="249"/>
    </row>
    <row r="111" spans="3:7" x14ac:dyDescent="0.25">
      <c r="C111" s="256"/>
      <c r="E111" s="249"/>
      <c r="F111" s="249"/>
      <c r="G111" s="249"/>
    </row>
    <row r="112" spans="3:7" x14ac:dyDescent="0.25">
      <c r="C112" s="256"/>
      <c r="E112" s="249"/>
      <c r="F112" s="249"/>
      <c r="G112" s="249"/>
    </row>
    <row r="113" spans="3:7" x14ac:dyDescent="0.25">
      <c r="C113" s="256"/>
      <c r="E113" s="249"/>
      <c r="F113" s="249"/>
      <c r="G113" s="249"/>
    </row>
    <row r="114" spans="3:7" x14ac:dyDescent="0.25">
      <c r="C114" s="256"/>
      <c r="E114" s="249"/>
      <c r="F114" s="249"/>
      <c r="G114" s="249"/>
    </row>
    <row r="115" spans="3:7" x14ac:dyDescent="0.25">
      <c r="C115" s="256"/>
      <c r="E115" s="249"/>
      <c r="F115" s="249"/>
      <c r="G115" s="249"/>
    </row>
    <row r="116" spans="3:7" x14ac:dyDescent="0.25">
      <c r="C116" s="256"/>
      <c r="E116" s="249"/>
      <c r="F116" s="249"/>
      <c r="G116" s="249"/>
    </row>
    <row r="117" spans="3:7" x14ac:dyDescent="0.25">
      <c r="C117" s="256"/>
      <c r="E117" s="249"/>
      <c r="F117" s="249"/>
      <c r="G117" s="249"/>
    </row>
    <row r="118" spans="3:7" x14ac:dyDescent="0.25">
      <c r="C118" s="256"/>
      <c r="E118" s="249"/>
      <c r="F118" s="249"/>
      <c r="G118" s="249"/>
    </row>
    <row r="119" spans="3:7" x14ac:dyDescent="0.25">
      <c r="C119" s="256"/>
      <c r="E119" s="249"/>
      <c r="F119" s="249"/>
      <c r="G119" s="249"/>
    </row>
    <row r="120" spans="3:7" x14ac:dyDescent="0.25">
      <c r="C120" s="256"/>
      <c r="E120" s="249"/>
      <c r="F120" s="249"/>
      <c r="G120" s="249"/>
    </row>
    <row r="121" spans="3:7" x14ac:dyDescent="0.25">
      <c r="C121" s="256"/>
      <c r="E121" s="249"/>
      <c r="F121" s="249"/>
      <c r="G121" s="249"/>
    </row>
    <row r="122" spans="3:7" x14ac:dyDescent="0.25">
      <c r="C122" s="256"/>
      <c r="E122" s="249"/>
      <c r="F122" s="249"/>
      <c r="G122" s="249"/>
    </row>
    <row r="123" spans="3:7" x14ac:dyDescent="0.25">
      <c r="C123" s="256"/>
      <c r="E123" s="249"/>
      <c r="F123" s="249"/>
      <c r="G123" s="249"/>
    </row>
    <row r="124" spans="3:7" x14ac:dyDescent="0.25">
      <c r="C124" s="256"/>
      <c r="E124" s="249"/>
      <c r="F124" s="249"/>
      <c r="G124" s="249"/>
    </row>
    <row r="125" spans="3:7" x14ac:dyDescent="0.25">
      <c r="C125" s="256"/>
      <c r="E125" s="249"/>
      <c r="F125" s="249"/>
      <c r="G125" s="249"/>
    </row>
    <row r="126" spans="3:7" x14ac:dyDescent="0.25">
      <c r="C126" s="256"/>
      <c r="E126" s="249"/>
      <c r="F126" s="249"/>
      <c r="G126" s="249"/>
    </row>
    <row r="127" spans="3:7" x14ac:dyDescent="0.25">
      <c r="C127" s="256"/>
      <c r="E127" s="249"/>
      <c r="F127" s="249"/>
      <c r="G127" s="249"/>
    </row>
    <row r="128" spans="3:7" x14ac:dyDescent="0.25">
      <c r="C128" s="256"/>
      <c r="E128" s="249"/>
      <c r="F128" s="249"/>
      <c r="G128" s="249"/>
    </row>
    <row r="129" spans="3:7" x14ac:dyDescent="0.25">
      <c r="C129" s="256"/>
      <c r="E129" s="249"/>
      <c r="F129" s="249"/>
      <c r="G129" s="249"/>
    </row>
    <row r="130" spans="3:7" x14ac:dyDescent="0.25">
      <c r="C130" s="256"/>
      <c r="E130" s="249"/>
      <c r="F130" s="249"/>
      <c r="G130" s="249"/>
    </row>
    <row r="131" spans="3:7" x14ac:dyDescent="0.25">
      <c r="C131" s="256"/>
      <c r="E131" s="249"/>
      <c r="F131" s="249"/>
      <c r="G131" s="249"/>
    </row>
    <row r="132" spans="3:7" x14ac:dyDescent="0.25">
      <c r="C132" s="256"/>
      <c r="E132" s="249"/>
      <c r="F132" s="249"/>
      <c r="G132" s="249"/>
    </row>
    <row r="133" spans="3:7" x14ac:dyDescent="0.25">
      <c r="C133" s="256"/>
      <c r="E133" s="249"/>
      <c r="F133" s="249"/>
      <c r="G133" s="249"/>
    </row>
    <row r="134" spans="3:7" x14ac:dyDescent="0.25">
      <c r="C134" s="256"/>
      <c r="E134" s="249"/>
      <c r="F134" s="249"/>
      <c r="G134" s="249"/>
    </row>
    <row r="135" spans="3:7" x14ac:dyDescent="0.25">
      <c r="C135" s="256"/>
      <c r="E135" s="249"/>
      <c r="F135" s="249"/>
      <c r="G135" s="249"/>
    </row>
    <row r="136" spans="3:7" x14ac:dyDescent="0.25">
      <c r="C136" s="256"/>
      <c r="E136" s="249"/>
      <c r="F136" s="249"/>
      <c r="G136" s="249"/>
    </row>
    <row r="137" spans="3:7" x14ac:dyDescent="0.25">
      <c r="C137" s="256"/>
      <c r="E137" s="249"/>
      <c r="F137" s="249"/>
      <c r="G137" s="249"/>
    </row>
    <row r="138" spans="3:7" x14ac:dyDescent="0.25">
      <c r="C138" s="256"/>
      <c r="E138" s="249"/>
      <c r="F138" s="249"/>
      <c r="G138" s="249"/>
    </row>
    <row r="139" spans="3:7" x14ac:dyDescent="0.25">
      <c r="C139" s="256"/>
      <c r="E139" s="249"/>
      <c r="F139" s="249"/>
      <c r="G139" s="249"/>
    </row>
    <row r="140" spans="3:7" x14ac:dyDescent="0.25">
      <c r="C140" s="256"/>
      <c r="E140" s="249"/>
      <c r="F140" s="249"/>
      <c r="G140" s="249"/>
    </row>
    <row r="141" spans="3:7" x14ac:dyDescent="0.25">
      <c r="C141" s="256"/>
      <c r="E141" s="249"/>
      <c r="F141" s="249"/>
      <c r="G141" s="249"/>
    </row>
    <row r="142" spans="3:7" x14ac:dyDescent="0.25">
      <c r="C142" s="256"/>
      <c r="E142" s="249"/>
      <c r="F142" s="249"/>
      <c r="G142" s="249"/>
    </row>
    <row r="143" spans="3:7" x14ac:dyDescent="0.25">
      <c r="C143" s="256"/>
      <c r="E143" s="249"/>
      <c r="F143" s="249"/>
      <c r="G143" s="249"/>
    </row>
    <row r="144" spans="3:7" x14ac:dyDescent="0.25">
      <c r="C144" s="256"/>
      <c r="E144" s="249"/>
      <c r="F144" s="249"/>
      <c r="G144" s="249"/>
    </row>
    <row r="145" spans="3:7" x14ac:dyDescent="0.25">
      <c r="C145" s="256"/>
      <c r="E145" s="249"/>
      <c r="F145" s="249"/>
      <c r="G145" s="249"/>
    </row>
    <row r="146" spans="3:7" x14ac:dyDescent="0.25">
      <c r="C146" s="256"/>
      <c r="E146" s="249"/>
      <c r="F146" s="249"/>
      <c r="G146" s="249"/>
    </row>
    <row r="147" spans="3:7" x14ac:dyDescent="0.25">
      <c r="C147" s="256"/>
      <c r="E147" s="249"/>
      <c r="F147" s="249"/>
      <c r="G147" s="249"/>
    </row>
    <row r="148" spans="3:7" x14ac:dyDescent="0.25">
      <c r="C148" s="256"/>
      <c r="E148" s="249"/>
      <c r="F148" s="249"/>
      <c r="G148" s="249"/>
    </row>
    <row r="149" spans="3:7" x14ac:dyDescent="0.25">
      <c r="C149" s="256"/>
      <c r="E149" s="249"/>
      <c r="F149" s="249"/>
      <c r="G149" s="249"/>
    </row>
    <row r="150" spans="3:7" x14ac:dyDescent="0.25">
      <c r="C150" s="256"/>
      <c r="E150" s="249"/>
      <c r="F150" s="249"/>
      <c r="G150" s="249"/>
    </row>
    <row r="151" spans="3:7" x14ac:dyDescent="0.25">
      <c r="C151" s="256"/>
      <c r="E151" s="249"/>
      <c r="F151" s="249"/>
      <c r="G151" s="249"/>
    </row>
    <row r="152" spans="3:7" x14ac:dyDescent="0.25">
      <c r="C152" s="256"/>
      <c r="E152" s="249"/>
      <c r="F152" s="249"/>
      <c r="G152" s="249"/>
    </row>
    <row r="153" spans="3:7" x14ac:dyDescent="0.25">
      <c r="C153" s="256"/>
      <c r="E153" s="249"/>
      <c r="F153" s="249"/>
      <c r="G153" s="249"/>
    </row>
    <row r="154" spans="3:7" x14ac:dyDescent="0.25">
      <c r="C154" s="256"/>
      <c r="E154" s="249"/>
      <c r="F154" s="249"/>
      <c r="G154" s="249"/>
    </row>
    <row r="155" spans="3:7" x14ac:dyDescent="0.25">
      <c r="C155" s="256"/>
      <c r="E155" s="249"/>
      <c r="F155" s="249"/>
      <c r="G155" s="249"/>
    </row>
    <row r="156" spans="3:7" x14ac:dyDescent="0.25">
      <c r="C156" s="256"/>
      <c r="E156" s="249"/>
      <c r="F156" s="249"/>
      <c r="G156" s="249"/>
    </row>
    <row r="157" spans="3:7" x14ac:dyDescent="0.25">
      <c r="C157" s="256"/>
      <c r="E157" s="249"/>
      <c r="F157" s="249"/>
      <c r="G157" s="249"/>
    </row>
    <row r="158" spans="3:7" x14ac:dyDescent="0.25">
      <c r="C158" s="256"/>
      <c r="E158" s="249"/>
      <c r="F158" s="249"/>
      <c r="G158" s="249"/>
    </row>
    <row r="159" spans="3:7" x14ac:dyDescent="0.25">
      <c r="C159" s="256"/>
      <c r="E159" s="249"/>
      <c r="F159" s="249"/>
      <c r="G159" s="249"/>
    </row>
    <row r="160" spans="3:7" x14ac:dyDescent="0.25">
      <c r="C160" s="256"/>
      <c r="E160" s="249"/>
      <c r="F160" s="249"/>
      <c r="G160" s="249"/>
    </row>
    <row r="161" spans="3:7" x14ac:dyDescent="0.25">
      <c r="C161" s="256"/>
      <c r="E161" s="249"/>
      <c r="F161" s="249"/>
      <c r="G161" s="249"/>
    </row>
    <row r="162" spans="3:7" x14ac:dyDescent="0.25">
      <c r="C162" s="256"/>
      <c r="E162" s="249"/>
      <c r="F162" s="249"/>
      <c r="G162" s="249"/>
    </row>
    <row r="163" spans="3:7" x14ac:dyDescent="0.25">
      <c r="C163" s="256"/>
      <c r="E163" s="249"/>
      <c r="F163" s="249"/>
      <c r="G163" s="249"/>
    </row>
    <row r="164" spans="3:7" x14ac:dyDescent="0.25">
      <c r="C164" s="256"/>
      <c r="E164" s="249"/>
      <c r="F164" s="249"/>
      <c r="G164" s="249"/>
    </row>
    <row r="165" spans="3:7" x14ac:dyDescent="0.25">
      <c r="C165" s="256"/>
      <c r="E165" s="249"/>
      <c r="F165" s="249"/>
      <c r="G165" s="249"/>
    </row>
    <row r="166" spans="3:7" x14ac:dyDescent="0.25">
      <c r="C166" s="256"/>
      <c r="E166" s="249"/>
      <c r="F166" s="249"/>
      <c r="G166" s="249"/>
    </row>
    <row r="167" spans="3:7" x14ac:dyDescent="0.25">
      <c r="C167" s="256"/>
      <c r="E167" s="249"/>
      <c r="F167" s="249"/>
      <c r="G167" s="249"/>
    </row>
    <row r="168" spans="3:7" x14ac:dyDescent="0.25">
      <c r="E168" s="249"/>
      <c r="F168" s="249"/>
      <c r="G168" s="249"/>
    </row>
    <row r="169" spans="3:7" x14ac:dyDescent="0.25">
      <c r="E169" s="249"/>
      <c r="F169" s="249"/>
      <c r="G169" s="249"/>
    </row>
    <row r="170" spans="3:7" x14ac:dyDescent="0.25">
      <c r="E170" s="249"/>
      <c r="F170" s="249"/>
      <c r="G170" s="249"/>
    </row>
    <row r="171" spans="3:7" x14ac:dyDescent="0.25">
      <c r="E171" s="249"/>
      <c r="F171" s="249"/>
      <c r="G171" s="249"/>
    </row>
    <row r="172" spans="3:7" x14ac:dyDescent="0.25">
      <c r="E172" s="249"/>
      <c r="F172" s="249"/>
      <c r="G172" s="249"/>
    </row>
    <row r="173" spans="3:7" x14ac:dyDescent="0.25">
      <c r="E173" s="249"/>
      <c r="F173" s="249"/>
      <c r="G173" s="249"/>
    </row>
    <row r="174" spans="3:7" x14ac:dyDescent="0.25">
      <c r="E174" s="249"/>
      <c r="F174" s="249"/>
      <c r="G174" s="249"/>
    </row>
    <row r="175" spans="3:7" x14ac:dyDescent="0.25">
      <c r="E175" s="249"/>
      <c r="F175" s="249"/>
      <c r="G175" s="249"/>
    </row>
    <row r="176" spans="3:7" x14ac:dyDescent="0.25">
      <c r="E176" s="249"/>
      <c r="F176" s="249"/>
      <c r="G176" s="249"/>
    </row>
    <row r="177" spans="5:7" x14ac:dyDescent="0.25">
      <c r="E177" s="249"/>
      <c r="F177" s="249"/>
      <c r="G177" s="249"/>
    </row>
    <row r="178" spans="5:7" x14ac:dyDescent="0.25">
      <c r="E178" s="249"/>
      <c r="F178" s="249"/>
      <c r="G178" s="249"/>
    </row>
    <row r="179" spans="5:7" x14ac:dyDescent="0.25">
      <c r="E179" s="249"/>
      <c r="F179" s="249"/>
      <c r="G179" s="249"/>
    </row>
    <row r="180" spans="5:7" x14ac:dyDescent="0.25">
      <c r="E180" s="249"/>
      <c r="F180" s="249"/>
      <c r="G180" s="249"/>
    </row>
    <row r="181" spans="5:7" x14ac:dyDescent="0.25">
      <c r="E181" s="249"/>
      <c r="F181" s="249"/>
      <c r="G181" s="249"/>
    </row>
    <row r="182" spans="5:7" x14ac:dyDescent="0.25">
      <c r="E182" s="249"/>
      <c r="F182" s="249"/>
      <c r="G182" s="249"/>
    </row>
    <row r="183" spans="5:7" x14ac:dyDescent="0.25">
      <c r="E183" s="249"/>
      <c r="F183" s="249"/>
      <c r="G183" s="249"/>
    </row>
    <row r="184" spans="5:7" x14ac:dyDescent="0.25">
      <c r="E184" s="249"/>
      <c r="F184" s="249"/>
      <c r="G184" s="249"/>
    </row>
    <row r="185" spans="5:7" x14ac:dyDescent="0.25">
      <c r="E185" s="249"/>
      <c r="F185" s="249"/>
      <c r="G185" s="249"/>
    </row>
    <row r="186" spans="5:7" x14ac:dyDescent="0.25">
      <c r="E186" s="249"/>
      <c r="F186" s="249"/>
      <c r="G186" s="249"/>
    </row>
    <row r="187" spans="5:7" x14ac:dyDescent="0.25">
      <c r="E187" s="249"/>
      <c r="F187" s="249"/>
      <c r="G187" s="249"/>
    </row>
    <row r="188" spans="5:7" x14ac:dyDescent="0.25">
      <c r="E188" s="249"/>
      <c r="F188" s="249"/>
      <c r="G188" s="249"/>
    </row>
    <row r="189" spans="5:7" x14ac:dyDescent="0.25">
      <c r="E189" s="249"/>
      <c r="F189" s="249"/>
      <c r="G189" s="249"/>
    </row>
    <row r="190" spans="5:7" x14ac:dyDescent="0.25">
      <c r="E190" s="249"/>
      <c r="F190" s="249"/>
      <c r="G190" s="249"/>
    </row>
    <row r="191" spans="5:7" x14ac:dyDescent="0.25">
      <c r="E191" s="249"/>
      <c r="F191" s="249"/>
      <c r="G191" s="249"/>
    </row>
    <row r="192" spans="5:7" x14ac:dyDescent="0.25">
      <c r="E192" s="249"/>
      <c r="F192" s="249"/>
      <c r="G192" s="249"/>
    </row>
    <row r="193" spans="5:7" x14ac:dyDescent="0.25">
      <c r="E193" s="249"/>
      <c r="F193" s="249"/>
      <c r="G193" s="249"/>
    </row>
    <row r="194" spans="5:7" x14ac:dyDescent="0.25">
      <c r="E194" s="249"/>
      <c r="F194" s="249"/>
      <c r="G194" s="249"/>
    </row>
    <row r="195" spans="5:7" x14ac:dyDescent="0.25">
      <c r="E195" s="249"/>
      <c r="F195" s="249"/>
      <c r="G195" s="249"/>
    </row>
    <row r="196" spans="5:7" x14ac:dyDescent="0.25">
      <c r="E196" s="249"/>
      <c r="F196" s="249"/>
      <c r="G196" s="249"/>
    </row>
    <row r="197" spans="5:7" x14ac:dyDescent="0.25">
      <c r="E197" s="249"/>
      <c r="F197" s="249"/>
      <c r="G197" s="249"/>
    </row>
    <row r="198" spans="5:7" x14ac:dyDescent="0.25">
      <c r="E198" s="249"/>
      <c r="F198" s="249"/>
      <c r="G198" s="249"/>
    </row>
    <row r="199" spans="5:7" x14ac:dyDescent="0.25">
      <c r="E199" s="249"/>
      <c r="F199" s="249"/>
      <c r="G199" s="249"/>
    </row>
    <row r="200" spans="5:7" x14ac:dyDescent="0.25">
      <c r="E200" s="249"/>
      <c r="F200" s="249"/>
      <c r="G200" s="249"/>
    </row>
    <row r="201" spans="5:7" x14ac:dyDescent="0.25">
      <c r="E201" s="249"/>
      <c r="F201" s="249"/>
      <c r="G201" s="249"/>
    </row>
    <row r="202" spans="5:7" x14ac:dyDescent="0.25">
      <c r="E202" s="249"/>
      <c r="F202" s="249"/>
      <c r="G202" s="249"/>
    </row>
    <row r="203" spans="5:7" x14ac:dyDescent="0.25">
      <c r="E203" s="249"/>
      <c r="F203" s="249"/>
      <c r="G203" s="249"/>
    </row>
    <row r="204" spans="5:7" x14ac:dyDescent="0.25">
      <c r="E204" s="249"/>
      <c r="F204" s="249"/>
      <c r="G204" s="249"/>
    </row>
    <row r="205" spans="5:7" x14ac:dyDescent="0.25">
      <c r="E205" s="249"/>
      <c r="F205" s="249"/>
      <c r="G205" s="249"/>
    </row>
    <row r="206" spans="5:7" x14ac:dyDescent="0.25">
      <c r="E206" s="249"/>
      <c r="F206" s="249"/>
      <c r="G206" s="249"/>
    </row>
    <row r="207" spans="5:7" x14ac:dyDescent="0.25">
      <c r="E207" s="249"/>
      <c r="F207" s="249"/>
      <c r="G207" s="249"/>
    </row>
    <row r="208" spans="5:7" x14ac:dyDescent="0.25">
      <c r="E208" s="249"/>
      <c r="F208" s="249"/>
      <c r="G208" s="249"/>
    </row>
    <row r="209" spans="5:7" x14ac:dyDescent="0.25">
      <c r="E209" s="249"/>
      <c r="F209" s="249"/>
      <c r="G209" s="249"/>
    </row>
    <row r="210" spans="5:7" x14ac:dyDescent="0.25">
      <c r="E210" s="249"/>
      <c r="F210" s="249"/>
      <c r="G210" s="249"/>
    </row>
    <row r="211" spans="5:7" x14ac:dyDescent="0.25">
      <c r="E211" s="249"/>
      <c r="F211" s="249"/>
      <c r="G211" s="249"/>
    </row>
    <row r="212" spans="5:7" x14ac:dyDescent="0.25">
      <c r="E212" s="249"/>
      <c r="F212" s="249"/>
      <c r="G212" s="249"/>
    </row>
    <row r="213" spans="5:7" x14ac:dyDescent="0.25">
      <c r="E213" s="249"/>
      <c r="F213" s="249"/>
      <c r="G213" s="249"/>
    </row>
    <row r="214" spans="5:7" x14ac:dyDescent="0.25">
      <c r="E214" s="249"/>
      <c r="F214" s="249"/>
      <c r="G214" s="249"/>
    </row>
    <row r="215" spans="5:7" x14ac:dyDescent="0.25">
      <c r="E215" s="249"/>
      <c r="F215" s="249"/>
      <c r="G215" s="249"/>
    </row>
    <row r="216" spans="5:7" x14ac:dyDescent="0.25">
      <c r="E216" s="249"/>
      <c r="F216" s="249"/>
      <c r="G216" s="249"/>
    </row>
    <row r="217" spans="5:7" x14ac:dyDescent="0.25">
      <c r="E217" s="249"/>
      <c r="F217" s="249"/>
      <c r="G217" s="249"/>
    </row>
    <row r="218" spans="5:7" x14ac:dyDescent="0.25">
      <c r="E218" s="249"/>
      <c r="F218" s="249"/>
      <c r="G218" s="249"/>
    </row>
    <row r="219" spans="5:7" x14ac:dyDescent="0.25">
      <c r="E219" s="249"/>
      <c r="F219" s="249"/>
      <c r="G219" s="249"/>
    </row>
    <row r="220" spans="5:7" x14ac:dyDescent="0.25">
      <c r="E220" s="249"/>
      <c r="F220" s="249"/>
      <c r="G220" s="249"/>
    </row>
    <row r="221" spans="5:7" x14ac:dyDescent="0.25">
      <c r="E221" s="249"/>
      <c r="F221" s="249"/>
      <c r="G221" s="249"/>
    </row>
    <row r="222" spans="5:7" x14ac:dyDescent="0.25">
      <c r="E222" s="249"/>
      <c r="F222" s="249"/>
      <c r="G222" s="249"/>
    </row>
    <row r="223" spans="5:7" x14ac:dyDescent="0.25">
      <c r="E223" s="249"/>
      <c r="F223" s="249"/>
      <c r="G223" s="249"/>
    </row>
    <row r="224" spans="5:7" x14ac:dyDescent="0.25">
      <c r="E224" s="249"/>
      <c r="F224" s="249"/>
      <c r="G224" s="249"/>
    </row>
    <row r="225" spans="5:7" x14ac:dyDescent="0.25">
      <c r="E225" s="249"/>
      <c r="F225" s="249"/>
      <c r="G225" s="249"/>
    </row>
    <row r="226" spans="5:7" x14ac:dyDescent="0.25">
      <c r="E226" s="249"/>
      <c r="F226" s="249"/>
      <c r="G226" s="249"/>
    </row>
    <row r="227" spans="5:7" x14ac:dyDescent="0.25">
      <c r="E227" s="249"/>
      <c r="F227" s="249"/>
      <c r="G227" s="249"/>
    </row>
    <row r="228" spans="5:7" x14ac:dyDescent="0.25">
      <c r="E228" s="249"/>
      <c r="F228" s="249"/>
      <c r="G228" s="249"/>
    </row>
    <row r="229" spans="5:7" x14ac:dyDescent="0.25">
      <c r="E229" s="249"/>
      <c r="F229" s="249"/>
      <c r="G229" s="249"/>
    </row>
    <row r="230" spans="5:7" x14ac:dyDescent="0.25">
      <c r="E230" s="249"/>
      <c r="F230" s="249"/>
      <c r="G230" s="249"/>
    </row>
    <row r="231" spans="5:7" x14ac:dyDescent="0.25">
      <c r="E231" s="249"/>
      <c r="F231" s="249"/>
      <c r="G231" s="249"/>
    </row>
    <row r="232" spans="5:7" x14ac:dyDescent="0.25">
      <c r="E232" s="249"/>
      <c r="F232" s="249"/>
      <c r="G232" s="249"/>
    </row>
    <row r="233" spans="5:7" x14ac:dyDescent="0.25">
      <c r="E233" s="249"/>
      <c r="F233" s="249"/>
      <c r="G233" s="249"/>
    </row>
    <row r="234" spans="5:7" x14ac:dyDescent="0.25">
      <c r="E234" s="249"/>
      <c r="F234" s="249"/>
      <c r="G234" s="249"/>
    </row>
    <row r="235" spans="5:7" x14ac:dyDescent="0.25">
      <c r="E235" s="249"/>
      <c r="F235" s="249"/>
      <c r="G235" s="249"/>
    </row>
    <row r="236" spans="5:7" x14ac:dyDescent="0.25">
      <c r="E236" s="249"/>
      <c r="F236" s="249"/>
      <c r="G236" s="249"/>
    </row>
    <row r="237" spans="5:7" x14ac:dyDescent="0.25">
      <c r="E237" s="249"/>
      <c r="F237" s="249"/>
      <c r="G237" s="249"/>
    </row>
    <row r="238" spans="5:7" x14ac:dyDescent="0.25">
      <c r="E238" s="249"/>
      <c r="F238" s="249"/>
      <c r="G238" s="249"/>
    </row>
    <row r="239" spans="5:7" x14ac:dyDescent="0.25">
      <c r="E239" s="249"/>
      <c r="F239" s="249"/>
      <c r="G239" s="249"/>
    </row>
    <row r="240" spans="5:7" x14ac:dyDescent="0.25">
      <c r="E240" s="249"/>
      <c r="F240" s="249"/>
      <c r="G240" s="249"/>
    </row>
    <row r="241" spans="5:7" x14ac:dyDescent="0.25">
      <c r="E241" s="249"/>
      <c r="F241" s="249"/>
      <c r="G241" s="249"/>
    </row>
    <row r="242" spans="5:7" x14ac:dyDescent="0.25">
      <c r="E242" s="249"/>
      <c r="F242" s="249"/>
      <c r="G242" s="249"/>
    </row>
    <row r="243" spans="5:7" x14ac:dyDescent="0.25">
      <c r="E243" s="249"/>
      <c r="F243" s="249"/>
      <c r="G243" s="249"/>
    </row>
    <row r="244" spans="5:7" x14ac:dyDescent="0.25">
      <c r="E244" s="249"/>
      <c r="F244" s="249"/>
      <c r="G244" s="249"/>
    </row>
    <row r="245" spans="5:7" x14ac:dyDescent="0.25">
      <c r="E245" s="249"/>
      <c r="F245" s="249"/>
      <c r="G245" s="249"/>
    </row>
    <row r="246" spans="5:7" x14ac:dyDescent="0.25">
      <c r="E246" s="249"/>
      <c r="F246" s="249"/>
      <c r="G246" s="249"/>
    </row>
    <row r="247" spans="5:7" x14ac:dyDescent="0.25">
      <c r="E247" s="249"/>
      <c r="F247" s="249"/>
      <c r="G247" s="249"/>
    </row>
    <row r="248" spans="5:7" x14ac:dyDescent="0.25">
      <c r="E248" s="249"/>
      <c r="F248" s="249"/>
      <c r="G248" s="249"/>
    </row>
    <row r="249" spans="5:7" x14ac:dyDescent="0.25">
      <c r="E249" s="249"/>
      <c r="F249" s="249"/>
      <c r="G249" s="249"/>
    </row>
    <row r="250" spans="5:7" x14ac:dyDescent="0.25">
      <c r="E250" s="249"/>
      <c r="F250" s="249"/>
      <c r="G250" s="249"/>
    </row>
    <row r="251" spans="5:7" x14ac:dyDescent="0.25">
      <c r="E251" s="249"/>
      <c r="F251" s="249"/>
      <c r="G251" s="249"/>
    </row>
    <row r="252" spans="5:7" x14ac:dyDescent="0.25">
      <c r="E252" s="249"/>
      <c r="F252" s="249"/>
      <c r="G252" s="249"/>
    </row>
    <row r="253" spans="5:7" x14ac:dyDescent="0.25">
      <c r="E253" s="249"/>
      <c r="F253" s="249"/>
      <c r="G253" s="249"/>
    </row>
    <row r="254" spans="5:7" x14ac:dyDescent="0.25">
      <c r="E254" s="249"/>
      <c r="F254" s="249"/>
      <c r="G254" s="249"/>
    </row>
    <row r="255" spans="5:7" x14ac:dyDescent="0.25">
      <c r="E255" s="249"/>
      <c r="F255" s="249"/>
      <c r="G255" s="249"/>
    </row>
    <row r="256" spans="5:7" x14ac:dyDescent="0.25">
      <c r="E256" s="249"/>
      <c r="F256" s="249"/>
      <c r="G256" s="249"/>
    </row>
    <row r="257" spans="5:7" x14ac:dyDescent="0.25">
      <c r="E257" s="249"/>
      <c r="F257" s="249"/>
      <c r="G257" s="249"/>
    </row>
    <row r="258" spans="5:7" x14ac:dyDescent="0.25">
      <c r="E258" s="249"/>
      <c r="F258" s="249"/>
      <c r="G258" s="249"/>
    </row>
    <row r="259" spans="5:7" x14ac:dyDescent="0.25">
      <c r="E259" s="249"/>
      <c r="F259" s="249"/>
      <c r="G259" s="249"/>
    </row>
    <row r="260" spans="5:7" x14ac:dyDescent="0.25">
      <c r="E260" s="249"/>
      <c r="F260" s="249"/>
      <c r="G260" s="249"/>
    </row>
    <row r="261" spans="5:7" x14ac:dyDescent="0.25">
      <c r="E261" s="249"/>
      <c r="F261" s="249"/>
      <c r="G261" s="249"/>
    </row>
    <row r="262" spans="5:7" x14ac:dyDescent="0.25">
      <c r="E262" s="249"/>
      <c r="F262" s="249"/>
      <c r="G262" s="249"/>
    </row>
    <row r="263" spans="5:7" x14ac:dyDescent="0.25">
      <c r="E263" s="249"/>
      <c r="F263" s="249"/>
      <c r="G263" s="249"/>
    </row>
    <row r="264" spans="5:7" x14ac:dyDescent="0.25">
      <c r="E264" s="249"/>
      <c r="F264" s="249"/>
      <c r="G264" s="249"/>
    </row>
    <row r="265" spans="5:7" x14ac:dyDescent="0.25">
      <c r="E265" s="249"/>
      <c r="F265" s="249"/>
      <c r="G265" s="249"/>
    </row>
    <row r="266" spans="5:7" x14ac:dyDescent="0.25">
      <c r="E266" s="249"/>
      <c r="F266" s="249"/>
      <c r="G266" s="249"/>
    </row>
    <row r="267" spans="5:7" x14ac:dyDescent="0.25">
      <c r="E267" s="249"/>
      <c r="F267" s="249"/>
      <c r="G267" s="249"/>
    </row>
    <row r="268" spans="5:7" x14ac:dyDescent="0.25">
      <c r="E268" s="249"/>
      <c r="F268" s="249"/>
      <c r="G268" s="249"/>
    </row>
    <row r="269" spans="5:7" x14ac:dyDescent="0.25">
      <c r="E269" s="249"/>
      <c r="F269" s="249"/>
      <c r="G269" s="249"/>
    </row>
    <row r="270" spans="5:7" x14ac:dyDescent="0.25">
      <c r="E270" s="249"/>
      <c r="F270" s="249"/>
      <c r="G270" s="249"/>
    </row>
    <row r="271" spans="5:7" x14ac:dyDescent="0.25">
      <c r="E271" s="249"/>
      <c r="F271" s="249"/>
      <c r="G271" s="249"/>
    </row>
    <row r="272" spans="5:7" x14ac:dyDescent="0.25">
      <c r="E272" s="249"/>
      <c r="F272" s="249"/>
      <c r="G272" s="249"/>
    </row>
    <row r="273" spans="5:7" x14ac:dyDescent="0.25">
      <c r="E273" s="249"/>
      <c r="F273" s="249"/>
      <c r="G273" s="249"/>
    </row>
    <row r="274" spans="5:7" x14ac:dyDescent="0.25">
      <c r="E274" s="249"/>
      <c r="F274" s="249"/>
      <c r="G274" s="249"/>
    </row>
    <row r="275" spans="5:7" x14ac:dyDescent="0.25">
      <c r="E275" s="249"/>
      <c r="F275" s="249"/>
      <c r="G275" s="249"/>
    </row>
    <row r="276" spans="5:7" x14ac:dyDescent="0.25">
      <c r="E276" s="249"/>
      <c r="F276" s="249"/>
      <c r="G276" s="249"/>
    </row>
    <row r="277" spans="5:7" x14ac:dyDescent="0.25">
      <c r="E277" s="249"/>
      <c r="F277" s="249"/>
      <c r="G277" s="249"/>
    </row>
    <row r="278" spans="5:7" x14ac:dyDescent="0.25">
      <c r="E278" s="249"/>
      <c r="F278" s="249"/>
      <c r="G278" s="249"/>
    </row>
    <row r="279" spans="5:7" x14ac:dyDescent="0.25">
      <c r="E279" s="249"/>
      <c r="F279" s="249"/>
      <c r="G279" s="249"/>
    </row>
    <row r="280" spans="5:7" x14ac:dyDescent="0.25">
      <c r="E280" s="249"/>
      <c r="F280" s="249"/>
      <c r="G280" s="249"/>
    </row>
    <row r="281" spans="5:7" x14ac:dyDescent="0.25">
      <c r="E281" s="249"/>
      <c r="F281" s="249"/>
      <c r="G281" s="249"/>
    </row>
    <row r="282" spans="5:7" x14ac:dyDescent="0.25">
      <c r="E282" s="249"/>
      <c r="F282" s="249"/>
      <c r="G282" s="249"/>
    </row>
    <row r="283" spans="5:7" x14ac:dyDescent="0.25">
      <c r="E283" s="249"/>
      <c r="F283" s="249"/>
      <c r="G283" s="249"/>
    </row>
    <row r="284" spans="5:7" x14ac:dyDescent="0.25">
      <c r="E284" s="249"/>
      <c r="F284" s="249"/>
      <c r="G284" s="249"/>
    </row>
    <row r="285" spans="5:7" x14ac:dyDescent="0.25">
      <c r="E285" s="249"/>
      <c r="F285" s="249"/>
      <c r="G285" s="249"/>
    </row>
    <row r="286" spans="5:7" x14ac:dyDescent="0.25">
      <c r="E286" s="249"/>
      <c r="F286" s="249"/>
      <c r="G286" s="249"/>
    </row>
    <row r="287" spans="5:7" x14ac:dyDescent="0.25">
      <c r="E287" s="249"/>
      <c r="F287" s="249"/>
      <c r="G287" s="249"/>
    </row>
    <row r="288" spans="5:7" x14ac:dyDescent="0.25">
      <c r="E288" s="249"/>
      <c r="F288" s="249"/>
      <c r="G288" s="249"/>
    </row>
    <row r="289" spans="5:7" x14ac:dyDescent="0.25">
      <c r="E289" s="249"/>
      <c r="F289" s="249"/>
      <c r="G289" s="249"/>
    </row>
    <row r="290" spans="5:7" x14ac:dyDescent="0.25">
      <c r="E290" s="249"/>
      <c r="F290" s="249"/>
      <c r="G290" s="249"/>
    </row>
    <row r="291" spans="5:7" x14ac:dyDescent="0.25">
      <c r="E291" s="249"/>
      <c r="F291" s="249"/>
      <c r="G291" s="249"/>
    </row>
    <row r="292" spans="5:7" x14ac:dyDescent="0.25">
      <c r="E292" s="249"/>
      <c r="F292" s="249"/>
      <c r="G292" s="249"/>
    </row>
    <row r="293" spans="5:7" x14ac:dyDescent="0.25">
      <c r="E293" s="249"/>
      <c r="F293" s="249"/>
      <c r="G293" s="249"/>
    </row>
    <row r="294" spans="5:7" x14ac:dyDescent="0.25">
      <c r="E294" s="249"/>
      <c r="F294" s="249"/>
      <c r="G294" s="249"/>
    </row>
    <row r="295" spans="5:7" x14ac:dyDescent="0.25">
      <c r="E295" s="249"/>
      <c r="F295" s="249"/>
      <c r="G295" s="249"/>
    </row>
    <row r="296" spans="5:7" x14ac:dyDescent="0.25">
      <c r="E296" s="249"/>
      <c r="F296" s="249"/>
      <c r="G296" s="249"/>
    </row>
    <row r="297" spans="5:7" x14ac:dyDescent="0.25">
      <c r="E297" s="249"/>
      <c r="F297" s="249"/>
      <c r="G297" s="249"/>
    </row>
    <row r="298" spans="5:7" x14ac:dyDescent="0.25">
      <c r="E298" s="249"/>
      <c r="F298" s="249"/>
      <c r="G298" s="249"/>
    </row>
    <row r="299" spans="5:7" x14ac:dyDescent="0.25">
      <c r="E299" s="249"/>
      <c r="F299" s="249"/>
      <c r="G299" s="249"/>
    </row>
    <row r="300" spans="5:7" x14ac:dyDescent="0.25">
      <c r="E300" s="249"/>
      <c r="F300" s="249"/>
      <c r="G300" s="249"/>
    </row>
    <row r="301" spans="5:7" x14ac:dyDescent="0.25">
      <c r="E301" s="249"/>
      <c r="F301" s="249"/>
      <c r="G301" s="249"/>
    </row>
    <row r="302" spans="5:7" x14ac:dyDescent="0.25">
      <c r="E302" s="249"/>
      <c r="F302" s="249"/>
      <c r="G302" s="249"/>
    </row>
    <row r="303" spans="5:7" x14ac:dyDescent="0.25">
      <c r="E303" s="249"/>
      <c r="F303" s="249"/>
      <c r="G303" s="249"/>
    </row>
    <row r="304" spans="5:7" x14ac:dyDescent="0.25">
      <c r="E304" s="249"/>
      <c r="F304" s="249"/>
      <c r="G304" s="249"/>
    </row>
    <row r="305" spans="5:7" x14ac:dyDescent="0.25">
      <c r="E305" s="249"/>
      <c r="F305" s="249"/>
      <c r="G305" s="249"/>
    </row>
    <row r="306" spans="5:7" x14ac:dyDescent="0.25">
      <c r="E306" s="249"/>
      <c r="F306" s="249"/>
      <c r="G306" s="249"/>
    </row>
    <row r="307" spans="5:7" x14ac:dyDescent="0.25">
      <c r="E307" s="249"/>
      <c r="F307" s="249"/>
      <c r="G307" s="249"/>
    </row>
    <row r="308" spans="5:7" x14ac:dyDescent="0.25">
      <c r="E308" s="249"/>
      <c r="F308" s="249"/>
      <c r="G308" s="249"/>
    </row>
    <row r="309" spans="5:7" x14ac:dyDescent="0.25">
      <c r="E309" s="249"/>
      <c r="F309" s="249"/>
      <c r="G309" s="249"/>
    </row>
    <row r="310" spans="5:7" x14ac:dyDescent="0.25">
      <c r="E310" s="249"/>
      <c r="F310" s="249"/>
      <c r="G310" s="249"/>
    </row>
    <row r="311" spans="5:7" x14ac:dyDescent="0.25">
      <c r="E311" s="249"/>
      <c r="F311" s="249"/>
      <c r="G311" s="249"/>
    </row>
    <row r="312" spans="5:7" x14ac:dyDescent="0.25">
      <c r="E312" s="249"/>
      <c r="F312" s="249"/>
      <c r="G312" s="249"/>
    </row>
    <row r="313" spans="5:7" x14ac:dyDescent="0.25">
      <c r="E313" s="249"/>
      <c r="F313" s="249"/>
      <c r="G313" s="249"/>
    </row>
    <row r="314" spans="5:7" x14ac:dyDescent="0.25">
      <c r="E314" s="249"/>
      <c r="F314" s="249"/>
      <c r="G314" s="249"/>
    </row>
    <row r="315" spans="5:7" x14ac:dyDescent="0.25">
      <c r="E315" s="249"/>
      <c r="F315" s="249"/>
      <c r="G315" s="249"/>
    </row>
    <row r="316" spans="5:7" x14ac:dyDescent="0.25">
      <c r="E316" s="249"/>
      <c r="F316" s="249"/>
      <c r="G316" s="249"/>
    </row>
    <row r="317" spans="5:7" x14ac:dyDescent="0.25">
      <c r="E317" s="249"/>
      <c r="F317" s="249"/>
      <c r="G317" s="249"/>
    </row>
    <row r="318" spans="5:7" x14ac:dyDescent="0.25">
      <c r="E318" s="249"/>
      <c r="F318" s="249"/>
      <c r="G318" s="249"/>
    </row>
    <row r="319" spans="5:7" x14ac:dyDescent="0.25">
      <c r="E319" s="249"/>
      <c r="F319" s="249"/>
      <c r="G319" s="249"/>
    </row>
    <row r="320" spans="5:7" x14ac:dyDescent="0.25">
      <c r="E320" s="249"/>
      <c r="F320" s="249"/>
      <c r="G320" s="249"/>
    </row>
    <row r="321" spans="5:7" x14ac:dyDescent="0.25">
      <c r="E321" s="249"/>
      <c r="F321" s="249"/>
      <c r="G321" s="249"/>
    </row>
    <row r="322" spans="5:7" x14ac:dyDescent="0.25">
      <c r="E322" s="249"/>
      <c r="F322" s="249"/>
      <c r="G322" s="249"/>
    </row>
    <row r="323" spans="5:7" x14ac:dyDescent="0.25">
      <c r="E323" s="249"/>
      <c r="F323" s="249"/>
      <c r="G323" s="249"/>
    </row>
    <row r="324" spans="5:7" x14ac:dyDescent="0.25">
      <c r="E324" s="249"/>
      <c r="F324" s="249"/>
      <c r="G324" s="249"/>
    </row>
    <row r="325" spans="5:7" x14ac:dyDescent="0.25">
      <c r="E325" s="249"/>
      <c r="F325" s="249"/>
      <c r="G325" s="249"/>
    </row>
    <row r="326" spans="5:7" x14ac:dyDescent="0.25">
      <c r="E326" s="249"/>
      <c r="F326" s="249"/>
      <c r="G326" s="249"/>
    </row>
    <row r="327" spans="5:7" x14ac:dyDescent="0.25">
      <c r="E327" s="249"/>
      <c r="F327" s="249"/>
      <c r="G327" s="249"/>
    </row>
    <row r="328" spans="5:7" x14ac:dyDescent="0.25">
      <c r="E328" s="249"/>
      <c r="F328" s="249"/>
      <c r="G328" s="249"/>
    </row>
    <row r="329" spans="5:7" x14ac:dyDescent="0.25">
      <c r="E329" s="249"/>
      <c r="F329" s="249"/>
      <c r="G329" s="249"/>
    </row>
    <row r="330" spans="5:7" x14ac:dyDescent="0.25">
      <c r="E330" s="249"/>
      <c r="F330" s="249"/>
      <c r="G330" s="249"/>
    </row>
    <row r="331" spans="5:7" x14ac:dyDescent="0.25">
      <c r="E331" s="249"/>
      <c r="F331" s="249"/>
      <c r="G331" s="249"/>
    </row>
    <row r="332" spans="5:7" x14ac:dyDescent="0.25">
      <c r="E332" s="249"/>
      <c r="F332" s="249"/>
      <c r="G332" s="249"/>
    </row>
    <row r="333" spans="5:7" x14ac:dyDescent="0.25">
      <c r="E333" s="249"/>
      <c r="F333" s="249"/>
      <c r="G333" s="249"/>
    </row>
    <row r="334" spans="5:7" x14ac:dyDescent="0.25">
      <c r="E334" s="249"/>
      <c r="F334" s="249"/>
      <c r="G334" s="249"/>
    </row>
    <row r="335" spans="5:7" x14ac:dyDescent="0.25">
      <c r="E335" s="249"/>
      <c r="F335" s="249"/>
      <c r="G335" s="249"/>
    </row>
    <row r="336" spans="5:7" x14ac:dyDescent="0.25">
      <c r="E336" s="249"/>
      <c r="F336" s="249"/>
      <c r="G336" s="249"/>
    </row>
    <row r="337" spans="5:7" x14ac:dyDescent="0.25">
      <c r="E337" s="249"/>
      <c r="F337" s="249"/>
      <c r="G337" s="249"/>
    </row>
    <row r="338" spans="5:7" x14ac:dyDescent="0.25">
      <c r="E338" s="249"/>
      <c r="F338" s="249"/>
      <c r="G338" s="249"/>
    </row>
    <row r="339" spans="5:7" x14ac:dyDescent="0.25">
      <c r="E339" s="249"/>
      <c r="F339" s="249"/>
      <c r="G339" s="249"/>
    </row>
    <row r="340" spans="5:7" x14ac:dyDescent="0.25">
      <c r="E340" s="249"/>
      <c r="F340" s="249"/>
      <c r="G340" s="249"/>
    </row>
    <row r="341" spans="5:7" x14ac:dyDescent="0.25">
      <c r="E341" s="249"/>
      <c r="F341" s="249"/>
      <c r="G341" s="249"/>
    </row>
    <row r="342" spans="5:7" x14ac:dyDescent="0.25">
      <c r="E342" s="249"/>
      <c r="F342" s="249"/>
      <c r="G342" s="249"/>
    </row>
    <row r="343" spans="5:7" x14ac:dyDescent="0.25">
      <c r="E343" s="249"/>
      <c r="F343" s="249"/>
      <c r="G343" s="249"/>
    </row>
    <row r="344" spans="5:7" x14ac:dyDescent="0.25">
      <c r="E344" s="249"/>
      <c r="F344" s="249"/>
      <c r="G344" s="249"/>
    </row>
    <row r="345" spans="5:7" x14ac:dyDescent="0.25">
      <c r="E345" s="249"/>
      <c r="F345" s="249"/>
      <c r="G345" s="249"/>
    </row>
    <row r="346" spans="5:7" x14ac:dyDescent="0.25">
      <c r="E346" s="249"/>
      <c r="F346" s="249"/>
      <c r="G346" s="249"/>
    </row>
    <row r="347" spans="5:7" x14ac:dyDescent="0.25">
      <c r="E347" s="249"/>
      <c r="F347" s="249"/>
      <c r="G347" s="249"/>
    </row>
    <row r="348" spans="5:7" x14ac:dyDescent="0.25">
      <c r="E348" s="249"/>
      <c r="F348" s="249"/>
      <c r="G348" s="249"/>
    </row>
    <row r="349" spans="5:7" x14ac:dyDescent="0.25">
      <c r="E349" s="249"/>
      <c r="F349" s="249"/>
      <c r="G349" s="249"/>
    </row>
    <row r="350" spans="5:7" x14ac:dyDescent="0.25">
      <c r="E350" s="249"/>
      <c r="F350" s="249"/>
      <c r="G350" s="249"/>
    </row>
    <row r="351" spans="5:7" x14ac:dyDescent="0.25">
      <c r="E351" s="249"/>
      <c r="F351" s="249"/>
      <c r="G351" s="249"/>
    </row>
    <row r="352" spans="5:7" x14ac:dyDescent="0.25">
      <c r="E352" s="249"/>
      <c r="F352" s="249"/>
      <c r="G352" s="249"/>
    </row>
    <row r="353" spans="5:7" x14ac:dyDescent="0.25">
      <c r="E353" s="249"/>
      <c r="F353" s="249"/>
      <c r="G353" s="249"/>
    </row>
    <row r="354" spans="5:7" x14ac:dyDescent="0.25">
      <c r="E354" s="249"/>
      <c r="F354" s="249"/>
      <c r="G354" s="249"/>
    </row>
    <row r="355" spans="5:7" x14ac:dyDescent="0.25">
      <c r="E355" s="249"/>
      <c r="F355" s="249"/>
      <c r="G355" s="249"/>
    </row>
    <row r="356" spans="5:7" x14ac:dyDescent="0.25">
      <c r="E356" s="249"/>
      <c r="F356" s="249"/>
      <c r="G356" s="249"/>
    </row>
    <row r="357" spans="5:7" x14ac:dyDescent="0.25">
      <c r="E357" s="249"/>
      <c r="F357" s="249"/>
      <c r="G357" s="249"/>
    </row>
    <row r="358" spans="5:7" x14ac:dyDescent="0.25">
      <c r="E358" s="249"/>
      <c r="F358" s="249"/>
      <c r="G358" s="249"/>
    </row>
    <row r="359" spans="5:7" x14ac:dyDescent="0.25">
      <c r="E359" s="249"/>
      <c r="F359" s="249"/>
      <c r="G359" s="249"/>
    </row>
    <row r="360" spans="5:7" x14ac:dyDescent="0.25">
      <c r="E360" s="249"/>
      <c r="F360" s="249"/>
      <c r="G360" s="249"/>
    </row>
    <row r="361" spans="5:7" x14ac:dyDescent="0.25">
      <c r="E361" s="249"/>
      <c r="F361" s="249"/>
      <c r="G361" s="249"/>
    </row>
    <row r="362" spans="5:7" x14ac:dyDescent="0.25">
      <c r="E362" s="249"/>
      <c r="F362" s="249"/>
      <c r="G362" s="249"/>
    </row>
    <row r="363" spans="5:7" x14ac:dyDescent="0.25">
      <c r="E363" s="249"/>
      <c r="F363" s="249"/>
      <c r="G363" s="249"/>
    </row>
    <row r="364" spans="5:7" x14ac:dyDescent="0.25">
      <c r="E364" s="249"/>
      <c r="F364" s="249"/>
      <c r="G364" s="249"/>
    </row>
    <row r="365" spans="5:7" x14ac:dyDescent="0.25">
      <c r="E365" s="249"/>
      <c r="F365" s="249"/>
      <c r="G365" s="249"/>
    </row>
    <row r="366" spans="5:7" x14ac:dyDescent="0.25">
      <c r="E366" s="249"/>
      <c r="F366" s="249"/>
      <c r="G366" s="249"/>
    </row>
    <row r="367" spans="5:7" x14ac:dyDescent="0.25">
      <c r="E367" s="249"/>
      <c r="F367" s="249"/>
      <c r="G367" s="249"/>
    </row>
    <row r="368" spans="5:7" x14ac:dyDescent="0.25">
      <c r="E368" s="249"/>
      <c r="F368" s="249"/>
      <c r="G368" s="249"/>
    </row>
    <row r="369" spans="5:7" x14ac:dyDescent="0.25">
      <c r="E369" s="249"/>
      <c r="F369" s="249"/>
      <c r="G369" s="249"/>
    </row>
    <row r="370" spans="5:7" x14ac:dyDescent="0.25">
      <c r="E370" s="249"/>
      <c r="F370" s="249"/>
      <c r="G370" s="249"/>
    </row>
    <row r="371" spans="5:7" x14ac:dyDescent="0.25">
      <c r="E371" s="249"/>
      <c r="F371" s="249"/>
      <c r="G371" s="249"/>
    </row>
    <row r="372" spans="5:7" x14ac:dyDescent="0.25">
      <c r="E372" s="249"/>
      <c r="F372" s="249"/>
      <c r="G372" s="249"/>
    </row>
    <row r="373" spans="5:7" x14ac:dyDescent="0.25">
      <c r="E373" s="249"/>
      <c r="F373" s="249"/>
      <c r="G373" s="249"/>
    </row>
    <row r="374" spans="5:7" x14ac:dyDescent="0.25">
      <c r="E374" s="249"/>
      <c r="F374" s="249"/>
      <c r="G374" s="249"/>
    </row>
    <row r="375" spans="5:7" x14ac:dyDescent="0.25">
      <c r="E375" s="249"/>
      <c r="F375" s="249"/>
      <c r="G375" s="249"/>
    </row>
    <row r="376" spans="5:7" x14ac:dyDescent="0.25">
      <c r="E376" s="249"/>
      <c r="F376" s="249"/>
      <c r="G376" s="249"/>
    </row>
    <row r="377" spans="5:7" x14ac:dyDescent="0.25">
      <c r="E377" s="249"/>
      <c r="F377" s="249"/>
      <c r="G377" s="249"/>
    </row>
    <row r="378" spans="5:7" x14ac:dyDescent="0.25">
      <c r="E378" s="249"/>
      <c r="F378" s="249"/>
      <c r="G378" s="249"/>
    </row>
    <row r="379" spans="5:7" x14ac:dyDescent="0.25">
      <c r="E379" s="249"/>
      <c r="F379" s="249"/>
      <c r="G379" s="249"/>
    </row>
    <row r="380" spans="5:7" x14ac:dyDescent="0.25">
      <c r="E380" s="249"/>
      <c r="F380" s="249"/>
      <c r="G380" s="249"/>
    </row>
    <row r="381" spans="5:7" x14ac:dyDescent="0.25">
      <c r="E381" s="249"/>
      <c r="F381" s="249"/>
      <c r="G381" s="249"/>
    </row>
    <row r="382" spans="5:7" x14ac:dyDescent="0.25">
      <c r="E382" s="249"/>
      <c r="F382" s="249"/>
      <c r="G382" s="249"/>
    </row>
    <row r="383" spans="5:7" x14ac:dyDescent="0.25">
      <c r="E383" s="249"/>
      <c r="F383" s="249"/>
      <c r="G383" s="249"/>
    </row>
    <row r="384" spans="5:7" x14ac:dyDescent="0.25">
      <c r="E384" s="249"/>
      <c r="F384" s="249"/>
      <c r="G384" s="249"/>
    </row>
    <row r="385" spans="5:7" x14ac:dyDescent="0.25">
      <c r="E385" s="249"/>
      <c r="F385" s="249"/>
      <c r="G385" s="249"/>
    </row>
    <row r="386" spans="5:7" x14ac:dyDescent="0.25">
      <c r="E386" s="249"/>
      <c r="F386" s="249"/>
      <c r="G386" s="249"/>
    </row>
    <row r="387" spans="5:7" x14ac:dyDescent="0.25">
      <c r="E387" s="249"/>
      <c r="F387" s="249"/>
      <c r="G387" s="249"/>
    </row>
    <row r="388" spans="5:7" x14ac:dyDescent="0.25">
      <c r="E388" s="249"/>
      <c r="F388" s="249"/>
      <c r="G388" s="249"/>
    </row>
    <row r="389" spans="5:7" x14ac:dyDescent="0.25">
      <c r="E389" s="249"/>
      <c r="F389" s="249"/>
      <c r="G389" s="249"/>
    </row>
    <row r="390" spans="5:7" x14ac:dyDescent="0.25">
      <c r="E390" s="249"/>
      <c r="F390" s="249"/>
      <c r="G390" s="249"/>
    </row>
    <row r="391" spans="5:7" x14ac:dyDescent="0.25">
      <c r="E391" s="249"/>
      <c r="F391" s="249"/>
      <c r="G391" s="249"/>
    </row>
    <row r="392" spans="5:7" x14ac:dyDescent="0.25">
      <c r="E392" s="249"/>
      <c r="F392" s="249"/>
      <c r="G392" s="249"/>
    </row>
    <row r="393" spans="5:7" x14ac:dyDescent="0.25">
      <c r="E393" s="249"/>
      <c r="F393" s="249"/>
      <c r="G393" s="249"/>
    </row>
    <row r="394" spans="5:7" x14ac:dyDescent="0.25">
      <c r="E394" s="249"/>
      <c r="F394" s="249"/>
      <c r="G394" s="249"/>
    </row>
    <row r="395" spans="5:7" x14ac:dyDescent="0.25">
      <c r="E395" s="249"/>
      <c r="F395" s="249"/>
      <c r="G395" s="249"/>
    </row>
    <row r="396" spans="5:7" x14ac:dyDescent="0.25">
      <c r="E396" s="249"/>
      <c r="F396" s="249"/>
      <c r="G396" s="249"/>
    </row>
    <row r="397" spans="5:7" x14ac:dyDescent="0.25">
      <c r="E397" s="249"/>
      <c r="F397" s="249"/>
      <c r="G397" s="249"/>
    </row>
    <row r="398" spans="5:7" x14ac:dyDescent="0.25">
      <c r="E398" s="249"/>
      <c r="F398" s="249"/>
      <c r="G398" s="249"/>
    </row>
    <row r="399" spans="5:7" x14ac:dyDescent="0.25">
      <c r="E399" s="249"/>
      <c r="F399" s="249"/>
      <c r="G399" s="249"/>
    </row>
    <row r="400" spans="5:7" x14ac:dyDescent="0.25">
      <c r="E400" s="249"/>
      <c r="F400" s="249"/>
      <c r="G400" s="249"/>
    </row>
    <row r="401" spans="5:7" x14ac:dyDescent="0.25">
      <c r="E401" s="249"/>
      <c r="F401" s="249"/>
      <c r="G401" s="249"/>
    </row>
    <row r="402" spans="5:7" x14ac:dyDescent="0.25">
      <c r="E402" s="249"/>
      <c r="F402" s="249"/>
      <c r="G402" s="249"/>
    </row>
    <row r="403" spans="5:7" x14ac:dyDescent="0.25">
      <c r="E403" s="249"/>
      <c r="F403" s="249"/>
      <c r="G403" s="249"/>
    </row>
    <row r="404" spans="5:7" x14ac:dyDescent="0.25">
      <c r="E404" s="249"/>
      <c r="F404" s="249"/>
      <c r="G404" s="249"/>
    </row>
    <row r="405" spans="5:7" x14ac:dyDescent="0.25">
      <c r="E405" s="249"/>
      <c r="F405" s="249"/>
      <c r="G405" s="249"/>
    </row>
    <row r="406" spans="5:7" x14ac:dyDescent="0.25">
      <c r="E406" s="249"/>
      <c r="F406" s="249"/>
      <c r="G406" s="249"/>
    </row>
    <row r="407" spans="5:7" x14ac:dyDescent="0.25">
      <c r="E407" s="249"/>
      <c r="F407" s="249"/>
      <c r="G407" s="249"/>
    </row>
    <row r="408" spans="5:7" x14ac:dyDescent="0.25">
      <c r="E408" s="249"/>
      <c r="F408" s="249"/>
      <c r="G408" s="249"/>
    </row>
    <row r="409" spans="5:7" x14ac:dyDescent="0.25">
      <c r="E409" s="249"/>
      <c r="F409" s="249"/>
      <c r="G409" s="249"/>
    </row>
    <row r="410" spans="5:7" x14ac:dyDescent="0.25">
      <c r="E410" s="249"/>
      <c r="F410" s="249"/>
      <c r="G410" s="249"/>
    </row>
    <row r="411" spans="5:7" x14ac:dyDescent="0.25">
      <c r="E411" s="249"/>
      <c r="F411" s="249"/>
      <c r="G411" s="249"/>
    </row>
    <row r="412" spans="5:7" x14ac:dyDescent="0.25">
      <c r="E412" s="249"/>
      <c r="F412" s="249"/>
      <c r="G412" s="249"/>
    </row>
    <row r="413" spans="5:7" x14ac:dyDescent="0.25">
      <c r="E413" s="249"/>
      <c r="F413" s="249"/>
      <c r="G413" s="249"/>
    </row>
    <row r="414" spans="5:7" x14ac:dyDescent="0.25">
      <c r="E414" s="249"/>
      <c r="F414" s="249"/>
      <c r="G414" s="249"/>
    </row>
    <row r="415" spans="5:7" x14ac:dyDescent="0.25">
      <c r="E415" s="249"/>
      <c r="F415" s="249"/>
      <c r="G415" s="249"/>
    </row>
    <row r="416" spans="5:7" x14ac:dyDescent="0.25">
      <c r="E416" s="249"/>
      <c r="F416" s="249"/>
      <c r="G416" s="249"/>
    </row>
    <row r="417" spans="5:7" x14ac:dyDescent="0.25">
      <c r="E417" s="249"/>
      <c r="F417" s="249"/>
      <c r="G417" s="249"/>
    </row>
    <row r="418" spans="5:7" x14ac:dyDescent="0.25">
      <c r="E418" s="249"/>
      <c r="F418" s="249"/>
      <c r="G418" s="249"/>
    </row>
    <row r="419" spans="5:7" x14ac:dyDescent="0.25">
      <c r="E419" s="249"/>
      <c r="F419" s="249"/>
      <c r="G419" s="249"/>
    </row>
    <row r="420" spans="5:7" x14ac:dyDescent="0.25">
      <c r="E420" s="249"/>
      <c r="F420" s="249"/>
      <c r="G420" s="249"/>
    </row>
    <row r="421" spans="5:7" x14ac:dyDescent="0.25">
      <c r="E421" s="249"/>
      <c r="F421" s="249"/>
      <c r="G421" s="249"/>
    </row>
    <row r="422" spans="5:7" x14ac:dyDescent="0.25">
      <c r="E422" s="249"/>
      <c r="F422" s="249"/>
      <c r="G422" s="249"/>
    </row>
    <row r="423" spans="5:7" x14ac:dyDescent="0.25">
      <c r="E423" s="249"/>
      <c r="F423" s="249"/>
      <c r="G423" s="249"/>
    </row>
    <row r="424" spans="5:7" x14ac:dyDescent="0.25">
      <c r="E424" s="249"/>
      <c r="F424" s="249"/>
      <c r="G424" s="249"/>
    </row>
    <row r="425" spans="5:7" x14ac:dyDescent="0.25">
      <c r="E425" s="249"/>
      <c r="F425" s="249"/>
      <c r="G425" s="249"/>
    </row>
    <row r="426" spans="5:7" x14ac:dyDescent="0.25">
      <c r="E426" s="249"/>
      <c r="F426" s="249"/>
      <c r="G426" s="249"/>
    </row>
    <row r="427" spans="5:7" x14ac:dyDescent="0.25">
      <c r="E427" s="249"/>
      <c r="F427" s="249"/>
      <c r="G427" s="249"/>
    </row>
    <row r="428" spans="5:7" x14ac:dyDescent="0.25">
      <c r="E428" s="249"/>
      <c r="F428" s="249"/>
      <c r="G428" s="249"/>
    </row>
    <row r="429" spans="5:7" x14ac:dyDescent="0.25">
      <c r="E429" s="249"/>
      <c r="F429" s="249"/>
      <c r="G429" s="249"/>
    </row>
    <row r="430" spans="5:7" x14ac:dyDescent="0.25">
      <c r="E430" s="249"/>
      <c r="F430" s="249"/>
      <c r="G430" s="249"/>
    </row>
    <row r="431" spans="5:7" x14ac:dyDescent="0.25">
      <c r="E431" s="249"/>
      <c r="F431" s="249"/>
      <c r="G431" s="249"/>
    </row>
    <row r="432" spans="5:7" x14ac:dyDescent="0.25">
      <c r="E432" s="249"/>
      <c r="F432" s="249"/>
      <c r="G432" s="249"/>
    </row>
    <row r="433" spans="5:7" x14ac:dyDescent="0.25">
      <c r="E433" s="249"/>
      <c r="F433" s="249"/>
      <c r="G433" s="249"/>
    </row>
    <row r="434" spans="5:7" x14ac:dyDescent="0.25">
      <c r="E434" s="249"/>
      <c r="F434" s="249"/>
      <c r="G434" s="249"/>
    </row>
    <row r="435" spans="5:7" x14ac:dyDescent="0.25">
      <c r="E435" s="249"/>
      <c r="F435" s="249"/>
      <c r="G435" s="249"/>
    </row>
    <row r="436" spans="5:7" x14ac:dyDescent="0.25">
      <c r="E436" s="249"/>
      <c r="F436" s="249"/>
      <c r="G436" s="249"/>
    </row>
    <row r="437" spans="5:7" x14ac:dyDescent="0.25">
      <c r="E437" s="249"/>
      <c r="F437" s="249"/>
      <c r="G437" s="249"/>
    </row>
    <row r="438" spans="5:7" x14ac:dyDescent="0.25">
      <c r="E438" s="249"/>
      <c r="F438" s="249"/>
      <c r="G438" s="249"/>
    </row>
    <row r="439" spans="5:7" x14ac:dyDescent="0.25">
      <c r="E439" s="249"/>
      <c r="F439" s="249"/>
      <c r="G439" s="249"/>
    </row>
    <row r="440" spans="5:7" x14ac:dyDescent="0.25">
      <c r="E440" s="249"/>
      <c r="F440" s="249"/>
      <c r="G440" s="249"/>
    </row>
    <row r="441" spans="5:7" x14ac:dyDescent="0.25">
      <c r="E441" s="249"/>
      <c r="F441" s="249"/>
      <c r="G441" s="249"/>
    </row>
    <row r="442" spans="5:7" x14ac:dyDescent="0.25">
      <c r="E442" s="249"/>
      <c r="F442" s="249"/>
      <c r="G442" s="249"/>
    </row>
    <row r="443" spans="5:7" x14ac:dyDescent="0.25">
      <c r="E443" s="249"/>
      <c r="F443" s="249"/>
      <c r="G443" s="249"/>
    </row>
    <row r="444" spans="5:7" x14ac:dyDescent="0.25">
      <c r="E444" s="249"/>
      <c r="F444" s="249"/>
      <c r="G444" s="249"/>
    </row>
    <row r="445" spans="5:7" x14ac:dyDescent="0.25">
      <c r="E445" s="249"/>
      <c r="F445" s="249"/>
      <c r="G445" s="249"/>
    </row>
    <row r="446" spans="5:7" x14ac:dyDescent="0.25">
      <c r="E446" s="249"/>
      <c r="F446" s="249"/>
      <c r="G446" s="249"/>
    </row>
    <row r="447" spans="5:7" x14ac:dyDescent="0.25">
      <c r="E447" s="249"/>
      <c r="F447" s="249"/>
      <c r="G447" s="249"/>
    </row>
    <row r="448" spans="5:7" x14ac:dyDescent="0.25">
      <c r="E448" s="249"/>
      <c r="F448" s="249"/>
      <c r="G448" s="249"/>
    </row>
    <row r="449" spans="5:7" x14ac:dyDescent="0.25">
      <c r="E449" s="249"/>
      <c r="F449" s="249"/>
      <c r="G449" s="249"/>
    </row>
    <row r="450" spans="5:7" x14ac:dyDescent="0.25">
      <c r="E450" s="249"/>
      <c r="F450" s="249"/>
      <c r="G450" s="249"/>
    </row>
    <row r="451" spans="5:7" x14ac:dyDescent="0.25">
      <c r="E451" s="249"/>
      <c r="F451" s="249"/>
      <c r="G451" s="249"/>
    </row>
    <row r="452" spans="5:7" x14ac:dyDescent="0.25">
      <c r="E452" s="249"/>
      <c r="F452" s="249"/>
      <c r="G452" s="249"/>
    </row>
    <row r="453" spans="5:7" x14ac:dyDescent="0.25">
      <c r="E453" s="249"/>
      <c r="F453" s="249"/>
      <c r="G453" s="249"/>
    </row>
    <row r="454" spans="5:7" x14ac:dyDescent="0.25">
      <c r="E454" s="249"/>
      <c r="F454" s="249"/>
      <c r="G454" s="249"/>
    </row>
    <row r="455" spans="5:7" x14ac:dyDescent="0.25">
      <c r="E455" s="249"/>
      <c r="F455" s="249"/>
      <c r="G455" s="249"/>
    </row>
    <row r="456" spans="5:7" x14ac:dyDescent="0.25">
      <c r="E456" s="249"/>
      <c r="F456" s="249"/>
      <c r="G456" s="249"/>
    </row>
    <row r="457" spans="5:7" x14ac:dyDescent="0.25">
      <c r="E457" s="249"/>
      <c r="F457" s="249"/>
      <c r="G457" s="249"/>
    </row>
    <row r="458" spans="5:7" x14ac:dyDescent="0.25">
      <c r="E458" s="249"/>
      <c r="F458" s="249"/>
      <c r="G458" s="249"/>
    </row>
    <row r="459" spans="5:7" x14ac:dyDescent="0.25">
      <c r="E459" s="249"/>
      <c r="F459" s="249"/>
      <c r="G459" s="249"/>
    </row>
    <row r="460" spans="5:7" x14ac:dyDescent="0.25">
      <c r="E460" s="249"/>
      <c r="F460" s="249"/>
      <c r="G460" s="249"/>
    </row>
    <row r="461" spans="5:7" x14ac:dyDescent="0.25">
      <c r="E461" s="218"/>
      <c r="F461" s="218"/>
      <c r="G461" s="218"/>
    </row>
    <row r="462" spans="5:7" x14ac:dyDescent="0.25">
      <c r="E462" s="218"/>
      <c r="F462" s="218"/>
      <c r="G462" s="218"/>
    </row>
    <row r="463" spans="5:7" x14ac:dyDescent="0.25">
      <c r="E463" s="218"/>
      <c r="F463" s="218"/>
      <c r="G463" s="218"/>
    </row>
    <row r="464" spans="5:7" x14ac:dyDescent="0.25">
      <c r="E464" s="218"/>
      <c r="F464" s="218"/>
      <c r="G464" s="218"/>
    </row>
    <row r="465" spans="5:7" x14ac:dyDescent="0.25">
      <c r="E465" s="218"/>
      <c r="F465" s="218"/>
      <c r="G465" s="218"/>
    </row>
    <row r="466" spans="5:7" x14ac:dyDescent="0.25">
      <c r="E466" s="218"/>
      <c r="F466" s="218"/>
      <c r="G466" s="218"/>
    </row>
    <row r="467" spans="5:7" x14ac:dyDescent="0.25">
      <c r="E467" s="218"/>
      <c r="F467" s="218"/>
      <c r="G467" s="218"/>
    </row>
    <row r="468" spans="5:7" x14ac:dyDescent="0.25">
      <c r="E468" s="218"/>
      <c r="F468" s="218"/>
      <c r="G468" s="218"/>
    </row>
    <row r="469" spans="5:7" x14ac:dyDescent="0.25">
      <c r="E469" s="218"/>
      <c r="F469" s="218"/>
      <c r="G469" s="218"/>
    </row>
    <row r="470" spans="5:7" x14ac:dyDescent="0.25">
      <c r="E470" s="218"/>
      <c r="F470" s="218"/>
      <c r="G470" s="218"/>
    </row>
    <row r="471" spans="5:7" x14ac:dyDescent="0.25">
      <c r="E471" s="218"/>
      <c r="F471" s="218"/>
      <c r="G471" s="218"/>
    </row>
    <row r="472" spans="5:7" x14ac:dyDescent="0.25">
      <c r="E472" s="218"/>
      <c r="F472" s="218"/>
      <c r="G472" s="218"/>
    </row>
    <row r="473" spans="5:7" x14ac:dyDescent="0.25">
      <c r="E473" s="218"/>
      <c r="F473" s="218"/>
      <c r="G473" s="218"/>
    </row>
    <row r="474" spans="5:7" x14ac:dyDescent="0.25">
      <c r="E474" s="218"/>
      <c r="F474" s="218"/>
      <c r="G474" s="218"/>
    </row>
    <row r="475" spans="5:7" x14ac:dyDescent="0.25">
      <c r="E475" s="218"/>
      <c r="F475" s="218"/>
      <c r="G475" s="218"/>
    </row>
    <row r="476" spans="5:7" x14ac:dyDescent="0.25">
      <c r="E476" s="218"/>
      <c r="F476" s="218"/>
      <c r="G476" s="218"/>
    </row>
    <row r="477" spans="5:7" x14ac:dyDescent="0.25">
      <c r="E477" s="218"/>
      <c r="F477" s="218"/>
      <c r="G477" s="218"/>
    </row>
    <row r="478" spans="5:7" x14ac:dyDescent="0.25">
      <c r="E478" s="218"/>
      <c r="F478" s="218"/>
      <c r="G478" s="218"/>
    </row>
    <row r="479" spans="5:7" x14ac:dyDescent="0.25">
      <c r="E479" s="218"/>
      <c r="F479" s="218"/>
      <c r="G479" s="218"/>
    </row>
    <row r="480" spans="5:7" x14ac:dyDescent="0.25">
      <c r="E480" s="218"/>
      <c r="F480" s="218"/>
      <c r="G480" s="218"/>
    </row>
    <row r="481" spans="5:7" x14ac:dyDescent="0.25">
      <c r="E481" s="218"/>
      <c r="F481" s="218"/>
      <c r="G481" s="218"/>
    </row>
    <row r="482" spans="5:7" x14ac:dyDescent="0.25">
      <c r="E482" s="218"/>
      <c r="F482" s="218"/>
      <c r="G482" s="218"/>
    </row>
    <row r="483" spans="5:7" x14ac:dyDescent="0.25">
      <c r="E483" s="218"/>
      <c r="F483" s="218"/>
      <c r="G483" s="218"/>
    </row>
    <row r="484" spans="5:7" x14ac:dyDescent="0.25">
      <c r="E484" s="218"/>
      <c r="F484" s="218"/>
      <c r="G484" s="218"/>
    </row>
    <row r="485" spans="5:7" x14ac:dyDescent="0.25">
      <c r="E485" s="218"/>
      <c r="F485" s="218"/>
      <c r="G485" s="218"/>
    </row>
    <row r="486" spans="5:7" x14ac:dyDescent="0.25">
      <c r="E486" s="218"/>
      <c r="F486" s="218"/>
      <c r="G486" s="218"/>
    </row>
    <row r="487" spans="5:7" x14ac:dyDescent="0.25">
      <c r="E487" s="218"/>
      <c r="F487" s="218"/>
      <c r="G487" s="218"/>
    </row>
    <row r="488" spans="5:7" x14ac:dyDescent="0.25">
      <c r="E488" s="218"/>
      <c r="F488" s="218"/>
      <c r="G488" s="218"/>
    </row>
    <row r="489" spans="5:7" x14ac:dyDescent="0.25">
      <c r="E489" s="218"/>
      <c r="F489" s="218"/>
      <c r="G489" s="218"/>
    </row>
    <row r="490" spans="5:7" x14ac:dyDescent="0.25">
      <c r="E490" s="218"/>
      <c r="F490" s="218"/>
      <c r="G490" s="218"/>
    </row>
    <row r="491" spans="5:7" x14ac:dyDescent="0.25">
      <c r="E491" s="218"/>
      <c r="F491" s="218"/>
      <c r="G491" s="218"/>
    </row>
    <row r="492" spans="5:7" x14ac:dyDescent="0.25">
      <c r="E492" s="218"/>
      <c r="F492" s="218"/>
      <c r="G492" s="218"/>
    </row>
    <row r="493" spans="5:7" x14ac:dyDescent="0.25">
      <c r="E493" s="218"/>
      <c r="F493" s="218"/>
      <c r="G493" s="218"/>
    </row>
    <row r="494" spans="5:7" x14ac:dyDescent="0.25">
      <c r="E494" s="218"/>
      <c r="F494" s="218"/>
      <c r="G494" s="218"/>
    </row>
    <row r="495" spans="5:7" x14ac:dyDescent="0.25">
      <c r="E495" s="218"/>
      <c r="F495" s="218"/>
      <c r="G495" s="218"/>
    </row>
    <row r="496" spans="5:7" x14ac:dyDescent="0.25">
      <c r="E496" s="218"/>
      <c r="F496" s="218"/>
      <c r="G496" s="218"/>
    </row>
    <row r="497" spans="5:7" x14ac:dyDescent="0.25">
      <c r="E497" s="218"/>
      <c r="F497" s="218"/>
      <c r="G497" s="218"/>
    </row>
    <row r="498" spans="5:7" x14ac:dyDescent="0.25">
      <c r="E498" s="218"/>
      <c r="F498" s="218"/>
      <c r="G498" s="218"/>
    </row>
    <row r="499" spans="5:7" x14ac:dyDescent="0.25">
      <c r="E499" s="218"/>
      <c r="F499" s="218"/>
      <c r="G499" s="218"/>
    </row>
    <row r="500" spans="5:7" x14ac:dyDescent="0.25">
      <c r="E500" s="218"/>
      <c r="F500" s="218"/>
      <c r="G500" s="218"/>
    </row>
    <row r="501" spans="5:7" x14ac:dyDescent="0.25">
      <c r="E501" s="218"/>
      <c r="F501" s="218"/>
      <c r="G501" s="218"/>
    </row>
    <row r="502" spans="5:7" x14ac:dyDescent="0.25">
      <c r="E502" s="218"/>
      <c r="F502" s="218"/>
      <c r="G502" s="218"/>
    </row>
    <row r="503" spans="5:7" x14ac:dyDescent="0.25">
      <c r="E503" s="218"/>
      <c r="F503" s="218"/>
      <c r="G503" s="218"/>
    </row>
    <row r="504" spans="5:7" x14ac:dyDescent="0.25">
      <c r="E504" s="218"/>
      <c r="F504" s="218"/>
      <c r="G504" s="218"/>
    </row>
    <row r="505" spans="5:7" x14ac:dyDescent="0.25">
      <c r="E505" s="218"/>
      <c r="F505" s="218"/>
      <c r="G505" s="218"/>
    </row>
    <row r="506" spans="5:7" x14ac:dyDescent="0.25">
      <c r="E506" s="218"/>
      <c r="F506" s="218"/>
      <c r="G506" s="218"/>
    </row>
    <row r="507" spans="5:7" x14ac:dyDescent="0.25">
      <c r="E507" s="218"/>
      <c r="F507" s="218"/>
      <c r="G507" s="218"/>
    </row>
    <row r="508" spans="5:7" x14ac:dyDescent="0.25">
      <c r="E508" s="218"/>
      <c r="F508" s="218"/>
      <c r="G508" s="218"/>
    </row>
    <row r="509" spans="5:7" x14ac:dyDescent="0.25">
      <c r="E509" s="218"/>
      <c r="F509" s="218"/>
      <c r="G509" s="218"/>
    </row>
    <row r="510" spans="5:7" x14ac:dyDescent="0.25">
      <c r="E510" s="218"/>
      <c r="F510" s="218"/>
      <c r="G510" s="218"/>
    </row>
    <row r="511" spans="5:7" x14ac:dyDescent="0.25">
      <c r="E511" s="218"/>
      <c r="F511" s="218"/>
      <c r="G511" s="218"/>
    </row>
    <row r="512" spans="5:7" x14ac:dyDescent="0.25">
      <c r="E512" s="218"/>
      <c r="F512" s="218"/>
      <c r="G512" s="218"/>
    </row>
    <row r="513" spans="5:7" x14ac:dyDescent="0.25">
      <c r="E513" s="218"/>
      <c r="F513" s="218"/>
      <c r="G513" s="218"/>
    </row>
    <row r="514" spans="5:7" x14ac:dyDescent="0.25">
      <c r="E514" s="218"/>
      <c r="F514" s="218"/>
      <c r="G514" s="218"/>
    </row>
    <row r="515" spans="5:7" x14ac:dyDescent="0.25">
      <c r="E515" s="218"/>
      <c r="F515" s="218"/>
      <c r="G515" s="218"/>
    </row>
    <row r="516" spans="5:7" x14ac:dyDescent="0.25">
      <c r="E516" s="218"/>
      <c r="F516" s="218"/>
      <c r="G516" s="218"/>
    </row>
    <row r="517" spans="5:7" x14ac:dyDescent="0.25">
      <c r="E517" s="218"/>
      <c r="F517" s="218"/>
      <c r="G517" s="218"/>
    </row>
    <row r="518" spans="5:7" x14ac:dyDescent="0.25">
      <c r="E518" s="218"/>
      <c r="F518" s="218"/>
      <c r="G518" s="218"/>
    </row>
    <row r="519" spans="5:7" x14ac:dyDescent="0.25">
      <c r="E519" s="218"/>
      <c r="F519" s="218"/>
      <c r="G519" s="218"/>
    </row>
    <row r="520" spans="5:7" x14ac:dyDescent="0.25">
      <c r="E520" s="218"/>
      <c r="F520" s="218"/>
      <c r="G520" s="218"/>
    </row>
    <row r="521" spans="5:7" x14ac:dyDescent="0.25">
      <c r="E521" s="218"/>
      <c r="F521" s="218"/>
      <c r="G521" s="218"/>
    </row>
    <row r="522" spans="5:7" x14ac:dyDescent="0.25">
      <c r="E522" s="218"/>
      <c r="F522" s="218"/>
      <c r="G522" s="218"/>
    </row>
    <row r="523" spans="5:7" x14ac:dyDescent="0.25">
      <c r="E523" s="218"/>
      <c r="F523" s="218"/>
      <c r="G523" s="218"/>
    </row>
    <row r="524" spans="5:7" x14ac:dyDescent="0.25">
      <c r="E524" s="218"/>
      <c r="F524" s="218"/>
      <c r="G524" s="218"/>
    </row>
    <row r="525" spans="5:7" x14ac:dyDescent="0.25">
      <c r="E525" s="218"/>
      <c r="F525" s="218"/>
      <c r="G525" s="218"/>
    </row>
    <row r="526" spans="5:7" x14ac:dyDescent="0.25">
      <c r="E526" s="218"/>
      <c r="F526" s="218"/>
      <c r="G526" s="218"/>
    </row>
    <row r="527" spans="5:7" x14ac:dyDescent="0.25">
      <c r="E527" s="218"/>
      <c r="F527" s="218"/>
      <c r="G527" s="218"/>
    </row>
    <row r="528" spans="5:7" x14ac:dyDescent="0.25">
      <c r="E528" s="218"/>
      <c r="F528" s="218"/>
      <c r="G528" s="218"/>
    </row>
    <row r="529" spans="5:7" x14ac:dyDescent="0.25">
      <c r="E529" s="218"/>
      <c r="F529" s="218"/>
      <c r="G529" s="218"/>
    </row>
    <row r="530" spans="5:7" x14ac:dyDescent="0.25">
      <c r="E530" s="218"/>
      <c r="F530" s="218"/>
      <c r="G530" s="218"/>
    </row>
    <row r="531" spans="5:7" x14ac:dyDescent="0.25">
      <c r="E531" s="218"/>
      <c r="F531" s="218"/>
      <c r="G531" s="218"/>
    </row>
    <row r="532" spans="5:7" x14ac:dyDescent="0.25">
      <c r="E532" s="218"/>
      <c r="F532" s="218"/>
      <c r="G532" s="218"/>
    </row>
    <row r="533" spans="5:7" x14ac:dyDescent="0.25">
      <c r="E533" s="218"/>
      <c r="F533" s="218"/>
      <c r="G533" s="218"/>
    </row>
    <row r="534" spans="5:7" x14ac:dyDescent="0.25">
      <c r="E534" s="218"/>
      <c r="F534" s="218"/>
      <c r="G534" s="218"/>
    </row>
    <row r="535" spans="5:7" x14ac:dyDescent="0.25">
      <c r="E535" s="218"/>
      <c r="F535" s="218"/>
      <c r="G535" s="218"/>
    </row>
    <row r="536" spans="5:7" x14ac:dyDescent="0.25">
      <c r="E536" s="218"/>
      <c r="F536" s="218"/>
      <c r="G536" s="218"/>
    </row>
    <row r="537" spans="5:7" x14ac:dyDescent="0.25">
      <c r="E537" s="218"/>
      <c r="F537" s="218"/>
      <c r="G537" s="218"/>
    </row>
    <row r="538" spans="5:7" x14ac:dyDescent="0.25">
      <c r="E538" s="218"/>
      <c r="F538" s="218"/>
      <c r="G538" s="218"/>
    </row>
    <row r="539" spans="5:7" x14ac:dyDescent="0.25">
      <c r="E539" s="218"/>
      <c r="F539" s="218"/>
      <c r="G539" s="218"/>
    </row>
    <row r="540" spans="5:7" x14ac:dyDescent="0.25">
      <c r="E540" s="218"/>
      <c r="F540" s="218"/>
      <c r="G540" s="218"/>
    </row>
    <row r="541" spans="5:7" x14ac:dyDescent="0.25">
      <c r="E541" s="218"/>
      <c r="F541" s="218"/>
      <c r="G541" s="218"/>
    </row>
    <row r="542" spans="5:7" x14ac:dyDescent="0.25">
      <c r="E542" s="218"/>
      <c r="F542" s="218"/>
      <c r="G542" s="218"/>
    </row>
    <row r="543" spans="5:7" x14ac:dyDescent="0.25">
      <c r="E543" s="218"/>
      <c r="F543" s="218"/>
      <c r="G543" s="218"/>
    </row>
    <row r="544" spans="5:7" x14ac:dyDescent="0.25">
      <c r="E544" s="218"/>
      <c r="F544" s="218"/>
      <c r="G544" s="218"/>
    </row>
    <row r="545" spans="5:7" x14ac:dyDescent="0.25">
      <c r="E545" s="218"/>
      <c r="F545" s="218"/>
      <c r="G545" s="218"/>
    </row>
    <row r="546" spans="5:7" x14ac:dyDescent="0.25">
      <c r="E546" s="218"/>
      <c r="F546" s="218"/>
      <c r="G546" s="218"/>
    </row>
    <row r="547" spans="5:7" x14ac:dyDescent="0.25">
      <c r="E547" s="218"/>
      <c r="F547" s="218"/>
      <c r="G547" s="218"/>
    </row>
    <row r="548" spans="5:7" x14ac:dyDescent="0.25">
      <c r="E548" s="218"/>
      <c r="F548" s="218"/>
      <c r="G548" s="218"/>
    </row>
    <row r="549" spans="5:7" x14ac:dyDescent="0.25">
      <c r="E549" s="218"/>
      <c r="F549" s="218"/>
      <c r="G549" s="218"/>
    </row>
    <row r="550" spans="5:7" x14ac:dyDescent="0.25">
      <c r="E550" s="218"/>
      <c r="F550" s="218"/>
      <c r="G550" s="218"/>
    </row>
    <row r="551" spans="5:7" x14ac:dyDescent="0.25">
      <c r="E551" s="218"/>
      <c r="F551" s="218"/>
      <c r="G551" s="218"/>
    </row>
    <row r="552" spans="5:7" x14ac:dyDescent="0.25">
      <c r="E552" s="218"/>
      <c r="F552" s="218"/>
      <c r="G552" s="218"/>
    </row>
    <row r="553" spans="5:7" x14ac:dyDescent="0.25">
      <c r="E553" s="218"/>
      <c r="F553" s="218"/>
      <c r="G553" s="218"/>
    </row>
    <row r="554" spans="5:7" x14ac:dyDescent="0.25">
      <c r="E554" s="218"/>
      <c r="F554" s="218"/>
      <c r="G554" s="218"/>
    </row>
    <row r="555" spans="5:7" x14ac:dyDescent="0.25">
      <c r="E555" s="218"/>
      <c r="F555" s="218"/>
      <c r="G555" s="218"/>
    </row>
    <row r="556" spans="5:7" x14ac:dyDescent="0.25">
      <c r="E556" s="218"/>
      <c r="F556" s="218"/>
      <c r="G556" s="218"/>
    </row>
    <row r="557" spans="5:7" x14ac:dyDescent="0.25">
      <c r="E557" s="218"/>
      <c r="F557" s="218"/>
      <c r="G557" s="218"/>
    </row>
    <row r="558" spans="5:7" x14ac:dyDescent="0.25">
      <c r="E558" s="218"/>
      <c r="F558" s="218"/>
      <c r="G558" s="218"/>
    </row>
    <row r="559" spans="5:7" x14ac:dyDescent="0.25">
      <c r="E559" s="218"/>
      <c r="F559" s="218"/>
      <c r="G559" s="218"/>
    </row>
    <row r="560" spans="5:7" x14ac:dyDescent="0.25">
      <c r="E560" s="218"/>
      <c r="F560" s="218"/>
      <c r="G560" s="218"/>
    </row>
    <row r="561" spans="5:7" x14ac:dyDescent="0.25">
      <c r="E561" s="218"/>
      <c r="F561" s="218"/>
      <c r="G561" s="218"/>
    </row>
    <row r="562" spans="5:7" x14ac:dyDescent="0.25">
      <c r="E562" s="218"/>
      <c r="F562" s="218"/>
      <c r="G562" s="218"/>
    </row>
    <row r="563" spans="5:7" x14ac:dyDescent="0.25">
      <c r="E563" s="218"/>
      <c r="F563" s="218"/>
      <c r="G563" s="218"/>
    </row>
    <row r="564" spans="5:7" x14ac:dyDescent="0.25">
      <c r="E564" s="218"/>
      <c r="F564" s="218"/>
      <c r="G564" s="218"/>
    </row>
    <row r="565" spans="5:7" x14ac:dyDescent="0.25">
      <c r="E565" s="218"/>
      <c r="F565" s="218"/>
      <c r="G565" s="218"/>
    </row>
    <row r="566" spans="5:7" x14ac:dyDescent="0.25">
      <c r="E566" s="218"/>
      <c r="F566" s="218"/>
      <c r="G566" s="218"/>
    </row>
    <row r="567" spans="5:7" x14ac:dyDescent="0.25">
      <c r="E567" s="218"/>
      <c r="F567" s="218"/>
      <c r="G567" s="218"/>
    </row>
    <row r="568" spans="5:7" x14ac:dyDescent="0.25">
      <c r="E568" s="218"/>
      <c r="F568" s="218"/>
      <c r="G568" s="218"/>
    </row>
    <row r="569" spans="5:7" x14ac:dyDescent="0.25">
      <c r="E569" s="218"/>
      <c r="F569" s="218"/>
      <c r="G569" s="218"/>
    </row>
    <row r="570" spans="5:7" x14ac:dyDescent="0.25">
      <c r="E570" s="218"/>
      <c r="F570" s="218"/>
      <c r="G570" s="218"/>
    </row>
    <row r="571" spans="5:7" x14ac:dyDescent="0.25">
      <c r="E571" s="218"/>
      <c r="F571" s="218"/>
      <c r="G571" s="218"/>
    </row>
    <row r="572" spans="5:7" x14ac:dyDescent="0.25">
      <c r="E572" s="218"/>
      <c r="F572" s="218"/>
      <c r="G572" s="218"/>
    </row>
    <row r="573" spans="5:7" x14ac:dyDescent="0.25">
      <c r="E573" s="218"/>
      <c r="F573" s="218"/>
      <c r="G573" s="218"/>
    </row>
    <row r="574" spans="5:7" x14ac:dyDescent="0.25">
      <c r="E574" s="218"/>
      <c r="F574" s="218"/>
      <c r="G574" s="218"/>
    </row>
    <row r="575" spans="5:7" x14ac:dyDescent="0.25">
      <c r="E575" s="218"/>
      <c r="F575" s="218"/>
      <c r="G575" s="218"/>
    </row>
    <row r="576" spans="5:7" x14ac:dyDescent="0.25">
      <c r="E576" s="218"/>
      <c r="F576" s="218"/>
      <c r="G576" s="218"/>
    </row>
    <row r="577" spans="5:7" x14ac:dyDescent="0.25">
      <c r="E577" s="218"/>
      <c r="F577" s="218"/>
      <c r="G577" s="218"/>
    </row>
    <row r="578" spans="5:7" x14ac:dyDescent="0.25">
      <c r="E578" s="218"/>
      <c r="F578" s="218"/>
      <c r="G578" s="218"/>
    </row>
    <row r="579" spans="5:7" x14ac:dyDescent="0.25">
      <c r="E579" s="218"/>
      <c r="F579" s="218"/>
      <c r="G579" s="218"/>
    </row>
    <row r="580" spans="5:7" x14ac:dyDescent="0.25">
      <c r="E580" s="218"/>
      <c r="F580" s="218"/>
      <c r="G580" s="218"/>
    </row>
    <row r="581" spans="5:7" x14ac:dyDescent="0.25">
      <c r="E581" s="218"/>
      <c r="F581" s="218"/>
      <c r="G581" s="218"/>
    </row>
    <row r="582" spans="5:7" x14ac:dyDescent="0.25">
      <c r="E582" s="218"/>
      <c r="F582" s="218"/>
      <c r="G582" s="218"/>
    </row>
    <row r="583" spans="5:7" x14ac:dyDescent="0.25">
      <c r="E583" s="218"/>
      <c r="F583" s="218"/>
      <c r="G583" s="218"/>
    </row>
    <row r="584" spans="5:7" x14ac:dyDescent="0.25">
      <c r="E584" s="218"/>
      <c r="F584" s="218"/>
      <c r="G584" s="218"/>
    </row>
    <row r="585" spans="5:7" x14ac:dyDescent="0.25">
      <c r="E585" s="218"/>
      <c r="F585" s="218"/>
      <c r="G585" s="218"/>
    </row>
    <row r="586" spans="5:7" x14ac:dyDescent="0.25">
      <c r="E586" s="218"/>
      <c r="F586" s="218"/>
      <c r="G586" s="218"/>
    </row>
    <row r="587" spans="5:7" x14ac:dyDescent="0.25">
      <c r="E587" s="218"/>
      <c r="F587" s="218"/>
      <c r="G587" s="218"/>
    </row>
    <row r="588" spans="5:7" x14ac:dyDescent="0.25">
      <c r="E588" s="218"/>
      <c r="F588" s="218"/>
      <c r="G588" s="218"/>
    </row>
    <row r="589" spans="5:7" x14ac:dyDescent="0.25">
      <c r="E589" s="218"/>
      <c r="F589" s="218"/>
      <c r="G589" s="218"/>
    </row>
    <row r="590" spans="5:7" x14ac:dyDescent="0.25">
      <c r="E590" s="218"/>
      <c r="F590" s="218"/>
      <c r="G590" s="218"/>
    </row>
    <row r="591" spans="5:7" x14ac:dyDescent="0.25">
      <c r="E591" s="218"/>
      <c r="F591" s="218"/>
      <c r="G591" s="218"/>
    </row>
    <row r="592" spans="5:7" x14ac:dyDescent="0.25">
      <c r="E592" s="218"/>
      <c r="F592" s="218"/>
      <c r="G592" s="218"/>
    </row>
    <row r="593" spans="5:7" x14ac:dyDescent="0.25">
      <c r="E593" s="218"/>
      <c r="F593" s="218"/>
      <c r="G593" s="218"/>
    </row>
    <row r="594" spans="5:7" x14ac:dyDescent="0.25">
      <c r="E594" s="218"/>
      <c r="F594" s="218"/>
      <c r="G594" s="218"/>
    </row>
    <row r="595" spans="5:7" x14ac:dyDescent="0.25">
      <c r="E595" s="218"/>
      <c r="F595" s="218"/>
      <c r="G595" s="218"/>
    </row>
    <row r="596" spans="5:7" x14ac:dyDescent="0.25">
      <c r="E596" s="218"/>
      <c r="F596" s="218"/>
      <c r="G596" s="218"/>
    </row>
    <row r="597" spans="5:7" x14ac:dyDescent="0.25">
      <c r="E597" s="218"/>
      <c r="F597" s="218"/>
      <c r="G597" s="218"/>
    </row>
    <row r="598" spans="5:7" x14ac:dyDescent="0.25">
      <c r="E598" s="218"/>
      <c r="F598" s="218"/>
      <c r="G598" s="218"/>
    </row>
    <row r="599" spans="5:7" x14ac:dyDescent="0.25">
      <c r="E599" s="218"/>
      <c r="F599" s="218"/>
      <c r="G599" s="218"/>
    </row>
    <row r="600" spans="5:7" x14ac:dyDescent="0.25">
      <c r="E600" s="218"/>
      <c r="F600" s="218"/>
      <c r="G600" s="218"/>
    </row>
    <row r="601" spans="5:7" x14ac:dyDescent="0.25">
      <c r="E601" s="218"/>
      <c r="F601" s="218"/>
      <c r="G601" s="218"/>
    </row>
    <row r="602" spans="5:7" x14ac:dyDescent="0.25">
      <c r="E602" s="218"/>
      <c r="F602" s="218"/>
      <c r="G602" s="218"/>
    </row>
    <row r="603" spans="5:7" x14ac:dyDescent="0.25">
      <c r="E603" s="218"/>
      <c r="F603" s="218"/>
      <c r="G603" s="218"/>
    </row>
    <row r="604" spans="5:7" x14ac:dyDescent="0.25">
      <c r="E604" s="218"/>
      <c r="F604" s="218"/>
      <c r="G604" s="218"/>
    </row>
    <row r="605" spans="5:7" x14ac:dyDescent="0.25">
      <c r="E605" s="218"/>
      <c r="F605" s="218"/>
      <c r="G605" s="218"/>
    </row>
    <row r="606" spans="5:7" x14ac:dyDescent="0.25">
      <c r="E606" s="218"/>
      <c r="F606" s="218"/>
      <c r="G606" s="218"/>
    </row>
    <row r="607" spans="5:7" x14ac:dyDescent="0.25">
      <c r="E607" s="218"/>
      <c r="F607" s="218"/>
      <c r="G607" s="218"/>
    </row>
    <row r="608" spans="5:7" x14ac:dyDescent="0.25">
      <c r="E608" s="218"/>
      <c r="F608" s="218"/>
      <c r="G608" s="218"/>
    </row>
    <row r="609" spans="5:7" x14ac:dyDescent="0.25">
      <c r="E609" s="218"/>
      <c r="F609" s="218"/>
      <c r="G609" s="218"/>
    </row>
    <row r="610" spans="5:7" x14ac:dyDescent="0.25">
      <c r="E610" s="218"/>
      <c r="F610" s="218"/>
      <c r="G610" s="218"/>
    </row>
    <row r="611" spans="5:7" x14ac:dyDescent="0.25">
      <c r="E611" s="218"/>
      <c r="F611" s="218"/>
      <c r="G611" s="218"/>
    </row>
    <row r="612" spans="5:7" x14ac:dyDescent="0.25">
      <c r="E612" s="218"/>
      <c r="F612" s="218"/>
      <c r="G612" s="218"/>
    </row>
    <row r="613" spans="5:7" x14ac:dyDescent="0.25">
      <c r="E613" s="218"/>
      <c r="F613" s="218"/>
      <c r="G613" s="218"/>
    </row>
    <row r="614" spans="5:7" x14ac:dyDescent="0.25">
      <c r="E614" s="218"/>
      <c r="F614" s="218"/>
      <c r="G614" s="218"/>
    </row>
    <row r="615" spans="5:7" x14ac:dyDescent="0.25">
      <c r="E615" s="218"/>
      <c r="F615" s="218"/>
      <c r="G615" s="218"/>
    </row>
    <row r="616" spans="5:7" x14ac:dyDescent="0.25">
      <c r="E616" s="218"/>
      <c r="F616" s="218"/>
      <c r="G616" s="218"/>
    </row>
    <row r="617" spans="5:7" x14ac:dyDescent="0.25">
      <c r="E617" s="218"/>
      <c r="F617" s="218"/>
      <c r="G617" s="218"/>
    </row>
    <row r="618" spans="5:7" x14ac:dyDescent="0.25">
      <c r="E618" s="218"/>
      <c r="F618" s="218"/>
      <c r="G618" s="218"/>
    </row>
    <row r="619" spans="5:7" x14ac:dyDescent="0.25">
      <c r="E619" s="218"/>
      <c r="F619" s="218"/>
      <c r="G619" s="218"/>
    </row>
    <row r="620" spans="5:7" x14ac:dyDescent="0.25">
      <c r="E620" s="218"/>
      <c r="F620" s="218"/>
      <c r="G620" s="218"/>
    </row>
    <row r="621" spans="5:7" x14ac:dyDescent="0.25">
      <c r="E621" s="218"/>
      <c r="F621" s="218"/>
      <c r="G621" s="218"/>
    </row>
    <row r="622" spans="5:7" x14ac:dyDescent="0.25">
      <c r="E622" s="218"/>
      <c r="F622" s="218"/>
      <c r="G622" s="218"/>
    </row>
    <row r="623" spans="5:7" x14ac:dyDescent="0.25">
      <c r="E623" s="218"/>
      <c r="F623" s="218"/>
      <c r="G623" s="218"/>
    </row>
    <row r="624" spans="5:7" x14ac:dyDescent="0.25">
      <c r="E624" s="218"/>
      <c r="F624" s="218"/>
      <c r="G624" s="218"/>
    </row>
    <row r="625" spans="5:7" x14ac:dyDescent="0.25">
      <c r="E625" s="218"/>
      <c r="F625" s="218"/>
      <c r="G625" s="218"/>
    </row>
    <row r="626" spans="5:7" x14ac:dyDescent="0.25">
      <c r="E626" s="218"/>
      <c r="F626" s="218"/>
      <c r="G626" s="218"/>
    </row>
    <row r="627" spans="5:7" x14ac:dyDescent="0.25">
      <c r="E627" s="218"/>
      <c r="F627" s="218"/>
      <c r="G627" s="218"/>
    </row>
    <row r="628" spans="5:7" x14ac:dyDescent="0.25">
      <c r="E628" s="218"/>
      <c r="F628" s="218"/>
      <c r="G628" s="218"/>
    </row>
    <row r="629" spans="5:7" x14ac:dyDescent="0.25">
      <c r="E629" s="218"/>
      <c r="F629" s="218"/>
      <c r="G629" s="218"/>
    </row>
    <row r="630" spans="5:7" x14ac:dyDescent="0.25">
      <c r="E630" s="218"/>
      <c r="F630" s="218"/>
      <c r="G630" s="218"/>
    </row>
    <row r="631" spans="5:7" x14ac:dyDescent="0.25">
      <c r="E631" s="218"/>
      <c r="F631" s="218"/>
      <c r="G631" s="218"/>
    </row>
    <row r="632" spans="5:7" x14ac:dyDescent="0.25">
      <c r="E632" s="218"/>
      <c r="F632" s="218"/>
      <c r="G632" s="218"/>
    </row>
    <row r="633" spans="5:7" x14ac:dyDescent="0.25">
      <c r="E633" s="218"/>
      <c r="F633" s="218"/>
      <c r="G633" s="218"/>
    </row>
    <row r="634" spans="5:7" x14ac:dyDescent="0.25">
      <c r="E634" s="218"/>
      <c r="F634" s="218"/>
      <c r="G634" s="218"/>
    </row>
    <row r="635" spans="5:7" x14ac:dyDescent="0.25">
      <c r="E635" s="218"/>
      <c r="F635" s="218"/>
      <c r="G635" s="218"/>
    </row>
    <row r="636" spans="5:7" x14ac:dyDescent="0.25">
      <c r="E636" s="218"/>
      <c r="F636" s="218"/>
      <c r="G636" s="218"/>
    </row>
    <row r="637" spans="5:7" x14ac:dyDescent="0.25">
      <c r="E637" s="218"/>
      <c r="F637" s="218"/>
      <c r="G637" s="218"/>
    </row>
    <row r="638" spans="5:7" x14ac:dyDescent="0.25">
      <c r="E638" s="218"/>
      <c r="F638" s="218"/>
      <c r="G638" s="218"/>
    </row>
    <row r="639" spans="5:7" x14ac:dyDescent="0.25">
      <c r="E639" s="218"/>
      <c r="F639" s="218"/>
      <c r="G639" s="218"/>
    </row>
    <row r="640" spans="5:7" x14ac:dyDescent="0.25">
      <c r="E640" s="218"/>
      <c r="F640" s="218"/>
      <c r="G640" s="218"/>
    </row>
    <row r="641" spans="5:7" x14ac:dyDescent="0.25">
      <c r="E641" s="218"/>
      <c r="F641" s="218"/>
      <c r="G641" s="218"/>
    </row>
    <row r="642" spans="5:7" x14ac:dyDescent="0.25">
      <c r="E642" s="218"/>
      <c r="F642" s="218"/>
      <c r="G642" s="218"/>
    </row>
    <row r="643" spans="5:7" x14ac:dyDescent="0.25">
      <c r="E643" s="218"/>
      <c r="F643" s="218"/>
      <c r="G643" s="218"/>
    </row>
    <row r="644" spans="5:7" x14ac:dyDescent="0.25">
      <c r="E644" s="218"/>
      <c r="F644" s="218"/>
      <c r="G644" s="218"/>
    </row>
    <row r="645" spans="5:7" x14ac:dyDescent="0.25">
      <c r="E645" s="218"/>
      <c r="F645" s="218"/>
      <c r="G645" s="218"/>
    </row>
    <row r="646" spans="5:7" x14ac:dyDescent="0.25">
      <c r="E646" s="218"/>
      <c r="F646" s="218"/>
      <c r="G646" s="218"/>
    </row>
    <row r="647" spans="5:7" x14ac:dyDescent="0.25">
      <c r="E647" s="218"/>
      <c r="F647" s="218"/>
      <c r="G647" s="218"/>
    </row>
    <row r="648" spans="5:7" x14ac:dyDescent="0.25">
      <c r="E648" s="218"/>
      <c r="F648" s="218"/>
      <c r="G648" s="218"/>
    </row>
    <row r="649" spans="5:7" x14ac:dyDescent="0.25">
      <c r="E649" s="218"/>
      <c r="F649" s="218"/>
      <c r="G649" s="218"/>
    </row>
    <row r="650" spans="5:7" x14ac:dyDescent="0.25">
      <c r="E650" s="218"/>
      <c r="F650" s="218"/>
      <c r="G650" s="218"/>
    </row>
    <row r="651" spans="5:7" x14ac:dyDescent="0.25">
      <c r="E651" s="218"/>
      <c r="F651" s="218"/>
      <c r="G651" s="218"/>
    </row>
    <row r="652" spans="5:7" x14ac:dyDescent="0.25">
      <c r="E652" s="218"/>
      <c r="F652" s="218"/>
      <c r="G652" s="218"/>
    </row>
    <row r="653" spans="5:7" x14ac:dyDescent="0.25">
      <c r="E653" s="218"/>
      <c r="F653" s="218"/>
      <c r="G653" s="218"/>
    </row>
    <row r="654" spans="5:7" x14ac:dyDescent="0.25">
      <c r="E654" s="218"/>
      <c r="F654" s="218"/>
      <c r="G654" s="218"/>
    </row>
    <row r="655" spans="5:7" x14ac:dyDescent="0.25">
      <c r="E655" s="218"/>
      <c r="F655" s="218"/>
      <c r="G655" s="218"/>
    </row>
    <row r="656" spans="5:7" x14ac:dyDescent="0.25">
      <c r="E656" s="218"/>
      <c r="F656" s="218"/>
      <c r="G656" s="218"/>
    </row>
    <row r="657" spans="5:7" x14ac:dyDescent="0.25">
      <c r="E657" s="218"/>
      <c r="F657" s="218"/>
      <c r="G657" s="218"/>
    </row>
    <row r="658" spans="5:7" x14ac:dyDescent="0.25">
      <c r="E658" s="218"/>
      <c r="F658" s="218"/>
      <c r="G658" s="218"/>
    </row>
    <row r="659" spans="5:7" x14ac:dyDescent="0.25">
      <c r="E659" s="218"/>
      <c r="F659" s="218"/>
      <c r="G659" s="218"/>
    </row>
    <row r="660" spans="5:7" x14ac:dyDescent="0.25">
      <c r="E660" s="218"/>
      <c r="F660" s="218"/>
      <c r="G660" s="218"/>
    </row>
    <row r="661" spans="5:7" x14ac:dyDescent="0.25">
      <c r="E661" s="218"/>
      <c r="F661" s="218"/>
      <c r="G661" s="218"/>
    </row>
    <row r="662" spans="5:7" x14ac:dyDescent="0.25">
      <c r="E662" s="218"/>
      <c r="F662" s="218"/>
      <c r="G662" s="218"/>
    </row>
    <row r="663" spans="5:7" x14ac:dyDescent="0.25">
      <c r="E663" s="218"/>
      <c r="F663" s="218"/>
      <c r="G663" s="218"/>
    </row>
    <row r="664" spans="5:7" x14ac:dyDescent="0.25">
      <c r="E664" s="218"/>
      <c r="F664" s="218"/>
      <c r="G664" s="218"/>
    </row>
    <row r="665" spans="5:7" x14ac:dyDescent="0.25">
      <c r="E665" s="218"/>
      <c r="F665" s="218"/>
      <c r="G665" s="218"/>
    </row>
    <row r="666" spans="5:7" x14ac:dyDescent="0.25">
      <c r="E666" s="218"/>
      <c r="F666" s="218"/>
      <c r="G666" s="218"/>
    </row>
    <row r="667" spans="5:7" x14ac:dyDescent="0.25">
      <c r="E667" s="218"/>
      <c r="F667" s="218"/>
      <c r="G667" s="218"/>
    </row>
    <row r="668" spans="5:7" x14ac:dyDescent="0.25">
      <c r="E668" s="218"/>
      <c r="F668" s="218"/>
      <c r="G668" s="218"/>
    </row>
    <row r="669" spans="5:7" x14ac:dyDescent="0.25">
      <c r="E669" s="218"/>
      <c r="F669" s="218"/>
      <c r="G669" s="218"/>
    </row>
    <row r="670" spans="5:7" x14ac:dyDescent="0.25">
      <c r="E670" s="218"/>
      <c r="F670" s="218"/>
      <c r="G670" s="218"/>
    </row>
    <row r="671" spans="5:7" x14ac:dyDescent="0.25">
      <c r="E671" s="218"/>
      <c r="F671" s="218"/>
      <c r="G671" s="218"/>
    </row>
    <row r="672" spans="5:7" x14ac:dyDescent="0.25">
      <c r="E672" s="218"/>
      <c r="F672" s="218"/>
      <c r="G672" s="218"/>
    </row>
    <row r="673" spans="5:7" x14ac:dyDescent="0.25">
      <c r="E673" s="218"/>
      <c r="F673" s="218"/>
      <c r="G673" s="218"/>
    </row>
    <row r="674" spans="5:7" x14ac:dyDescent="0.25">
      <c r="E674" s="218"/>
      <c r="F674" s="218"/>
      <c r="G674" s="218"/>
    </row>
    <row r="675" spans="5:7" x14ac:dyDescent="0.25">
      <c r="E675" s="218"/>
      <c r="F675" s="218"/>
      <c r="G675" s="218"/>
    </row>
    <row r="676" spans="5:7" x14ac:dyDescent="0.25">
      <c r="E676" s="218"/>
      <c r="F676" s="218"/>
      <c r="G676" s="218"/>
    </row>
    <row r="677" spans="5:7" x14ac:dyDescent="0.25">
      <c r="E677" s="218"/>
      <c r="F677" s="218"/>
      <c r="G677" s="218"/>
    </row>
    <row r="678" spans="5:7" x14ac:dyDescent="0.25">
      <c r="E678" s="218"/>
      <c r="F678" s="218"/>
      <c r="G678" s="218"/>
    </row>
    <row r="679" spans="5:7" x14ac:dyDescent="0.25">
      <c r="E679" s="218"/>
      <c r="F679" s="218"/>
      <c r="G679" s="218"/>
    </row>
    <row r="680" spans="5:7" x14ac:dyDescent="0.25">
      <c r="E680" s="218"/>
      <c r="F680" s="218"/>
      <c r="G680" s="218"/>
    </row>
    <row r="681" spans="5:7" x14ac:dyDescent="0.25">
      <c r="E681" s="218"/>
      <c r="F681" s="218"/>
      <c r="G681" s="218"/>
    </row>
    <row r="682" spans="5:7" x14ac:dyDescent="0.25">
      <c r="E682" s="218"/>
      <c r="F682" s="218"/>
      <c r="G682" s="218"/>
    </row>
    <row r="683" spans="5:7" x14ac:dyDescent="0.25">
      <c r="E683" s="218"/>
      <c r="F683" s="218"/>
      <c r="G683" s="218"/>
    </row>
    <row r="684" spans="5:7" x14ac:dyDescent="0.25">
      <c r="E684" s="218"/>
      <c r="F684" s="218"/>
      <c r="G684" s="218"/>
    </row>
    <row r="685" spans="5:7" x14ac:dyDescent="0.25">
      <c r="E685" s="218"/>
      <c r="F685" s="218"/>
      <c r="G685" s="218"/>
    </row>
    <row r="686" spans="5:7" x14ac:dyDescent="0.25">
      <c r="E686" s="218"/>
      <c r="F686" s="218"/>
      <c r="G686" s="218"/>
    </row>
    <row r="687" spans="5:7" x14ac:dyDescent="0.25">
      <c r="E687" s="218"/>
      <c r="F687" s="218"/>
      <c r="G687" s="218"/>
    </row>
    <row r="688" spans="5:7" x14ac:dyDescent="0.25">
      <c r="E688" s="218"/>
      <c r="F688" s="218"/>
      <c r="G688" s="218"/>
    </row>
    <row r="689" spans="5:7" x14ac:dyDescent="0.25">
      <c r="E689" s="218"/>
      <c r="F689" s="218"/>
      <c r="G689" s="218"/>
    </row>
    <row r="690" spans="5:7" x14ac:dyDescent="0.25">
      <c r="E690" s="218"/>
      <c r="F690" s="218"/>
      <c r="G690" s="218"/>
    </row>
    <row r="691" spans="5:7" x14ac:dyDescent="0.25">
      <c r="E691" s="218"/>
      <c r="F691" s="218"/>
      <c r="G691" s="218"/>
    </row>
    <row r="692" spans="5:7" x14ac:dyDescent="0.25">
      <c r="E692" s="218"/>
      <c r="F692" s="218"/>
      <c r="G692" s="218"/>
    </row>
    <row r="693" spans="5:7" x14ac:dyDescent="0.25">
      <c r="E693" s="218"/>
      <c r="F693" s="218"/>
      <c r="G693" s="218"/>
    </row>
    <row r="694" spans="5:7" x14ac:dyDescent="0.25">
      <c r="E694" s="218"/>
      <c r="F694" s="218"/>
      <c r="G694" s="218"/>
    </row>
    <row r="695" spans="5:7" x14ac:dyDescent="0.25">
      <c r="E695" s="218"/>
      <c r="F695" s="218"/>
      <c r="G695" s="218"/>
    </row>
    <row r="696" spans="5:7" x14ac:dyDescent="0.25">
      <c r="E696" s="218"/>
      <c r="F696" s="218"/>
      <c r="G696" s="218"/>
    </row>
    <row r="697" spans="5:7" x14ac:dyDescent="0.25">
      <c r="E697" s="218"/>
      <c r="F697" s="218"/>
      <c r="G697" s="218"/>
    </row>
    <row r="698" spans="5:7" x14ac:dyDescent="0.25">
      <c r="E698" s="218"/>
      <c r="F698" s="218"/>
      <c r="G698" s="218"/>
    </row>
    <row r="699" spans="5:7" x14ac:dyDescent="0.25">
      <c r="E699" s="218"/>
      <c r="F699" s="218"/>
      <c r="G699" s="218"/>
    </row>
    <row r="700" spans="5:7" x14ac:dyDescent="0.25">
      <c r="E700" s="218"/>
      <c r="F700" s="218"/>
      <c r="G700" s="218"/>
    </row>
    <row r="701" spans="5:7" x14ac:dyDescent="0.25">
      <c r="E701" s="218"/>
      <c r="F701" s="218"/>
      <c r="G701" s="218"/>
    </row>
    <row r="702" spans="5:7" x14ac:dyDescent="0.25">
      <c r="E702" s="218"/>
      <c r="F702" s="218"/>
      <c r="G702" s="218"/>
    </row>
    <row r="703" spans="5:7" x14ac:dyDescent="0.25">
      <c r="E703" s="218"/>
      <c r="F703" s="218"/>
      <c r="G703" s="218"/>
    </row>
    <row r="704" spans="5:7" x14ac:dyDescent="0.25">
      <c r="E704" s="218"/>
      <c r="F704" s="218"/>
      <c r="G704" s="218"/>
    </row>
    <row r="705" spans="5:7" x14ac:dyDescent="0.25">
      <c r="E705" s="218"/>
      <c r="F705" s="218"/>
      <c r="G705" s="218"/>
    </row>
    <row r="706" spans="5:7" x14ac:dyDescent="0.25">
      <c r="E706" s="218"/>
      <c r="F706" s="218"/>
      <c r="G706" s="218"/>
    </row>
    <row r="707" spans="5:7" x14ac:dyDescent="0.25">
      <c r="E707" s="218"/>
      <c r="F707" s="218"/>
      <c r="G707" s="218"/>
    </row>
    <row r="708" spans="5:7" x14ac:dyDescent="0.25">
      <c r="E708" s="218"/>
      <c r="F708" s="218"/>
      <c r="G708" s="218"/>
    </row>
    <row r="709" spans="5:7" x14ac:dyDescent="0.25">
      <c r="E709" s="218"/>
      <c r="F709" s="218"/>
      <c r="G709" s="218"/>
    </row>
    <row r="710" spans="5:7" x14ac:dyDescent="0.25">
      <c r="E710" s="218"/>
      <c r="F710" s="218"/>
      <c r="G710" s="218"/>
    </row>
    <row r="711" spans="5:7" x14ac:dyDescent="0.25">
      <c r="E711" s="218"/>
      <c r="F711" s="218"/>
      <c r="G711" s="218"/>
    </row>
    <row r="712" spans="5:7" x14ac:dyDescent="0.25">
      <c r="E712" s="218"/>
      <c r="F712" s="218"/>
      <c r="G712" s="218"/>
    </row>
    <row r="713" spans="5:7" x14ac:dyDescent="0.25">
      <c r="E713" s="218"/>
      <c r="F713" s="218"/>
      <c r="G713" s="218"/>
    </row>
    <row r="714" spans="5:7" x14ac:dyDescent="0.25">
      <c r="E714" s="218"/>
      <c r="F714" s="218"/>
      <c r="G714" s="218"/>
    </row>
    <row r="715" spans="5:7" x14ac:dyDescent="0.25">
      <c r="E715" s="218"/>
      <c r="F715" s="218"/>
      <c r="G715" s="218"/>
    </row>
    <row r="716" spans="5:7" x14ac:dyDescent="0.25">
      <c r="E716" s="218"/>
      <c r="F716" s="218"/>
      <c r="G716" s="218"/>
    </row>
    <row r="717" spans="5:7" x14ac:dyDescent="0.25">
      <c r="E717" s="218"/>
      <c r="F717" s="218"/>
      <c r="G717" s="218"/>
    </row>
    <row r="718" spans="5:7" x14ac:dyDescent="0.25">
      <c r="E718" s="218"/>
      <c r="F718" s="218"/>
      <c r="G718" s="218"/>
    </row>
    <row r="719" spans="5:7" x14ac:dyDescent="0.25">
      <c r="E719" s="218"/>
      <c r="F719" s="218"/>
      <c r="G719" s="218"/>
    </row>
    <row r="720" spans="5:7" x14ac:dyDescent="0.25">
      <c r="E720" s="218"/>
      <c r="F720" s="218"/>
      <c r="G720" s="218"/>
    </row>
    <row r="721" spans="5:7" x14ac:dyDescent="0.25">
      <c r="E721" s="218"/>
      <c r="F721" s="218"/>
      <c r="G721" s="218"/>
    </row>
    <row r="722" spans="5:7" x14ac:dyDescent="0.25">
      <c r="E722" s="218"/>
      <c r="F722" s="218"/>
      <c r="G722" s="218"/>
    </row>
    <row r="723" spans="5:7" x14ac:dyDescent="0.25">
      <c r="E723" s="218"/>
      <c r="F723" s="218"/>
      <c r="G723" s="218"/>
    </row>
    <row r="724" spans="5:7" x14ac:dyDescent="0.25">
      <c r="E724" s="218"/>
      <c r="F724" s="218"/>
      <c r="G724" s="218"/>
    </row>
    <row r="725" spans="5:7" x14ac:dyDescent="0.25">
      <c r="E725" s="218"/>
      <c r="F725" s="218"/>
      <c r="G725" s="218"/>
    </row>
    <row r="726" spans="5:7" x14ac:dyDescent="0.25">
      <c r="E726" s="218"/>
      <c r="F726" s="218"/>
      <c r="G726" s="218"/>
    </row>
    <row r="727" spans="5:7" x14ac:dyDescent="0.25">
      <c r="E727" s="218"/>
      <c r="F727" s="218"/>
      <c r="G727" s="218"/>
    </row>
    <row r="728" spans="5:7" x14ac:dyDescent="0.25">
      <c r="E728" s="218"/>
      <c r="F728" s="218"/>
      <c r="G728" s="218"/>
    </row>
    <row r="729" spans="5:7" x14ac:dyDescent="0.25">
      <c r="E729" s="218"/>
      <c r="F729" s="218"/>
      <c r="G729" s="218"/>
    </row>
    <row r="730" spans="5:7" x14ac:dyDescent="0.25">
      <c r="E730" s="218"/>
      <c r="F730" s="218"/>
      <c r="G730" s="218"/>
    </row>
    <row r="731" spans="5:7" x14ac:dyDescent="0.25">
      <c r="E731" s="218"/>
      <c r="F731" s="218"/>
      <c r="G731" s="218"/>
    </row>
    <row r="732" spans="5:7" x14ac:dyDescent="0.25">
      <c r="E732" s="218"/>
      <c r="F732" s="218"/>
      <c r="G732" s="218"/>
    </row>
    <row r="733" spans="5:7" x14ac:dyDescent="0.25">
      <c r="E733" s="218"/>
      <c r="F733" s="218"/>
      <c r="G733" s="218"/>
    </row>
    <row r="734" spans="5:7" x14ac:dyDescent="0.25">
      <c r="E734" s="218"/>
      <c r="F734" s="218"/>
      <c r="G734" s="218"/>
    </row>
    <row r="735" spans="5:7" x14ac:dyDescent="0.25">
      <c r="E735" s="218"/>
      <c r="F735" s="218"/>
      <c r="G735" s="218"/>
    </row>
    <row r="736" spans="5:7" x14ac:dyDescent="0.25">
      <c r="E736" s="218"/>
      <c r="F736" s="218"/>
      <c r="G736" s="218"/>
    </row>
    <row r="737" spans="5:7" x14ac:dyDescent="0.25">
      <c r="E737" s="218"/>
      <c r="F737" s="218"/>
      <c r="G737" s="218"/>
    </row>
    <row r="738" spans="5:7" x14ac:dyDescent="0.25">
      <c r="E738" s="218"/>
      <c r="F738" s="218"/>
      <c r="G738" s="218"/>
    </row>
    <row r="739" spans="5:7" x14ac:dyDescent="0.25">
      <c r="E739" s="218"/>
      <c r="F739" s="218"/>
      <c r="G739" s="218"/>
    </row>
    <row r="740" spans="5:7" x14ac:dyDescent="0.25">
      <c r="E740" s="218"/>
      <c r="F740" s="218"/>
      <c r="G740" s="218"/>
    </row>
    <row r="741" spans="5:7" x14ac:dyDescent="0.25">
      <c r="E741" s="218"/>
      <c r="F741" s="218"/>
      <c r="G741" s="218"/>
    </row>
    <row r="742" spans="5:7" x14ac:dyDescent="0.25">
      <c r="E742" s="218"/>
      <c r="F742" s="218"/>
      <c r="G742" s="218"/>
    </row>
    <row r="743" spans="5:7" x14ac:dyDescent="0.25">
      <c r="E743" s="218"/>
      <c r="F743" s="218"/>
      <c r="G743" s="218"/>
    </row>
    <row r="744" spans="5:7" x14ac:dyDescent="0.25">
      <c r="E744" s="218"/>
      <c r="F744" s="218"/>
      <c r="G744" s="218"/>
    </row>
    <row r="745" spans="5:7" x14ac:dyDescent="0.25">
      <c r="E745" s="218"/>
      <c r="F745" s="218"/>
      <c r="G745" s="218"/>
    </row>
    <row r="746" spans="5:7" x14ac:dyDescent="0.25">
      <c r="E746" s="218"/>
      <c r="F746" s="218"/>
      <c r="G746" s="218"/>
    </row>
    <row r="747" spans="5:7" x14ac:dyDescent="0.25">
      <c r="E747" s="218"/>
      <c r="F747" s="218"/>
      <c r="G747" s="218"/>
    </row>
    <row r="748" spans="5:7" x14ac:dyDescent="0.25">
      <c r="E748" s="218"/>
      <c r="F748" s="218"/>
      <c r="G748" s="218"/>
    </row>
    <row r="749" spans="5:7" x14ac:dyDescent="0.25">
      <c r="E749" s="218"/>
      <c r="F749" s="218"/>
      <c r="G749" s="218"/>
    </row>
    <row r="750" spans="5:7" x14ac:dyDescent="0.25">
      <c r="E750" s="218"/>
      <c r="F750" s="218"/>
      <c r="G750" s="218"/>
    </row>
    <row r="751" spans="5:7" x14ac:dyDescent="0.25">
      <c r="E751" s="218"/>
      <c r="F751" s="218"/>
      <c r="G751" s="218"/>
    </row>
    <row r="752" spans="5:7" x14ac:dyDescent="0.25">
      <c r="E752" s="218"/>
      <c r="F752" s="218"/>
      <c r="G752" s="218"/>
    </row>
    <row r="753" spans="5:7" x14ac:dyDescent="0.25">
      <c r="E753" s="218"/>
      <c r="F753" s="218"/>
      <c r="G753" s="218"/>
    </row>
    <row r="754" spans="5:7" x14ac:dyDescent="0.25">
      <c r="E754" s="218"/>
      <c r="F754" s="218"/>
      <c r="G754" s="218"/>
    </row>
    <row r="755" spans="5:7" x14ac:dyDescent="0.25">
      <c r="E755" s="218"/>
      <c r="F755" s="218"/>
      <c r="G755" s="218"/>
    </row>
    <row r="756" spans="5:7" x14ac:dyDescent="0.25">
      <c r="E756" s="218"/>
      <c r="F756" s="218"/>
      <c r="G756" s="218"/>
    </row>
    <row r="757" spans="5:7" x14ac:dyDescent="0.25">
      <c r="E757" s="218"/>
      <c r="F757" s="218"/>
      <c r="G757" s="218"/>
    </row>
    <row r="758" spans="5:7" x14ac:dyDescent="0.25">
      <c r="E758" s="218"/>
      <c r="F758" s="218"/>
      <c r="G758" s="218"/>
    </row>
    <row r="759" spans="5:7" x14ac:dyDescent="0.25">
      <c r="E759" s="218"/>
      <c r="F759" s="218"/>
      <c r="G759" s="218"/>
    </row>
    <row r="760" spans="5:7" x14ac:dyDescent="0.25">
      <c r="E760" s="218"/>
      <c r="F760" s="218"/>
      <c r="G760" s="218"/>
    </row>
    <row r="761" spans="5:7" x14ac:dyDescent="0.25">
      <c r="E761" s="218"/>
      <c r="F761" s="218"/>
      <c r="G761" s="218"/>
    </row>
    <row r="762" spans="5:7" x14ac:dyDescent="0.25">
      <c r="E762" s="218"/>
      <c r="F762" s="218"/>
      <c r="G762" s="218"/>
    </row>
    <row r="763" spans="5:7" x14ac:dyDescent="0.25">
      <c r="E763" s="218"/>
      <c r="F763" s="218"/>
      <c r="G763" s="218"/>
    </row>
    <row r="764" spans="5:7" x14ac:dyDescent="0.25">
      <c r="E764" s="218"/>
      <c r="F764" s="218"/>
      <c r="G764" s="218"/>
    </row>
    <row r="765" spans="5:7" x14ac:dyDescent="0.25">
      <c r="E765" s="218"/>
      <c r="F765" s="218"/>
      <c r="G765" s="218"/>
    </row>
    <row r="766" spans="5:7" x14ac:dyDescent="0.25">
      <c r="E766" s="218"/>
      <c r="F766" s="218"/>
      <c r="G766" s="218"/>
    </row>
    <row r="767" spans="5:7" x14ac:dyDescent="0.25">
      <c r="E767" s="218"/>
      <c r="F767" s="218"/>
      <c r="G767" s="218"/>
    </row>
    <row r="768" spans="5:7" x14ac:dyDescent="0.25">
      <c r="E768" s="218"/>
      <c r="F768" s="218"/>
      <c r="G768" s="218"/>
    </row>
    <row r="769" spans="5:7" x14ac:dyDescent="0.25">
      <c r="E769" s="218"/>
      <c r="F769" s="218"/>
      <c r="G769" s="218"/>
    </row>
    <row r="770" spans="5:7" x14ac:dyDescent="0.25">
      <c r="E770" s="218"/>
      <c r="F770" s="218"/>
      <c r="G770" s="218"/>
    </row>
    <row r="771" spans="5:7" x14ac:dyDescent="0.25">
      <c r="E771" s="218"/>
      <c r="F771" s="218"/>
      <c r="G771" s="218"/>
    </row>
    <row r="772" spans="5:7" x14ac:dyDescent="0.25">
      <c r="E772" s="218"/>
      <c r="F772" s="218"/>
      <c r="G772" s="218"/>
    </row>
    <row r="773" spans="5:7" x14ac:dyDescent="0.25">
      <c r="E773" s="218"/>
      <c r="F773" s="218"/>
      <c r="G773" s="218"/>
    </row>
    <row r="774" spans="5:7" x14ac:dyDescent="0.25">
      <c r="E774" s="218"/>
      <c r="F774" s="218"/>
      <c r="G774" s="218"/>
    </row>
    <row r="775" spans="5:7" x14ac:dyDescent="0.25">
      <c r="E775" s="218"/>
      <c r="F775" s="218"/>
      <c r="G775" s="218"/>
    </row>
    <row r="776" spans="5:7" x14ac:dyDescent="0.25">
      <c r="E776" s="218"/>
      <c r="F776" s="218"/>
      <c r="G776" s="218"/>
    </row>
    <row r="777" spans="5:7" x14ac:dyDescent="0.25">
      <c r="E777" s="218"/>
      <c r="F777" s="218"/>
      <c r="G777" s="218"/>
    </row>
    <row r="778" spans="5:7" x14ac:dyDescent="0.25">
      <c r="E778" s="218"/>
      <c r="F778" s="218"/>
      <c r="G778" s="218"/>
    </row>
    <row r="779" spans="5:7" x14ac:dyDescent="0.25">
      <c r="E779" s="218"/>
      <c r="F779" s="218"/>
      <c r="G779" s="218"/>
    </row>
    <row r="780" spans="5:7" x14ac:dyDescent="0.25">
      <c r="E780" s="218"/>
      <c r="F780" s="218"/>
      <c r="G780" s="218"/>
    </row>
    <row r="781" spans="5:7" x14ac:dyDescent="0.25">
      <c r="E781" s="218"/>
      <c r="F781" s="218"/>
      <c r="G781" s="218"/>
    </row>
    <row r="782" spans="5:7" x14ac:dyDescent="0.25">
      <c r="E782" s="218"/>
      <c r="F782" s="218"/>
      <c r="G782" s="218"/>
    </row>
    <row r="783" spans="5:7" x14ac:dyDescent="0.25">
      <c r="E783" s="218"/>
      <c r="F783" s="218"/>
      <c r="G783" s="218"/>
    </row>
    <row r="784" spans="5:7" x14ac:dyDescent="0.25">
      <c r="E784" s="218"/>
      <c r="F784" s="218"/>
      <c r="G784" s="218"/>
    </row>
    <row r="785" spans="5:7" x14ac:dyDescent="0.25">
      <c r="E785" s="218"/>
      <c r="F785" s="218"/>
      <c r="G785" s="218"/>
    </row>
    <row r="786" spans="5:7" x14ac:dyDescent="0.25">
      <c r="E786" s="218"/>
      <c r="F786" s="218"/>
      <c r="G786" s="218"/>
    </row>
    <row r="787" spans="5:7" x14ac:dyDescent="0.25">
      <c r="E787" s="218"/>
      <c r="F787" s="218"/>
      <c r="G787" s="218"/>
    </row>
    <row r="788" spans="5:7" x14ac:dyDescent="0.25">
      <c r="E788" s="218"/>
      <c r="F788" s="218"/>
      <c r="G788" s="218"/>
    </row>
    <row r="789" spans="5:7" x14ac:dyDescent="0.25">
      <c r="E789" s="218"/>
      <c r="F789" s="218"/>
      <c r="G789" s="218"/>
    </row>
    <row r="790" spans="5:7" x14ac:dyDescent="0.25">
      <c r="E790" s="218"/>
      <c r="F790" s="218"/>
      <c r="G790" s="218"/>
    </row>
    <row r="791" spans="5:7" x14ac:dyDescent="0.25">
      <c r="E791" s="218"/>
      <c r="F791" s="218"/>
      <c r="G791" s="218"/>
    </row>
    <row r="792" spans="5:7" x14ac:dyDescent="0.25">
      <c r="E792" s="218"/>
      <c r="F792" s="218"/>
      <c r="G792" s="218"/>
    </row>
    <row r="793" spans="5:7" x14ac:dyDescent="0.25">
      <c r="E793" s="218"/>
      <c r="F793" s="218"/>
      <c r="G793" s="218"/>
    </row>
    <row r="794" spans="5:7" x14ac:dyDescent="0.25">
      <c r="E794" s="218"/>
      <c r="F794" s="218"/>
      <c r="G794" s="218"/>
    </row>
    <row r="795" spans="5:7" x14ac:dyDescent="0.25">
      <c r="E795" s="218"/>
      <c r="F795" s="218"/>
      <c r="G795" s="218"/>
    </row>
    <row r="796" spans="5:7" x14ac:dyDescent="0.25">
      <c r="E796" s="218"/>
      <c r="F796" s="218"/>
      <c r="G796" s="218"/>
    </row>
    <row r="797" spans="5:7" x14ac:dyDescent="0.25">
      <c r="E797" s="218"/>
      <c r="F797" s="218"/>
      <c r="G797" s="218"/>
    </row>
    <row r="798" spans="5:7" x14ac:dyDescent="0.25">
      <c r="E798" s="218"/>
      <c r="F798" s="218"/>
      <c r="G798" s="218"/>
    </row>
    <row r="799" spans="5:7" x14ac:dyDescent="0.25">
      <c r="E799" s="218"/>
      <c r="F799" s="218"/>
      <c r="G799" s="218"/>
    </row>
    <row r="800" spans="5:7" x14ac:dyDescent="0.25">
      <c r="E800" s="218"/>
      <c r="F800" s="218"/>
      <c r="G800" s="218"/>
    </row>
    <row r="801" spans="5:7" x14ac:dyDescent="0.25">
      <c r="E801" s="218"/>
      <c r="F801" s="218"/>
      <c r="G801" s="218"/>
    </row>
    <row r="802" spans="5:7" x14ac:dyDescent="0.25">
      <c r="E802" s="218"/>
      <c r="F802" s="218"/>
      <c r="G802" s="218"/>
    </row>
    <row r="803" spans="5:7" x14ac:dyDescent="0.25">
      <c r="E803" s="218"/>
      <c r="F803" s="218"/>
      <c r="G803" s="218"/>
    </row>
    <row r="804" spans="5:7" x14ac:dyDescent="0.25">
      <c r="E804" s="218"/>
      <c r="F804" s="218"/>
      <c r="G804" s="218"/>
    </row>
    <row r="805" spans="5:7" x14ac:dyDescent="0.25">
      <c r="E805" s="218"/>
      <c r="F805" s="218"/>
      <c r="G805" s="218"/>
    </row>
    <row r="806" spans="5:7" x14ac:dyDescent="0.25">
      <c r="E806" s="218"/>
      <c r="F806" s="218"/>
      <c r="G806" s="218"/>
    </row>
    <row r="807" spans="5:7" x14ac:dyDescent="0.25">
      <c r="E807" s="218"/>
      <c r="F807" s="218"/>
      <c r="G807" s="218"/>
    </row>
    <row r="808" spans="5:7" x14ac:dyDescent="0.25">
      <c r="E808" s="218"/>
      <c r="F808" s="218"/>
      <c r="G808" s="218"/>
    </row>
    <row r="809" spans="5:7" x14ac:dyDescent="0.25">
      <c r="E809" s="218"/>
      <c r="F809" s="218"/>
      <c r="G809" s="218"/>
    </row>
    <row r="810" spans="5:7" x14ac:dyDescent="0.25">
      <c r="E810" s="218"/>
      <c r="F810" s="218"/>
      <c r="G810" s="218"/>
    </row>
    <row r="811" spans="5:7" x14ac:dyDescent="0.25">
      <c r="E811" s="218"/>
      <c r="F811" s="218"/>
      <c r="G811" s="218"/>
    </row>
    <row r="812" spans="5:7" x14ac:dyDescent="0.25">
      <c r="E812" s="218"/>
      <c r="F812" s="218"/>
      <c r="G812" s="218"/>
    </row>
    <row r="813" spans="5:7" x14ac:dyDescent="0.25">
      <c r="E813" s="218"/>
      <c r="F813" s="218"/>
      <c r="G813" s="218"/>
    </row>
    <row r="814" spans="5:7" x14ac:dyDescent="0.25">
      <c r="E814" s="218"/>
      <c r="F814" s="218"/>
      <c r="G814" s="218"/>
    </row>
    <row r="815" spans="5:7" x14ac:dyDescent="0.25">
      <c r="E815" s="218"/>
      <c r="F815" s="218"/>
      <c r="G815" s="218"/>
    </row>
    <row r="816" spans="5:7" x14ac:dyDescent="0.25">
      <c r="E816" s="218"/>
      <c r="F816" s="218"/>
      <c r="G816" s="218"/>
    </row>
    <row r="817" spans="5:7" x14ac:dyDescent="0.25">
      <c r="E817" s="218"/>
      <c r="F817" s="218"/>
      <c r="G817" s="218"/>
    </row>
    <row r="818" spans="5:7" x14ac:dyDescent="0.25">
      <c r="E818" s="218"/>
      <c r="F818" s="218"/>
      <c r="G818" s="218"/>
    </row>
    <row r="819" spans="5:7" x14ac:dyDescent="0.25">
      <c r="E819" s="218"/>
      <c r="F819" s="218"/>
      <c r="G819" s="218"/>
    </row>
    <row r="820" spans="5:7" x14ac:dyDescent="0.25">
      <c r="E820" s="218"/>
      <c r="F820" s="218"/>
      <c r="G820" s="218"/>
    </row>
    <row r="821" spans="5:7" x14ac:dyDescent="0.25">
      <c r="E821" s="218"/>
      <c r="F821" s="218"/>
      <c r="G821" s="218"/>
    </row>
    <row r="822" spans="5:7" x14ac:dyDescent="0.25">
      <c r="E822" s="218"/>
      <c r="F822" s="218"/>
      <c r="G822" s="218"/>
    </row>
    <row r="823" spans="5:7" x14ac:dyDescent="0.25">
      <c r="E823" s="218"/>
      <c r="F823" s="218"/>
      <c r="G823" s="218"/>
    </row>
    <row r="824" spans="5:7" x14ac:dyDescent="0.25">
      <c r="E824" s="218"/>
      <c r="F824" s="218"/>
      <c r="G824" s="218"/>
    </row>
    <row r="825" spans="5:7" x14ac:dyDescent="0.25">
      <c r="E825" s="218"/>
      <c r="F825" s="218"/>
      <c r="G825" s="218"/>
    </row>
    <row r="826" spans="5:7" x14ac:dyDescent="0.25">
      <c r="E826" s="218"/>
      <c r="F826" s="218"/>
      <c r="G826" s="218"/>
    </row>
    <row r="827" spans="5:7" x14ac:dyDescent="0.25">
      <c r="E827" s="218"/>
      <c r="F827" s="218"/>
      <c r="G827" s="218"/>
    </row>
    <row r="828" spans="5:7" x14ac:dyDescent="0.25">
      <c r="E828" s="218"/>
      <c r="F828" s="218"/>
      <c r="G828" s="218"/>
    </row>
    <row r="829" spans="5:7" x14ac:dyDescent="0.25">
      <c r="E829" s="218"/>
      <c r="F829" s="218"/>
      <c r="G829" s="218"/>
    </row>
    <row r="830" spans="5:7" x14ac:dyDescent="0.25">
      <c r="E830" s="218"/>
      <c r="F830" s="218"/>
      <c r="G830" s="218"/>
    </row>
    <row r="831" spans="5:7" x14ac:dyDescent="0.25">
      <c r="E831" s="218"/>
      <c r="F831" s="218"/>
      <c r="G831" s="218"/>
    </row>
    <row r="832" spans="5:7" x14ac:dyDescent="0.25">
      <c r="E832" s="218"/>
      <c r="F832" s="218"/>
      <c r="G832" s="218"/>
    </row>
    <row r="833" spans="5:7" x14ac:dyDescent="0.25">
      <c r="E833" s="218"/>
      <c r="F833" s="218"/>
      <c r="G833" s="218"/>
    </row>
    <row r="834" spans="5:7" x14ac:dyDescent="0.25">
      <c r="E834" s="218"/>
      <c r="F834" s="218"/>
      <c r="G834" s="218"/>
    </row>
    <row r="835" spans="5:7" x14ac:dyDescent="0.25">
      <c r="E835" s="218"/>
      <c r="F835" s="218"/>
      <c r="G835" s="218"/>
    </row>
    <row r="836" spans="5:7" x14ac:dyDescent="0.25">
      <c r="E836" s="218"/>
      <c r="F836" s="218"/>
      <c r="G836" s="218"/>
    </row>
    <row r="837" spans="5:7" x14ac:dyDescent="0.25">
      <c r="E837" s="218"/>
      <c r="F837" s="218"/>
      <c r="G837" s="218"/>
    </row>
    <row r="838" spans="5:7" x14ac:dyDescent="0.25">
      <c r="E838" s="218"/>
      <c r="F838" s="218"/>
      <c r="G838" s="218"/>
    </row>
    <row r="839" spans="5:7" x14ac:dyDescent="0.25">
      <c r="E839" s="218"/>
      <c r="F839" s="218"/>
      <c r="G839" s="218"/>
    </row>
    <row r="840" spans="5:7" x14ac:dyDescent="0.25">
      <c r="E840" s="218"/>
      <c r="F840" s="218"/>
      <c r="G840" s="218"/>
    </row>
    <row r="841" spans="5:7" x14ac:dyDescent="0.25">
      <c r="E841" s="218"/>
      <c r="F841" s="218"/>
      <c r="G841" s="218"/>
    </row>
    <row r="842" spans="5:7" x14ac:dyDescent="0.25">
      <c r="E842" s="218"/>
      <c r="F842" s="218"/>
      <c r="G842" s="218"/>
    </row>
  </sheetData>
  <pageMargins left="0.7" right="0.7" top="0.75" bottom="0.75" header="0.511811023622047" footer="0.511811023622047"/>
  <pageSetup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Summary</vt:lpstr>
      <vt:lpstr>Creditors</vt:lpstr>
      <vt:lpstr>Shareholders investment</vt:lpstr>
      <vt:lpstr>Invoices </vt:lpstr>
      <vt:lpstr>BIM Bank Control USD</vt:lpstr>
      <vt:lpstr>BIM Bank Control Mtn</vt:lpstr>
      <vt:lpstr>Petty cash </vt:lpstr>
      <vt:lpstr>Pre-paid</vt:lpstr>
      <vt:lpstr>Folha de salarios</vt:lpstr>
      <vt:lpstr>Original Inv Outstanding</vt:lpstr>
      <vt:lpstr>'BIM Bank Control Mtn'!Print_Area</vt:lpstr>
      <vt:lpstr>Creditors!Print_Area</vt:lpstr>
      <vt:lpstr>'Folha de salarios'!Print_Area</vt:lpstr>
      <vt:lpstr>'Invoices '!Print_Area</vt:lpstr>
      <vt:lpstr>'Shareholders investment'!Print_Area</vt:lpstr>
      <vt:lpstr>Summary!Print_Area</vt:lpstr>
      <vt:lpstr>'Folha de salarios'!Print_Titles</vt:lpstr>
      <vt:lpstr>'Folha de salarios'!Z_689895ED_8DF8_466C_90EE_5C2362D49AE1__wvu_PrintArea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GTI</dc:creator>
  <dc:description/>
  <cp:lastModifiedBy>Andrisa Schnell</cp:lastModifiedBy>
  <cp:revision>3</cp:revision>
  <cp:lastPrinted>2025-11-03T01:49:22Z</cp:lastPrinted>
  <dcterms:created xsi:type="dcterms:W3CDTF">1999-06-16T08:45:12Z</dcterms:created>
  <dcterms:modified xsi:type="dcterms:W3CDTF">2026-04-08T13:54:53Z</dcterms:modified>
  <dc:language>en-US</dc:language>
</cp:coreProperties>
</file>