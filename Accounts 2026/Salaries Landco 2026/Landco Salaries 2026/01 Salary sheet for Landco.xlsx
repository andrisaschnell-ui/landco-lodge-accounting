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ndco\Accounts 2026\Salaries Landco 2026\Landco Salaries 2026\"/>
    </mc:Choice>
  </mc:AlternateContent>
  <xr:revisionPtr revIDLastSave="0" documentId="13_ncr:1_{735A9FD6-8CA0-4D95-8F11-76468EDA3FB6}" xr6:coauthVersionLast="47" xr6:coauthVersionMax="47" xr10:uidLastSave="{00000000-0000-0000-0000-000000000000}"/>
  <bookViews>
    <workbookView xWindow="0" yWindow="360" windowWidth="20730" windowHeight="11040" tabRatio="499" xr2:uid="{00000000-000D-0000-FFFF-FFFF00000000}"/>
  </bookViews>
  <sheets>
    <sheet name="Folha de salarios" sheetId="1" r:id="rId1"/>
    <sheet name="Sindicate" sheetId="3" r:id="rId2"/>
    <sheet name="PaySlip" sheetId="4" r:id="rId3"/>
  </sheets>
  <definedNames>
    <definedName name="_xlnm._FilterDatabase" localSheetId="0" hidden="1">'Folha de salarios'!$A$9:$AP$31</definedName>
    <definedName name="_xlnm._FilterDatabase" localSheetId="1" hidden="1">Sindicate!$A$6:$R$29</definedName>
    <definedName name="_xlnm.Print_Area" localSheetId="0">'Folha de salarios'!$A$1:$AG$43</definedName>
    <definedName name="_xlnm.Print_Area" localSheetId="1">Sindicate!$A$1:$H$31</definedName>
    <definedName name="_xlnm.Print_Titles" localSheetId="0">'Folha de salarios'!$4:$9</definedName>
    <definedName name="_xlnm.Print_Titles" localSheetId="1">Sindicate!$1:$6</definedName>
    <definedName name="Z_689895ED_8DF8_466C_90EE_5C2362D49AE1__wvu_PrintArea" localSheetId="0">'Folha de salarios'!$A$4:$AA$42</definedName>
    <definedName name="Z_689895ED_8DF8_466C_90EE_5C2362D49AE1__wvu_PrintArea" localSheetId="1">Sindicate!$A$1:$D$40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I10" i="1"/>
  <c r="R11" i="1"/>
  <c r="R12" i="1"/>
  <c r="Y17" i="1"/>
  <c r="G705" i="4"/>
  <c r="O705" i="4" s="1"/>
  <c r="G676" i="4"/>
  <c r="O676" i="4" s="1"/>
  <c r="G647" i="4"/>
  <c r="O647" i="4" s="1"/>
  <c r="G618" i="4"/>
  <c r="O618" i="4" s="1"/>
  <c r="R31" i="1"/>
  <c r="I11" i="1"/>
  <c r="M11" i="1" l="1"/>
  <c r="G38" i="4" s="1"/>
  <c r="I30" i="1"/>
  <c r="I29" i="1"/>
  <c r="I27" i="1"/>
  <c r="I26" i="1"/>
  <c r="I22" i="1"/>
  <c r="I21" i="1"/>
  <c r="I18" i="1"/>
  <c r="I12" i="1"/>
  <c r="I13" i="1"/>
  <c r="I14" i="1"/>
  <c r="I15" i="1"/>
  <c r="I16" i="1"/>
  <c r="I17" i="1"/>
  <c r="I19" i="1"/>
  <c r="I20" i="1"/>
  <c r="I23" i="1"/>
  <c r="I24" i="1"/>
  <c r="I25" i="1"/>
  <c r="I28" i="1"/>
  <c r="C612" i="4"/>
  <c r="G9" i="4" l="1"/>
  <c r="W10" i="1"/>
  <c r="M12" i="1"/>
  <c r="G67" i="4" s="1"/>
  <c r="M28" i="1"/>
  <c r="G528" i="4" s="1"/>
  <c r="G615" i="4"/>
  <c r="O615" i="4" s="1"/>
  <c r="M25" i="1"/>
  <c r="G442" i="4" s="1"/>
  <c r="G644" i="4"/>
  <c r="O644" i="4" s="1"/>
  <c r="M24" i="1"/>
  <c r="G413" i="4" s="1"/>
  <c r="G673" i="4"/>
  <c r="O673" i="4" s="1"/>
  <c r="M23" i="1"/>
  <c r="G384" i="4" s="1"/>
  <c r="G702" i="4"/>
  <c r="O702" i="4" s="1"/>
  <c r="M20" i="1"/>
  <c r="G297" i="4" s="1"/>
  <c r="M18" i="1"/>
  <c r="G239" i="4" s="1"/>
  <c r="M19" i="1"/>
  <c r="G268" i="4" s="1"/>
  <c r="M21" i="1"/>
  <c r="G326" i="4" s="1"/>
  <c r="M17" i="1"/>
  <c r="G210" i="4" s="1"/>
  <c r="M22" i="1"/>
  <c r="G355" i="4" s="1"/>
  <c r="M16" i="1"/>
  <c r="G181" i="4" s="1"/>
  <c r="M26" i="1"/>
  <c r="G470" i="4" s="1"/>
  <c r="M15" i="1"/>
  <c r="G153" i="4" s="1"/>
  <c r="M27" i="1"/>
  <c r="M14" i="1"/>
  <c r="M29" i="1"/>
  <c r="G557" i="4" s="1"/>
  <c r="M13" i="1"/>
  <c r="G96" i="4" s="1"/>
  <c r="M30" i="1"/>
  <c r="G586" i="4" s="1"/>
  <c r="W11" i="1"/>
  <c r="S11" i="1"/>
  <c r="O11" i="1"/>
  <c r="S10" i="1"/>
  <c r="C700" i="4"/>
  <c r="K700" i="4" s="1"/>
  <c r="C699" i="4"/>
  <c r="K699" i="4" s="1"/>
  <c r="C671" i="4"/>
  <c r="K671" i="4" s="1"/>
  <c r="C670" i="4"/>
  <c r="K670" i="4" s="1"/>
  <c r="C642" i="4"/>
  <c r="K642" i="4" s="1"/>
  <c r="C641" i="4"/>
  <c r="K641" i="4" s="1"/>
  <c r="O626" i="4"/>
  <c r="C613" i="4"/>
  <c r="K613" i="4" s="1"/>
  <c r="K612" i="4"/>
  <c r="O716" i="4"/>
  <c r="L716" i="4"/>
  <c r="L715" i="4"/>
  <c r="G715" i="4"/>
  <c r="O715" i="4" s="1"/>
  <c r="O714" i="4"/>
  <c r="O713" i="4"/>
  <c r="O712" i="4"/>
  <c r="G709" i="4"/>
  <c r="G703" i="4"/>
  <c r="O687" i="4"/>
  <c r="L687" i="4"/>
  <c r="L686" i="4"/>
  <c r="G686" i="4"/>
  <c r="O686" i="4" s="1"/>
  <c r="O685" i="4"/>
  <c r="O684" i="4"/>
  <c r="O683" i="4"/>
  <c r="G680" i="4"/>
  <c r="O680" i="4" s="1"/>
  <c r="G674" i="4"/>
  <c r="O658" i="4"/>
  <c r="L658" i="4"/>
  <c r="L657" i="4"/>
  <c r="G657" i="4"/>
  <c r="O657" i="4" s="1"/>
  <c r="O656" i="4"/>
  <c r="O655" i="4"/>
  <c r="O654" i="4"/>
  <c r="G651" i="4"/>
  <c r="O651" i="4" s="1"/>
  <c r="O629" i="4"/>
  <c r="L629" i="4"/>
  <c r="L628" i="4"/>
  <c r="G628" i="4"/>
  <c r="O628" i="4" s="1"/>
  <c r="O627" i="4"/>
  <c r="O625" i="4"/>
  <c r="G622" i="4"/>
  <c r="O622" i="4" s="1"/>
  <c r="G616" i="4"/>
  <c r="O616" i="4" s="1"/>
  <c r="G339" i="4"/>
  <c r="G109" i="4"/>
  <c r="G80" i="4"/>
  <c r="G51" i="4"/>
  <c r="G22" i="4"/>
  <c r="G223" i="4"/>
  <c r="C208" i="4"/>
  <c r="C207" i="4"/>
  <c r="G499" i="4" l="1"/>
  <c r="S27" i="1"/>
  <c r="G500" i="4" s="1"/>
  <c r="S14" i="1"/>
  <c r="G124" i="4"/>
  <c r="M31" i="1"/>
  <c r="W27" i="1"/>
  <c r="S21" i="1"/>
  <c r="W21" i="1"/>
  <c r="G675" i="4"/>
  <c r="O675" i="4" s="1"/>
  <c r="S17" i="1"/>
  <c r="W17" i="1"/>
  <c r="O17" i="1"/>
  <c r="W28" i="1"/>
  <c r="S28" i="1"/>
  <c r="G529" i="4" s="1"/>
  <c r="W23" i="1"/>
  <c r="S23" i="1"/>
  <c r="G385" i="4" s="1"/>
  <c r="W12" i="1"/>
  <c r="S12" i="1"/>
  <c r="O15" i="1"/>
  <c r="W15" i="1"/>
  <c r="S15" i="1"/>
  <c r="S26" i="1"/>
  <c r="G471" i="4" s="1"/>
  <c r="W26" i="1"/>
  <c r="W30" i="1"/>
  <c r="S30" i="1"/>
  <c r="G646" i="4"/>
  <c r="O646" i="4" s="1"/>
  <c r="S25" i="1"/>
  <c r="W25" i="1"/>
  <c r="S29" i="1"/>
  <c r="G558" i="4" s="1"/>
  <c r="W29" i="1"/>
  <c r="G617" i="4"/>
  <c r="O617" i="4" s="1"/>
  <c r="G645" i="4"/>
  <c r="O645" i="4" s="1"/>
  <c r="W20" i="1"/>
  <c r="S20" i="1"/>
  <c r="G704" i="4"/>
  <c r="O704" i="4" s="1"/>
  <c r="W16" i="1"/>
  <c r="S16" i="1"/>
  <c r="O16" i="1"/>
  <c r="S22" i="1"/>
  <c r="G356" i="4" s="1"/>
  <c r="W22" i="1"/>
  <c r="W24" i="1"/>
  <c r="S24" i="1"/>
  <c r="G414" i="4" s="1"/>
  <c r="W13" i="1"/>
  <c r="S13" i="1"/>
  <c r="O13" i="1"/>
  <c r="W19" i="1"/>
  <c r="S19" i="1"/>
  <c r="O18" i="1"/>
  <c r="S18" i="1"/>
  <c r="W18" i="1"/>
  <c r="O12" i="1"/>
  <c r="O14" i="1"/>
  <c r="W14" i="1"/>
  <c r="K31" i="1"/>
  <c r="G677" i="4"/>
  <c r="G682" i="4" s="1"/>
  <c r="O703" i="4"/>
  <c r="O709" i="4"/>
  <c r="O674" i="4"/>
  <c r="O677" i="4" s="1"/>
  <c r="G648" i="4"/>
  <c r="G653" i="4" s="1"/>
  <c r="O653" i="4" s="1"/>
  <c r="O619" i="4"/>
  <c r="G619" i="4"/>
  <c r="S31" i="1" l="1"/>
  <c r="O706" i="4"/>
  <c r="G706" i="4"/>
  <c r="G710" i="4" s="1"/>
  <c r="O648" i="4"/>
  <c r="G681" i="4"/>
  <c r="O681" i="4" s="1"/>
  <c r="O682" i="4"/>
  <c r="G711" i="4"/>
  <c r="O711" i="4" s="1"/>
  <c r="O710" i="4"/>
  <c r="G652" i="4"/>
  <c r="O652" i="4" s="1"/>
  <c r="G624" i="4"/>
  <c r="O624" i="4" s="1"/>
  <c r="G623" i="4"/>
  <c r="Z31" i="1"/>
  <c r="AA31" i="1"/>
  <c r="G659" i="4" l="1"/>
  <c r="O659" i="4" s="1"/>
  <c r="O661" i="4" s="1"/>
  <c r="G688" i="4"/>
  <c r="G717" i="4"/>
  <c r="O717" i="4" s="1"/>
  <c r="O719" i="4" s="1"/>
  <c r="O623" i="4"/>
  <c r="G630" i="4"/>
  <c r="Q17" i="1"/>
  <c r="G661" i="4" l="1"/>
  <c r="O688" i="4"/>
  <c r="O690" i="4" s="1"/>
  <c r="G690" i="4"/>
  <c r="G719" i="4"/>
  <c r="O630" i="4"/>
  <c r="O632" i="4" s="1"/>
  <c r="G632" i="4"/>
  <c r="X17" i="1"/>
  <c r="D14" i="3" s="1"/>
  <c r="E14" i="3" s="1"/>
  <c r="AB17" i="1" l="1"/>
  <c r="AC17" i="1"/>
  <c r="AD17" i="1" l="1"/>
  <c r="AE17" i="1" s="1"/>
  <c r="O586" i="4" l="1"/>
  <c r="C584" i="4"/>
  <c r="K584" i="4" s="1"/>
  <c r="C583" i="4"/>
  <c r="K583" i="4" s="1"/>
  <c r="O600" i="4"/>
  <c r="L600" i="4"/>
  <c r="L599" i="4"/>
  <c r="G599" i="4"/>
  <c r="O599" i="4" s="1"/>
  <c r="O598" i="4"/>
  <c r="O597" i="4"/>
  <c r="O596" i="4"/>
  <c r="G593" i="4"/>
  <c r="O593" i="4" s="1"/>
  <c r="O588" i="4"/>
  <c r="G184" i="4" l="1"/>
  <c r="O184" i="4" s="1"/>
  <c r="A8" i="3"/>
  <c r="A9" i="3" s="1"/>
  <c r="A10" i="3" s="1"/>
  <c r="A11" i="3" s="1"/>
  <c r="A12" i="3" s="1"/>
  <c r="A13" i="3" s="1"/>
  <c r="Q11" i="1"/>
  <c r="P31" i="1"/>
  <c r="T31" i="1"/>
  <c r="U31" i="1"/>
  <c r="V31" i="1"/>
  <c r="A14" i="3" l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G570" i="4" l="1"/>
  <c r="O570" i="4" s="1"/>
  <c r="G541" i="4"/>
  <c r="O541" i="4" s="1"/>
  <c r="O223" i="4"/>
  <c r="G512" i="4"/>
  <c r="O512" i="4" s="1"/>
  <c r="G483" i="4"/>
  <c r="O483" i="4" s="1"/>
  <c r="G455" i="4"/>
  <c r="O455" i="4" s="1"/>
  <c r="G397" i="4"/>
  <c r="O397" i="4" s="1"/>
  <c r="G368" i="4"/>
  <c r="O368" i="4" s="1"/>
  <c r="G310" i="4"/>
  <c r="O310" i="4" s="1"/>
  <c r="G281" i="4"/>
  <c r="O281" i="4" s="1"/>
  <c r="G252" i="4"/>
  <c r="O252" i="4" s="1"/>
  <c r="G194" i="4"/>
  <c r="O194" i="4" s="1"/>
  <c r="G166" i="4"/>
  <c r="O166" i="4" s="1"/>
  <c r="G137" i="4"/>
  <c r="O137" i="4" s="1"/>
  <c r="O109" i="4"/>
  <c r="L570" i="4"/>
  <c r="L541" i="4"/>
  <c r="L223" i="4"/>
  <c r="L512" i="4"/>
  <c r="L483" i="4"/>
  <c r="L455" i="4"/>
  <c r="L426" i="4"/>
  <c r="L397" i="4"/>
  <c r="L368" i="4"/>
  <c r="L339" i="4"/>
  <c r="O339" i="4"/>
  <c r="L310" i="4"/>
  <c r="L281" i="4"/>
  <c r="L252" i="4"/>
  <c r="L194" i="4"/>
  <c r="L166" i="4"/>
  <c r="L137" i="4"/>
  <c r="L109" i="4"/>
  <c r="O80" i="4"/>
  <c r="L80" i="4"/>
  <c r="O571" i="4"/>
  <c r="L571" i="4"/>
  <c r="O569" i="4"/>
  <c r="O568" i="4"/>
  <c r="O567" i="4"/>
  <c r="G564" i="4"/>
  <c r="O564" i="4" s="1"/>
  <c r="O559" i="4"/>
  <c r="O558" i="4"/>
  <c r="O557" i="4"/>
  <c r="C555" i="4"/>
  <c r="K555" i="4" s="1"/>
  <c r="C554" i="4"/>
  <c r="K554" i="4" s="1"/>
  <c r="E553" i="4"/>
  <c r="M553" i="4" s="1"/>
  <c r="O542" i="4"/>
  <c r="L542" i="4"/>
  <c r="O540" i="4"/>
  <c r="O539" i="4"/>
  <c r="O538" i="4"/>
  <c r="G535" i="4"/>
  <c r="O535" i="4" s="1"/>
  <c r="O530" i="4"/>
  <c r="O529" i="4"/>
  <c r="O528" i="4"/>
  <c r="C526" i="4"/>
  <c r="K526" i="4" s="1"/>
  <c r="C525" i="4"/>
  <c r="K525" i="4" s="1"/>
  <c r="E524" i="4"/>
  <c r="M524" i="4" s="1"/>
  <c r="L224" i="4"/>
  <c r="O222" i="4"/>
  <c r="O221" i="4"/>
  <c r="O220" i="4"/>
  <c r="G217" i="4"/>
  <c r="O217" i="4" s="1"/>
  <c r="G213" i="4"/>
  <c r="O213" i="4" s="1"/>
  <c r="O212" i="4"/>
  <c r="G211" i="4"/>
  <c r="O211" i="4" s="1"/>
  <c r="O210" i="4"/>
  <c r="K208" i="4"/>
  <c r="K207" i="4"/>
  <c r="O513" i="4"/>
  <c r="L513" i="4"/>
  <c r="O511" i="4"/>
  <c r="O510" i="4"/>
  <c r="O509" i="4"/>
  <c r="G506" i="4"/>
  <c r="G502" i="4"/>
  <c r="O501" i="4"/>
  <c r="O500" i="4"/>
  <c r="O499" i="4"/>
  <c r="C497" i="4"/>
  <c r="K497" i="4" s="1"/>
  <c r="C496" i="4"/>
  <c r="K496" i="4" s="1"/>
  <c r="O484" i="4"/>
  <c r="L484" i="4"/>
  <c r="O482" i="4"/>
  <c r="O481" i="4"/>
  <c r="O480" i="4"/>
  <c r="G477" i="4"/>
  <c r="O477" i="4" s="1"/>
  <c r="O472" i="4"/>
  <c r="O471" i="4"/>
  <c r="O470" i="4"/>
  <c r="C468" i="4"/>
  <c r="K468" i="4" s="1"/>
  <c r="C467" i="4"/>
  <c r="K467" i="4" s="1"/>
  <c r="E466" i="4"/>
  <c r="E495" i="4" s="1"/>
  <c r="E206" i="4" s="1"/>
  <c r="M206" i="4" s="1"/>
  <c r="O454" i="4"/>
  <c r="O453" i="4"/>
  <c r="O452" i="4"/>
  <c r="G449" i="4"/>
  <c r="O444" i="4"/>
  <c r="G443" i="4"/>
  <c r="O443" i="4" s="1"/>
  <c r="O442" i="4"/>
  <c r="C440" i="4"/>
  <c r="K440" i="4" s="1"/>
  <c r="C439" i="4"/>
  <c r="K439" i="4" s="1"/>
  <c r="E438" i="4"/>
  <c r="M438" i="4" s="1"/>
  <c r="L427" i="4"/>
  <c r="O425" i="4"/>
  <c r="O424" i="4"/>
  <c r="O423" i="4"/>
  <c r="G420" i="4"/>
  <c r="G416" i="4"/>
  <c r="O416" i="4" s="1"/>
  <c r="O415" i="4"/>
  <c r="O414" i="4"/>
  <c r="C411" i="4"/>
  <c r="K411" i="4" s="1"/>
  <c r="C410" i="4"/>
  <c r="K410" i="4" s="1"/>
  <c r="O398" i="4"/>
  <c r="L398" i="4"/>
  <c r="O396" i="4"/>
  <c r="O395" i="4"/>
  <c r="O394" i="4"/>
  <c r="G391" i="4"/>
  <c r="O391" i="4" s="1"/>
  <c r="G387" i="4"/>
  <c r="O386" i="4"/>
  <c r="O385" i="4"/>
  <c r="O384" i="4"/>
  <c r="C382" i="4"/>
  <c r="C381" i="4"/>
  <c r="K381" i="4" s="1"/>
  <c r="O369" i="4"/>
  <c r="L369" i="4"/>
  <c r="O367" i="4"/>
  <c r="O366" i="4"/>
  <c r="O365" i="4"/>
  <c r="G362" i="4"/>
  <c r="O362" i="4" s="1"/>
  <c r="G358" i="4"/>
  <c r="O357" i="4"/>
  <c r="O356" i="4"/>
  <c r="C353" i="4"/>
  <c r="K353" i="4" s="1"/>
  <c r="C352" i="4"/>
  <c r="K352" i="4" s="1"/>
  <c r="L340" i="4"/>
  <c r="O338" i="4"/>
  <c r="O337" i="4"/>
  <c r="O336" i="4"/>
  <c r="G333" i="4"/>
  <c r="O333" i="4" s="1"/>
  <c r="O328" i="4"/>
  <c r="G327" i="4"/>
  <c r="O327" i="4" s="1"/>
  <c r="C324" i="4"/>
  <c r="K324" i="4" s="1"/>
  <c r="C323" i="4"/>
  <c r="K323" i="4" s="1"/>
  <c r="E322" i="4"/>
  <c r="E351" i="4" s="1"/>
  <c r="M351" i="4" s="1"/>
  <c r="O311" i="4"/>
  <c r="L311" i="4"/>
  <c r="O309" i="4"/>
  <c r="O308" i="4"/>
  <c r="O307" i="4"/>
  <c r="G304" i="4"/>
  <c r="O304" i="4" s="1"/>
  <c r="O299" i="4"/>
  <c r="G298" i="4"/>
  <c r="O298" i="4" s="1"/>
  <c r="C295" i="4"/>
  <c r="K295" i="4" s="1"/>
  <c r="C294" i="4"/>
  <c r="K294" i="4" s="1"/>
  <c r="E293" i="4"/>
  <c r="M293" i="4" s="1"/>
  <c r="O282" i="4"/>
  <c r="L282" i="4"/>
  <c r="O280" i="4"/>
  <c r="O279" i="4"/>
  <c r="O278" i="4"/>
  <c r="G275" i="4"/>
  <c r="O275" i="4" s="1"/>
  <c r="G271" i="4"/>
  <c r="O270" i="4"/>
  <c r="G269" i="4"/>
  <c r="O269" i="4" s="1"/>
  <c r="O268" i="4"/>
  <c r="C266" i="4"/>
  <c r="K266" i="4" s="1"/>
  <c r="C265" i="4"/>
  <c r="K265" i="4" s="1"/>
  <c r="L253" i="4"/>
  <c r="O251" i="4"/>
  <c r="O250" i="4"/>
  <c r="O249" i="4"/>
  <c r="G246" i="4"/>
  <c r="O246" i="4" s="1"/>
  <c r="G242" i="4"/>
  <c r="O241" i="4"/>
  <c r="C237" i="4"/>
  <c r="C236" i="4"/>
  <c r="K236" i="4" s="1"/>
  <c r="L195" i="4"/>
  <c r="O193" i="4"/>
  <c r="O192" i="4"/>
  <c r="O191" i="4"/>
  <c r="G188" i="4"/>
  <c r="O188" i="4" s="1"/>
  <c r="O183" i="4"/>
  <c r="G182" i="4"/>
  <c r="O182" i="4" s="1"/>
  <c r="C179" i="4"/>
  <c r="K179" i="4" s="1"/>
  <c r="C178" i="4"/>
  <c r="K178" i="4" s="1"/>
  <c r="O165" i="4"/>
  <c r="O164" i="4"/>
  <c r="O163" i="4"/>
  <c r="G160" i="4"/>
  <c r="O160" i="4" s="1"/>
  <c r="O155" i="4"/>
  <c r="G154" i="4"/>
  <c r="O154" i="4" s="1"/>
  <c r="O153" i="4"/>
  <c r="C151" i="4"/>
  <c r="K151" i="4" s="1"/>
  <c r="C150" i="4"/>
  <c r="E149" i="4"/>
  <c r="E235" i="4" s="1"/>
  <c r="M235" i="4" s="1"/>
  <c r="L138" i="4"/>
  <c r="O136" i="4"/>
  <c r="O135" i="4"/>
  <c r="O134" i="4"/>
  <c r="G131" i="4"/>
  <c r="O131" i="4" s="1"/>
  <c r="O126" i="4"/>
  <c r="G125" i="4"/>
  <c r="O125" i="4" s="1"/>
  <c r="O124" i="4"/>
  <c r="C122" i="4"/>
  <c r="K122" i="4" s="1"/>
  <c r="C121" i="4"/>
  <c r="E120" i="4"/>
  <c r="M120" i="4" s="1"/>
  <c r="O108" i="4"/>
  <c r="O107" i="4"/>
  <c r="O106" i="4"/>
  <c r="G103" i="4"/>
  <c r="O103" i="4" s="1"/>
  <c r="O98" i="4"/>
  <c r="O96" i="4"/>
  <c r="C94" i="4"/>
  <c r="K94" i="4" s="1"/>
  <c r="C93" i="4"/>
  <c r="K93" i="4" s="1"/>
  <c r="O79" i="4"/>
  <c r="O78" i="4"/>
  <c r="O77" i="4"/>
  <c r="G74" i="4"/>
  <c r="O69" i="4"/>
  <c r="O67" i="4"/>
  <c r="C65" i="4"/>
  <c r="C64" i="4"/>
  <c r="K64" i="4" s="1"/>
  <c r="E63" i="4"/>
  <c r="O51" i="4"/>
  <c r="O50" i="4"/>
  <c r="O49" i="4"/>
  <c r="O48" i="4"/>
  <c r="G45" i="4"/>
  <c r="O45" i="4" s="1"/>
  <c r="O40" i="4"/>
  <c r="C36" i="4"/>
  <c r="K36" i="4" s="1"/>
  <c r="C35" i="4"/>
  <c r="K35" i="4" s="1"/>
  <c r="E34" i="4"/>
  <c r="E92" i="4" s="1"/>
  <c r="B33" i="4"/>
  <c r="J33" i="4" s="1"/>
  <c r="O22" i="4"/>
  <c r="O21" i="4"/>
  <c r="O20" i="4"/>
  <c r="O19" i="4"/>
  <c r="G16" i="4"/>
  <c r="O16" i="4" s="1"/>
  <c r="O11" i="4"/>
  <c r="G10" i="4"/>
  <c r="O10" i="4" s="1"/>
  <c r="C7" i="4"/>
  <c r="K7" i="4" s="1"/>
  <c r="C6" i="4"/>
  <c r="K6" i="4" s="1"/>
  <c r="M5" i="4"/>
  <c r="C5" i="4"/>
  <c r="J4" i="4"/>
  <c r="H42" i="3"/>
  <c r="Q30" i="1"/>
  <c r="G587" i="4" s="1"/>
  <c r="Q29" i="1"/>
  <c r="Q28" i="1"/>
  <c r="Q27" i="1"/>
  <c r="Q26" i="1"/>
  <c r="Q24" i="1"/>
  <c r="Y24" i="1" s="1"/>
  <c r="Y31" i="1" s="1"/>
  <c r="Q23" i="1"/>
  <c r="Q22" i="1"/>
  <c r="Q21" i="1"/>
  <c r="Q20" i="1"/>
  <c r="Q19" i="1"/>
  <c r="Q18" i="1"/>
  <c r="Q16" i="1"/>
  <c r="Q25" i="1"/>
  <c r="Q15" i="1"/>
  <c r="Q14" i="1"/>
  <c r="G97" i="4"/>
  <c r="Q13" i="1"/>
  <c r="G99" i="4"/>
  <c r="O99" i="4" s="1"/>
  <c r="Q12" i="1"/>
  <c r="A11" i="1"/>
  <c r="A12" i="1" s="1"/>
  <c r="A13" i="1" s="1"/>
  <c r="A14" i="1" s="1"/>
  <c r="A15" i="1" s="1"/>
  <c r="A16" i="1" s="1"/>
  <c r="Q10" i="1"/>
  <c r="G426" i="4" l="1"/>
  <c r="O426" i="4" s="1"/>
  <c r="Q31" i="1"/>
  <c r="G590" i="4"/>
  <c r="O587" i="4"/>
  <c r="O590" i="4" s="1"/>
  <c r="K150" i="4"/>
  <c r="K121" i="4"/>
  <c r="M92" i="4"/>
  <c r="E640" i="4"/>
  <c r="M63" i="4"/>
  <c r="E611" i="4"/>
  <c r="M611" i="4" s="1"/>
  <c r="O31" i="1"/>
  <c r="A17" i="1"/>
  <c r="M34" i="4"/>
  <c r="E582" i="4"/>
  <c r="M582" i="4" s="1"/>
  <c r="G13" i="4"/>
  <c r="G17" i="4" s="1"/>
  <c r="O17" i="4" s="1"/>
  <c r="X13" i="1"/>
  <c r="AB13" i="1" s="1"/>
  <c r="X19" i="1"/>
  <c r="D16" i="3" s="1"/>
  <c r="E16" i="3" s="1"/>
  <c r="F16" i="3" s="1"/>
  <c r="G16" i="3" s="1"/>
  <c r="H16" i="3" s="1"/>
  <c r="X22" i="1"/>
  <c r="D19" i="3" s="1"/>
  <c r="E19" i="3" s="1"/>
  <c r="F19" i="3" s="1"/>
  <c r="G19" i="3" s="1"/>
  <c r="H19" i="3" s="1"/>
  <c r="X26" i="1"/>
  <c r="D23" i="3" s="1"/>
  <c r="E23" i="3" s="1"/>
  <c r="F23" i="3" s="1"/>
  <c r="G23" i="3" s="1"/>
  <c r="H23" i="3" s="1"/>
  <c r="X29" i="1"/>
  <c r="D26" i="3" s="1"/>
  <c r="E26" i="3" s="1"/>
  <c r="F26" i="3" s="1"/>
  <c r="G26" i="3" s="1"/>
  <c r="H26" i="3" s="1"/>
  <c r="X25" i="1"/>
  <c r="AB25" i="1" s="1"/>
  <c r="X14" i="1"/>
  <c r="X27" i="1"/>
  <c r="D24" i="3" s="1"/>
  <c r="E24" i="3" s="1"/>
  <c r="F24" i="3" s="1"/>
  <c r="G24" i="3" s="1"/>
  <c r="H24" i="3" s="1"/>
  <c r="X16" i="1"/>
  <c r="D13" i="3" s="1"/>
  <c r="E13" i="3" s="1"/>
  <c r="F13" i="3" s="1"/>
  <c r="G13" i="3" s="1"/>
  <c r="H13" i="3" s="1"/>
  <c r="X20" i="1"/>
  <c r="D17" i="3" s="1"/>
  <c r="E17" i="3" s="1"/>
  <c r="F17" i="3" s="1"/>
  <c r="G17" i="3" s="1"/>
  <c r="H17" i="3" s="1"/>
  <c r="X23" i="1"/>
  <c r="D20" i="3" s="1"/>
  <c r="E20" i="3" s="1"/>
  <c r="F20" i="3" s="1"/>
  <c r="G20" i="3" s="1"/>
  <c r="H20" i="3" s="1"/>
  <c r="X30" i="1"/>
  <c r="D27" i="3" s="1"/>
  <c r="E27" i="3" s="1"/>
  <c r="F27" i="3" s="1"/>
  <c r="G27" i="3" s="1"/>
  <c r="H27" i="3" s="1"/>
  <c r="X12" i="1"/>
  <c r="X15" i="1"/>
  <c r="D12" i="3" s="1"/>
  <c r="E12" i="3" s="1"/>
  <c r="F12" i="3" s="1"/>
  <c r="G12" i="3" s="1"/>
  <c r="H12" i="3" s="1"/>
  <c r="X18" i="1"/>
  <c r="X21" i="1"/>
  <c r="AB21" i="1" s="1"/>
  <c r="X24" i="1"/>
  <c r="D21" i="3" s="1"/>
  <c r="E21" i="3" s="1"/>
  <c r="F21" i="3" s="1"/>
  <c r="G21" i="3" s="1"/>
  <c r="H21" i="3" s="1"/>
  <c r="X28" i="1"/>
  <c r="D25" i="3" s="1"/>
  <c r="W31" i="1"/>
  <c r="X11" i="1"/>
  <c r="D8" i="3" s="1"/>
  <c r="E8" i="3" s="1"/>
  <c r="F8" i="3" s="1"/>
  <c r="G8" i="3" s="1"/>
  <c r="H8" i="3" s="1"/>
  <c r="G240" i="4"/>
  <c r="O240" i="4" s="1"/>
  <c r="C149" i="4"/>
  <c r="K149" i="4" s="1"/>
  <c r="C466" i="4"/>
  <c r="C409" i="4"/>
  <c r="C380" i="4"/>
  <c r="K264" i="4"/>
  <c r="C264" i="4"/>
  <c r="C177" i="4"/>
  <c r="K177" i="4" s="1"/>
  <c r="C235" i="4"/>
  <c r="K235" i="4" s="1"/>
  <c r="O561" i="4"/>
  <c r="G301" i="4"/>
  <c r="G306" i="4" s="1"/>
  <c r="O306" i="4" s="1"/>
  <c r="G330" i="4"/>
  <c r="G334" i="4" s="1"/>
  <c r="O334" i="4" s="1"/>
  <c r="O532" i="4"/>
  <c r="O474" i="4"/>
  <c r="O446" i="4"/>
  <c r="O157" i="4"/>
  <c r="E177" i="4"/>
  <c r="M466" i="4"/>
  <c r="G532" i="4"/>
  <c r="G536" i="4" s="1"/>
  <c r="O536" i="4" s="1"/>
  <c r="G417" i="4"/>
  <c r="G421" i="4" s="1"/>
  <c r="O421" i="4" s="1"/>
  <c r="G503" i="4"/>
  <c r="G508" i="4" s="1"/>
  <c r="O508" i="4" s="1"/>
  <c r="G446" i="4"/>
  <c r="G450" i="4" s="1"/>
  <c r="O450" i="4" s="1"/>
  <c r="O214" i="4"/>
  <c r="G185" i="4"/>
  <c r="G190" i="4" s="1"/>
  <c r="O190" i="4" s="1"/>
  <c r="O326" i="4"/>
  <c r="O330" i="4" s="1"/>
  <c r="G128" i="4"/>
  <c r="G133" i="4" s="1"/>
  <c r="O133" i="4" s="1"/>
  <c r="G272" i="4"/>
  <c r="G277" i="4" s="1"/>
  <c r="O277" i="4" s="1"/>
  <c r="O9" i="4"/>
  <c r="O13" i="4" s="1"/>
  <c r="C524" i="4"/>
  <c r="K524" i="4" s="1"/>
  <c r="O271" i="4"/>
  <c r="O272" i="4" s="1"/>
  <c r="O297" i="4"/>
  <c r="O301" i="4" s="1"/>
  <c r="G474" i="4"/>
  <c r="G479" i="4" s="1"/>
  <c r="O479" i="4" s="1"/>
  <c r="C438" i="4"/>
  <c r="K438" i="4" s="1"/>
  <c r="O506" i="4"/>
  <c r="G214" i="4"/>
  <c r="G219" i="4" s="1"/>
  <c r="O219" i="4" s="1"/>
  <c r="G561" i="4"/>
  <c r="G566" i="4" s="1"/>
  <c r="O566" i="4" s="1"/>
  <c r="O503" i="4"/>
  <c r="C92" i="4"/>
  <c r="O128" i="4"/>
  <c r="G68" i="4"/>
  <c r="O68" i="4" s="1"/>
  <c r="G39" i="4"/>
  <c r="O39" i="4" s="1"/>
  <c r="G388" i="4"/>
  <c r="G41" i="4"/>
  <c r="O41" i="4" s="1"/>
  <c r="O388" i="4"/>
  <c r="G100" i="4"/>
  <c r="O97" i="4"/>
  <c r="O100" i="4" s="1"/>
  <c r="O355" i="4"/>
  <c r="O359" i="4" s="1"/>
  <c r="G359" i="4"/>
  <c r="O38" i="4"/>
  <c r="E409" i="4"/>
  <c r="M409" i="4" s="1"/>
  <c r="B62" i="4"/>
  <c r="G70" i="4"/>
  <c r="O70" i="4" s="1"/>
  <c r="O181" i="4"/>
  <c r="O185" i="4" s="1"/>
  <c r="X10" i="1"/>
  <c r="O74" i="4"/>
  <c r="G157" i="4"/>
  <c r="C322" i="4"/>
  <c r="K5" i="4"/>
  <c r="M149" i="4"/>
  <c r="O239" i="4"/>
  <c r="O413" i="4"/>
  <c r="O417" i="4" s="1"/>
  <c r="M495" i="4"/>
  <c r="C553" i="4"/>
  <c r="K553" i="4" s="1"/>
  <c r="C120" i="4"/>
  <c r="K120" i="4" s="1"/>
  <c r="C293" i="4"/>
  <c r="K293" i="4" s="1"/>
  <c r="M322" i="4"/>
  <c r="C63" i="4"/>
  <c r="C611" i="4" s="1"/>
  <c r="K611" i="4" s="1"/>
  <c r="C206" i="4"/>
  <c r="K206" i="4" s="1"/>
  <c r="C34" i="4"/>
  <c r="C582" i="4" s="1"/>
  <c r="K582" i="4" s="1"/>
  <c r="E380" i="4"/>
  <c r="M380" i="4" s="1"/>
  <c r="O449" i="4"/>
  <c r="O420" i="4"/>
  <c r="AG10" i="1" l="1"/>
  <c r="AH10" i="1" s="1"/>
  <c r="D11" i="3"/>
  <c r="E11" i="3" s="1"/>
  <c r="F11" i="3" s="1"/>
  <c r="G11" i="3" s="1"/>
  <c r="H11" i="3" s="1"/>
  <c r="X31" i="1"/>
  <c r="AB32" i="1" s="1"/>
  <c r="G594" i="4"/>
  <c r="G595" i="4"/>
  <c r="O595" i="4" s="1"/>
  <c r="M640" i="4"/>
  <c r="E669" i="4"/>
  <c r="A18" i="1"/>
  <c r="B205" i="4"/>
  <c r="AB23" i="1"/>
  <c r="K92" i="4"/>
  <c r="C640" i="4"/>
  <c r="G18" i="4"/>
  <c r="O18" i="4" s="1"/>
  <c r="O23" i="4" s="1"/>
  <c r="O25" i="4" s="1"/>
  <c r="D9" i="3"/>
  <c r="E9" i="3" s="1"/>
  <c r="D10" i="3"/>
  <c r="E10" i="3" s="1"/>
  <c r="F10" i="3" s="1"/>
  <c r="G10" i="3" s="1"/>
  <c r="H10" i="3" s="1"/>
  <c r="AB29" i="1"/>
  <c r="D22" i="3"/>
  <c r="J22" i="3" s="1"/>
  <c r="AG25" i="1"/>
  <c r="AH25" i="1" s="1"/>
  <c r="G305" i="4"/>
  <c r="O305" i="4" s="1"/>
  <c r="AC28" i="1"/>
  <c r="AB26" i="1"/>
  <c r="AB27" i="1"/>
  <c r="AB22" i="1"/>
  <c r="AB14" i="1"/>
  <c r="AB12" i="1"/>
  <c r="O243" i="4"/>
  <c r="G243" i="4"/>
  <c r="G247" i="4" s="1"/>
  <c r="AB30" i="1"/>
  <c r="AG28" i="1"/>
  <c r="AH28" i="1" s="1"/>
  <c r="AB16" i="1"/>
  <c r="AB20" i="1"/>
  <c r="AB15" i="1"/>
  <c r="AB24" i="1"/>
  <c r="D7" i="3"/>
  <c r="E25" i="3"/>
  <c r="F25" i="3" s="1"/>
  <c r="G25" i="3" s="1"/>
  <c r="H25" i="3" s="1"/>
  <c r="J25" i="3"/>
  <c r="AB28" i="1"/>
  <c r="AG21" i="1"/>
  <c r="AH21" i="1" s="1"/>
  <c r="D18" i="3"/>
  <c r="AG18" i="1"/>
  <c r="AH18" i="1" s="1"/>
  <c r="D15" i="3"/>
  <c r="AB18" i="1"/>
  <c r="AB11" i="1"/>
  <c r="G335" i="4"/>
  <c r="O335" i="4" s="1"/>
  <c r="C495" i="4"/>
  <c r="K495" i="4" s="1"/>
  <c r="K466" i="4"/>
  <c r="AC19" i="1"/>
  <c r="AB19" i="1"/>
  <c r="G537" i="4"/>
  <c r="O537" i="4" s="1"/>
  <c r="G451" i="4"/>
  <c r="O451" i="4" s="1"/>
  <c r="G422" i="4"/>
  <c r="O422" i="4" s="1"/>
  <c r="M177" i="4"/>
  <c r="E264" i="4"/>
  <c r="M264" i="4" s="1"/>
  <c r="G507" i="4"/>
  <c r="O507" i="4" s="1"/>
  <c r="G189" i="4"/>
  <c r="G132" i="4"/>
  <c r="O132" i="4" s="1"/>
  <c r="G478" i="4"/>
  <c r="O478" i="4" s="1"/>
  <c r="G276" i="4"/>
  <c r="O276" i="4" s="1"/>
  <c r="O283" i="4" s="1"/>
  <c r="O285" i="4" s="1"/>
  <c r="AC20" i="1"/>
  <c r="AC18" i="1"/>
  <c r="O71" i="4"/>
  <c r="AC15" i="1"/>
  <c r="AC22" i="1"/>
  <c r="AC13" i="1"/>
  <c r="AD13" i="1" s="1"/>
  <c r="G218" i="4"/>
  <c r="O218" i="4" s="1"/>
  <c r="AC14" i="1"/>
  <c r="G565" i="4"/>
  <c r="O565" i="4" s="1"/>
  <c r="AC23" i="1"/>
  <c r="AD23" i="1" s="1"/>
  <c r="AC26" i="1"/>
  <c r="G363" i="4"/>
  <c r="G364" i="4"/>
  <c r="O364" i="4" s="1"/>
  <c r="AC21" i="1"/>
  <c r="AD21" i="1" s="1"/>
  <c r="AC12" i="1"/>
  <c r="G71" i="4"/>
  <c r="AC30" i="1"/>
  <c r="AC11" i="1"/>
  <c r="G162" i="4"/>
  <c r="O162" i="4" s="1"/>
  <c r="G161" i="4"/>
  <c r="AC24" i="1"/>
  <c r="AC16" i="1"/>
  <c r="G104" i="4"/>
  <c r="G105" i="4"/>
  <c r="O105" i="4" s="1"/>
  <c r="AC10" i="1"/>
  <c r="AB10" i="1"/>
  <c r="O42" i="4"/>
  <c r="B91" i="4"/>
  <c r="B119" i="4" s="1"/>
  <c r="J62" i="4"/>
  <c r="K34" i="4"/>
  <c r="K63" i="4"/>
  <c r="AC29" i="1"/>
  <c r="AC25" i="1"/>
  <c r="C351" i="4"/>
  <c r="K351" i="4" s="1"/>
  <c r="K380" i="4"/>
  <c r="K322" i="4"/>
  <c r="K409" i="4"/>
  <c r="G42" i="4"/>
  <c r="AC27" i="1"/>
  <c r="G393" i="4"/>
  <c r="O393" i="4" s="1"/>
  <c r="G392" i="4"/>
  <c r="AH34" i="1" l="1"/>
  <c r="AB31" i="1"/>
  <c r="O594" i="4"/>
  <c r="G601" i="4"/>
  <c r="AD19" i="1"/>
  <c r="AE19" i="1" s="1"/>
  <c r="M669" i="4"/>
  <c r="E698" i="4"/>
  <c r="M698" i="4" s="1"/>
  <c r="G23" i="4"/>
  <c r="G25" i="4" s="1"/>
  <c r="E22" i="3"/>
  <c r="F22" i="3" s="1"/>
  <c r="G22" i="3" s="1"/>
  <c r="H22" i="3" s="1"/>
  <c r="AD26" i="1"/>
  <c r="AD28" i="1"/>
  <c r="AE28" i="1" s="1"/>
  <c r="A19" i="1"/>
  <c r="B234" i="4"/>
  <c r="K640" i="4"/>
  <c r="C669" i="4"/>
  <c r="G312" i="4"/>
  <c r="O312" i="4" s="1"/>
  <c r="O314" i="4" s="1"/>
  <c r="AC31" i="1"/>
  <c r="D29" i="3"/>
  <c r="D46" i="3" s="1"/>
  <c r="J7" i="3"/>
  <c r="AD15" i="1"/>
  <c r="AE15" i="1" s="1"/>
  <c r="AD16" i="1"/>
  <c r="AE16" i="1" s="1"/>
  <c r="G248" i="4"/>
  <c r="O248" i="4" s="1"/>
  <c r="AD24" i="1"/>
  <c r="E15" i="3"/>
  <c r="F15" i="3" s="1"/>
  <c r="G15" i="3" s="1"/>
  <c r="H15" i="3" s="1"/>
  <c r="J15" i="3"/>
  <c r="AG31" i="1"/>
  <c r="E7" i="3"/>
  <c r="J18" i="3"/>
  <c r="E18" i="3"/>
  <c r="F18" i="3" s="1"/>
  <c r="G18" i="3" s="1"/>
  <c r="H18" i="3" s="1"/>
  <c r="AD18" i="1"/>
  <c r="AE18" i="1" s="1"/>
  <c r="F9" i="3"/>
  <c r="G9" i="3" s="1"/>
  <c r="H9" i="3" s="1"/>
  <c r="G139" i="4"/>
  <c r="G141" i="4" s="1"/>
  <c r="G485" i="4"/>
  <c r="O485" i="4" s="1"/>
  <c r="O487" i="4" s="1"/>
  <c r="G543" i="4"/>
  <c r="O543" i="4" s="1"/>
  <c r="O545" i="4" s="1"/>
  <c r="G283" i="4"/>
  <c r="G285" i="4" s="1"/>
  <c r="G514" i="4"/>
  <c r="G516" i="4" s="1"/>
  <c r="O189" i="4"/>
  <c r="G196" i="4"/>
  <c r="AD20" i="1"/>
  <c r="AE20" i="1" s="1"/>
  <c r="AD11" i="1"/>
  <c r="AD27" i="1"/>
  <c r="AD29" i="1"/>
  <c r="AE29" i="1" s="1"/>
  <c r="AD22" i="1"/>
  <c r="AD14" i="1"/>
  <c r="AE14" i="1" s="1"/>
  <c r="AD12" i="1"/>
  <c r="AD25" i="1"/>
  <c r="AE25" i="1" s="1"/>
  <c r="G572" i="4"/>
  <c r="O572" i="4" s="1"/>
  <c r="O574" i="4" s="1"/>
  <c r="AD30" i="1"/>
  <c r="AD10" i="1"/>
  <c r="G225" i="4"/>
  <c r="O225" i="4" s="1"/>
  <c r="O227" i="4" s="1"/>
  <c r="O104" i="4"/>
  <c r="O110" i="4" s="1"/>
  <c r="O112" i="4" s="1"/>
  <c r="G110" i="4"/>
  <c r="G112" i="4" s="1"/>
  <c r="O392" i="4"/>
  <c r="G399" i="4"/>
  <c r="B148" i="4"/>
  <c r="J119" i="4"/>
  <c r="AE23" i="1"/>
  <c r="O363" i="4"/>
  <c r="G370" i="4"/>
  <c r="G76" i="4"/>
  <c r="O76" i="4" s="1"/>
  <c r="G75" i="4"/>
  <c r="O161" i="4"/>
  <c r="G46" i="4"/>
  <c r="G47" i="4"/>
  <c r="O47" i="4" s="1"/>
  <c r="O247" i="4"/>
  <c r="G314" i="4" l="1"/>
  <c r="O601" i="4"/>
  <c r="O603" i="4" s="1"/>
  <c r="G603" i="4"/>
  <c r="A20" i="1"/>
  <c r="A21" i="1" s="1"/>
  <c r="A22" i="1" s="1"/>
  <c r="A23" i="1" s="1"/>
  <c r="A24" i="1" s="1"/>
  <c r="A25" i="1" s="1"/>
  <c r="A26" i="1" s="1"/>
  <c r="A27" i="1" s="1"/>
  <c r="A28" i="1" s="1"/>
  <c r="B263" i="4"/>
  <c r="C698" i="4"/>
  <c r="K698" i="4" s="1"/>
  <c r="K669" i="4"/>
  <c r="G487" i="4"/>
  <c r="F7" i="3"/>
  <c r="E29" i="3"/>
  <c r="AD31" i="1"/>
  <c r="J29" i="3"/>
  <c r="O139" i="4"/>
  <c r="O141" i="4" s="1"/>
  <c r="O514" i="4"/>
  <c r="O516" i="4" s="1"/>
  <c r="G545" i="4"/>
  <c r="O196" i="4"/>
  <c r="O198" i="4" s="1"/>
  <c r="G198" i="4"/>
  <c r="G167" i="4"/>
  <c r="O167" i="4" s="1"/>
  <c r="O169" i="4" s="1"/>
  <c r="G574" i="4"/>
  <c r="G227" i="4"/>
  <c r="AE13" i="1"/>
  <c r="AE22" i="1"/>
  <c r="O370" i="4"/>
  <c r="O372" i="4" s="1"/>
  <c r="G372" i="4"/>
  <c r="AE21" i="1"/>
  <c r="AE26" i="1"/>
  <c r="O75" i="4"/>
  <c r="G81" i="4"/>
  <c r="AG32" i="1"/>
  <c r="AG34" i="1" s="1"/>
  <c r="AE30" i="1"/>
  <c r="J148" i="4"/>
  <c r="B176" i="4"/>
  <c r="O340" i="4"/>
  <c r="G341" i="4"/>
  <c r="O399" i="4"/>
  <c r="O401" i="4" s="1"/>
  <c r="G401" i="4"/>
  <c r="AE24" i="1"/>
  <c r="AE10" i="1"/>
  <c r="AE11" i="1"/>
  <c r="O46" i="4"/>
  <c r="G52" i="4"/>
  <c r="AE12" i="1"/>
  <c r="AE27" i="1"/>
  <c r="A29" i="1" l="1"/>
  <c r="A30" i="1" s="1"/>
  <c r="B523" i="4"/>
  <c r="F29" i="3"/>
  <c r="G7" i="3"/>
  <c r="AE31" i="1"/>
  <c r="G169" i="4"/>
  <c r="O253" i="4"/>
  <c r="G254" i="4"/>
  <c r="J176" i="4"/>
  <c r="O81" i="4"/>
  <c r="O83" i="4" s="1"/>
  <c r="G83" i="4"/>
  <c r="O52" i="4"/>
  <c r="O54" i="4" s="1"/>
  <c r="G54" i="4"/>
  <c r="O341" i="4"/>
  <c r="O343" i="4" s="1"/>
  <c r="G343" i="4"/>
  <c r="G29" i="3" l="1"/>
  <c r="H7" i="3"/>
  <c r="H29" i="3" s="1"/>
  <c r="O427" i="4"/>
  <c r="O254" i="4"/>
  <c r="O256" i="4" s="1"/>
  <c r="G256" i="4"/>
  <c r="J234" i="4"/>
  <c r="G456" i="4"/>
  <c r="G428" i="4" l="1"/>
  <c r="G430" i="4" s="1"/>
  <c r="J263" i="4"/>
  <c r="B292" i="4"/>
  <c r="O456" i="4"/>
  <c r="O458" i="4" s="1"/>
  <c r="G458" i="4"/>
  <c r="O428" i="4" l="1"/>
  <c r="O430" i="4" s="1"/>
  <c r="B321" i="4"/>
  <c r="J292" i="4"/>
  <c r="J321" i="4" l="1"/>
  <c r="B350" i="4"/>
  <c r="J350" i="4" l="1"/>
  <c r="B379" i="4"/>
  <c r="J379" i="4" l="1"/>
  <c r="B408" i="4"/>
  <c r="B437" i="4" l="1"/>
  <c r="J408" i="4"/>
  <c r="B465" i="4" l="1"/>
  <c r="J437" i="4"/>
  <c r="B494" i="4" l="1"/>
  <c r="J465" i="4"/>
  <c r="J494" i="4" l="1"/>
  <c r="J205" i="4" l="1"/>
  <c r="B552" i="4" l="1"/>
  <c r="B581" i="4" s="1"/>
  <c r="J523" i="4"/>
  <c r="J581" i="4" l="1"/>
  <c r="B610" i="4"/>
  <c r="J552" i="4"/>
  <c r="AE34" i="1"/>
  <c r="J610" i="4" l="1"/>
  <c r="B639" i="4"/>
  <c r="J639" i="4" l="1"/>
  <c r="B668" i="4"/>
  <c r="J668" i="4" l="1"/>
  <c r="B697" i="4"/>
  <c r="J69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Elodie</author>
    <author>Andrisa</author>
  </authors>
  <commentList>
    <comment ref="R11" authorId="0" shapeId="0" xr:uid="{00000000-0006-0000-0000-000001000000}">
      <text>
        <r>
          <rPr>
            <sz val="18"/>
            <color indexed="81"/>
            <rFont val="Arial"/>
            <family val="2"/>
          </rPr>
          <t>WORKED PUBLICK HOLIDAYS 4.5</t>
        </r>
      </text>
    </comment>
    <comment ref="R12" authorId="1" shapeId="0" xr:uid="{90C33D82-0D72-4FF5-B963-A17768EB3C6F}">
      <text>
        <r>
          <rPr>
            <b/>
            <sz val="16"/>
            <color indexed="81"/>
            <rFont val="Tahoma"/>
            <family val="2"/>
          </rPr>
          <t>WORKED PUBLIK 5 DAYS</t>
        </r>
      </text>
    </comment>
    <comment ref="R13" authorId="1" shapeId="0" xr:uid="{635B05A1-12AE-42D7-AF55-C9169E11DB3B}">
      <text>
        <r>
          <rPr>
            <b/>
            <sz val="16"/>
            <color indexed="81"/>
            <rFont val="Tahoma"/>
            <family val="2"/>
          </rPr>
          <t>Publick holiday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7" authorId="2" shapeId="0" xr:uid="{9DEDFC2F-565F-4D33-AD0B-FCEA3C5A59B7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500 Tracy</t>
        </r>
      </text>
    </comment>
    <comment ref="Y21" authorId="2" shapeId="0" xr:uid="{FF5CB326-0000-4BDF-B04B-9896DC7FDE69}">
      <text>
        <r>
          <rPr>
            <b/>
            <sz val="18"/>
            <color indexed="81"/>
            <rFont val="Tahoma"/>
            <family val="2"/>
          </rPr>
          <t>Andrisa:</t>
        </r>
        <r>
          <rPr>
            <sz val="18"/>
            <color indexed="81"/>
            <rFont val="Tahoma"/>
            <family val="2"/>
          </rPr>
          <t xml:space="preserve">
Doug 1000
Advance 5000
</t>
        </r>
      </text>
    </comment>
    <comment ref="Y28" authorId="1" shapeId="0" xr:uid="{6DDC12D0-0196-438D-8E18-8E2916A3DACE}">
      <text>
        <r>
          <rPr>
            <sz val="16"/>
            <color indexed="81"/>
            <rFont val="Tahoma"/>
            <family val="2"/>
          </rPr>
          <t>Zink for house rain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<sst xmlns="http://schemas.openxmlformats.org/spreadsheetml/2006/main" count="1244" uniqueCount="132">
  <si>
    <t>FOLHA DE SALARIOS</t>
  </si>
  <si>
    <t>PAGINA 1</t>
  </si>
  <si>
    <t>EMPRESA :</t>
  </si>
  <si>
    <t>LANDCO LIMITADA</t>
  </si>
  <si>
    <t>NUIT :</t>
  </si>
  <si>
    <t>ANO :</t>
  </si>
  <si>
    <t>ACTIVIDADE :</t>
  </si>
  <si>
    <t xml:space="preserve">TURISMO </t>
  </si>
  <si>
    <t>LOCALIDADE :</t>
  </si>
  <si>
    <t>VILANCULOS</t>
  </si>
  <si>
    <t>MES :</t>
  </si>
  <si>
    <t>NO</t>
  </si>
  <si>
    <t>NOME DO TRABALHADOR</t>
  </si>
  <si>
    <t>CATEGORIA</t>
  </si>
  <si>
    <t>RETRIBUICAO</t>
  </si>
  <si>
    <t>DESCONTOS</t>
  </si>
  <si>
    <t>IMPORTANCIA A PAGAR</t>
  </si>
  <si>
    <t>DIAS DE TRABALHO</t>
  </si>
  <si>
    <t>SALARIO MENSAL</t>
  </si>
  <si>
    <t>NIGHTSHIFT HOURS</t>
  </si>
  <si>
    <t>25% GUARDAS</t>
  </si>
  <si>
    <t>HORAS CALCULADO 1.5</t>
  </si>
  <si>
    <t>VALOR PARA TRABALHOS EXTRAORDINARIOS (CALCULADOOS 1.5)</t>
  </si>
  <si>
    <t>HORAS CALCULADO 2</t>
  </si>
  <si>
    <t>VALOR PARA TRABALHOS EXTRAORDINARIO (CALCULADO 2)</t>
  </si>
  <si>
    <t>PREMIOS</t>
  </si>
  <si>
    <t>GRATIFICACOES</t>
  </si>
  <si>
    <t>DIAS DE FERIAS</t>
  </si>
  <si>
    <t>FERIA MONTANTE</t>
  </si>
  <si>
    <t>TOTAL</t>
  </si>
  <si>
    <t>IRPS (A)</t>
  </si>
  <si>
    <t>DIVIDA (A)</t>
  </si>
  <si>
    <t>INSS (A)</t>
  </si>
  <si>
    <t>SIND (A)</t>
  </si>
  <si>
    <t>SALARIO LIQUIDO</t>
  </si>
  <si>
    <t>ARREDONDAMENTO</t>
  </si>
  <si>
    <t>RUBRICA</t>
  </si>
  <si>
    <t>AM</t>
  </si>
  <si>
    <t>MARCO BEBE GIMO</t>
  </si>
  <si>
    <t>GERENTE</t>
  </si>
  <si>
    <t>ARMINDO QUETANE HOU</t>
  </si>
  <si>
    <t>GUARDA</t>
  </si>
  <si>
    <t>CONSTANTINO JOSE PENGA</t>
  </si>
  <si>
    <t>ANSELMO LUCAS HUO</t>
  </si>
  <si>
    <t>CISTORA JOAO TANGUNE</t>
  </si>
  <si>
    <t>EMPREGADA</t>
  </si>
  <si>
    <t>EMILIO GELSON ZIBANE</t>
  </si>
  <si>
    <t>JARDINERO</t>
  </si>
  <si>
    <t>PEDRO SEBASTIAO NHAMIRE</t>
  </si>
  <si>
    <t>ALMEIDA ANTONIO VILANCULO</t>
  </si>
  <si>
    <t>H1</t>
  </si>
  <si>
    <t>GILDA DALARIO FALACO MUABASA</t>
  </si>
  <si>
    <t>SERGIO FENIASSE BUANE</t>
  </si>
  <si>
    <t>H1/H4</t>
  </si>
  <si>
    <t>AMINOSSE ARNALDO TANGUNE</t>
  </si>
  <si>
    <t>000800007745713610195</t>
  </si>
  <si>
    <t>H2</t>
  </si>
  <si>
    <t xml:space="preserve">SERGIO FRANCISCO TANGUNE </t>
  </si>
  <si>
    <t>VITORIA FRANCISCO ZIBANE</t>
  </si>
  <si>
    <t>INACIO FABIAO TIMBE</t>
  </si>
  <si>
    <t>CALDERONE AGOSTINHO CHIVALE</t>
  </si>
  <si>
    <t>H3</t>
  </si>
  <si>
    <t>ROCINA CAHIWANE TIMBE</t>
  </si>
  <si>
    <t>ALEXANDRE LUCAS MASSUANGANHE</t>
  </si>
  <si>
    <t>H4</t>
  </si>
  <si>
    <t>JELSON QUALDADE ZIVANE</t>
  </si>
  <si>
    <t>JARDINERO/COZINHA</t>
  </si>
  <si>
    <t>MONIS TSANZIUANE CHIVALE</t>
  </si>
  <si>
    <t>EVELIN NELSON BERNARDO</t>
  </si>
  <si>
    <t>Total este Pagina</t>
  </si>
  <si>
    <t>DECLARACAO</t>
  </si>
  <si>
    <t>O Pagador :</t>
  </si>
  <si>
    <t>( A )</t>
  </si>
  <si>
    <t>Riscar o que nao interessa.</t>
  </si>
  <si>
    <t>Declaro que nesta data, efectuei o pagamento dos salarios constantes desta</t>
  </si>
  <si>
    <t>( B )</t>
  </si>
  <si>
    <t>Assinalar com M os trabalhadores de menor idade</t>
  </si>
  <si>
    <t>folha, aos trabalhadores nela mencionados, na presenca de duas testemunhas</t>
  </si>
  <si>
    <t>1a Testemunha:</t>
  </si>
  <si>
    <t>( C )</t>
  </si>
  <si>
    <t>Nao preencher quando se trata de trabalhadores ao dia.</t>
  </si>
  <si>
    <t>que comigo, pagador, vao assinar.</t>
  </si>
  <si>
    <t>( D )</t>
  </si>
  <si>
    <t>Descontos permitidos por lei</t>
  </si>
  <si>
    <t>2a Testemunha :</t>
  </si>
  <si>
    <t>Data  :</t>
  </si>
  <si>
    <t>INSS</t>
  </si>
  <si>
    <t>ALMEDIA ANTONIO VILANCULO</t>
  </si>
  <si>
    <t>SEPTEMBRO</t>
  </si>
  <si>
    <t>EMELIO GELSON ZIBANE</t>
  </si>
  <si>
    <t>000800004412814610113</t>
  </si>
  <si>
    <t>Landco Lda</t>
  </si>
  <si>
    <t>Recibo de Vencimento</t>
  </si>
  <si>
    <t>Mês de</t>
  </si>
  <si>
    <t>Nome</t>
  </si>
  <si>
    <t>Categoria</t>
  </si>
  <si>
    <t>Vencimento ilíquido</t>
  </si>
  <si>
    <t>Horas Extras</t>
  </si>
  <si>
    <t>Ferias</t>
  </si>
  <si>
    <t>Subsidio Nocturno</t>
  </si>
  <si>
    <t>SOMA</t>
  </si>
  <si>
    <t>Descontos:</t>
  </si>
  <si>
    <t>IRPS</t>
  </si>
  <si>
    <t>Sindicato</t>
  </si>
  <si>
    <t>V. Adiatado</t>
  </si>
  <si>
    <t>Faltas</t>
  </si>
  <si>
    <t>Ausência</t>
  </si>
  <si>
    <t>Emprestimo</t>
  </si>
  <si>
    <t>Arredondamento</t>
  </si>
  <si>
    <t>Líquido Pago</t>
  </si>
  <si>
    <t>Recebi</t>
  </si>
  <si>
    <t>TOTAL DEDUCTIONS</t>
  </si>
  <si>
    <t>Pagament Antecipado</t>
  </si>
  <si>
    <t>SERGIO FRANCISCO TANGUNE ZITO</t>
  </si>
  <si>
    <t>COZINHEIRA</t>
  </si>
  <si>
    <t>CAPITÃO DE BARCO</t>
  </si>
  <si>
    <t>GHILLIE</t>
  </si>
  <si>
    <t>JARDINERO/GHILLIE</t>
  </si>
  <si>
    <t>4% INSS</t>
  </si>
  <si>
    <t>7% INSS</t>
  </si>
  <si>
    <t>'000800004412814610113</t>
  </si>
  <si>
    <t>FELIX CARLOS MASSUANGANHE</t>
  </si>
  <si>
    <t>OCTOBRO 2025</t>
  </si>
  <si>
    <t>Salário adiantado (Advance)</t>
  </si>
  <si>
    <t xml:space="preserve">Total de Remuneração Mensal </t>
  </si>
  <si>
    <t>Salario Base 2024</t>
  </si>
  <si>
    <t>Pagamentos Retroativos (Back Payment)</t>
  </si>
  <si>
    <t>Engagement Date</t>
  </si>
  <si>
    <t>NUIT NO</t>
  </si>
  <si>
    <t>Discharge Date</t>
  </si>
  <si>
    <t>JANEIRIO</t>
  </si>
  <si>
    <t>ALIMENTACAO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</si>
</sst>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0.0"/>
    <numFmt numFmtId="166" formatCode="[$-1C09]General"/>
    <numFmt numFmtId="167" formatCode="[$-409]mmm\-yy"/>
    <numFmt numFmtId="168" formatCode="[$-1C09]#,##0.00"/>
  </numFmts>
  <fonts count="4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8"/>
      <color rgb="FF333399"/>
      <name val="Arial"/>
      <family val="2"/>
    </font>
    <font>
      <b/>
      <sz val="18"/>
      <color rgb="FF333399"/>
      <name val="Arial"/>
      <family val="2"/>
    </font>
    <font>
      <sz val="18"/>
      <name val="Arial"/>
      <family val="2"/>
    </font>
    <font>
      <b/>
      <u/>
      <sz val="22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sz val="22"/>
      <color rgb="FF333399"/>
      <name val="Arial"/>
      <family val="2"/>
    </font>
    <font>
      <b/>
      <u/>
      <sz val="26"/>
      <color rgb="FFFF0000"/>
      <name val="Arial"/>
      <family val="2"/>
    </font>
    <font>
      <sz val="24"/>
      <name val="Arial"/>
      <family val="2"/>
    </font>
    <font>
      <sz val="24"/>
      <name val="Calibri"/>
      <family val="2"/>
    </font>
    <font>
      <b/>
      <sz val="24"/>
      <name val="Arial"/>
      <family val="2"/>
    </font>
    <font>
      <b/>
      <sz val="24"/>
      <color rgb="FF333399"/>
      <name val="Arial"/>
      <family val="2"/>
    </font>
    <font>
      <sz val="24"/>
      <color rgb="FF333399"/>
      <name val="Arial"/>
      <family val="2"/>
    </font>
    <font>
      <b/>
      <sz val="18"/>
      <color rgb="FFFF0000"/>
      <name val="Arial"/>
      <family val="2"/>
    </font>
    <font>
      <sz val="12"/>
      <color rgb="FF000000"/>
      <name val="Arial"/>
      <family val="2"/>
      <charset val="1"/>
    </font>
    <font>
      <sz val="36"/>
      <color rgb="FF000000"/>
      <name val="Pristina"/>
      <family val="4"/>
    </font>
    <font>
      <sz val="11"/>
      <color rgb="FF000000"/>
      <name val="Arial"/>
      <family val="2"/>
      <charset val="1"/>
    </font>
    <font>
      <sz val="10"/>
      <name val="Pristina"/>
      <family val="4"/>
    </font>
    <font>
      <b/>
      <sz val="14"/>
      <color rgb="FF000000"/>
      <name val="Calibri"/>
      <family val="2"/>
    </font>
    <font>
      <sz val="10"/>
      <color rgb="FF000000"/>
      <name val="Arial"/>
      <family val="2"/>
      <charset val="1"/>
    </font>
    <font>
      <b/>
      <sz val="10"/>
      <color rgb="FF000000"/>
      <name val="Calibri"/>
      <family val="2"/>
    </font>
    <font>
      <u/>
      <sz val="12"/>
      <color rgb="FF000000"/>
      <name val="Arial"/>
      <family val="2"/>
      <charset val="1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  <font>
      <b/>
      <u/>
      <sz val="10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6"/>
      <color indexed="81"/>
      <name val="Tahoma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21"/>
      <name val="Aptos Display"/>
      <family val="2"/>
    </font>
    <font>
      <b/>
      <sz val="22"/>
      <name val="Aptos Display"/>
      <family val="2"/>
    </font>
    <font>
      <sz val="20"/>
      <name val="Aptos Display"/>
      <family val="2"/>
    </font>
    <font>
      <b/>
      <sz val="20"/>
      <name val="Aptos Display"/>
      <family val="2"/>
    </font>
    <font>
      <b/>
      <sz val="20"/>
      <color rgb="FF333399"/>
      <name val="Aptos Display"/>
      <family val="2"/>
    </font>
    <font>
      <sz val="18"/>
      <color indexed="81"/>
      <name val="Arial"/>
      <family val="2"/>
    </font>
    <font>
      <b/>
      <sz val="16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8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0" fontId="1" fillId="0" borderId="0" applyBorder="0" applyAlignment="0" applyProtection="0"/>
    <xf numFmtId="0" fontId="2" fillId="0" borderId="0"/>
    <xf numFmtId="0" fontId="2" fillId="0" borderId="0"/>
    <xf numFmtId="166" fontId="19" fillId="0" borderId="0" applyBorder="0" applyProtection="0"/>
    <xf numFmtId="166" fontId="22" fillId="0" borderId="0" applyBorder="0" applyProtection="0"/>
  </cellStyleXfs>
  <cellXfs count="249">
    <xf numFmtId="0" fontId="0" fillId="0" borderId="0" xfId="0"/>
    <xf numFmtId="3" fontId="13" fillId="0" borderId="8" xfId="1" applyNumberFormat="1" applyFont="1" applyBorder="1" applyAlignment="1" applyProtection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" fontId="7" fillId="0" borderId="1" xfId="0" applyNumberFormat="1" applyFont="1" applyBorder="1" applyAlignment="1">
      <alignment vertical="center"/>
    </xf>
    <xf numFmtId="164" fontId="7" fillId="0" borderId="0" xfId="1" applyFont="1" applyBorder="1" applyAlignment="1" applyProtection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8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" fontId="7" fillId="0" borderId="0" xfId="0" applyNumberFormat="1" applyFont="1" applyAlignment="1">
      <alignment horizontal="left" vertical="center"/>
    </xf>
    <xf numFmtId="0" fontId="7" fillId="0" borderId="2" xfId="0" applyFont="1" applyBorder="1" applyAlignment="1">
      <alignment vertical="center"/>
    </xf>
    <xf numFmtId="1" fontId="7" fillId="0" borderId="3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4" fontId="7" fillId="0" borderId="5" xfId="0" applyNumberFormat="1" applyFont="1" applyBorder="1" applyAlignment="1" applyProtection="1">
      <alignment horizontal="left" vertical="center"/>
      <protection locked="0"/>
    </xf>
    <xf numFmtId="4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4" fontId="7" fillId="0" borderId="0" xfId="0" applyNumberFormat="1" applyFont="1" applyAlignment="1" applyProtection="1">
      <alignment horizontal="left" vertical="center"/>
      <protection locked="0"/>
    </xf>
    <xf numFmtId="4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 textRotation="90"/>
    </xf>
    <xf numFmtId="49" fontId="5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" fontId="11" fillId="0" borderId="1" xfId="1" applyNumberFormat="1" applyFont="1" applyBorder="1" applyAlignment="1" applyProtection="1">
      <alignment vertical="center"/>
    </xf>
    <xf numFmtId="1" fontId="11" fillId="0" borderId="1" xfId="1" applyNumberFormat="1" applyFont="1" applyBorder="1" applyAlignment="1" applyProtection="1">
      <alignment vertical="center"/>
    </xf>
    <xf numFmtId="1" fontId="12" fillId="0" borderId="1" xfId="1" applyNumberFormat="1" applyFont="1" applyBorder="1" applyAlignment="1" applyProtection="1">
      <alignment vertical="center"/>
    </xf>
    <xf numFmtId="4" fontId="11" fillId="0" borderId="1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1" fontId="11" fillId="0" borderId="0" xfId="1" applyNumberFormat="1" applyFont="1" applyBorder="1" applyAlignment="1" applyProtection="1">
      <alignment vertical="center"/>
    </xf>
    <xf numFmtId="4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left" vertical="center"/>
    </xf>
    <xf numFmtId="165" fontId="11" fillId="0" borderId="0" xfId="1" applyNumberFormat="1" applyFont="1" applyBorder="1" applyAlignment="1" applyProtection="1">
      <alignment vertical="center"/>
    </xf>
    <xf numFmtId="0" fontId="11" fillId="2" borderId="1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4" fontId="11" fillId="0" borderId="6" xfId="1" applyNumberFormat="1" applyFont="1" applyBorder="1" applyAlignment="1" applyProtection="1">
      <alignment vertical="center"/>
    </xf>
    <xf numFmtId="1" fontId="11" fillId="0" borderId="6" xfId="1" applyNumberFormat="1" applyFont="1" applyBorder="1" applyAlignment="1" applyProtection="1">
      <alignment vertical="center"/>
    </xf>
    <xf numFmtId="1" fontId="12" fillId="0" borderId="6" xfId="1" applyNumberFormat="1" applyFont="1" applyBorder="1" applyAlignment="1" applyProtection="1">
      <alignment vertical="center"/>
    </xf>
    <xf numFmtId="4" fontId="11" fillId="0" borderId="6" xfId="0" applyNumberFormat="1" applyFont="1" applyBorder="1" applyAlignment="1">
      <alignment vertical="center"/>
    </xf>
    <xf numFmtId="0" fontId="11" fillId="0" borderId="1" xfId="4" applyFont="1" applyBorder="1" applyAlignment="1">
      <alignment vertical="center"/>
    </xf>
    <xf numFmtId="4" fontId="11" fillId="0" borderId="7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vertical="center"/>
    </xf>
    <xf numFmtId="3" fontId="13" fillId="0" borderId="8" xfId="1" applyNumberFormat="1" applyFont="1" applyBorder="1" applyAlignment="1" applyProtection="1">
      <alignment horizontal="center" vertical="center"/>
    </xf>
    <xf numFmtId="4" fontId="13" fillId="0" borderId="8" xfId="1" applyNumberFormat="1" applyFont="1" applyBorder="1" applyAlignment="1" applyProtection="1">
      <alignment vertical="center"/>
      <protection locked="0"/>
    </xf>
    <xf numFmtId="3" fontId="13" fillId="0" borderId="8" xfId="1" applyNumberFormat="1" applyFont="1" applyBorder="1" applyAlignment="1" applyProtection="1">
      <alignment vertical="center"/>
      <protection locked="0"/>
    </xf>
    <xf numFmtId="4" fontId="13" fillId="0" borderId="8" xfId="1" applyNumberFormat="1" applyFont="1" applyBorder="1" applyAlignment="1" applyProtection="1">
      <alignment vertical="center"/>
    </xf>
    <xf numFmtId="49" fontId="14" fillId="0" borderId="0" xfId="1" applyNumberFormat="1" applyFont="1" applyBorder="1" applyAlignment="1" applyProtection="1">
      <alignment vertical="center"/>
    </xf>
    <xf numFmtId="3" fontId="14" fillId="0" borderId="0" xfId="1" applyNumberFormat="1" applyFont="1" applyBorder="1" applyAlignment="1" applyProtection="1">
      <alignment vertical="center"/>
    </xf>
    <xf numFmtId="3" fontId="13" fillId="0" borderId="0" xfId="1" applyNumberFormat="1" applyFont="1" applyBorder="1" applyAlignment="1" applyProtection="1">
      <alignment horizontal="center" vertical="center"/>
    </xf>
    <xf numFmtId="3" fontId="13" fillId="0" borderId="0" xfId="1" applyNumberFormat="1" applyFont="1" applyBorder="1" applyAlignment="1" applyProtection="1">
      <alignment vertical="center"/>
    </xf>
    <xf numFmtId="4" fontId="13" fillId="0" borderId="0" xfId="1" applyNumberFormat="1" applyFont="1" applyBorder="1" applyAlignment="1" applyProtection="1">
      <alignment vertical="center"/>
    </xf>
    <xf numFmtId="4" fontId="13" fillId="0" borderId="0" xfId="1" applyNumberFormat="1" applyFont="1" applyBorder="1" applyAlignment="1" applyProtection="1">
      <alignment vertical="center"/>
      <protection locked="0"/>
    </xf>
    <xf numFmtId="3" fontId="13" fillId="0" borderId="0" xfId="1" applyNumberFormat="1" applyFont="1" applyBorder="1" applyAlignment="1" applyProtection="1">
      <alignment vertical="center"/>
      <protection locked="0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3" fontId="11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4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4" fontId="11" fillId="0" borderId="10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" fontId="11" fillId="0" borderId="2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4" fontId="11" fillId="0" borderId="11" xfId="0" applyNumberFormat="1" applyFont="1" applyBorder="1" applyAlignment="1">
      <alignment vertical="center"/>
    </xf>
    <xf numFmtId="1" fontId="13" fillId="0" borderId="11" xfId="0" applyNumberFormat="1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4" fontId="15" fillId="0" borderId="11" xfId="0" applyNumberFormat="1" applyFont="1" applyBorder="1" applyAlignment="1">
      <alignment vertical="center"/>
    </xf>
    <xf numFmtId="4" fontId="11" fillId="0" borderId="3" xfId="0" applyNumberFormat="1" applyFont="1" applyBorder="1" applyAlignment="1">
      <alignment vertical="center"/>
    </xf>
    <xf numFmtId="4" fontId="15" fillId="0" borderId="0" xfId="0" applyNumberFormat="1" applyFont="1" applyAlignment="1">
      <alignment vertical="center"/>
    </xf>
    <xf numFmtId="4" fontId="11" fillId="0" borderId="12" xfId="0" applyNumberFormat="1" applyFont="1" applyBorder="1" applyAlignment="1">
      <alignment horizontal="left" vertical="center"/>
    </xf>
    <xf numFmtId="3" fontId="11" fillId="0" borderId="0" xfId="0" applyNumberFormat="1" applyFont="1" applyAlignment="1">
      <alignment horizontal="left" vertical="center"/>
    </xf>
    <xf numFmtId="4" fontId="11" fillId="0" borderId="13" xfId="0" applyNumberFormat="1" applyFont="1" applyBorder="1" applyAlignment="1">
      <alignment vertical="center"/>
    </xf>
    <xf numFmtId="4" fontId="11" fillId="0" borderId="14" xfId="0" applyNumberFormat="1" applyFont="1" applyBorder="1" applyAlignment="1">
      <alignment vertical="center"/>
    </xf>
    <xf numFmtId="4" fontId="11" fillId="0" borderId="12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4" fontId="11" fillId="0" borderId="4" xfId="0" applyNumberFormat="1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/>
    </xf>
    <xf numFmtId="4" fontId="11" fillId="0" borderId="15" xfId="0" applyNumberFormat="1" applyFont="1" applyBorder="1" applyAlignment="1">
      <alignment vertical="center"/>
    </xf>
    <xf numFmtId="1" fontId="13" fillId="0" borderId="15" xfId="0" applyNumberFormat="1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1" fontId="11" fillId="0" borderId="15" xfId="0" applyNumberFormat="1" applyFont="1" applyBorder="1" applyAlignment="1">
      <alignment vertical="center"/>
    </xf>
    <xf numFmtId="4" fontId="15" fillId="0" borderId="15" xfId="0" applyNumberFormat="1" applyFont="1" applyBorder="1" applyAlignment="1">
      <alignment vertical="center"/>
    </xf>
    <xf numFmtId="4" fontId="11" fillId="0" borderId="5" xfId="0" applyNumberFormat="1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11" fillId="0" borderId="17" xfId="0" applyFont="1" applyBorder="1" applyAlignment="1">
      <alignment horizontal="left" vertical="center"/>
    </xf>
    <xf numFmtId="4" fontId="11" fillId="0" borderId="17" xfId="0" applyNumberFormat="1" applyFont="1" applyBorder="1" applyAlignment="1">
      <alignment vertical="center"/>
    </xf>
    <xf numFmtId="4" fontId="11" fillId="0" borderId="17" xfId="0" applyNumberFormat="1" applyFont="1" applyBorder="1" applyAlignment="1">
      <alignment horizontal="center" vertical="center"/>
    </xf>
    <xf numFmtId="3" fontId="11" fillId="0" borderId="17" xfId="0" applyNumberFormat="1" applyFont="1" applyBorder="1" applyAlignment="1">
      <alignment horizontal="center" vertical="center"/>
    </xf>
    <xf numFmtId="1" fontId="13" fillId="0" borderId="17" xfId="0" applyNumberFormat="1" applyFont="1" applyBorder="1" applyAlignment="1">
      <alignment vertical="center"/>
    </xf>
    <xf numFmtId="1" fontId="11" fillId="0" borderId="17" xfId="0" applyNumberFormat="1" applyFont="1" applyBorder="1" applyAlignment="1">
      <alignment vertical="center"/>
    </xf>
    <xf numFmtId="4" fontId="11" fillId="0" borderId="18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17" fillId="0" borderId="0" xfId="0" applyFont="1"/>
    <xf numFmtId="166" fontId="18" fillId="0" borderId="0" xfId="6" applyFont="1" applyBorder="1" applyAlignment="1" applyProtection="1">
      <alignment horizontal="center" vertical="center"/>
    </xf>
    <xf numFmtId="166" fontId="17" fillId="0" borderId="0" xfId="6" applyFont="1" applyBorder="1" applyProtection="1"/>
    <xf numFmtId="0" fontId="20" fillId="0" borderId="0" xfId="0" applyFont="1" applyAlignment="1">
      <alignment horizontal="center" vertical="center"/>
    </xf>
    <xf numFmtId="166" fontId="17" fillId="0" borderId="0" xfId="7" applyFont="1" applyBorder="1" applyAlignment="1" applyProtection="1">
      <alignment horizontal="center"/>
    </xf>
    <xf numFmtId="166" fontId="17" fillId="0" borderId="0" xfId="7" applyFont="1" applyBorder="1" applyProtection="1"/>
    <xf numFmtId="166" fontId="23" fillId="0" borderId="0" xfId="7" applyFont="1" applyBorder="1" applyAlignment="1" applyProtection="1">
      <alignment horizontal="left"/>
    </xf>
    <xf numFmtId="166" fontId="24" fillId="0" borderId="0" xfId="7" applyFont="1" applyBorder="1" applyProtection="1"/>
    <xf numFmtId="166" fontId="25" fillId="0" borderId="0" xfId="7" applyFont="1" applyBorder="1" applyProtection="1"/>
    <xf numFmtId="167" fontId="26" fillId="0" borderId="0" xfId="7" applyNumberFormat="1" applyFont="1" applyBorder="1" applyProtection="1"/>
    <xf numFmtId="166" fontId="27" fillId="0" borderId="0" xfId="7" applyFont="1" applyBorder="1" applyProtection="1"/>
    <xf numFmtId="166" fontId="26" fillId="0" borderId="0" xfId="7" applyFont="1" applyBorder="1" applyProtection="1"/>
    <xf numFmtId="168" fontId="27" fillId="0" borderId="0" xfId="7" applyNumberFormat="1" applyFont="1" applyBorder="1" applyAlignment="1" applyProtection="1">
      <alignment horizontal="right" wrapText="1"/>
      <protection locked="0"/>
    </xf>
    <xf numFmtId="168" fontId="27" fillId="0" borderId="0" xfId="7" applyNumberFormat="1" applyFont="1" applyBorder="1" applyProtection="1"/>
    <xf numFmtId="168" fontId="27" fillId="0" borderId="19" xfId="7" applyNumberFormat="1" applyFont="1" applyBorder="1" applyProtection="1"/>
    <xf numFmtId="166" fontId="28" fillId="0" borderId="0" xfId="7" applyFont="1" applyBorder="1" applyAlignment="1" applyProtection="1">
      <alignment horizontal="left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4" fontId="11" fillId="0" borderId="8" xfId="1" applyNumberFormat="1" applyFont="1" applyBorder="1" applyAlignment="1" applyProtection="1">
      <alignment vertical="center"/>
    </xf>
    <xf numFmtId="1" fontId="11" fillId="0" borderId="8" xfId="1" applyNumberFormat="1" applyFont="1" applyBorder="1" applyAlignment="1" applyProtection="1">
      <alignment vertical="center"/>
    </xf>
    <xf numFmtId="4" fontId="11" fillId="0" borderId="8" xfId="0" applyNumberFormat="1" applyFont="1" applyBorder="1" applyAlignment="1">
      <alignment vertical="center"/>
    </xf>
    <xf numFmtId="0" fontId="11" fillId="0" borderId="6" xfId="4" applyFont="1" applyBorder="1" applyAlignment="1">
      <alignment vertical="center"/>
    </xf>
    <xf numFmtId="1" fontId="12" fillId="0" borderId="8" xfId="1" applyNumberFormat="1" applyFont="1" applyBorder="1" applyAlignment="1" applyProtection="1">
      <alignment vertical="center"/>
    </xf>
    <xf numFmtId="0" fontId="36" fillId="0" borderId="1" xfId="0" applyFont="1" applyBorder="1" applyAlignment="1">
      <alignment horizontal="center" vertical="center"/>
    </xf>
    <xf numFmtId="4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4" fontId="36" fillId="0" borderId="1" xfId="0" applyNumberFormat="1" applyFont="1" applyBorder="1" applyAlignment="1">
      <alignment horizontal="center" vertical="center" wrapText="1"/>
    </xf>
    <xf numFmtId="3" fontId="36" fillId="0" borderId="1" xfId="0" applyNumberFormat="1" applyFont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4" fontId="36" fillId="0" borderId="6" xfId="0" applyNumberFormat="1" applyFont="1" applyBorder="1" applyAlignment="1">
      <alignment horizontal="center" vertical="center" wrapText="1"/>
    </xf>
    <xf numFmtId="4" fontId="36" fillId="0" borderId="1" xfId="3" applyNumberFormat="1" applyFont="1" applyBorder="1" applyAlignment="1" applyProtection="1">
      <alignment horizontal="center" vertical="center" textRotation="90" wrapText="1"/>
    </xf>
    <xf numFmtId="0" fontId="36" fillId="0" borderId="1" xfId="0" applyFont="1" applyBorder="1" applyAlignment="1">
      <alignment horizontal="center" vertical="center" textRotation="90"/>
    </xf>
    <xf numFmtId="4" fontId="36" fillId="0" borderId="1" xfId="0" applyNumberFormat="1" applyFont="1" applyBorder="1" applyAlignment="1">
      <alignment horizontal="center" vertical="center" textRotation="90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1" fontId="37" fillId="0" borderId="1" xfId="1" applyNumberFormat="1" applyFont="1" applyBorder="1" applyAlignment="1" applyProtection="1">
      <alignment vertical="center"/>
      <protection locked="0"/>
    </xf>
    <xf numFmtId="4" fontId="37" fillId="0" borderId="1" xfId="1" applyNumberFormat="1" applyFont="1" applyBorder="1" applyAlignment="1" applyProtection="1">
      <alignment vertical="center"/>
    </xf>
    <xf numFmtId="1" fontId="37" fillId="0" borderId="1" xfId="1" applyNumberFormat="1" applyFont="1" applyBorder="1" applyAlignment="1" applyProtection="1">
      <alignment vertical="center"/>
    </xf>
    <xf numFmtId="4" fontId="37" fillId="0" borderId="1" xfId="1" applyNumberFormat="1" applyFont="1" applyBorder="1" applyAlignment="1" applyProtection="1">
      <alignment vertical="center"/>
      <protection locked="0"/>
    </xf>
    <xf numFmtId="3" fontId="37" fillId="0" borderId="1" xfId="1" applyNumberFormat="1" applyFont="1" applyBorder="1" applyAlignment="1" applyProtection="1">
      <alignment vertical="center"/>
      <protection locked="0"/>
    </xf>
    <xf numFmtId="1" fontId="37" fillId="0" borderId="1" xfId="1" applyNumberFormat="1" applyFont="1" applyBorder="1" applyAlignment="1" applyProtection="1">
      <alignment horizontal="right" vertical="center"/>
    </xf>
    <xf numFmtId="4" fontId="37" fillId="0" borderId="1" xfId="0" applyNumberFormat="1" applyFont="1" applyBorder="1" applyAlignment="1">
      <alignment vertical="center"/>
    </xf>
    <xf numFmtId="165" fontId="37" fillId="0" borderId="1" xfId="0" applyNumberFormat="1" applyFont="1" applyBorder="1" applyAlignment="1">
      <alignment horizontal="center" vertical="center"/>
    </xf>
    <xf numFmtId="165" fontId="37" fillId="0" borderId="1" xfId="0" applyNumberFormat="1" applyFont="1" applyBorder="1" applyAlignment="1">
      <alignment vertical="center"/>
    </xf>
    <xf numFmtId="165" fontId="37" fillId="0" borderId="1" xfId="1" applyNumberFormat="1" applyFont="1" applyBorder="1" applyAlignment="1" applyProtection="1">
      <alignment vertical="center"/>
      <protection locked="0"/>
    </xf>
    <xf numFmtId="165" fontId="37" fillId="0" borderId="1" xfId="1" applyNumberFormat="1" applyFont="1" applyBorder="1" applyAlignment="1" applyProtection="1">
      <alignment vertical="center"/>
    </xf>
    <xf numFmtId="0" fontId="37" fillId="2" borderId="1" xfId="0" applyFont="1" applyFill="1" applyBorder="1" applyAlignment="1">
      <alignment vertical="center"/>
    </xf>
    <xf numFmtId="4" fontId="37" fillId="3" borderId="1" xfId="1" applyNumberFormat="1" applyFont="1" applyFill="1" applyBorder="1" applyAlignment="1" applyProtection="1">
      <alignment vertical="center"/>
    </xf>
    <xf numFmtId="1" fontId="37" fillId="0" borderId="1" xfId="2" applyNumberFormat="1" applyFont="1" applyBorder="1" applyAlignment="1" applyProtection="1">
      <alignment vertical="center"/>
    </xf>
    <xf numFmtId="0" fontId="37" fillId="0" borderId="6" xfId="4" applyFont="1" applyBorder="1" applyAlignment="1">
      <alignment vertical="center"/>
    </xf>
    <xf numFmtId="0" fontId="37" fillId="0" borderId="6" xfId="0" applyFont="1" applyBorder="1" applyAlignment="1">
      <alignment vertical="center"/>
    </xf>
    <xf numFmtId="4" fontId="37" fillId="0" borderId="6" xfId="1" applyNumberFormat="1" applyFont="1" applyBorder="1" applyAlignment="1" applyProtection="1">
      <alignment vertical="center"/>
    </xf>
    <xf numFmtId="1" fontId="37" fillId="0" borderId="6" xfId="1" applyNumberFormat="1" applyFont="1" applyBorder="1" applyAlignment="1" applyProtection="1">
      <alignment vertical="center"/>
    </xf>
    <xf numFmtId="1" fontId="37" fillId="0" borderId="6" xfId="1" applyNumberFormat="1" applyFont="1" applyBorder="1" applyAlignment="1" applyProtection="1">
      <alignment vertical="center"/>
      <protection locked="0"/>
    </xf>
    <xf numFmtId="4" fontId="37" fillId="3" borderId="6" xfId="1" applyNumberFormat="1" applyFont="1" applyFill="1" applyBorder="1" applyAlignment="1" applyProtection="1">
      <alignment vertical="center"/>
    </xf>
    <xf numFmtId="4" fontId="37" fillId="0" borderId="6" xfId="0" applyNumberFormat="1" applyFont="1" applyBorder="1" applyAlignment="1">
      <alignment vertical="center"/>
    </xf>
    <xf numFmtId="4" fontId="37" fillId="0" borderId="2" xfId="0" applyNumberFormat="1" applyFont="1" applyBorder="1" applyAlignment="1">
      <alignment vertical="center"/>
    </xf>
    <xf numFmtId="4" fontId="37" fillId="0" borderId="7" xfId="0" applyNumberFormat="1" applyFont="1" applyBorder="1" applyAlignment="1">
      <alignment vertical="center"/>
    </xf>
    <xf numFmtId="0" fontId="37" fillId="0" borderId="1" xfId="4" applyFont="1" applyBorder="1" applyAlignment="1">
      <alignment vertical="center"/>
    </xf>
    <xf numFmtId="0" fontId="37" fillId="0" borderId="1" xfId="0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vertical="center"/>
    </xf>
    <xf numFmtId="1" fontId="37" fillId="0" borderId="1" xfId="1" quotePrefix="1" applyNumberFormat="1" applyFont="1" applyBorder="1" applyAlignment="1" applyProtection="1">
      <alignment horizontal="right" vertical="center"/>
    </xf>
    <xf numFmtId="0" fontId="37" fillId="0" borderId="8" xfId="0" applyFont="1" applyBorder="1" applyAlignment="1">
      <alignment horizontal="center" vertical="center"/>
    </xf>
    <xf numFmtId="0" fontId="37" fillId="0" borderId="8" xfId="0" applyFont="1" applyBorder="1" applyAlignment="1">
      <alignment vertical="center"/>
    </xf>
    <xf numFmtId="4" fontId="37" fillId="0" borderId="8" xfId="1" applyNumberFormat="1" applyFont="1" applyBorder="1" applyAlignment="1" applyProtection="1">
      <alignment vertical="center"/>
    </xf>
    <xf numFmtId="1" fontId="37" fillId="0" borderId="8" xfId="1" applyNumberFormat="1" applyFont="1" applyBorder="1" applyAlignment="1" applyProtection="1">
      <alignment vertical="center"/>
    </xf>
    <xf numFmtId="3" fontId="37" fillId="0" borderId="8" xfId="1" applyNumberFormat="1" applyFont="1" applyBorder="1" applyAlignment="1" applyProtection="1">
      <alignment vertical="center"/>
      <protection locked="0"/>
    </xf>
    <xf numFmtId="4" fontId="37" fillId="0" borderId="8" xfId="1" applyNumberFormat="1" applyFont="1" applyBorder="1" applyAlignment="1" applyProtection="1">
      <alignment vertical="center"/>
      <protection locked="0"/>
    </xf>
    <xf numFmtId="4" fontId="37" fillId="0" borderId="8" xfId="0" applyNumberFormat="1" applyFont="1" applyBorder="1" applyAlignment="1">
      <alignment vertical="center"/>
    </xf>
    <xf numFmtId="3" fontId="38" fillId="0" borderId="8" xfId="1" applyNumberFormat="1" applyFont="1" applyBorder="1" applyAlignment="1" applyProtection="1">
      <alignment horizontal="center" vertical="center"/>
    </xf>
    <xf numFmtId="3" fontId="38" fillId="0" borderId="8" xfId="1" applyNumberFormat="1" applyFont="1" applyBorder="1" applyAlignment="1" applyProtection="1">
      <alignment vertical="center"/>
    </xf>
    <xf numFmtId="4" fontId="38" fillId="0" borderId="8" xfId="1" applyNumberFormat="1" applyFont="1" applyBorder="1" applyAlignment="1" applyProtection="1">
      <alignment vertical="center"/>
    </xf>
    <xf numFmtId="3" fontId="38" fillId="0" borderId="8" xfId="1" applyNumberFormat="1" applyFont="1" applyBorder="1" applyAlignment="1" applyProtection="1">
      <alignment vertical="center"/>
      <protection locked="0"/>
    </xf>
    <xf numFmtId="4" fontId="38" fillId="0" borderId="8" xfId="1" applyNumberFormat="1" applyFont="1" applyBorder="1" applyAlignment="1" applyProtection="1">
      <alignment vertical="center"/>
      <protection locked="0"/>
    </xf>
    <xf numFmtId="3" fontId="38" fillId="0" borderId="0" xfId="1" applyNumberFormat="1" applyFont="1" applyBorder="1" applyAlignment="1" applyProtection="1">
      <alignment horizontal="center" vertical="center"/>
    </xf>
    <xf numFmtId="3" fontId="38" fillId="0" borderId="0" xfId="1" applyNumberFormat="1" applyFont="1" applyBorder="1" applyAlignment="1" applyProtection="1">
      <alignment vertical="center"/>
    </xf>
    <xf numFmtId="4" fontId="38" fillId="0" borderId="0" xfId="1" applyNumberFormat="1" applyFont="1" applyBorder="1" applyAlignment="1" applyProtection="1">
      <alignment vertical="center"/>
    </xf>
    <xf numFmtId="4" fontId="38" fillId="0" borderId="0" xfId="1" applyNumberFormat="1" applyFont="1" applyBorder="1" applyAlignment="1" applyProtection="1">
      <alignment vertical="center"/>
      <protection locked="0"/>
    </xf>
    <xf numFmtId="3" fontId="38" fillId="0" borderId="0" xfId="1" applyNumberFormat="1" applyFont="1" applyBorder="1" applyAlignment="1" applyProtection="1">
      <alignment vertical="center"/>
      <protection locked="0"/>
    </xf>
    <xf numFmtId="1" fontId="38" fillId="0" borderId="0" xfId="1" applyNumberFormat="1" applyFont="1" applyBorder="1" applyAlignment="1" applyProtection="1">
      <alignment vertical="center"/>
      <protection locked="0"/>
    </xf>
    <xf numFmtId="0" fontId="37" fillId="0" borderId="0" xfId="0" applyFont="1" applyAlignment="1">
      <alignment vertical="center"/>
    </xf>
    <xf numFmtId="1" fontId="37" fillId="0" borderId="0" xfId="2" applyNumberFormat="1" applyFont="1" applyBorder="1" applyAlignment="1" applyProtection="1">
      <alignment horizontal="right" vertical="center"/>
    </xf>
    <xf numFmtId="3" fontId="39" fillId="0" borderId="0" xfId="1" applyNumberFormat="1" applyFont="1" applyBorder="1" applyAlignment="1" applyProtection="1">
      <alignment vertical="center"/>
    </xf>
    <xf numFmtId="0" fontId="37" fillId="0" borderId="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4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1" fontId="38" fillId="0" borderId="0" xfId="0" applyNumberFormat="1" applyFont="1" applyAlignment="1">
      <alignment vertical="center"/>
    </xf>
    <xf numFmtId="1" fontId="3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3" fontId="38" fillId="0" borderId="0" xfId="0" applyNumberFormat="1" applyFont="1" applyAlignment="1">
      <alignment vertical="center"/>
    </xf>
    <xf numFmtId="4" fontId="37" fillId="0" borderId="10" xfId="0" applyNumberFormat="1" applyFont="1" applyBorder="1" applyAlignment="1">
      <alignment vertical="center"/>
    </xf>
    <xf numFmtId="4" fontId="37" fillId="0" borderId="6" xfId="1" applyNumberFormat="1" applyFont="1" applyBorder="1" applyAlignment="1" applyProtection="1">
      <alignment vertical="center"/>
      <protection locked="0"/>
    </xf>
    <xf numFmtId="4" fontId="13" fillId="0" borderId="11" xfId="0" applyNumberFormat="1" applyFont="1" applyBorder="1" applyAlignment="1">
      <alignment vertical="center"/>
    </xf>
    <xf numFmtId="15" fontId="7" fillId="0" borderId="0" xfId="0" applyNumberFormat="1" applyFont="1" applyAlignment="1">
      <alignment vertical="center"/>
    </xf>
    <xf numFmtId="15" fontId="10" fillId="0" borderId="0" xfId="0" applyNumberFormat="1" applyFont="1" applyAlignment="1">
      <alignment horizontal="left" vertical="center"/>
    </xf>
    <xf numFmtId="15" fontId="8" fillId="0" borderId="0" xfId="0" applyNumberFormat="1" applyFont="1" applyAlignment="1">
      <alignment vertical="center"/>
    </xf>
    <xf numFmtId="15" fontId="37" fillId="0" borderId="1" xfId="0" applyNumberFormat="1" applyFont="1" applyBorder="1" applyAlignment="1">
      <alignment vertical="center"/>
    </xf>
    <xf numFmtId="15" fontId="37" fillId="2" borderId="1" xfId="0" applyNumberFormat="1" applyFont="1" applyFill="1" applyBorder="1" applyAlignment="1">
      <alignment vertical="center"/>
    </xf>
    <xf numFmtId="15" fontId="37" fillId="0" borderId="6" xfId="4" applyNumberFormat="1" applyFont="1" applyBorder="1" applyAlignment="1">
      <alignment vertical="center"/>
    </xf>
    <xf numFmtId="15" fontId="37" fillId="0" borderId="6" xfId="0" applyNumberFormat="1" applyFont="1" applyBorder="1" applyAlignment="1">
      <alignment vertical="center"/>
    </xf>
    <xf numFmtId="15" fontId="37" fillId="0" borderId="1" xfId="4" applyNumberFormat="1" applyFont="1" applyBorder="1" applyAlignment="1">
      <alignment vertical="center"/>
    </xf>
    <xf numFmtId="15" fontId="37" fillId="0" borderId="8" xfId="0" applyNumberFormat="1" applyFont="1" applyBorder="1" applyAlignment="1">
      <alignment vertical="center"/>
    </xf>
    <xf numFmtId="15" fontId="38" fillId="0" borderId="8" xfId="1" applyNumberFormat="1" applyFont="1" applyBorder="1" applyAlignment="1" applyProtection="1">
      <alignment vertical="center"/>
    </xf>
    <xf numFmtId="15" fontId="38" fillId="0" borderId="0" xfId="1" applyNumberFormat="1" applyFont="1" applyBorder="1" applyAlignment="1" applyProtection="1">
      <alignment vertical="center"/>
    </xf>
    <xf numFmtId="15" fontId="37" fillId="0" borderId="0" xfId="0" applyNumberFormat="1" applyFont="1" applyAlignment="1">
      <alignment vertical="center"/>
    </xf>
    <xf numFmtId="15" fontId="38" fillId="0" borderId="0" xfId="0" applyNumberFormat="1" applyFont="1" applyAlignment="1">
      <alignment vertical="center"/>
    </xf>
    <xf numFmtId="15" fontId="11" fillId="0" borderId="0" xfId="0" applyNumberFormat="1" applyFont="1" applyAlignment="1">
      <alignment vertical="center"/>
    </xf>
    <xf numFmtId="15" fontId="11" fillId="0" borderId="17" xfId="0" applyNumberFormat="1" applyFont="1" applyBorder="1" applyAlignment="1">
      <alignment vertical="center"/>
    </xf>
    <xf numFmtId="15" fontId="3" fillId="0" borderId="0" xfId="0" applyNumberFormat="1" applyFont="1" applyAlignment="1">
      <alignment vertical="center"/>
    </xf>
    <xf numFmtId="4" fontId="5" fillId="0" borderId="0" xfId="0" applyNumberFormat="1" applyFont="1" applyAlignment="1">
      <alignment horizontal="center" vertical="center"/>
    </xf>
    <xf numFmtId="4" fontId="35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4" fontId="36" fillId="0" borderId="0" xfId="0" applyNumberFormat="1" applyFont="1" applyAlignment="1">
      <alignment horizontal="center" vertical="center"/>
    </xf>
    <xf numFmtId="4" fontId="37" fillId="0" borderId="0" xfId="1" applyNumberFormat="1" applyFont="1" applyBorder="1" applyAlignment="1" applyProtection="1">
      <alignment vertical="center"/>
    </xf>
    <xf numFmtId="15" fontId="3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6" fontId="18" fillId="0" borderId="0" xfId="6" applyFont="1" applyBorder="1" applyAlignment="1" applyProtection="1">
      <alignment horizontal="center" vertical="center"/>
    </xf>
    <xf numFmtId="166" fontId="21" fillId="0" borderId="0" xfId="7" applyFont="1" applyBorder="1" applyAlignment="1" applyProtection="1">
      <alignment horizontal="center"/>
    </xf>
  </cellXfs>
  <cellStyles count="8">
    <cellStyle name="Comma" xfId="1" builtinId="3"/>
    <cellStyle name="Comma 2" xfId="2" xr:uid="{00000000-0005-0000-0000-000006000000}"/>
    <cellStyle name="Currency_FOLHA DE SALARIO" xfId="3" xr:uid="{00000000-0005-0000-0000-000007000000}"/>
    <cellStyle name="Excel Built-in Normal" xfId="6" xr:uid="{00000000-0005-0000-0000-00000A000000}"/>
    <cellStyle name="Excel Built-in Normal 1" xfId="7" xr:uid="{00000000-0005-0000-0000-00000B000000}"/>
    <cellStyle name="Normal" xfId="0" builtinId="0"/>
    <cellStyle name="Normal 2" xfId="4" xr:uid="{00000000-0005-0000-0000-000008000000}"/>
    <cellStyle name="Normal 3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  <pageSetUpPr fitToPage="1"/>
  </sheetPr>
  <dimension ref="A4:JC42"/>
  <sheetViews>
    <sheetView tabSelected="1" view="pageBreakPreview" topLeftCell="A6" zoomScale="46" zoomScaleNormal="100" zoomScaleSheetLayoutView="46" zoomScalePageLayoutView="40" workbookViewId="0">
      <pane xSplit="3" ySplit="4" topLeftCell="G10" activePane="bottomRight" state="frozen"/>
      <selection activeCell="A6" sqref="A6"/>
      <selection pane="topRight" activeCell="D6" sqref="D6"/>
      <selection pane="bottomLeft" activeCell="A10" sqref="A10"/>
      <selection pane="bottomRight" activeCell="C8" sqref="C8:C9"/>
    </sheetView>
  </sheetViews>
  <sheetFormatPr defaultColWidth="9.140625" defaultRowHeight="23.25" x14ac:dyDescent="0.2"/>
  <cols>
    <col min="1" max="2" width="10.7109375" style="5" customWidth="1"/>
    <col min="3" max="3" width="81" style="6" customWidth="1"/>
    <col min="4" max="5" width="21.42578125" style="236" hidden="1" customWidth="1"/>
    <col min="6" max="6" width="34.7109375" style="6" hidden="1" customWidth="1"/>
    <col min="7" max="7" width="39.28515625" style="7" customWidth="1"/>
    <col min="8" max="8" width="28.28515625" style="8" hidden="1" customWidth="1"/>
    <col min="9" max="11" width="28.28515625" style="8" customWidth="1"/>
    <col min="12" max="12" width="14.28515625" style="5" customWidth="1"/>
    <col min="13" max="13" width="31.7109375" style="9" customWidth="1"/>
    <col min="14" max="14" width="18.5703125" style="10" customWidth="1"/>
    <col min="15" max="15" width="25" style="8" customWidth="1"/>
    <col min="16" max="16" width="14.28515625" style="11" customWidth="1"/>
    <col min="17" max="17" width="17" style="8" customWidth="1"/>
    <col min="18" max="18" width="14.28515625" style="12" customWidth="1"/>
    <col min="19" max="19" width="25.140625" style="8" customWidth="1"/>
    <col min="20" max="20" width="16.85546875" style="6" hidden="1" customWidth="1"/>
    <col min="21" max="21" width="16.42578125" style="6" customWidth="1"/>
    <col min="22" max="22" width="14.28515625" style="6" customWidth="1"/>
    <col min="23" max="23" width="24.140625" style="6" customWidth="1"/>
    <col min="24" max="24" width="30.7109375" style="8" customWidth="1"/>
    <col min="25" max="25" width="29.85546875" style="8" customWidth="1"/>
    <col min="26" max="26" width="30.42578125" style="8" customWidth="1"/>
    <col min="27" max="27" width="12" style="6" customWidth="1"/>
    <col min="28" max="28" width="27.5703125" style="8" customWidth="1"/>
    <col min="29" max="29" width="27.42578125" style="8" customWidth="1"/>
    <col min="30" max="30" width="27.5703125" style="8" customWidth="1"/>
    <col min="31" max="31" width="31.42578125" style="8" customWidth="1"/>
    <col min="32" max="32" width="53.85546875" style="6" customWidth="1"/>
    <col min="33" max="34" width="30.7109375" style="8" customWidth="1"/>
    <col min="35" max="35" width="40.5703125" style="123" customWidth="1"/>
    <col min="36" max="36" width="21" style="13" customWidth="1"/>
    <col min="37" max="37" width="23" style="14" customWidth="1"/>
    <col min="39" max="263" width="9.140625" style="6"/>
  </cols>
  <sheetData>
    <row r="4" spans="1:38" ht="27.75" x14ac:dyDescent="0.2">
      <c r="A4" s="244" t="s">
        <v>0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4"/>
      <c r="AG4" s="15" t="s">
        <v>1</v>
      </c>
      <c r="AH4" s="239"/>
    </row>
    <row r="5" spans="1:38" ht="27.75" x14ac:dyDescent="0.2">
      <c r="A5" s="16"/>
      <c r="B5" s="16"/>
      <c r="C5" s="17"/>
      <c r="D5" s="221"/>
      <c r="E5" s="221"/>
      <c r="F5" s="17"/>
      <c r="G5" s="18"/>
      <c r="H5" s="19" t="s">
        <v>2</v>
      </c>
      <c r="I5" s="19"/>
      <c r="J5" s="19"/>
      <c r="K5" s="19"/>
      <c r="L5" s="20"/>
      <c r="M5" s="21" t="s">
        <v>3</v>
      </c>
      <c r="N5" s="22"/>
      <c r="O5" s="23"/>
      <c r="P5" s="24"/>
      <c r="Q5" s="19"/>
      <c r="R5" s="26"/>
      <c r="S5" s="23"/>
      <c r="T5" s="27"/>
      <c r="U5" s="25" t="s">
        <v>4</v>
      </c>
      <c r="V5" s="27"/>
      <c r="W5" s="28">
        <v>400122792</v>
      </c>
      <c r="X5" s="21"/>
      <c r="Y5" s="21"/>
      <c r="Z5" s="23"/>
      <c r="AA5" s="25"/>
      <c r="AB5" s="23"/>
      <c r="AC5" s="23"/>
      <c r="AD5" s="23"/>
      <c r="AE5" s="23"/>
      <c r="AF5" s="29" t="s">
        <v>5</v>
      </c>
      <c r="AG5" s="30">
        <v>2025</v>
      </c>
      <c r="AH5" s="38"/>
    </row>
    <row r="6" spans="1:38" ht="33.75" x14ac:dyDescent="0.2">
      <c r="A6" s="31"/>
      <c r="B6" s="31"/>
      <c r="C6" s="32"/>
      <c r="D6" s="222"/>
      <c r="E6" s="222"/>
      <c r="F6" s="32"/>
      <c r="G6" s="33"/>
      <c r="H6" s="19" t="s">
        <v>6</v>
      </c>
      <c r="I6" s="19" t="s">
        <v>6</v>
      </c>
      <c r="J6" s="19"/>
      <c r="K6" s="19"/>
      <c r="L6" s="20"/>
      <c r="M6" s="21" t="s">
        <v>7</v>
      </c>
      <c r="N6" s="22"/>
      <c r="O6" s="23"/>
      <c r="P6" s="24"/>
      <c r="Q6" s="19"/>
      <c r="R6" s="26"/>
      <c r="S6" s="23"/>
      <c r="T6" s="27"/>
      <c r="U6" s="25" t="s">
        <v>8</v>
      </c>
      <c r="V6" s="27"/>
      <c r="W6" s="17" t="s">
        <v>9</v>
      </c>
      <c r="X6" s="23"/>
      <c r="Y6" s="23"/>
      <c r="Z6" s="23"/>
      <c r="AA6" s="27"/>
      <c r="AB6" s="23"/>
      <c r="AC6" s="23"/>
      <c r="AD6" s="23"/>
      <c r="AE6" s="23"/>
      <c r="AF6" s="34" t="s">
        <v>10</v>
      </c>
      <c r="AG6" s="35" t="s">
        <v>130</v>
      </c>
      <c r="AH6" s="38"/>
    </row>
    <row r="7" spans="1:38" ht="27.75" x14ac:dyDescent="0.2">
      <c r="A7" s="31"/>
      <c r="B7" s="31"/>
      <c r="C7" s="25"/>
      <c r="D7" s="223"/>
      <c r="E7" s="223"/>
      <c r="F7" s="25"/>
      <c r="G7" s="33"/>
      <c r="H7" s="19"/>
      <c r="I7" s="19"/>
      <c r="J7" s="19"/>
      <c r="K7" s="19"/>
      <c r="L7" s="33"/>
      <c r="M7" s="36"/>
      <c r="N7" s="37"/>
      <c r="O7" s="23"/>
      <c r="P7" s="24"/>
      <c r="Q7" s="19"/>
      <c r="R7" s="26"/>
      <c r="S7" s="19"/>
      <c r="T7" s="25"/>
      <c r="U7" s="25"/>
      <c r="V7" s="25"/>
      <c r="W7" s="25"/>
      <c r="X7" s="23"/>
      <c r="Y7" s="23"/>
      <c r="Z7" s="23"/>
      <c r="AA7" s="27"/>
      <c r="AB7" s="23"/>
      <c r="AC7" s="23"/>
      <c r="AD7" s="23"/>
      <c r="AE7" s="23"/>
      <c r="AF7" s="17"/>
      <c r="AG7" s="38"/>
      <c r="AH7" s="38"/>
    </row>
    <row r="8" spans="1:38" s="6" customFormat="1" ht="30.75" customHeight="1" x14ac:dyDescent="0.2">
      <c r="A8" s="243" t="s">
        <v>11</v>
      </c>
      <c r="B8" s="148"/>
      <c r="C8" s="243" t="s">
        <v>12</v>
      </c>
      <c r="D8" s="242" t="s">
        <v>127</v>
      </c>
      <c r="E8" s="242" t="s">
        <v>129</v>
      </c>
      <c r="F8" s="243" t="s">
        <v>128</v>
      </c>
      <c r="G8" s="243" t="s">
        <v>13</v>
      </c>
      <c r="H8" s="243" t="s">
        <v>14</v>
      </c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148"/>
      <c r="Z8" s="243" t="s">
        <v>15</v>
      </c>
      <c r="AA8" s="243"/>
      <c r="AB8" s="243"/>
      <c r="AC8" s="243"/>
      <c r="AD8" s="243"/>
      <c r="AE8" s="149"/>
      <c r="AF8" s="150"/>
      <c r="AG8" s="149"/>
      <c r="AH8" s="240"/>
      <c r="AI8" s="123"/>
      <c r="AJ8" s="13"/>
      <c r="AK8" s="14"/>
    </row>
    <row r="9" spans="1:38" s="6" customFormat="1" ht="279.95" customHeight="1" x14ac:dyDescent="0.2">
      <c r="A9" s="243"/>
      <c r="B9" s="148"/>
      <c r="C9" s="243"/>
      <c r="D9" s="242"/>
      <c r="E9" s="242"/>
      <c r="F9" s="243"/>
      <c r="G9" s="243"/>
      <c r="H9" s="151" t="s">
        <v>125</v>
      </c>
      <c r="I9" s="151">
        <v>1.0900000000000001</v>
      </c>
      <c r="J9" s="151" t="s">
        <v>131</v>
      </c>
      <c r="K9" s="151" t="s">
        <v>126</v>
      </c>
      <c r="L9" s="150" t="s">
        <v>17</v>
      </c>
      <c r="M9" s="151" t="s">
        <v>18</v>
      </c>
      <c r="N9" s="152" t="s">
        <v>19</v>
      </c>
      <c r="O9" s="151" t="s">
        <v>20</v>
      </c>
      <c r="P9" s="153" t="s">
        <v>21</v>
      </c>
      <c r="Q9" s="151" t="s">
        <v>22</v>
      </c>
      <c r="R9" s="153" t="s">
        <v>23</v>
      </c>
      <c r="S9" s="151" t="s">
        <v>24</v>
      </c>
      <c r="T9" s="150" t="s">
        <v>25</v>
      </c>
      <c r="U9" s="150" t="s">
        <v>26</v>
      </c>
      <c r="V9" s="150" t="s">
        <v>27</v>
      </c>
      <c r="W9" s="150" t="s">
        <v>28</v>
      </c>
      <c r="X9" s="154" t="s">
        <v>124</v>
      </c>
      <c r="Y9" s="155" t="s">
        <v>123</v>
      </c>
      <c r="Z9" s="156" t="s">
        <v>30</v>
      </c>
      <c r="AA9" s="157" t="s">
        <v>31</v>
      </c>
      <c r="AB9" s="158" t="s">
        <v>32</v>
      </c>
      <c r="AC9" s="158" t="s">
        <v>33</v>
      </c>
      <c r="AD9" s="158" t="s">
        <v>111</v>
      </c>
      <c r="AE9" s="158" t="s">
        <v>34</v>
      </c>
      <c r="AF9" s="158" t="s">
        <v>35</v>
      </c>
      <c r="AG9" s="158" t="s">
        <v>36</v>
      </c>
      <c r="AH9" s="240"/>
      <c r="AI9" s="237"/>
      <c r="AJ9" s="41"/>
      <c r="AK9" s="14"/>
    </row>
    <row r="10" spans="1:38" s="50" customFormat="1" ht="55.5" customHeight="1" x14ac:dyDescent="0.2">
      <c r="A10" s="159">
        <v>1</v>
      </c>
      <c r="B10" s="159" t="s">
        <v>37</v>
      </c>
      <c r="C10" s="160" t="s">
        <v>38</v>
      </c>
      <c r="D10" s="224"/>
      <c r="E10" s="224"/>
      <c r="F10" s="160"/>
      <c r="G10" s="161" t="s">
        <v>39</v>
      </c>
      <c r="H10" s="162">
        <v>74180</v>
      </c>
      <c r="I10" s="162">
        <f>+H10*$I$9+143.8-8000</f>
        <v>73000.000000000015</v>
      </c>
      <c r="J10" s="162">
        <v>8000</v>
      </c>
      <c r="K10" s="162">
        <v>0</v>
      </c>
      <c r="L10" s="163">
        <v>30</v>
      </c>
      <c r="M10" s="164">
        <f>I10/30*L10+J10+K10</f>
        <v>81000.000000000015</v>
      </c>
      <c r="N10" s="165"/>
      <c r="O10" s="164"/>
      <c r="P10" s="161">
        <v>0</v>
      </c>
      <c r="Q10" s="164">
        <f t="shared" ref="Q10:Q30" si="0">H10/192*P10*1.5</f>
        <v>0</v>
      </c>
      <c r="R10" s="161"/>
      <c r="S10" s="164">
        <f>M10/192*R10*2</f>
        <v>0</v>
      </c>
      <c r="T10" s="161"/>
      <c r="U10" s="161">
        <v>0</v>
      </c>
      <c r="V10" s="163">
        <v>0</v>
      </c>
      <c r="W10" s="161">
        <f>M10/30*V10</f>
        <v>0</v>
      </c>
      <c r="X10" s="162">
        <f t="shared" ref="X10:X30" si="1">M10+O10+Q10+S10+T10+U10+W10</f>
        <v>81000.000000000015</v>
      </c>
      <c r="Y10" s="162"/>
      <c r="Z10" s="162">
        <v>10437.5</v>
      </c>
      <c r="AA10" s="163"/>
      <c r="AB10" s="162">
        <f t="shared" ref="AB10:AB30" si="2">X10*3%</f>
        <v>2430.0000000000005</v>
      </c>
      <c r="AC10" s="162">
        <f t="shared" ref="AC10:AC30" si="3">X10*0.01</f>
        <v>810.00000000000011</v>
      </c>
      <c r="AD10" s="162">
        <f t="shared" ref="AD10:AD30" si="4">+Y10+Z10+AA10+AB10+AC10</f>
        <v>13677.5</v>
      </c>
      <c r="AE10" s="162">
        <f t="shared" ref="AE10:AE30" si="5">X10-AD10</f>
        <v>67322.500000000015</v>
      </c>
      <c r="AF10" s="166">
        <v>304762846</v>
      </c>
      <c r="AG10" s="167">
        <f>SUM(X10:X17)</f>
        <v>174740</v>
      </c>
      <c r="AH10" s="212">
        <f>+AG10*1.04</f>
        <v>181729.6</v>
      </c>
      <c r="AI10" s="238"/>
      <c r="AJ10" s="48"/>
      <c r="AK10" s="48"/>
      <c r="AL10" s="49"/>
    </row>
    <row r="11" spans="1:38" s="54" customFormat="1" ht="55.5" customHeight="1" x14ac:dyDescent="0.2">
      <c r="A11" s="159">
        <f>+A10+1</f>
        <v>2</v>
      </c>
      <c r="B11" s="168" t="s">
        <v>37</v>
      </c>
      <c r="C11" s="169" t="s">
        <v>40</v>
      </c>
      <c r="D11" s="224"/>
      <c r="E11" s="224"/>
      <c r="F11" s="169"/>
      <c r="G11" s="169" t="s">
        <v>41</v>
      </c>
      <c r="H11" s="162">
        <v>10400</v>
      </c>
      <c r="I11" s="162">
        <f>+H11*$I$9</f>
        <v>11336</v>
      </c>
      <c r="J11" s="162"/>
      <c r="K11" s="162">
        <v>0</v>
      </c>
      <c r="L11" s="163">
        <v>30</v>
      </c>
      <c r="M11" s="164">
        <f>I11/30*L11+K11</f>
        <v>11336</v>
      </c>
      <c r="N11" s="165">
        <v>160</v>
      </c>
      <c r="O11" s="164">
        <f>+M11/L11/8*N11*0.25</f>
        <v>1889.3333333333335</v>
      </c>
      <c r="P11" s="161">
        <v>0</v>
      </c>
      <c r="Q11" s="164">
        <f t="shared" si="0"/>
        <v>0</v>
      </c>
      <c r="R11" s="161">
        <f>4.5*8</f>
        <v>36</v>
      </c>
      <c r="S11" s="164">
        <f t="shared" ref="S11:S30" si="6">M11/192*R11*2</f>
        <v>4251</v>
      </c>
      <c r="T11" s="170"/>
      <c r="U11" s="161">
        <v>0</v>
      </c>
      <c r="V11" s="163">
        <v>0</v>
      </c>
      <c r="W11" s="161">
        <f t="shared" ref="W11:W30" si="7">M11/30*V11</f>
        <v>0</v>
      </c>
      <c r="X11" s="162">
        <f t="shared" si="1"/>
        <v>17476.333333333336</v>
      </c>
      <c r="Y11" s="162"/>
      <c r="Z11" s="171"/>
      <c r="AA11" s="171"/>
      <c r="AB11" s="162">
        <f t="shared" si="2"/>
        <v>524.29000000000008</v>
      </c>
      <c r="AC11" s="162">
        <f t="shared" si="3"/>
        <v>174.76333333333335</v>
      </c>
      <c r="AD11" s="162">
        <f t="shared" si="4"/>
        <v>699.0533333333334</v>
      </c>
      <c r="AE11" s="162">
        <f t="shared" si="5"/>
        <v>16777.280000000002</v>
      </c>
      <c r="AF11" s="166">
        <v>312688813</v>
      </c>
      <c r="AG11" s="169"/>
      <c r="AH11" s="212"/>
      <c r="AI11" s="238"/>
      <c r="AJ11" s="52"/>
      <c r="AK11" s="52"/>
      <c r="AL11" s="53"/>
    </row>
    <row r="12" spans="1:38" s="50" customFormat="1" ht="55.5" customHeight="1" x14ac:dyDescent="0.2">
      <c r="A12" s="159">
        <f t="shared" ref="A12:A30" si="8">+A11+1</f>
        <v>3</v>
      </c>
      <c r="B12" s="159" t="s">
        <v>37</v>
      </c>
      <c r="C12" s="172" t="s">
        <v>42</v>
      </c>
      <c r="D12" s="225"/>
      <c r="E12" s="225"/>
      <c r="F12" s="172"/>
      <c r="G12" s="160" t="s">
        <v>41</v>
      </c>
      <c r="H12" s="162">
        <v>10400</v>
      </c>
      <c r="I12" s="162">
        <f t="shared" ref="I12:I28" si="9">+H12*$I$9</f>
        <v>11336</v>
      </c>
      <c r="J12" s="162"/>
      <c r="K12" s="162">
        <v>0</v>
      </c>
      <c r="L12" s="163">
        <v>30</v>
      </c>
      <c r="M12" s="164">
        <f t="shared" ref="M12:M30" si="10">I12/30*L12+K12</f>
        <v>11336</v>
      </c>
      <c r="N12" s="165">
        <v>160</v>
      </c>
      <c r="O12" s="164">
        <f t="shared" ref="O12:O18" si="11">+M12/L12/8*N12*0.25</f>
        <v>1889.3333333333335</v>
      </c>
      <c r="P12" s="161">
        <v>0</v>
      </c>
      <c r="Q12" s="164">
        <f t="shared" si="0"/>
        <v>0</v>
      </c>
      <c r="R12" s="161">
        <f>5*8</f>
        <v>40</v>
      </c>
      <c r="S12" s="164">
        <f t="shared" si="6"/>
        <v>4723.333333333333</v>
      </c>
      <c r="T12" s="161"/>
      <c r="U12" s="161">
        <v>0</v>
      </c>
      <c r="V12" s="163">
        <v>0</v>
      </c>
      <c r="W12" s="161">
        <f t="shared" si="7"/>
        <v>0</v>
      </c>
      <c r="X12" s="162">
        <f t="shared" si="1"/>
        <v>17948.666666666668</v>
      </c>
      <c r="Y12" s="173"/>
      <c r="Z12" s="162"/>
      <c r="AA12" s="163"/>
      <c r="AB12" s="162">
        <f t="shared" si="2"/>
        <v>538.46</v>
      </c>
      <c r="AC12" s="162">
        <f t="shared" si="3"/>
        <v>179.48666666666668</v>
      </c>
      <c r="AD12" s="162">
        <f t="shared" si="4"/>
        <v>717.94666666666672</v>
      </c>
      <c r="AE12" s="162">
        <f t="shared" si="5"/>
        <v>17230.72</v>
      </c>
      <c r="AF12" s="166">
        <v>88904090</v>
      </c>
      <c r="AG12" s="167"/>
      <c r="AH12" s="212"/>
      <c r="AI12" s="238"/>
      <c r="AJ12" s="48"/>
      <c r="AK12" s="48"/>
      <c r="AL12" s="49"/>
    </row>
    <row r="13" spans="1:38" s="50" customFormat="1" ht="55.5" customHeight="1" x14ac:dyDescent="0.2">
      <c r="A13" s="159">
        <f t="shared" si="8"/>
        <v>4</v>
      </c>
      <c r="B13" s="159" t="s">
        <v>37</v>
      </c>
      <c r="C13" s="160" t="s">
        <v>43</v>
      </c>
      <c r="D13" s="224"/>
      <c r="E13" s="224"/>
      <c r="F13" s="160"/>
      <c r="G13" s="160" t="s">
        <v>41</v>
      </c>
      <c r="H13" s="162">
        <v>10400</v>
      </c>
      <c r="I13" s="162">
        <f t="shared" si="9"/>
        <v>11336</v>
      </c>
      <c r="J13" s="162"/>
      <c r="K13" s="162">
        <v>0</v>
      </c>
      <c r="L13" s="163">
        <v>30</v>
      </c>
      <c r="M13" s="164">
        <f t="shared" si="10"/>
        <v>11336</v>
      </c>
      <c r="N13" s="165">
        <v>160</v>
      </c>
      <c r="O13" s="164">
        <f t="shared" si="11"/>
        <v>1889.3333333333335</v>
      </c>
      <c r="P13" s="161">
        <v>0</v>
      </c>
      <c r="Q13" s="164">
        <f t="shared" si="0"/>
        <v>0</v>
      </c>
      <c r="R13" s="161">
        <v>8</v>
      </c>
      <c r="S13" s="164">
        <f t="shared" si="6"/>
        <v>944.66666666666663</v>
      </c>
      <c r="T13" s="161"/>
      <c r="U13" s="161">
        <v>0</v>
      </c>
      <c r="V13" s="163">
        <v>0</v>
      </c>
      <c r="W13" s="161">
        <f t="shared" si="7"/>
        <v>0</v>
      </c>
      <c r="X13" s="162">
        <f t="shared" si="1"/>
        <v>14170</v>
      </c>
      <c r="Y13" s="173"/>
      <c r="Z13" s="162"/>
      <c r="AA13" s="163"/>
      <c r="AB13" s="162">
        <f t="shared" si="2"/>
        <v>425.09999999999997</v>
      </c>
      <c r="AC13" s="162">
        <f t="shared" si="3"/>
        <v>141.70000000000002</v>
      </c>
      <c r="AD13" s="162">
        <f t="shared" si="4"/>
        <v>566.79999999999995</v>
      </c>
      <c r="AE13" s="162">
        <f t="shared" si="5"/>
        <v>13603.2</v>
      </c>
      <c r="AF13" s="166">
        <v>311846368</v>
      </c>
      <c r="AG13" s="167"/>
      <c r="AH13" s="212"/>
      <c r="AI13" s="238"/>
      <c r="AJ13" s="48"/>
      <c r="AK13" s="48"/>
      <c r="AL13" s="49"/>
    </row>
    <row r="14" spans="1:38" s="50" customFormat="1" ht="55.5" customHeight="1" x14ac:dyDescent="0.2">
      <c r="A14" s="159">
        <f t="shared" si="8"/>
        <v>5</v>
      </c>
      <c r="B14" s="159" t="s">
        <v>37</v>
      </c>
      <c r="C14" s="160" t="s">
        <v>44</v>
      </c>
      <c r="D14" s="224"/>
      <c r="E14" s="224"/>
      <c r="F14" s="160"/>
      <c r="G14" s="160" t="s">
        <v>45</v>
      </c>
      <c r="H14" s="162">
        <v>10000</v>
      </c>
      <c r="I14" s="162">
        <f t="shared" si="9"/>
        <v>10900</v>
      </c>
      <c r="J14" s="162"/>
      <c r="K14" s="162">
        <v>0</v>
      </c>
      <c r="L14" s="163">
        <v>30</v>
      </c>
      <c r="M14" s="164">
        <f t="shared" si="10"/>
        <v>10900</v>
      </c>
      <c r="N14" s="165"/>
      <c r="O14" s="164">
        <f t="shared" si="11"/>
        <v>0</v>
      </c>
      <c r="P14" s="161">
        <v>0</v>
      </c>
      <c r="Q14" s="164">
        <f t="shared" si="0"/>
        <v>0</v>
      </c>
      <c r="R14" s="161"/>
      <c r="S14" s="164">
        <f t="shared" si="6"/>
        <v>0</v>
      </c>
      <c r="T14" s="161"/>
      <c r="U14" s="161">
        <v>0</v>
      </c>
      <c r="V14" s="163">
        <v>0</v>
      </c>
      <c r="W14" s="161">
        <f t="shared" si="7"/>
        <v>0</v>
      </c>
      <c r="X14" s="162">
        <f t="shared" si="1"/>
        <v>10900</v>
      </c>
      <c r="Y14" s="173"/>
      <c r="Z14" s="162"/>
      <c r="AA14" s="163"/>
      <c r="AB14" s="162">
        <f t="shared" si="2"/>
        <v>327</v>
      </c>
      <c r="AC14" s="162">
        <f t="shared" si="3"/>
        <v>109</v>
      </c>
      <c r="AD14" s="162">
        <f t="shared" si="4"/>
        <v>436</v>
      </c>
      <c r="AE14" s="162">
        <f t="shared" si="5"/>
        <v>10464</v>
      </c>
      <c r="AF14" s="166">
        <v>465121888</v>
      </c>
      <c r="AG14" s="167"/>
      <c r="AH14" s="212"/>
      <c r="AI14" s="238"/>
      <c r="AJ14" s="48"/>
      <c r="AK14" s="48"/>
      <c r="AL14" s="49"/>
    </row>
    <row r="15" spans="1:38" s="50" customFormat="1" ht="55.5" customHeight="1" x14ac:dyDescent="0.2">
      <c r="A15" s="159">
        <f t="shared" si="8"/>
        <v>6</v>
      </c>
      <c r="B15" s="159" t="s">
        <v>37</v>
      </c>
      <c r="C15" s="160" t="s">
        <v>46</v>
      </c>
      <c r="D15" s="224"/>
      <c r="E15" s="224"/>
      <c r="F15" s="160"/>
      <c r="G15" s="160" t="s">
        <v>47</v>
      </c>
      <c r="H15" s="162">
        <v>10500</v>
      </c>
      <c r="I15" s="162">
        <f t="shared" si="9"/>
        <v>11445</v>
      </c>
      <c r="J15" s="162"/>
      <c r="K15" s="162">
        <v>0</v>
      </c>
      <c r="L15" s="163">
        <v>30</v>
      </c>
      <c r="M15" s="164">
        <f t="shared" si="10"/>
        <v>11445</v>
      </c>
      <c r="N15" s="165"/>
      <c r="O15" s="164">
        <f t="shared" si="11"/>
        <v>0</v>
      </c>
      <c r="P15" s="161">
        <v>0</v>
      </c>
      <c r="Q15" s="164">
        <f t="shared" si="0"/>
        <v>0</v>
      </c>
      <c r="R15" s="161"/>
      <c r="S15" s="164">
        <f t="shared" si="6"/>
        <v>0</v>
      </c>
      <c r="T15" s="161"/>
      <c r="U15" s="161">
        <v>0</v>
      </c>
      <c r="V15" s="163">
        <v>0</v>
      </c>
      <c r="W15" s="161">
        <f t="shared" si="7"/>
        <v>0</v>
      </c>
      <c r="X15" s="162">
        <f t="shared" si="1"/>
        <v>11445</v>
      </c>
      <c r="Y15" s="173"/>
      <c r="Z15" s="162"/>
      <c r="AA15" s="163"/>
      <c r="AB15" s="162">
        <f t="shared" si="2"/>
        <v>343.34999999999997</v>
      </c>
      <c r="AC15" s="162">
        <f t="shared" si="3"/>
        <v>114.45</v>
      </c>
      <c r="AD15" s="162">
        <f t="shared" si="4"/>
        <v>457.79999999999995</v>
      </c>
      <c r="AE15" s="162">
        <f t="shared" si="5"/>
        <v>10987.2</v>
      </c>
      <c r="AF15" s="174">
        <v>465126932</v>
      </c>
      <c r="AG15" s="167"/>
      <c r="AH15" s="212"/>
      <c r="AI15" s="238"/>
      <c r="AJ15" s="48"/>
      <c r="AK15" s="48"/>
      <c r="AL15" s="49"/>
    </row>
    <row r="16" spans="1:38" s="50" customFormat="1" ht="55.5" customHeight="1" x14ac:dyDescent="0.2">
      <c r="A16" s="159">
        <f t="shared" si="8"/>
        <v>7</v>
      </c>
      <c r="B16" s="159" t="s">
        <v>37</v>
      </c>
      <c r="C16" s="175" t="s">
        <v>49</v>
      </c>
      <c r="D16" s="226"/>
      <c r="E16" s="226"/>
      <c r="F16" s="175">
        <v>151700586</v>
      </c>
      <c r="G16" s="176" t="s">
        <v>47</v>
      </c>
      <c r="H16" s="177">
        <v>10000</v>
      </c>
      <c r="I16" s="162">
        <f t="shared" si="9"/>
        <v>10900</v>
      </c>
      <c r="J16" s="162"/>
      <c r="K16" s="162">
        <v>0</v>
      </c>
      <c r="L16" s="178">
        <v>30</v>
      </c>
      <c r="M16" s="164">
        <f t="shared" si="10"/>
        <v>10900</v>
      </c>
      <c r="N16" s="165"/>
      <c r="O16" s="164">
        <f t="shared" si="11"/>
        <v>0</v>
      </c>
      <c r="P16" s="179">
        <v>0</v>
      </c>
      <c r="Q16" s="219">
        <f t="shared" si="0"/>
        <v>0</v>
      </c>
      <c r="R16" s="161"/>
      <c r="S16" s="164">
        <f t="shared" si="6"/>
        <v>0</v>
      </c>
      <c r="T16" s="179"/>
      <c r="U16" s="179">
        <v>0</v>
      </c>
      <c r="V16" s="178">
        <v>0</v>
      </c>
      <c r="W16" s="161">
        <f t="shared" si="7"/>
        <v>0</v>
      </c>
      <c r="X16" s="162">
        <f t="shared" si="1"/>
        <v>10900</v>
      </c>
      <c r="Y16" s="180"/>
      <c r="Z16" s="177"/>
      <c r="AA16" s="178"/>
      <c r="AB16" s="162">
        <f t="shared" si="2"/>
        <v>327</v>
      </c>
      <c r="AC16" s="162">
        <f t="shared" si="3"/>
        <v>109</v>
      </c>
      <c r="AD16" s="162">
        <f t="shared" si="4"/>
        <v>436</v>
      </c>
      <c r="AE16" s="177">
        <f t="shared" si="5"/>
        <v>10464</v>
      </c>
      <c r="AF16" s="178">
        <v>784781120</v>
      </c>
      <c r="AG16" s="181"/>
      <c r="AH16" s="212"/>
      <c r="AI16" s="238"/>
      <c r="AJ16" s="48"/>
      <c r="AK16" s="48"/>
      <c r="AL16" s="49"/>
    </row>
    <row r="17" spans="1:179" s="50" customFormat="1" ht="55.5" customHeight="1" x14ac:dyDescent="0.2">
      <c r="A17" s="159">
        <f t="shared" si="8"/>
        <v>8</v>
      </c>
      <c r="B17" s="159" t="s">
        <v>37</v>
      </c>
      <c r="C17" s="175" t="s">
        <v>121</v>
      </c>
      <c r="D17" s="226"/>
      <c r="E17" s="226"/>
      <c r="F17" s="175"/>
      <c r="G17" s="176" t="s">
        <v>47</v>
      </c>
      <c r="H17" s="162">
        <v>10000</v>
      </c>
      <c r="I17" s="162">
        <f t="shared" si="9"/>
        <v>10900</v>
      </c>
      <c r="J17" s="162"/>
      <c r="K17" s="162">
        <v>0</v>
      </c>
      <c r="L17" s="163">
        <v>30</v>
      </c>
      <c r="M17" s="164">
        <f t="shared" si="10"/>
        <v>10900</v>
      </c>
      <c r="N17" s="165"/>
      <c r="O17" s="164">
        <f t="shared" si="11"/>
        <v>0</v>
      </c>
      <c r="P17" s="161">
        <v>0</v>
      </c>
      <c r="Q17" s="164">
        <f>H17/192*P17*1.5</f>
        <v>0</v>
      </c>
      <c r="R17" s="161"/>
      <c r="S17" s="164">
        <f t="shared" si="6"/>
        <v>0</v>
      </c>
      <c r="T17" s="161"/>
      <c r="U17" s="161">
        <v>0</v>
      </c>
      <c r="V17" s="163">
        <v>0</v>
      </c>
      <c r="W17" s="161">
        <f t="shared" si="7"/>
        <v>0</v>
      </c>
      <c r="X17" s="162">
        <f>M17+O17+Q17+S17+T17+U17+W17</f>
        <v>10900</v>
      </c>
      <c r="Y17" s="173">
        <f>2500+3000</f>
        <v>5500</v>
      </c>
      <c r="Z17" s="162"/>
      <c r="AA17" s="163"/>
      <c r="AB17" s="162">
        <f t="shared" si="2"/>
        <v>327</v>
      </c>
      <c r="AC17" s="162">
        <f t="shared" si="3"/>
        <v>109</v>
      </c>
      <c r="AD17" s="162">
        <f t="shared" si="4"/>
        <v>5936</v>
      </c>
      <c r="AE17" s="162">
        <f t="shared" si="5"/>
        <v>4964</v>
      </c>
      <c r="AF17" s="178">
        <v>1236577535</v>
      </c>
      <c r="AG17" s="182"/>
      <c r="AH17" s="212"/>
      <c r="AI17" s="238"/>
      <c r="AJ17" s="48"/>
      <c r="AK17" s="48"/>
      <c r="AL17" s="49"/>
    </row>
    <row r="18" spans="1:179" s="45" customFormat="1" ht="55.5" customHeight="1" x14ac:dyDescent="0.2">
      <c r="A18" s="159">
        <f t="shared" si="8"/>
        <v>9</v>
      </c>
      <c r="B18" s="159" t="s">
        <v>50</v>
      </c>
      <c r="C18" s="160" t="s">
        <v>51</v>
      </c>
      <c r="D18" s="227"/>
      <c r="E18" s="227"/>
      <c r="F18" s="176"/>
      <c r="G18" s="176" t="s">
        <v>45</v>
      </c>
      <c r="H18" s="162">
        <v>10050</v>
      </c>
      <c r="I18" s="162">
        <f>+H18*$I$9+0.5</f>
        <v>10955</v>
      </c>
      <c r="J18" s="162"/>
      <c r="K18" s="162">
        <v>0</v>
      </c>
      <c r="L18" s="163">
        <v>30</v>
      </c>
      <c r="M18" s="164">
        <f t="shared" si="10"/>
        <v>10955</v>
      </c>
      <c r="N18" s="165"/>
      <c r="O18" s="164">
        <f t="shared" si="11"/>
        <v>0</v>
      </c>
      <c r="P18" s="161">
        <v>0</v>
      </c>
      <c r="Q18" s="164">
        <f t="shared" si="0"/>
        <v>0</v>
      </c>
      <c r="R18" s="179"/>
      <c r="S18" s="164">
        <f t="shared" si="6"/>
        <v>0</v>
      </c>
      <c r="T18" s="161"/>
      <c r="U18" s="161">
        <v>0</v>
      </c>
      <c r="V18" s="163">
        <v>0</v>
      </c>
      <c r="W18" s="161">
        <f t="shared" si="7"/>
        <v>0</v>
      </c>
      <c r="X18" s="162">
        <f t="shared" si="1"/>
        <v>10955</v>
      </c>
      <c r="Y18" s="173"/>
      <c r="Z18" s="162"/>
      <c r="AA18" s="163"/>
      <c r="AB18" s="162">
        <f t="shared" si="2"/>
        <v>328.65</v>
      </c>
      <c r="AC18" s="162">
        <f t="shared" si="3"/>
        <v>109.55</v>
      </c>
      <c r="AD18" s="162">
        <f t="shared" si="4"/>
        <v>438.2</v>
      </c>
      <c r="AE18" s="162">
        <f t="shared" si="5"/>
        <v>10516.8</v>
      </c>
      <c r="AF18" s="163">
        <v>312354163</v>
      </c>
      <c r="AG18" s="183">
        <f>SUM(X18:X20)-6500</f>
        <v>33449</v>
      </c>
      <c r="AH18" s="212">
        <f>+AG18*1.04</f>
        <v>34786.959999999999</v>
      </c>
      <c r="AI18" s="238"/>
      <c r="AJ18" s="48"/>
      <c r="AK18" s="48"/>
      <c r="AL18" s="49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</row>
    <row r="19" spans="1:179" s="45" customFormat="1" ht="55.5" customHeight="1" x14ac:dyDescent="0.2">
      <c r="A19" s="159">
        <f t="shared" si="8"/>
        <v>10</v>
      </c>
      <c r="B19" s="159" t="s">
        <v>50</v>
      </c>
      <c r="C19" s="184" t="s">
        <v>52</v>
      </c>
      <c r="D19" s="228"/>
      <c r="E19" s="228"/>
      <c r="F19" s="184"/>
      <c r="G19" s="160" t="s">
        <v>114</v>
      </c>
      <c r="H19" s="162">
        <v>13600</v>
      </c>
      <c r="I19" s="162">
        <f t="shared" si="9"/>
        <v>14824.000000000002</v>
      </c>
      <c r="J19" s="162"/>
      <c r="K19" s="162">
        <v>0</v>
      </c>
      <c r="L19" s="163">
        <v>30</v>
      </c>
      <c r="M19" s="164">
        <f t="shared" si="10"/>
        <v>14824.000000000002</v>
      </c>
      <c r="N19" s="165"/>
      <c r="O19" s="164"/>
      <c r="P19" s="161">
        <v>0</v>
      </c>
      <c r="Q19" s="164">
        <f t="shared" si="0"/>
        <v>0</v>
      </c>
      <c r="R19" s="161"/>
      <c r="S19" s="164">
        <f t="shared" si="6"/>
        <v>0</v>
      </c>
      <c r="T19" s="161"/>
      <c r="U19" s="161">
        <v>0</v>
      </c>
      <c r="V19" s="163">
        <v>0</v>
      </c>
      <c r="W19" s="161">
        <f t="shared" si="7"/>
        <v>0</v>
      </c>
      <c r="X19" s="162">
        <f t="shared" si="1"/>
        <v>14824.000000000002</v>
      </c>
      <c r="Y19" s="173"/>
      <c r="Z19" s="162"/>
      <c r="AA19" s="163"/>
      <c r="AB19" s="162">
        <f t="shared" si="2"/>
        <v>444.72</v>
      </c>
      <c r="AC19" s="162">
        <f t="shared" si="3"/>
        <v>148.24</v>
      </c>
      <c r="AD19" s="162">
        <f t="shared" si="4"/>
        <v>592.96</v>
      </c>
      <c r="AE19" s="162">
        <f t="shared" si="5"/>
        <v>14231.04</v>
      </c>
      <c r="AF19" s="163">
        <v>426758485</v>
      </c>
      <c r="AG19" s="163"/>
      <c r="AH19" s="241"/>
      <c r="AI19" s="238"/>
      <c r="AJ19" s="48"/>
      <c r="AK19" s="48"/>
      <c r="AL19" s="49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</row>
    <row r="20" spans="1:179" s="50" customFormat="1" ht="73.5" customHeight="1" x14ac:dyDescent="0.2">
      <c r="A20" s="159">
        <f t="shared" si="8"/>
        <v>11</v>
      </c>
      <c r="B20" s="185" t="s">
        <v>53</v>
      </c>
      <c r="C20" s="184" t="s">
        <v>54</v>
      </c>
      <c r="D20" s="228"/>
      <c r="E20" s="228"/>
      <c r="F20" s="184"/>
      <c r="G20" s="160" t="s">
        <v>115</v>
      </c>
      <c r="H20" s="162">
        <v>13000</v>
      </c>
      <c r="I20" s="162">
        <f t="shared" si="9"/>
        <v>14170.000000000002</v>
      </c>
      <c r="J20" s="162"/>
      <c r="K20" s="162">
        <v>0</v>
      </c>
      <c r="L20" s="163">
        <v>30</v>
      </c>
      <c r="M20" s="164">
        <f t="shared" si="10"/>
        <v>14170.000000000002</v>
      </c>
      <c r="N20" s="165"/>
      <c r="O20" s="164"/>
      <c r="P20" s="161">
        <v>0</v>
      </c>
      <c r="Q20" s="164">
        <f t="shared" si="0"/>
        <v>0</v>
      </c>
      <c r="R20" s="161"/>
      <c r="S20" s="164">
        <f t="shared" si="6"/>
        <v>0</v>
      </c>
      <c r="T20" s="161"/>
      <c r="U20" s="161">
        <v>0</v>
      </c>
      <c r="V20" s="163">
        <v>0</v>
      </c>
      <c r="W20" s="161">
        <f t="shared" si="7"/>
        <v>0</v>
      </c>
      <c r="X20" s="162">
        <f t="shared" si="1"/>
        <v>14170.000000000002</v>
      </c>
      <c r="Y20" s="173"/>
      <c r="Z20" s="162"/>
      <c r="AA20" s="163"/>
      <c r="AB20" s="162">
        <f t="shared" si="2"/>
        <v>425.1</v>
      </c>
      <c r="AC20" s="162">
        <f t="shared" si="3"/>
        <v>141.70000000000002</v>
      </c>
      <c r="AD20" s="162">
        <f t="shared" si="4"/>
        <v>566.80000000000007</v>
      </c>
      <c r="AE20" s="162">
        <f t="shared" si="5"/>
        <v>13603.200000000003</v>
      </c>
      <c r="AF20" s="166" t="s">
        <v>55</v>
      </c>
      <c r="AG20" s="167"/>
      <c r="AH20" s="212"/>
      <c r="AI20" s="238"/>
      <c r="AJ20" s="48"/>
      <c r="AK20" s="48"/>
      <c r="AL20" s="49"/>
    </row>
    <row r="21" spans="1:179" s="50" customFormat="1" ht="60.75" customHeight="1" x14ac:dyDescent="0.2">
      <c r="A21" s="159">
        <f t="shared" si="8"/>
        <v>12</v>
      </c>
      <c r="B21" s="159" t="s">
        <v>56</v>
      </c>
      <c r="C21" s="160" t="s">
        <v>113</v>
      </c>
      <c r="D21" s="224"/>
      <c r="E21" s="224"/>
      <c r="F21" s="160"/>
      <c r="G21" s="160" t="s">
        <v>116</v>
      </c>
      <c r="H21" s="162">
        <v>13650</v>
      </c>
      <c r="I21" s="162">
        <f>+H21*$I$9+0.5</f>
        <v>14879.000000000002</v>
      </c>
      <c r="J21" s="162"/>
      <c r="K21" s="162">
        <v>0</v>
      </c>
      <c r="L21" s="163">
        <v>30</v>
      </c>
      <c r="M21" s="164">
        <f t="shared" si="10"/>
        <v>14879.000000000002</v>
      </c>
      <c r="N21" s="165"/>
      <c r="O21" s="164"/>
      <c r="P21" s="161">
        <v>0</v>
      </c>
      <c r="Q21" s="164">
        <f t="shared" si="0"/>
        <v>0</v>
      </c>
      <c r="R21" s="161"/>
      <c r="S21" s="164">
        <f t="shared" si="6"/>
        <v>0</v>
      </c>
      <c r="T21" s="161"/>
      <c r="U21" s="161">
        <v>0</v>
      </c>
      <c r="V21" s="163">
        <v>0</v>
      </c>
      <c r="W21" s="161">
        <f t="shared" si="7"/>
        <v>0</v>
      </c>
      <c r="X21" s="162">
        <f t="shared" si="1"/>
        <v>14879.000000000002</v>
      </c>
      <c r="Y21" s="173"/>
      <c r="Z21" s="162"/>
      <c r="AA21" s="163"/>
      <c r="AB21" s="162">
        <f t="shared" si="2"/>
        <v>446.37000000000006</v>
      </c>
      <c r="AC21" s="162">
        <f t="shared" si="3"/>
        <v>148.79000000000002</v>
      </c>
      <c r="AD21" s="162">
        <f t="shared" si="4"/>
        <v>595.16000000000008</v>
      </c>
      <c r="AE21" s="162">
        <f t="shared" si="5"/>
        <v>14283.840000000002</v>
      </c>
      <c r="AF21" s="163">
        <v>311712702</v>
      </c>
      <c r="AG21" s="167">
        <f>SUM(X21:X24)</f>
        <v>58534</v>
      </c>
      <c r="AH21" s="212">
        <f>+AG21*1.04</f>
        <v>60875.360000000001</v>
      </c>
      <c r="AI21" s="238"/>
      <c r="AJ21" s="48"/>
      <c r="AK21" s="48"/>
      <c r="AL21" s="49"/>
    </row>
    <row r="22" spans="1:179" s="50" customFormat="1" ht="53.25" customHeight="1" x14ac:dyDescent="0.2">
      <c r="A22" s="159">
        <f t="shared" si="8"/>
        <v>13</v>
      </c>
      <c r="B22" s="159" t="s">
        <v>56</v>
      </c>
      <c r="C22" s="160" t="s">
        <v>58</v>
      </c>
      <c r="D22" s="224"/>
      <c r="E22" s="224"/>
      <c r="F22" s="160"/>
      <c r="G22" s="160" t="s">
        <v>45</v>
      </c>
      <c r="H22" s="162">
        <v>10050</v>
      </c>
      <c r="I22" s="162">
        <f>+H22*$I$9+0.5</f>
        <v>10955</v>
      </c>
      <c r="J22" s="162"/>
      <c r="K22" s="162">
        <v>0</v>
      </c>
      <c r="L22" s="163">
        <v>30</v>
      </c>
      <c r="M22" s="164">
        <f t="shared" si="10"/>
        <v>10955</v>
      </c>
      <c r="N22" s="165"/>
      <c r="O22" s="164"/>
      <c r="P22" s="161">
        <v>0</v>
      </c>
      <c r="Q22" s="164">
        <f t="shared" si="0"/>
        <v>0</v>
      </c>
      <c r="R22" s="161"/>
      <c r="S22" s="164">
        <f t="shared" si="6"/>
        <v>0</v>
      </c>
      <c r="T22" s="161"/>
      <c r="U22" s="161">
        <v>0</v>
      </c>
      <c r="V22" s="163">
        <v>0</v>
      </c>
      <c r="W22" s="161">
        <f t="shared" si="7"/>
        <v>0</v>
      </c>
      <c r="X22" s="162">
        <f t="shared" si="1"/>
        <v>10955</v>
      </c>
      <c r="Y22" s="173"/>
      <c r="Z22" s="162"/>
      <c r="AA22" s="163"/>
      <c r="AB22" s="162">
        <f t="shared" si="2"/>
        <v>328.65</v>
      </c>
      <c r="AC22" s="162">
        <f t="shared" si="3"/>
        <v>109.55</v>
      </c>
      <c r="AD22" s="162">
        <f t="shared" si="4"/>
        <v>438.2</v>
      </c>
      <c r="AE22" s="162">
        <f t="shared" si="5"/>
        <v>10516.8</v>
      </c>
      <c r="AF22" s="163">
        <v>98059241</v>
      </c>
      <c r="AG22" s="167"/>
      <c r="AH22" s="212"/>
      <c r="AI22" s="238"/>
      <c r="AJ22" s="48"/>
      <c r="AK22" s="48"/>
      <c r="AL22" s="49"/>
    </row>
    <row r="23" spans="1:179" s="50" customFormat="1" ht="53.25" customHeight="1" x14ac:dyDescent="0.2">
      <c r="A23" s="159">
        <f t="shared" si="8"/>
        <v>14</v>
      </c>
      <c r="B23" s="159" t="s">
        <v>56</v>
      </c>
      <c r="C23" s="172" t="s">
        <v>59</v>
      </c>
      <c r="D23" s="225"/>
      <c r="E23" s="225"/>
      <c r="F23" s="172"/>
      <c r="G23" s="160" t="s">
        <v>115</v>
      </c>
      <c r="H23" s="162">
        <v>15000</v>
      </c>
      <c r="I23" s="162">
        <f t="shared" si="9"/>
        <v>16350.000000000002</v>
      </c>
      <c r="J23" s="162"/>
      <c r="K23" s="162">
        <v>0</v>
      </c>
      <c r="L23" s="163">
        <v>30</v>
      </c>
      <c r="M23" s="164">
        <f t="shared" si="10"/>
        <v>16350.000000000004</v>
      </c>
      <c r="N23" s="165"/>
      <c r="O23" s="164"/>
      <c r="P23" s="161">
        <v>0</v>
      </c>
      <c r="Q23" s="164">
        <f t="shared" si="0"/>
        <v>0</v>
      </c>
      <c r="R23" s="161"/>
      <c r="S23" s="164">
        <f t="shared" si="6"/>
        <v>0</v>
      </c>
      <c r="T23" s="161"/>
      <c r="U23" s="161">
        <v>0</v>
      </c>
      <c r="V23" s="163">
        <v>0</v>
      </c>
      <c r="W23" s="161">
        <f t="shared" si="7"/>
        <v>0</v>
      </c>
      <c r="X23" s="162">
        <f t="shared" si="1"/>
        <v>16350.000000000004</v>
      </c>
      <c r="Y23" s="173"/>
      <c r="Z23" s="162"/>
      <c r="AA23" s="163"/>
      <c r="AB23" s="162">
        <f t="shared" si="2"/>
        <v>490.50000000000011</v>
      </c>
      <c r="AC23" s="162">
        <f t="shared" si="3"/>
        <v>163.50000000000003</v>
      </c>
      <c r="AD23" s="162">
        <f t="shared" si="4"/>
        <v>654.00000000000011</v>
      </c>
      <c r="AE23" s="162">
        <f t="shared" si="5"/>
        <v>15696.000000000004</v>
      </c>
      <c r="AF23" s="186">
        <v>411440730</v>
      </c>
      <c r="AG23" s="167"/>
      <c r="AH23" s="212"/>
      <c r="AI23" s="238"/>
      <c r="AJ23" s="48"/>
      <c r="AK23" s="48"/>
      <c r="AL23" s="49"/>
    </row>
    <row r="24" spans="1:179" s="50" customFormat="1" ht="55.5" customHeight="1" x14ac:dyDescent="0.2">
      <c r="A24" s="159">
        <f t="shared" si="8"/>
        <v>15</v>
      </c>
      <c r="B24" s="159" t="s">
        <v>56</v>
      </c>
      <c r="C24" s="184" t="s">
        <v>60</v>
      </c>
      <c r="D24" s="228"/>
      <c r="E24" s="228"/>
      <c r="F24" s="184">
        <v>147597851</v>
      </c>
      <c r="G24" s="160" t="s">
        <v>114</v>
      </c>
      <c r="H24" s="162">
        <v>15000</v>
      </c>
      <c r="I24" s="162">
        <f t="shared" si="9"/>
        <v>16350.000000000002</v>
      </c>
      <c r="J24" s="162"/>
      <c r="K24" s="162">
        <v>0</v>
      </c>
      <c r="L24" s="163">
        <v>30</v>
      </c>
      <c r="M24" s="164">
        <f t="shared" si="10"/>
        <v>16350.000000000004</v>
      </c>
      <c r="N24" s="165"/>
      <c r="O24" s="164"/>
      <c r="P24" s="161">
        <v>0</v>
      </c>
      <c r="Q24" s="164">
        <f t="shared" si="0"/>
        <v>0</v>
      </c>
      <c r="R24" s="161"/>
      <c r="S24" s="164">
        <f t="shared" si="6"/>
        <v>0</v>
      </c>
      <c r="T24" s="161"/>
      <c r="U24" s="161">
        <v>0</v>
      </c>
      <c r="V24" s="163">
        <v>0</v>
      </c>
      <c r="W24" s="161">
        <f t="shared" si="7"/>
        <v>0</v>
      </c>
      <c r="X24" s="162">
        <f t="shared" si="1"/>
        <v>16350.000000000004</v>
      </c>
      <c r="Y24" s="173">
        <f>+Q24+S24</f>
        <v>0</v>
      </c>
      <c r="Z24" s="162"/>
      <c r="AA24" s="163"/>
      <c r="AB24" s="162">
        <f t="shared" si="2"/>
        <v>490.50000000000011</v>
      </c>
      <c r="AC24" s="162">
        <f t="shared" si="3"/>
        <v>163.50000000000003</v>
      </c>
      <c r="AD24" s="162">
        <f t="shared" si="4"/>
        <v>654.00000000000011</v>
      </c>
      <c r="AE24" s="162">
        <f t="shared" si="5"/>
        <v>15696.000000000004</v>
      </c>
      <c r="AF24" s="187" t="s">
        <v>120</v>
      </c>
      <c r="AG24" s="167"/>
      <c r="AH24" s="212"/>
      <c r="AI24" s="238"/>
      <c r="AJ24" s="48"/>
      <c r="AK24" s="49"/>
    </row>
    <row r="25" spans="1:179" s="50" customFormat="1" ht="55.5" customHeight="1" x14ac:dyDescent="0.2">
      <c r="A25" s="159">
        <f t="shared" si="8"/>
        <v>16</v>
      </c>
      <c r="B25" s="159" t="s">
        <v>61</v>
      </c>
      <c r="C25" s="160" t="s">
        <v>48</v>
      </c>
      <c r="D25" s="224"/>
      <c r="E25" s="224"/>
      <c r="F25" s="160"/>
      <c r="G25" s="160" t="s">
        <v>117</v>
      </c>
      <c r="H25" s="162">
        <v>10500</v>
      </c>
      <c r="I25" s="162">
        <f t="shared" si="9"/>
        <v>11445</v>
      </c>
      <c r="J25" s="162"/>
      <c r="K25" s="162">
        <v>0</v>
      </c>
      <c r="L25" s="163">
        <v>30</v>
      </c>
      <c r="M25" s="164">
        <f t="shared" si="10"/>
        <v>11445</v>
      </c>
      <c r="N25" s="165"/>
      <c r="O25" s="164"/>
      <c r="P25" s="161">
        <v>0</v>
      </c>
      <c r="Q25" s="164">
        <f t="shared" si="0"/>
        <v>0</v>
      </c>
      <c r="R25" s="161"/>
      <c r="S25" s="164">
        <f t="shared" si="6"/>
        <v>0</v>
      </c>
      <c r="T25" s="161"/>
      <c r="U25" s="161">
        <v>0</v>
      </c>
      <c r="V25" s="163">
        <v>0</v>
      </c>
      <c r="W25" s="161">
        <f t="shared" si="7"/>
        <v>0</v>
      </c>
      <c r="X25" s="162">
        <f t="shared" si="1"/>
        <v>11445</v>
      </c>
      <c r="Y25" s="173"/>
      <c r="Z25" s="162"/>
      <c r="AA25" s="163"/>
      <c r="AB25" s="162">
        <f t="shared" si="2"/>
        <v>343.34999999999997</v>
      </c>
      <c r="AC25" s="162">
        <f t="shared" si="3"/>
        <v>114.45</v>
      </c>
      <c r="AD25" s="162">
        <f t="shared" si="4"/>
        <v>457.79999999999995</v>
      </c>
      <c r="AE25" s="162">
        <f t="shared" si="5"/>
        <v>10987.2</v>
      </c>
      <c r="AF25" s="163">
        <v>393221511</v>
      </c>
      <c r="AG25" s="167">
        <f>SUM(X25:X27)</f>
        <v>36625</v>
      </c>
      <c r="AH25" s="212">
        <f>+AG25*1.04</f>
        <v>38090</v>
      </c>
      <c r="AI25" s="238"/>
      <c r="AJ25" s="48"/>
      <c r="AK25" s="48"/>
      <c r="AL25" s="49"/>
    </row>
    <row r="26" spans="1:179" s="50" customFormat="1" ht="55.5" customHeight="1" x14ac:dyDescent="0.2">
      <c r="A26" s="159">
        <f t="shared" si="8"/>
        <v>17</v>
      </c>
      <c r="B26" s="159" t="s">
        <v>61</v>
      </c>
      <c r="C26" s="160" t="s">
        <v>62</v>
      </c>
      <c r="D26" s="224"/>
      <c r="E26" s="224"/>
      <c r="F26" s="160"/>
      <c r="G26" s="160" t="s">
        <v>45</v>
      </c>
      <c r="H26" s="162">
        <v>10050</v>
      </c>
      <c r="I26" s="162">
        <f>+H26*$I$9+0.5</f>
        <v>10955</v>
      </c>
      <c r="J26" s="162"/>
      <c r="K26" s="162">
        <v>0</v>
      </c>
      <c r="L26" s="163">
        <v>30</v>
      </c>
      <c r="M26" s="164">
        <f t="shared" si="10"/>
        <v>10955</v>
      </c>
      <c r="N26" s="165"/>
      <c r="O26" s="164"/>
      <c r="P26" s="161">
        <v>0</v>
      </c>
      <c r="Q26" s="164">
        <f t="shared" si="0"/>
        <v>0</v>
      </c>
      <c r="R26" s="161"/>
      <c r="S26" s="164">
        <f t="shared" si="6"/>
        <v>0</v>
      </c>
      <c r="T26" s="161"/>
      <c r="U26" s="161">
        <v>0</v>
      </c>
      <c r="V26" s="163">
        <v>0</v>
      </c>
      <c r="W26" s="161">
        <f t="shared" si="7"/>
        <v>0</v>
      </c>
      <c r="X26" s="162">
        <f t="shared" si="1"/>
        <v>10955</v>
      </c>
      <c r="Y26" s="173"/>
      <c r="Z26" s="162"/>
      <c r="AA26" s="163"/>
      <c r="AB26" s="162">
        <f t="shared" si="2"/>
        <v>328.65</v>
      </c>
      <c r="AC26" s="162">
        <f t="shared" si="3"/>
        <v>109.55</v>
      </c>
      <c r="AD26" s="162">
        <f t="shared" si="4"/>
        <v>438.2</v>
      </c>
      <c r="AE26" s="162">
        <f t="shared" si="5"/>
        <v>10516.8</v>
      </c>
      <c r="AF26" s="163">
        <v>313333863</v>
      </c>
      <c r="AG26" s="167"/>
      <c r="AH26" s="212"/>
      <c r="AI26" s="238"/>
      <c r="AJ26" s="48"/>
      <c r="AK26" s="48"/>
      <c r="AL26" s="49"/>
    </row>
    <row r="27" spans="1:179" s="50" customFormat="1" ht="55.5" customHeight="1" x14ac:dyDescent="0.2">
      <c r="A27" s="159">
        <f t="shared" si="8"/>
        <v>18</v>
      </c>
      <c r="B27" s="159" t="s">
        <v>61</v>
      </c>
      <c r="C27" s="160" t="s">
        <v>63</v>
      </c>
      <c r="D27" s="224"/>
      <c r="E27" s="224"/>
      <c r="F27" s="160"/>
      <c r="G27" s="160" t="s">
        <v>114</v>
      </c>
      <c r="H27" s="162">
        <v>13050</v>
      </c>
      <c r="I27" s="162">
        <f>+H27*$I$9+0.5</f>
        <v>14225.000000000002</v>
      </c>
      <c r="J27" s="162"/>
      <c r="K27" s="162">
        <v>0</v>
      </c>
      <c r="L27" s="163">
        <v>30</v>
      </c>
      <c r="M27" s="164">
        <f t="shared" si="10"/>
        <v>14225.000000000002</v>
      </c>
      <c r="N27" s="165"/>
      <c r="O27" s="164"/>
      <c r="P27" s="161">
        <v>0</v>
      </c>
      <c r="Q27" s="164">
        <f t="shared" si="0"/>
        <v>0</v>
      </c>
      <c r="R27" s="161"/>
      <c r="S27" s="164">
        <f t="shared" si="6"/>
        <v>0</v>
      </c>
      <c r="T27" s="161"/>
      <c r="U27" s="161">
        <v>0</v>
      </c>
      <c r="V27" s="163">
        <v>0</v>
      </c>
      <c r="W27" s="161">
        <f t="shared" si="7"/>
        <v>0</v>
      </c>
      <c r="X27" s="162">
        <f t="shared" si="1"/>
        <v>14225.000000000002</v>
      </c>
      <c r="Y27" s="173"/>
      <c r="Z27" s="162"/>
      <c r="AA27" s="163"/>
      <c r="AB27" s="162">
        <f t="shared" si="2"/>
        <v>426.75000000000006</v>
      </c>
      <c r="AC27" s="162">
        <f t="shared" si="3"/>
        <v>142.25000000000003</v>
      </c>
      <c r="AD27" s="162">
        <f t="shared" si="4"/>
        <v>569.00000000000011</v>
      </c>
      <c r="AE27" s="162">
        <f t="shared" si="5"/>
        <v>13656.000000000002</v>
      </c>
      <c r="AF27" s="163">
        <v>305745068</v>
      </c>
      <c r="AG27" s="167"/>
      <c r="AH27" s="212"/>
      <c r="AI27" s="238"/>
      <c r="AJ27" s="48"/>
      <c r="AK27" s="48"/>
      <c r="AL27" s="49"/>
    </row>
    <row r="28" spans="1:179" s="50" customFormat="1" ht="55.5" customHeight="1" x14ac:dyDescent="0.2">
      <c r="A28" s="159">
        <f t="shared" si="8"/>
        <v>19</v>
      </c>
      <c r="B28" s="159" t="s">
        <v>64</v>
      </c>
      <c r="C28" s="160" t="s">
        <v>65</v>
      </c>
      <c r="D28" s="224"/>
      <c r="E28" s="224"/>
      <c r="F28" s="160"/>
      <c r="G28" s="160" t="s">
        <v>66</v>
      </c>
      <c r="H28" s="162">
        <v>10500</v>
      </c>
      <c r="I28" s="162">
        <f t="shared" si="9"/>
        <v>11445</v>
      </c>
      <c r="J28" s="162"/>
      <c r="K28" s="162">
        <v>0</v>
      </c>
      <c r="L28" s="163">
        <v>30</v>
      </c>
      <c r="M28" s="164">
        <f t="shared" si="10"/>
        <v>11445</v>
      </c>
      <c r="N28" s="165"/>
      <c r="O28" s="164"/>
      <c r="P28" s="161">
        <v>0</v>
      </c>
      <c r="Q28" s="164">
        <f t="shared" si="0"/>
        <v>0</v>
      </c>
      <c r="R28" s="161"/>
      <c r="S28" s="164">
        <f t="shared" si="6"/>
        <v>0</v>
      </c>
      <c r="T28" s="161"/>
      <c r="U28" s="161">
        <v>0</v>
      </c>
      <c r="V28" s="163">
        <v>0</v>
      </c>
      <c r="W28" s="161">
        <f t="shared" si="7"/>
        <v>0</v>
      </c>
      <c r="X28" s="162">
        <f t="shared" si="1"/>
        <v>11445</v>
      </c>
      <c r="Y28" s="173">
        <v>1500</v>
      </c>
      <c r="Z28" s="162"/>
      <c r="AA28" s="163"/>
      <c r="AB28" s="162">
        <f t="shared" si="2"/>
        <v>343.34999999999997</v>
      </c>
      <c r="AC28" s="162">
        <f t="shared" si="3"/>
        <v>114.45</v>
      </c>
      <c r="AD28" s="162">
        <f t="shared" si="4"/>
        <v>1957.8</v>
      </c>
      <c r="AE28" s="162">
        <f t="shared" si="5"/>
        <v>9487.2000000000007</v>
      </c>
      <c r="AF28" s="163">
        <v>311818141</v>
      </c>
      <c r="AG28" s="167">
        <f>SUM(X28:X30)+6500</f>
        <v>43125</v>
      </c>
      <c r="AH28" s="212">
        <f>+AG28*1.04</f>
        <v>44850</v>
      </c>
      <c r="AI28" s="238"/>
      <c r="AJ28" s="48"/>
      <c r="AK28" s="48"/>
      <c r="AL28" s="49"/>
    </row>
    <row r="29" spans="1:179" s="50" customFormat="1" ht="55.5" customHeight="1" x14ac:dyDescent="0.2">
      <c r="A29" s="159">
        <f t="shared" si="8"/>
        <v>20</v>
      </c>
      <c r="B29" s="159" t="s">
        <v>64</v>
      </c>
      <c r="C29" s="160" t="s">
        <v>67</v>
      </c>
      <c r="D29" s="224"/>
      <c r="E29" s="224"/>
      <c r="F29" s="160"/>
      <c r="G29" s="160" t="s">
        <v>114</v>
      </c>
      <c r="H29" s="162">
        <v>13050</v>
      </c>
      <c r="I29" s="162">
        <f>+H29*$I$9+0.5</f>
        <v>14225.000000000002</v>
      </c>
      <c r="J29" s="162"/>
      <c r="K29" s="162">
        <v>0</v>
      </c>
      <c r="L29" s="163">
        <v>30</v>
      </c>
      <c r="M29" s="164">
        <f t="shared" si="10"/>
        <v>14225.000000000002</v>
      </c>
      <c r="N29" s="165"/>
      <c r="O29" s="164"/>
      <c r="P29" s="161">
        <v>0</v>
      </c>
      <c r="Q29" s="164">
        <f t="shared" si="0"/>
        <v>0</v>
      </c>
      <c r="R29" s="161"/>
      <c r="S29" s="164">
        <f t="shared" si="6"/>
        <v>0</v>
      </c>
      <c r="T29" s="161"/>
      <c r="U29" s="161">
        <v>0</v>
      </c>
      <c r="V29" s="163">
        <v>0</v>
      </c>
      <c r="W29" s="161">
        <f t="shared" si="7"/>
        <v>0</v>
      </c>
      <c r="X29" s="162">
        <f t="shared" si="1"/>
        <v>14225.000000000002</v>
      </c>
      <c r="Y29" s="173"/>
      <c r="Z29" s="162"/>
      <c r="AA29" s="163"/>
      <c r="AB29" s="162">
        <f t="shared" si="2"/>
        <v>426.75000000000006</v>
      </c>
      <c r="AC29" s="162">
        <f t="shared" si="3"/>
        <v>142.25000000000003</v>
      </c>
      <c r="AD29" s="162">
        <f t="shared" si="4"/>
        <v>569.00000000000011</v>
      </c>
      <c r="AE29" s="162">
        <f t="shared" si="5"/>
        <v>13656.000000000002</v>
      </c>
      <c r="AF29" s="163">
        <v>169475394</v>
      </c>
      <c r="AG29" s="167"/>
      <c r="AH29" s="212"/>
      <c r="AI29" s="238"/>
      <c r="AJ29" s="48"/>
      <c r="AK29" s="48"/>
      <c r="AL29" s="49"/>
    </row>
    <row r="30" spans="1:179" s="50" customFormat="1" ht="66" customHeight="1" x14ac:dyDescent="0.2">
      <c r="A30" s="159">
        <f t="shared" si="8"/>
        <v>21</v>
      </c>
      <c r="B30" s="188" t="s">
        <v>64</v>
      </c>
      <c r="C30" s="189" t="s">
        <v>68</v>
      </c>
      <c r="D30" s="229"/>
      <c r="E30" s="229"/>
      <c r="F30" s="189">
        <v>122598829</v>
      </c>
      <c r="G30" s="160" t="s">
        <v>45</v>
      </c>
      <c r="H30" s="190">
        <v>10050</v>
      </c>
      <c r="I30" s="162">
        <f>+H30*$I$9+0.5</f>
        <v>10955</v>
      </c>
      <c r="J30" s="162"/>
      <c r="K30" s="162">
        <v>0</v>
      </c>
      <c r="L30" s="191">
        <v>30</v>
      </c>
      <c r="M30" s="164">
        <f t="shared" si="10"/>
        <v>10955</v>
      </c>
      <c r="N30" s="192"/>
      <c r="O30" s="193"/>
      <c r="P30" s="161">
        <v>0</v>
      </c>
      <c r="Q30" s="164">
        <f t="shared" si="0"/>
        <v>0</v>
      </c>
      <c r="R30" s="161"/>
      <c r="S30" s="164">
        <f t="shared" si="6"/>
        <v>0</v>
      </c>
      <c r="T30" s="161"/>
      <c r="U30" s="161">
        <v>0</v>
      </c>
      <c r="V30" s="163">
        <v>0</v>
      </c>
      <c r="W30" s="161">
        <f t="shared" si="7"/>
        <v>0</v>
      </c>
      <c r="X30" s="162">
        <f t="shared" si="1"/>
        <v>10955</v>
      </c>
      <c r="Y30" s="173"/>
      <c r="Z30" s="162"/>
      <c r="AA30" s="163"/>
      <c r="AB30" s="162">
        <f t="shared" si="2"/>
        <v>328.65</v>
      </c>
      <c r="AC30" s="162">
        <f t="shared" si="3"/>
        <v>109.55</v>
      </c>
      <c r="AD30" s="162">
        <f t="shared" si="4"/>
        <v>438.2</v>
      </c>
      <c r="AE30" s="162">
        <f t="shared" si="5"/>
        <v>10516.8</v>
      </c>
      <c r="AF30" s="191">
        <v>257804370</v>
      </c>
      <c r="AG30" s="194"/>
      <c r="AH30" s="212"/>
      <c r="AI30" s="238"/>
      <c r="AJ30" s="48"/>
      <c r="AK30" s="48"/>
      <c r="AL30" s="49"/>
    </row>
    <row r="31" spans="1:179" s="70" customFormat="1" ht="55.5" customHeight="1" x14ac:dyDescent="0.2">
      <c r="A31" s="195"/>
      <c r="B31" s="195"/>
      <c r="C31" s="196"/>
      <c r="D31" s="230"/>
      <c r="E31" s="230"/>
      <c r="F31" s="196"/>
      <c r="G31" s="196"/>
      <c r="H31" s="196"/>
      <c r="I31" s="196"/>
      <c r="J31" s="196"/>
      <c r="K31" s="196">
        <f>SUM(K10:K30)</f>
        <v>0</v>
      </c>
      <c r="L31" s="196"/>
      <c r="M31" s="197">
        <f>SUM(M10:M30)</f>
        <v>330886</v>
      </c>
      <c r="N31" s="198"/>
      <c r="O31" s="199">
        <f t="shared" ref="O31:AE31" si="12">SUM(O10:O30)</f>
        <v>5668</v>
      </c>
      <c r="P31" s="199">
        <f t="shared" si="12"/>
        <v>0</v>
      </c>
      <c r="Q31" s="199">
        <f t="shared" si="12"/>
        <v>0</v>
      </c>
      <c r="R31" s="199">
        <f t="shared" si="12"/>
        <v>84</v>
      </c>
      <c r="S31" s="199">
        <f t="shared" si="12"/>
        <v>9918.9999999999982</v>
      </c>
      <c r="T31" s="199">
        <f t="shared" si="12"/>
        <v>0</v>
      </c>
      <c r="U31" s="199">
        <f t="shared" si="12"/>
        <v>0</v>
      </c>
      <c r="V31" s="199">
        <f t="shared" si="12"/>
        <v>0</v>
      </c>
      <c r="W31" s="199">
        <f t="shared" si="12"/>
        <v>0</v>
      </c>
      <c r="X31" s="199">
        <f t="shared" si="12"/>
        <v>346473</v>
      </c>
      <c r="Y31" s="199">
        <f t="shared" si="12"/>
        <v>7000</v>
      </c>
      <c r="Z31" s="199">
        <f t="shared" si="12"/>
        <v>10437.5</v>
      </c>
      <c r="AA31" s="199">
        <f t="shared" si="12"/>
        <v>0</v>
      </c>
      <c r="AB31" s="199">
        <f t="shared" si="12"/>
        <v>10394.19</v>
      </c>
      <c r="AC31" s="199">
        <f t="shared" si="12"/>
        <v>3464.73</v>
      </c>
      <c r="AD31" s="199">
        <f t="shared" si="12"/>
        <v>31296.42</v>
      </c>
      <c r="AE31" s="199">
        <f t="shared" si="12"/>
        <v>315176.58</v>
      </c>
      <c r="AF31" s="198"/>
      <c r="AG31" s="197">
        <f>SUM(AG10:AG30)</f>
        <v>346473</v>
      </c>
      <c r="AH31" s="202"/>
      <c r="AI31" s="238"/>
      <c r="AJ31" s="48"/>
      <c r="AK31" s="69"/>
    </row>
    <row r="32" spans="1:179" s="70" customFormat="1" ht="55.5" customHeight="1" x14ac:dyDescent="0.2">
      <c r="A32" s="200"/>
      <c r="B32" s="200"/>
      <c r="C32" s="201"/>
      <c r="D32" s="231"/>
      <c r="E32" s="231"/>
      <c r="F32" s="201"/>
      <c r="G32" s="201"/>
      <c r="H32" s="202"/>
      <c r="I32" s="202"/>
      <c r="J32" s="202"/>
      <c r="K32" s="202"/>
      <c r="L32" s="201"/>
      <c r="M32" s="203"/>
      <c r="N32" s="204"/>
      <c r="O32" s="203"/>
      <c r="P32" s="205"/>
      <c r="Q32" s="203"/>
      <c r="R32" s="205"/>
      <c r="S32" s="203"/>
      <c r="T32" s="204"/>
      <c r="U32" s="204"/>
      <c r="V32" s="204"/>
      <c r="W32" s="204"/>
      <c r="X32" s="203"/>
      <c r="Y32" s="203"/>
      <c r="Z32" s="203" t="s">
        <v>119</v>
      </c>
      <c r="AA32" s="204"/>
      <c r="AB32" s="203">
        <f>+X31*0.07</f>
        <v>24253.11</v>
      </c>
      <c r="AC32" s="203"/>
      <c r="AD32" s="203"/>
      <c r="AE32" s="203"/>
      <c r="AF32" s="204" t="s">
        <v>118</v>
      </c>
      <c r="AG32" s="202">
        <f>+AG31*0.04</f>
        <v>13858.92</v>
      </c>
      <c r="AH32" s="202"/>
      <c r="AI32" s="238"/>
      <c r="AJ32" s="48"/>
      <c r="AK32" s="69"/>
    </row>
    <row r="33" spans="1:38" s="70" customFormat="1" ht="55.5" customHeight="1" x14ac:dyDescent="0.2">
      <c r="A33" s="200"/>
      <c r="B33" s="200"/>
      <c r="C33" s="206"/>
      <c r="D33" s="232"/>
      <c r="E33" s="232"/>
      <c r="F33" s="206"/>
      <c r="G33" s="207"/>
      <c r="H33" s="202"/>
      <c r="I33" s="202"/>
      <c r="J33" s="202"/>
      <c r="K33" s="202"/>
      <c r="L33" s="201"/>
      <c r="M33" s="203"/>
      <c r="N33" s="204"/>
      <c r="O33" s="203"/>
      <c r="P33" s="205"/>
      <c r="Q33" s="203"/>
      <c r="R33" s="205"/>
      <c r="S33" s="203"/>
      <c r="T33" s="204"/>
      <c r="U33" s="204"/>
      <c r="V33" s="204"/>
      <c r="W33" s="204"/>
      <c r="X33" s="203"/>
      <c r="Y33" s="203"/>
      <c r="Z33" s="204"/>
      <c r="AA33" s="204"/>
      <c r="AB33" s="204"/>
      <c r="AC33" s="203"/>
      <c r="AD33" s="203"/>
      <c r="AE33" s="208"/>
      <c r="AF33" s="208"/>
      <c r="AG33" s="202"/>
      <c r="AH33" s="202"/>
      <c r="AI33" s="238"/>
      <c r="AJ33" s="48"/>
      <c r="AK33" s="69"/>
    </row>
    <row r="34" spans="1:38" s="70" customFormat="1" ht="55.5" customHeight="1" x14ac:dyDescent="0.2">
      <c r="A34" s="200"/>
      <c r="B34" s="200"/>
      <c r="C34" s="201"/>
      <c r="D34" s="231"/>
      <c r="E34" s="231"/>
      <c r="F34" s="201"/>
      <c r="G34" s="201"/>
      <c r="H34" s="202"/>
      <c r="I34" s="202"/>
      <c r="J34" s="202"/>
      <c r="K34" s="202"/>
      <c r="L34" s="201"/>
      <c r="M34" s="203"/>
      <c r="N34" s="204"/>
      <c r="O34" s="203"/>
      <c r="P34" s="205"/>
      <c r="Q34" s="203"/>
      <c r="R34" s="205"/>
      <c r="S34" s="203"/>
      <c r="T34" s="204"/>
      <c r="U34" s="204"/>
      <c r="V34" s="204"/>
      <c r="W34" s="204"/>
      <c r="X34" s="203"/>
      <c r="Y34" s="203"/>
      <c r="Z34" s="203"/>
      <c r="AA34" s="204"/>
      <c r="AB34" s="203"/>
      <c r="AC34" s="203"/>
      <c r="AD34" s="203"/>
      <c r="AE34" s="203">
        <f>SUM(AE31:AE33)</f>
        <v>315176.58</v>
      </c>
      <c r="AF34" s="204"/>
      <c r="AG34" s="202">
        <f>SUM(AG31:AG32)</f>
        <v>360331.92</v>
      </c>
      <c r="AH34" s="202">
        <f>SUM(AH10:AH33)</f>
        <v>360331.92</v>
      </c>
      <c r="AI34" s="51"/>
      <c r="AJ34" s="48"/>
      <c r="AK34" s="69"/>
    </row>
    <row r="35" spans="1:38" s="87" customFormat="1" ht="28.5" customHeight="1" x14ac:dyDescent="0.4">
      <c r="A35" s="209"/>
      <c r="B35" s="210"/>
      <c r="C35" s="211"/>
      <c r="D35" s="233"/>
      <c r="E35" s="233"/>
      <c r="F35" s="211"/>
      <c r="G35" s="211"/>
      <c r="H35" s="212"/>
      <c r="I35" s="212"/>
      <c r="J35" s="212"/>
      <c r="K35" s="212"/>
      <c r="L35" s="211"/>
      <c r="M35" s="212"/>
      <c r="N35" s="213"/>
      <c r="O35" s="212"/>
      <c r="P35" s="214"/>
      <c r="Q35" s="212"/>
      <c r="R35" s="215"/>
      <c r="S35" s="216"/>
      <c r="T35" s="211"/>
      <c r="U35" s="211"/>
      <c r="V35" s="211"/>
      <c r="W35" s="211"/>
      <c r="X35" s="216"/>
      <c r="Y35" s="216"/>
      <c r="Z35" s="212"/>
      <c r="AA35" s="217"/>
      <c r="AB35" s="212"/>
      <c r="AC35" s="212"/>
      <c r="AD35" s="212"/>
      <c r="AE35" s="212"/>
      <c r="AF35" s="217"/>
      <c r="AG35" s="218"/>
      <c r="AH35" s="212"/>
      <c r="AI35" s="51"/>
      <c r="AJ35" s="48"/>
      <c r="AK35" s="85"/>
      <c r="AL35" s="86"/>
    </row>
    <row r="36" spans="1:38" s="87" customFormat="1" ht="28.5" customHeight="1" x14ac:dyDescent="0.4">
      <c r="A36" s="76"/>
      <c r="B36" s="77"/>
      <c r="C36" s="88"/>
      <c r="D36" s="234"/>
      <c r="E36" s="234"/>
      <c r="F36" s="88"/>
      <c r="G36" s="49"/>
      <c r="H36" s="51"/>
      <c r="I36" s="51"/>
      <c r="J36" s="51"/>
      <c r="K36" s="51"/>
      <c r="L36" s="77"/>
      <c r="M36" s="89"/>
      <c r="N36" s="90"/>
      <c r="O36" s="91"/>
      <c r="P36" s="92"/>
      <c r="Q36" s="220" t="s">
        <v>70</v>
      </c>
      <c r="R36" s="92"/>
      <c r="S36" s="91"/>
      <c r="T36" s="93"/>
      <c r="U36" s="93"/>
      <c r="V36" s="93"/>
      <c r="W36" s="93"/>
      <c r="X36" s="94"/>
      <c r="Y36" s="94"/>
      <c r="Z36" s="91"/>
      <c r="AA36" s="93"/>
      <c r="AB36" s="95"/>
      <c r="AC36" s="96"/>
      <c r="AD36" s="51"/>
      <c r="AE36" s="51"/>
      <c r="AF36" s="78"/>
      <c r="AG36" s="84"/>
      <c r="AH36" s="51"/>
      <c r="AI36" s="51"/>
      <c r="AJ36" s="48"/>
      <c r="AK36" s="85"/>
      <c r="AL36" s="86"/>
    </row>
    <row r="37" spans="1:38" s="87" customFormat="1" ht="28.5" customHeight="1" x14ac:dyDescent="0.4">
      <c r="A37" s="76" t="s">
        <v>72</v>
      </c>
      <c r="B37" s="77"/>
      <c r="C37" s="88" t="s">
        <v>73</v>
      </c>
      <c r="D37" s="234"/>
      <c r="E37" s="234"/>
      <c r="F37" s="88"/>
      <c r="G37" s="49"/>
      <c r="H37" s="51"/>
      <c r="I37" s="51"/>
      <c r="J37" s="51"/>
      <c r="K37" s="51"/>
      <c r="L37" s="77"/>
      <c r="M37" s="97" t="s">
        <v>74</v>
      </c>
      <c r="N37" s="98"/>
      <c r="O37" s="51"/>
      <c r="P37" s="80"/>
      <c r="Q37" s="51"/>
      <c r="R37" s="81"/>
      <c r="S37" s="51"/>
      <c r="T37" s="88"/>
      <c r="U37" s="88"/>
      <c r="V37" s="88"/>
      <c r="W37" s="88"/>
      <c r="X37" s="96"/>
      <c r="Y37" s="96"/>
      <c r="Z37" s="51"/>
      <c r="AA37" s="88"/>
      <c r="AB37" s="99"/>
      <c r="AC37" s="96"/>
      <c r="AD37" s="51"/>
      <c r="AE37" s="51"/>
      <c r="AF37" s="88"/>
      <c r="AG37" s="100"/>
      <c r="AH37" s="51"/>
      <c r="AI37" s="51"/>
      <c r="AJ37" s="48"/>
      <c r="AK37" s="85"/>
      <c r="AL37" s="86"/>
    </row>
    <row r="38" spans="1:38" s="87" customFormat="1" ht="28.5" customHeight="1" x14ac:dyDescent="0.4">
      <c r="A38" s="76" t="s">
        <v>75</v>
      </c>
      <c r="B38" s="77"/>
      <c r="C38" s="88" t="s">
        <v>76</v>
      </c>
      <c r="D38" s="234"/>
      <c r="E38" s="234"/>
      <c r="F38" s="88"/>
      <c r="G38" s="49"/>
      <c r="H38" s="51"/>
      <c r="I38" s="51"/>
      <c r="J38" s="51"/>
      <c r="K38" s="51"/>
      <c r="L38" s="77"/>
      <c r="M38" s="97" t="s">
        <v>77</v>
      </c>
      <c r="N38" s="98"/>
      <c r="O38" s="51"/>
      <c r="P38" s="80"/>
      <c r="Q38" s="51"/>
      <c r="R38" s="81"/>
      <c r="S38" s="51"/>
      <c r="T38" s="88"/>
      <c r="U38" s="88"/>
      <c r="V38" s="88"/>
      <c r="W38" s="88"/>
      <c r="X38" s="96"/>
      <c r="Y38" s="96"/>
      <c r="Z38" s="51"/>
      <c r="AA38" s="88"/>
      <c r="AB38" s="99"/>
      <c r="AC38" s="96"/>
      <c r="AD38" s="51"/>
      <c r="AE38" s="51"/>
      <c r="AF38" s="78"/>
      <c r="AG38" s="84"/>
      <c r="AH38" s="51"/>
      <c r="AI38" s="51"/>
      <c r="AJ38" s="48"/>
      <c r="AK38" s="85"/>
      <c r="AL38" s="86"/>
    </row>
    <row r="39" spans="1:38" s="87" customFormat="1" ht="28.5" customHeight="1" x14ac:dyDescent="0.4">
      <c r="A39" s="76" t="s">
        <v>79</v>
      </c>
      <c r="B39" s="77"/>
      <c r="C39" s="88" t="s">
        <v>80</v>
      </c>
      <c r="D39" s="234"/>
      <c r="E39" s="234"/>
      <c r="F39" s="88"/>
      <c r="G39" s="49"/>
      <c r="H39" s="51"/>
      <c r="I39" s="51"/>
      <c r="J39" s="51"/>
      <c r="K39" s="51"/>
      <c r="L39" s="77"/>
      <c r="M39" s="97" t="s">
        <v>81</v>
      </c>
      <c r="N39" s="98"/>
      <c r="O39" s="51"/>
      <c r="P39" s="80"/>
      <c r="Q39" s="51"/>
      <c r="R39" s="81"/>
      <c r="S39" s="51"/>
      <c r="T39" s="88"/>
      <c r="U39" s="88"/>
      <c r="V39" s="88"/>
      <c r="W39" s="88"/>
      <c r="X39" s="96"/>
      <c r="Y39" s="96"/>
      <c r="Z39" s="51"/>
      <c r="AA39" s="88"/>
      <c r="AB39" s="99"/>
      <c r="AC39" s="96"/>
      <c r="AD39" s="51"/>
      <c r="AE39" s="51"/>
      <c r="AF39" s="88"/>
      <c r="AG39" s="100"/>
      <c r="AH39" s="51"/>
      <c r="AI39" s="51"/>
      <c r="AJ39" s="48"/>
      <c r="AK39" s="85"/>
      <c r="AL39" s="86"/>
    </row>
    <row r="40" spans="1:38" s="87" customFormat="1" ht="28.5" customHeight="1" x14ac:dyDescent="0.4">
      <c r="A40" s="76" t="s">
        <v>82</v>
      </c>
      <c r="B40" s="77"/>
      <c r="C40" s="88" t="s">
        <v>83</v>
      </c>
      <c r="D40" s="234"/>
      <c r="E40" s="234"/>
      <c r="F40" s="88"/>
      <c r="G40" s="49"/>
      <c r="H40" s="51"/>
      <c r="I40" s="51"/>
      <c r="J40" s="51"/>
      <c r="K40" s="51"/>
      <c r="L40" s="77"/>
      <c r="M40" s="101"/>
      <c r="N40" s="102"/>
      <c r="O40" s="51"/>
      <c r="P40" s="80"/>
      <c r="Q40" s="51"/>
      <c r="R40" s="81"/>
      <c r="S40" s="51"/>
      <c r="T40" s="88"/>
      <c r="U40" s="88"/>
      <c r="V40" s="88"/>
      <c r="W40" s="88"/>
      <c r="X40" s="96"/>
      <c r="Y40" s="96"/>
      <c r="Z40" s="51"/>
      <c r="AA40" s="88"/>
      <c r="AB40" s="99"/>
      <c r="AC40" s="96"/>
      <c r="AD40" s="51"/>
      <c r="AE40" s="51"/>
      <c r="AF40" s="78"/>
      <c r="AG40" s="84"/>
      <c r="AH40" s="51"/>
      <c r="AI40" s="51"/>
      <c r="AJ40" s="48"/>
      <c r="AK40" s="85"/>
      <c r="AL40" s="86"/>
    </row>
    <row r="41" spans="1:38" s="87" customFormat="1" ht="28.5" customHeight="1" x14ac:dyDescent="0.4">
      <c r="A41" s="76"/>
      <c r="B41" s="77"/>
      <c r="C41" s="88"/>
      <c r="D41" s="234"/>
      <c r="E41" s="234"/>
      <c r="F41" s="88"/>
      <c r="G41" s="49"/>
      <c r="H41" s="51"/>
      <c r="I41" s="51"/>
      <c r="J41" s="51"/>
      <c r="K41" s="51"/>
      <c r="L41" s="77"/>
      <c r="M41" s="103" t="s">
        <v>85</v>
      </c>
      <c r="N41" s="104"/>
      <c r="O41" s="105"/>
      <c r="P41" s="106"/>
      <c r="Q41" s="105"/>
      <c r="R41" s="108"/>
      <c r="S41" s="105"/>
      <c r="T41" s="107"/>
      <c r="U41" s="107"/>
      <c r="V41" s="107"/>
      <c r="W41" s="107"/>
      <c r="X41" s="109"/>
      <c r="Y41" s="109"/>
      <c r="Z41" s="105"/>
      <c r="AA41" s="107"/>
      <c r="AB41" s="110"/>
      <c r="AC41" s="96"/>
      <c r="AD41" s="51"/>
      <c r="AE41" s="51"/>
      <c r="AF41" s="88"/>
      <c r="AG41" s="100"/>
      <c r="AH41" s="51"/>
      <c r="AI41" s="51"/>
      <c r="AJ41" s="48"/>
      <c r="AK41" s="85"/>
      <c r="AL41" s="86"/>
    </row>
    <row r="42" spans="1:38" s="87" customFormat="1" ht="28.5" customHeight="1" thickBot="1" x14ac:dyDescent="0.45">
      <c r="A42" s="111"/>
      <c r="B42" s="112"/>
      <c r="C42" s="113"/>
      <c r="D42" s="235"/>
      <c r="E42" s="235"/>
      <c r="F42" s="113"/>
      <c r="G42" s="114"/>
      <c r="H42" s="115"/>
      <c r="I42" s="115"/>
      <c r="J42" s="115"/>
      <c r="K42" s="115"/>
      <c r="L42" s="112"/>
      <c r="M42" s="116"/>
      <c r="N42" s="117"/>
      <c r="O42" s="115"/>
      <c r="P42" s="118"/>
      <c r="Q42" s="115"/>
      <c r="R42" s="119"/>
      <c r="S42" s="115"/>
      <c r="T42" s="113"/>
      <c r="U42" s="113"/>
      <c r="V42" s="113"/>
      <c r="W42" s="113"/>
      <c r="X42" s="115"/>
      <c r="Y42" s="115"/>
      <c r="Z42" s="115"/>
      <c r="AA42" s="113"/>
      <c r="AB42" s="115"/>
      <c r="AC42" s="115"/>
      <c r="AD42" s="115"/>
      <c r="AE42" s="115"/>
      <c r="AF42" s="113"/>
      <c r="AG42" s="120"/>
      <c r="AH42" s="51"/>
      <c r="AI42" s="51"/>
      <c r="AJ42" s="48"/>
      <c r="AK42" s="85"/>
      <c r="AL42" s="86"/>
    </row>
  </sheetData>
  <autoFilter ref="A9:AP31" xr:uid="{00000000-0009-0000-0000-000000000000}"/>
  <sortState xmlns:xlrd2="http://schemas.microsoft.com/office/spreadsheetml/2017/richdata2" ref="A10:AF30">
    <sortCondition ref="B10:B30"/>
  </sortState>
  <mergeCells count="9">
    <mergeCell ref="D8:D9"/>
    <mergeCell ref="F8:F9"/>
    <mergeCell ref="E8:E9"/>
    <mergeCell ref="A4:AE4"/>
    <mergeCell ref="A8:A9"/>
    <mergeCell ref="C8:C9"/>
    <mergeCell ref="G8:G9"/>
    <mergeCell ref="H8:X8"/>
    <mergeCell ref="Z8:AD8"/>
  </mergeCells>
  <printOptions horizontalCentered="1"/>
  <pageMargins left="0.23611111111111099" right="0" top="0.31527777777777799" bottom="0.31527777777777799" header="0.511811023622047" footer="0.511811023622047"/>
  <pageSetup paperSize="9" scale="19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99"/>
    <pageSetUpPr fitToPage="1"/>
  </sheetPr>
  <dimension ref="A1:IW46"/>
  <sheetViews>
    <sheetView view="pageBreakPreview" zoomScale="40" zoomScaleNormal="100" zoomScalePageLayoutView="40" workbookViewId="0">
      <pane xSplit="3" ySplit="6" topLeftCell="D14" activePane="bottomRight" state="frozen"/>
      <selection pane="topRight" activeCell="D1" sqref="D1"/>
      <selection pane="bottomLeft" activeCell="A25" sqref="A25"/>
      <selection pane="bottomRight" activeCell="D30" sqref="D30"/>
    </sheetView>
  </sheetViews>
  <sheetFormatPr defaultColWidth="9.140625" defaultRowHeight="23.25" x14ac:dyDescent="0.2"/>
  <cols>
    <col min="1" max="2" width="10.7109375" style="5" customWidth="1"/>
    <col min="3" max="3" width="86" style="6" customWidth="1"/>
    <col min="4" max="4" width="25.140625" style="8" customWidth="1"/>
    <col min="5" max="5" width="21" style="8" customWidth="1"/>
    <col min="6" max="6" width="21.140625" style="6" hidden="1" customWidth="1"/>
    <col min="7" max="7" width="27.5703125" style="8" hidden="1" customWidth="1"/>
    <col min="8" max="8" width="25.7109375" style="6" hidden="1" customWidth="1"/>
    <col min="9" max="9" width="41.140625" style="6" hidden="1" customWidth="1"/>
    <col min="10" max="10" width="30.7109375" style="8" hidden="1" customWidth="1"/>
    <col min="11" max="11" width="40.5703125" style="13" customWidth="1"/>
    <col min="12" max="12" width="21" style="13" customWidth="1"/>
    <col min="13" max="13" width="23" style="14" customWidth="1"/>
    <col min="15" max="257" width="9.140625" style="6"/>
  </cols>
  <sheetData>
    <row r="1" spans="1:155" ht="27.75" x14ac:dyDescent="0.2">
      <c r="A1" s="244" t="s">
        <v>0</v>
      </c>
      <c r="B1" s="244"/>
      <c r="C1" s="244"/>
      <c r="D1" s="244"/>
      <c r="E1" s="244"/>
      <c r="F1" s="244"/>
      <c r="G1" s="244"/>
      <c r="H1" s="244"/>
      <c r="I1" s="4"/>
      <c r="J1" s="15" t="s">
        <v>1</v>
      </c>
    </row>
    <row r="2" spans="1:155" ht="27.75" x14ac:dyDescent="0.2">
      <c r="A2" s="16"/>
      <c r="B2" s="16"/>
      <c r="C2" s="17" t="s">
        <v>122</v>
      </c>
      <c r="D2" s="21"/>
      <c r="E2" s="23"/>
      <c r="F2" s="27"/>
      <c r="G2" s="23"/>
      <c r="I2" s="29" t="s">
        <v>5</v>
      </c>
      <c r="J2" s="30">
        <v>2024</v>
      </c>
    </row>
    <row r="3" spans="1:155" ht="33.75" x14ac:dyDescent="0.2">
      <c r="A3" s="31"/>
      <c r="B3" s="31"/>
      <c r="C3" s="32"/>
      <c r="D3" s="23"/>
      <c r="E3" s="23"/>
      <c r="F3" s="27"/>
      <c r="G3" s="23"/>
      <c r="I3" s="34" t="s">
        <v>10</v>
      </c>
      <c r="J3" s="35" t="s">
        <v>88</v>
      </c>
    </row>
    <row r="4" spans="1:155" ht="27.75" x14ac:dyDescent="0.2">
      <c r="A4" s="31"/>
      <c r="B4" s="31"/>
      <c r="C4" s="25"/>
      <c r="D4" s="23"/>
      <c r="E4" s="23"/>
      <c r="F4" s="27"/>
      <c r="G4" s="23"/>
      <c r="H4" s="17"/>
      <c r="I4" s="17"/>
      <c r="J4" s="38"/>
    </row>
    <row r="5" spans="1:155" s="6" customFormat="1" ht="30.75" customHeight="1" x14ac:dyDescent="0.2">
      <c r="A5" s="245" t="s">
        <v>11</v>
      </c>
      <c r="B5" s="3"/>
      <c r="C5" s="245" t="s">
        <v>12</v>
      </c>
      <c r="D5" s="3"/>
      <c r="E5" s="245"/>
      <c r="F5" s="245"/>
      <c r="G5" s="39"/>
      <c r="H5" s="246" t="s">
        <v>16</v>
      </c>
      <c r="I5" s="2"/>
      <c r="J5" s="39"/>
      <c r="K5" s="13"/>
      <c r="L5" s="13"/>
      <c r="M5" s="14"/>
    </row>
    <row r="6" spans="1:155" s="6" customFormat="1" ht="279.95" customHeight="1" x14ac:dyDescent="0.2">
      <c r="A6" s="245"/>
      <c r="B6" s="3"/>
      <c r="C6" s="245"/>
      <c r="D6" s="39" t="s">
        <v>29</v>
      </c>
      <c r="E6" s="40" t="s">
        <v>33</v>
      </c>
      <c r="F6" s="3" t="s">
        <v>29</v>
      </c>
      <c r="G6" s="40" t="s">
        <v>34</v>
      </c>
      <c r="H6" s="246"/>
      <c r="I6" s="2"/>
      <c r="J6" s="39" t="s">
        <v>36</v>
      </c>
      <c r="K6" s="41"/>
      <c r="L6" s="41"/>
      <c r="M6" s="14"/>
    </row>
    <row r="7" spans="1:155" s="50" customFormat="1" ht="55.5" customHeight="1" x14ac:dyDescent="0.2">
      <c r="A7" s="42">
        <v>1</v>
      </c>
      <c r="B7" s="42" t="s">
        <v>37</v>
      </c>
      <c r="C7" s="43" t="s">
        <v>38</v>
      </c>
      <c r="D7" s="44">
        <f>+'Folha de salarios'!X10</f>
        <v>81000.000000000015</v>
      </c>
      <c r="E7" s="44">
        <f t="shared" ref="E7:E27" si="0">D7*0.01</f>
        <v>810.00000000000011</v>
      </c>
      <c r="F7" s="45" t="e">
        <f>+#REF!+#REF!+#REF!+E7</f>
        <v>#REF!</v>
      </c>
      <c r="G7" s="44" t="e">
        <f t="shared" ref="G7:G27" si="1">D7-F7</f>
        <v>#REF!</v>
      </c>
      <c r="H7" s="46" t="e">
        <f t="shared" ref="H7:H27" si="2">MROUND(G7,5)</f>
        <v>#REF!</v>
      </c>
      <c r="I7" s="45">
        <v>304762846</v>
      </c>
      <c r="J7" s="51">
        <f>SUM(D7:D13)</f>
        <v>163840</v>
      </c>
      <c r="K7" s="48"/>
      <c r="L7" s="48"/>
      <c r="M7" s="48"/>
      <c r="N7" s="49"/>
    </row>
    <row r="8" spans="1:155" s="50" customFormat="1" ht="55.5" customHeight="1" x14ac:dyDescent="0.2">
      <c r="A8" s="42">
        <f>+A7+1</f>
        <v>2</v>
      </c>
      <c r="B8" s="42" t="s">
        <v>37</v>
      </c>
      <c r="C8" s="43" t="s">
        <v>40</v>
      </c>
      <c r="D8" s="44">
        <f>+'Folha de salarios'!X11</f>
        <v>17476.333333333336</v>
      </c>
      <c r="E8" s="44">
        <f t="shared" si="0"/>
        <v>174.76333333333335</v>
      </c>
      <c r="F8" s="45" t="e">
        <f>+#REF!+#REF!+#REF!+E8</f>
        <v>#REF!</v>
      </c>
      <c r="G8" s="44" t="e">
        <f t="shared" si="1"/>
        <v>#REF!</v>
      </c>
      <c r="H8" s="46" t="e">
        <f t="shared" si="2"/>
        <v>#REF!</v>
      </c>
      <c r="I8" s="45">
        <v>312688813</v>
      </c>
      <c r="J8" s="47"/>
      <c r="K8" s="48"/>
      <c r="L8" s="48"/>
      <c r="M8" s="48"/>
      <c r="N8" s="49"/>
    </row>
    <row r="9" spans="1:155" s="50" customFormat="1" ht="55.5" customHeight="1" x14ac:dyDescent="0.2">
      <c r="A9" s="42">
        <f t="shared" ref="A9:A27" si="3">+A8+1</f>
        <v>3</v>
      </c>
      <c r="B9" s="42" t="s">
        <v>37</v>
      </c>
      <c r="C9" s="55" t="s">
        <v>42</v>
      </c>
      <c r="D9" s="44">
        <f>+'Folha de salarios'!X12</f>
        <v>17948.666666666668</v>
      </c>
      <c r="E9" s="44">
        <f t="shared" si="0"/>
        <v>179.48666666666668</v>
      </c>
      <c r="F9" s="45" t="e">
        <f>+#REF!+#REF!+#REF!+E9</f>
        <v>#REF!</v>
      </c>
      <c r="G9" s="44" t="e">
        <f t="shared" si="1"/>
        <v>#REF!</v>
      </c>
      <c r="H9" s="46" t="e">
        <f t="shared" si="2"/>
        <v>#REF!</v>
      </c>
      <c r="I9" s="45">
        <v>88904090</v>
      </c>
      <c r="J9" s="47"/>
      <c r="K9" s="48"/>
      <c r="L9" s="48"/>
      <c r="M9" s="48"/>
      <c r="N9" s="49"/>
    </row>
    <row r="10" spans="1:155" s="50" customFormat="1" ht="55.5" customHeight="1" x14ac:dyDescent="0.2">
      <c r="A10" s="42">
        <f t="shared" si="3"/>
        <v>4</v>
      </c>
      <c r="B10" s="42" t="s">
        <v>37</v>
      </c>
      <c r="C10" s="43" t="s">
        <v>43</v>
      </c>
      <c r="D10" s="44">
        <f>+'Folha de salarios'!X13</f>
        <v>14170</v>
      </c>
      <c r="E10" s="44">
        <f t="shared" si="0"/>
        <v>141.70000000000002</v>
      </c>
      <c r="F10" s="45" t="e">
        <f>+#REF!+#REF!+#REF!+E10</f>
        <v>#REF!</v>
      </c>
      <c r="G10" s="44" t="e">
        <f t="shared" si="1"/>
        <v>#REF!</v>
      </c>
      <c r="H10" s="46" t="e">
        <f t="shared" si="2"/>
        <v>#REF!</v>
      </c>
      <c r="I10" s="45">
        <v>311846368</v>
      </c>
      <c r="J10" s="47"/>
      <c r="K10" s="48"/>
      <c r="L10" s="48"/>
      <c r="M10" s="48"/>
      <c r="N10" s="49"/>
    </row>
    <row r="11" spans="1:155" s="50" customFormat="1" ht="55.5" customHeight="1" x14ac:dyDescent="0.2">
      <c r="A11" s="42">
        <f t="shared" si="3"/>
        <v>5</v>
      </c>
      <c r="B11" s="42" t="s">
        <v>37</v>
      </c>
      <c r="C11" s="43" t="s">
        <v>44</v>
      </c>
      <c r="D11" s="44">
        <f>+'Folha de salarios'!X14</f>
        <v>10900</v>
      </c>
      <c r="E11" s="44">
        <f t="shared" si="0"/>
        <v>109</v>
      </c>
      <c r="F11" s="45" t="e">
        <f>+#REF!+#REF!+#REF!+E11</f>
        <v>#REF!</v>
      </c>
      <c r="G11" s="44" t="e">
        <f t="shared" si="1"/>
        <v>#REF!</v>
      </c>
      <c r="H11" s="46" t="e">
        <f t="shared" si="2"/>
        <v>#REF!</v>
      </c>
      <c r="I11" s="45">
        <v>465121888</v>
      </c>
      <c r="J11" s="47"/>
      <c r="K11" s="48"/>
      <c r="L11" s="48"/>
      <c r="M11" s="48"/>
      <c r="N11" s="49"/>
    </row>
    <row r="12" spans="1:155" s="50" customFormat="1" ht="55.5" customHeight="1" x14ac:dyDescent="0.2">
      <c r="A12" s="42">
        <f t="shared" si="3"/>
        <v>6</v>
      </c>
      <c r="B12" s="42" t="s">
        <v>37</v>
      </c>
      <c r="C12" s="43" t="s">
        <v>89</v>
      </c>
      <c r="D12" s="44">
        <f>+'Folha de salarios'!X15</f>
        <v>11445</v>
      </c>
      <c r="E12" s="44">
        <f t="shared" si="0"/>
        <v>114.45</v>
      </c>
      <c r="F12" s="45" t="e">
        <f>+#REF!+#REF!+#REF!+E12</f>
        <v>#REF!</v>
      </c>
      <c r="G12" s="44" t="e">
        <f t="shared" si="1"/>
        <v>#REF!</v>
      </c>
      <c r="H12" s="46" t="e">
        <f t="shared" si="2"/>
        <v>#REF!</v>
      </c>
      <c r="I12" s="45">
        <v>465126932</v>
      </c>
      <c r="J12" s="47"/>
      <c r="K12" s="48"/>
      <c r="L12" s="48"/>
      <c r="M12" s="48"/>
      <c r="N12" s="49"/>
    </row>
    <row r="13" spans="1:155" s="45" customFormat="1" ht="55.5" customHeight="1" x14ac:dyDescent="0.2">
      <c r="A13" s="42">
        <f t="shared" si="3"/>
        <v>7</v>
      </c>
      <c r="B13" s="42" t="s">
        <v>37</v>
      </c>
      <c r="C13" s="61" t="s">
        <v>87</v>
      </c>
      <c r="D13" s="44">
        <f>+'Folha de salarios'!X16</f>
        <v>10900</v>
      </c>
      <c r="E13" s="44">
        <f t="shared" si="0"/>
        <v>109</v>
      </c>
      <c r="F13" s="45" t="e">
        <f>+#REF!+#REF!+#REF!+E13</f>
        <v>#REF!</v>
      </c>
      <c r="G13" s="44" t="e">
        <f t="shared" si="1"/>
        <v>#REF!</v>
      </c>
      <c r="H13" s="46" t="e">
        <f t="shared" si="2"/>
        <v>#REF!</v>
      </c>
      <c r="I13" s="45">
        <v>784781120</v>
      </c>
      <c r="J13" s="62"/>
      <c r="K13" s="48"/>
      <c r="L13" s="48"/>
      <c r="M13" s="48"/>
      <c r="N13" s="49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</row>
    <row r="14" spans="1:155" s="45" customFormat="1" ht="55.5" customHeight="1" x14ac:dyDescent="0.2">
      <c r="A14" s="42">
        <f t="shared" si="3"/>
        <v>8</v>
      </c>
      <c r="B14" s="42" t="s">
        <v>37</v>
      </c>
      <c r="C14" s="146" t="s">
        <v>121</v>
      </c>
      <c r="D14" s="44">
        <f>+'Folha de salarios'!X17</f>
        <v>10900</v>
      </c>
      <c r="E14" s="44">
        <f t="shared" si="0"/>
        <v>109</v>
      </c>
      <c r="G14" s="44"/>
      <c r="H14" s="46"/>
      <c r="J14" s="62"/>
      <c r="K14" s="48"/>
      <c r="L14" s="48"/>
      <c r="M14" s="48"/>
      <c r="N14" s="49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</row>
    <row r="15" spans="1:155" s="45" customFormat="1" ht="55.5" customHeight="1" x14ac:dyDescent="0.2">
      <c r="A15" s="42">
        <f t="shared" si="3"/>
        <v>9</v>
      </c>
      <c r="B15" s="42" t="s">
        <v>50</v>
      </c>
      <c r="C15" s="43" t="s">
        <v>51</v>
      </c>
      <c r="D15" s="44">
        <f>+'Folha de salarios'!X18</f>
        <v>10955</v>
      </c>
      <c r="E15" s="44">
        <f t="shared" si="0"/>
        <v>109.55</v>
      </c>
      <c r="F15" s="45" t="e">
        <f>+#REF!+#REF!+#REF!+E15</f>
        <v>#REF!</v>
      </c>
      <c r="G15" s="44" t="e">
        <f t="shared" si="1"/>
        <v>#REF!</v>
      </c>
      <c r="H15" s="46" t="e">
        <f t="shared" si="2"/>
        <v>#REF!</v>
      </c>
      <c r="I15" s="45">
        <v>312354163</v>
      </c>
      <c r="J15" s="62">
        <f>SUM(D15:D17)-6500</f>
        <v>33449</v>
      </c>
      <c r="K15" s="48"/>
      <c r="L15" s="48"/>
      <c r="M15" s="48"/>
      <c r="N15" s="49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</row>
    <row r="16" spans="1:155" s="50" customFormat="1" ht="73.5" customHeight="1" x14ac:dyDescent="0.2">
      <c r="A16" s="42">
        <f t="shared" si="3"/>
        <v>10</v>
      </c>
      <c r="B16" s="42" t="s">
        <v>50</v>
      </c>
      <c r="C16" s="61" t="s">
        <v>52</v>
      </c>
      <c r="D16" s="44">
        <f>+'Folha de salarios'!X19</f>
        <v>14824.000000000002</v>
      </c>
      <c r="E16" s="44">
        <f t="shared" si="0"/>
        <v>148.24</v>
      </c>
      <c r="F16" s="45" t="e">
        <f>+#REF!+#REF!+#REF!+E16</f>
        <v>#REF!</v>
      </c>
      <c r="G16" s="44" t="e">
        <f t="shared" si="1"/>
        <v>#REF!</v>
      </c>
      <c r="H16" s="46" t="e">
        <f t="shared" si="2"/>
        <v>#REF!</v>
      </c>
      <c r="I16" s="45">
        <v>426758485</v>
      </c>
      <c r="J16" s="47"/>
      <c r="K16" s="48"/>
      <c r="L16" s="48"/>
      <c r="M16" s="48"/>
      <c r="N16" s="49"/>
    </row>
    <row r="17" spans="1:14" s="50" customFormat="1" ht="60.75" customHeight="1" x14ac:dyDescent="0.2">
      <c r="A17" s="42">
        <f t="shared" si="3"/>
        <v>11</v>
      </c>
      <c r="B17" s="63" t="s">
        <v>53</v>
      </c>
      <c r="C17" s="61" t="s">
        <v>54</v>
      </c>
      <c r="D17" s="44">
        <f>+'Folha de salarios'!X20</f>
        <v>14170.000000000002</v>
      </c>
      <c r="E17" s="44">
        <f t="shared" si="0"/>
        <v>141.70000000000002</v>
      </c>
      <c r="F17" s="45" t="e">
        <f>+#REF!+#REF!+#REF!+E17</f>
        <v>#REF!</v>
      </c>
      <c r="G17" s="44" t="e">
        <f t="shared" si="1"/>
        <v>#REF!</v>
      </c>
      <c r="H17" s="46" t="e">
        <f t="shared" si="2"/>
        <v>#REF!</v>
      </c>
      <c r="I17" s="45" t="s">
        <v>55</v>
      </c>
      <c r="J17" s="47"/>
      <c r="K17" s="48"/>
      <c r="L17" s="48"/>
      <c r="M17" s="48"/>
      <c r="N17" s="49"/>
    </row>
    <row r="18" spans="1:14" s="50" customFormat="1" ht="53.25" customHeight="1" x14ac:dyDescent="0.2">
      <c r="A18" s="42">
        <f t="shared" si="3"/>
        <v>12</v>
      </c>
      <c r="B18" s="42" t="s">
        <v>56</v>
      </c>
      <c r="C18" s="43" t="s">
        <v>57</v>
      </c>
      <c r="D18" s="44">
        <f>+'Folha de salarios'!X21</f>
        <v>14879.000000000002</v>
      </c>
      <c r="E18" s="44">
        <f t="shared" si="0"/>
        <v>148.79000000000002</v>
      </c>
      <c r="F18" s="45" t="e">
        <f>+#REF!+#REF!+#REF!+E18</f>
        <v>#REF!</v>
      </c>
      <c r="G18" s="44" t="e">
        <f t="shared" si="1"/>
        <v>#REF!</v>
      </c>
      <c r="H18" s="46" t="e">
        <f t="shared" si="2"/>
        <v>#REF!</v>
      </c>
      <c r="I18" s="45">
        <v>311712702</v>
      </c>
      <c r="J18" s="47">
        <f>SUM(D18:D21)</f>
        <v>58534</v>
      </c>
      <c r="K18" s="48"/>
      <c r="L18" s="48"/>
      <c r="M18" s="48"/>
      <c r="N18" s="49"/>
    </row>
    <row r="19" spans="1:14" s="50" customFormat="1" ht="53.25" customHeight="1" x14ac:dyDescent="0.2">
      <c r="A19" s="42">
        <f t="shared" si="3"/>
        <v>13</v>
      </c>
      <c r="B19" s="42" t="s">
        <v>56</v>
      </c>
      <c r="C19" s="43" t="s">
        <v>58</v>
      </c>
      <c r="D19" s="44">
        <f>+'Folha de salarios'!X22</f>
        <v>10955</v>
      </c>
      <c r="E19" s="44">
        <f t="shared" si="0"/>
        <v>109.55</v>
      </c>
      <c r="F19" s="45" t="e">
        <f>+#REF!+#REF!+#REF!+E19</f>
        <v>#REF!</v>
      </c>
      <c r="G19" s="44" t="e">
        <f t="shared" si="1"/>
        <v>#REF!</v>
      </c>
      <c r="H19" s="46" t="e">
        <f t="shared" si="2"/>
        <v>#REF!</v>
      </c>
      <c r="I19" s="45">
        <v>98059241</v>
      </c>
      <c r="J19" s="47"/>
      <c r="K19" s="48"/>
      <c r="L19" s="48"/>
      <c r="M19" s="48"/>
      <c r="N19" s="49"/>
    </row>
    <row r="20" spans="1:14" s="50" customFormat="1" ht="55.5" customHeight="1" x14ac:dyDescent="0.2">
      <c r="A20" s="42">
        <f t="shared" si="3"/>
        <v>14</v>
      </c>
      <c r="B20" s="42" t="s">
        <v>56</v>
      </c>
      <c r="C20" s="55" t="s">
        <v>59</v>
      </c>
      <c r="D20" s="44">
        <f>+'Folha de salarios'!X23</f>
        <v>16350.000000000004</v>
      </c>
      <c r="E20" s="44">
        <f t="shared" si="0"/>
        <v>163.50000000000003</v>
      </c>
      <c r="F20" s="45" t="e">
        <f>+#REF!+#REF!+#REF!+E20</f>
        <v>#REF!</v>
      </c>
      <c r="G20" s="44" t="e">
        <f t="shared" si="1"/>
        <v>#REF!</v>
      </c>
      <c r="H20" s="45" t="e">
        <f t="shared" si="2"/>
        <v>#REF!</v>
      </c>
      <c r="I20" s="64">
        <v>411440730</v>
      </c>
      <c r="J20" s="47"/>
      <c r="K20" s="48"/>
      <c r="L20" s="48"/>
      <c r="M20" s="49"/>
    </row>
    <row r="21" spans="1:14" s="50" customFormat="1" ht="55.5" customHeight="1" x14ac:dyDescent="0.2">
      <c r="A21" s="42">
        <f t="shared" si="3"/>
        <v>15</v>
      </c>
      <c r="B21" s="42" t="s">
        <v>56</v>
      </c>
      <c r="C21" s="61" t="s">
        <v>60</v>
      </c>
      <c r="D21" s="44">
        <f>+'Folha de salarios'!X24</f>
        <v>16350.000000000004</v>
      </c>
      <c r="E21" s="44">
        <f t="shared" si="0"/>
        <v>163.50000000000003</v>
      </c>
      <c r="F21" s="45" t="e">
        <f>+#REF!+#REF!+#REF!+E21</f>
        <v>#REF!</v>
      </c>
      <c r="G21" s="44" t="e">
        <f t="shared" si="1"/>
        <v>#REF!</v>
      </c>
      <c r="H21" s="46" t="e">
        <f t="shared" si="2"/>
        <v>#REF!</v>
      </c>
      <c r="I21" s="45" t="s">
        <v>90</v>
      </c>
      <c r="J21" s="47"/>
      <c r="K21" s="48"/>
      <c r="L21" s="48"/>
      <c r="M21" s="48"/>
      <c r="N21" s="49"/>
    </row>
    <row r="22" spans="1:14" s="50" customFormat="1" ht="55.5" customHeight="1" x14ac:dyDescent="0.2">
      <c r="A22" s="42">
        <f t="shared" si="3"/>
        <v>16</v>
      </c>
      <c r="B22" s="42" t="s">
        <v>61</v>
      </c>
      <c r="C22" s="43" t="s">
        <v>62</v>
      </c>
      <c r="D22" s="44">
        <f>+'Folha de salarios'!X25</f>
        <v>11445</v>
      </c>
      <c r="E22" s="44">
        <f t="shared" si="0"/>
        <v>114.45</v>
      </c>
      <c r="F22" s="45" t="e">
        <f>+#REF!+#REF!+#REF!+E22</f>
        <v>#REF!</v>
      </c>
      <c r="G22" s="44" t="e">
        <f t="shared" si="1"/>
        <v>#REF!</v>
      </c>
      <c r="H22" s="46" t="e">
        <f t="shared" si="2"/>
        <v>#REF!</v>
      </c>
      <c r="I22" s="45">
        <v>313333863</v>
      </c>
      <c r="J22" s="47">
        <f>SUM(D22:D23)</f>
        <v>22400</v>
      </c>
      <c r="K22" s="48"/>
      <c r="L22" s="48"/>
      <c r="M22" s="48"/>
      <c r="N22" s="49"/>
    </row>
    <row r="23" spans="1:14" s="50" customFormat="1" ht="55.5" customHeight="1" x14ac:dyDescent="0.2">
      <c r="A23" s="42">
        <f t="shared" si="3"/>
        <v>17</v>
      </c>
      <c r="B23" s="42" t="s">
        <v>61</v>
      </c>
      <c r="C23" s="43" t="s">
        <v>63</v>
      </c>
      <c r="D23" s="44">
        <f>+'Folha de salarios'!X26</f>
        <v>10955</v>
      </c>
      <c r="E23" s="44">
        <f t="shared" si="0"/>
        <v>109.55</v>
      </c>
      <c r="F23" s="45" t="e">
        <f>+#REF!+#REF!+#REF!+E23</f>
        <v>#REF!</v>
      </c>
      <c r="G23" s="44" t="e">
        <f t="shared" si="1"/>
        <v>#REF!</v>
      </c>
      <c r="H23" s="46" t="e">
        <f t="shared" si="2"/>
        <v>#REF!</v>
      </c>
      <c r="I23" s="45">
        <v>305745068</v>
      </c>
      <c r="J23" s="47"/>
      <c r="K23" s="48"/>
      <c r="L23" s="48"/>
      <c r="M23" s="48"/>
      <c r="N23" s="49"/>
    </row>
    <row r="24" spans="1:14" s="50" customFormat="1" ht="55.5" customHeight="1" x14ac:dyDescent="0.2">
      <c r="A24" s="42">
        <f t="shared" si="3"/>
        <v>18</v>
      </c>
      <c r="B24" s="42" t="s">
        <v>61</v>
      </c>
      <c r="C24" s="56" t="s">
        <v>48</v>
      </c>
      <c r="D24" s="44">
        <f>+'Folha de salarios'!X27</f>
        <v>14225.000000000002</v>
      </c>
      <c r="E24" s="44">
        <f>D24*0.01</f>
        <v>142.25000000000003</v>
      </c>
      <c r="F24" s="58" t="e">
        <f>+#REF!+#REF!+#REF!+E24</f>
        <v>#REF!</v>
      </c>
      <c r="G24" s="57" t="e">
        <f>D24-F24</f>
        <v>#REF!</v>
      </c>
      <c r="H24" s="59" t="e">
        <f>MROUND(G24,5)</f>
        <v>#REF!</v>
      </c>
      <c r="I24" s="58">
        <v>393221511</v>
      </c>
      <c r="J24" s="60"/>
      <c r="K24" s="48"/>
      <c r="L24" s="48"/>
      <c r="M24" s="48"/>
      <c r="N24" s="49"/>
    </row>
    <row r="25" spans="1:14" s="50" customFormat="1" ht="55.5" customHeight="1" x14ac:dyDescent="0.2">
      <c r="A25" s="42">
        <f t="shared" si="3"/>
        <v>19</v>
      </c>
      <c r="B25" s="42" t="s">
        <v>64</v>
      </c>
      <c r="C25" s="43" t="s">
        <v>65</v>
      </c>
      <c r="D25" s="44">
        <f>+'Folha de salarios'!X28</f>
        <v>11445</v>
      </c>
      <c r="E25" s="44">
        <f t="shared" si="0"/>
        <v>114.45</v>
      </c>
      <c r="F25" s="45" t="e">
        <f>+#REF!+#REF!+#REF!+E25</f>
        <v>#REF!</v>
      </c>
      <c r="G25" s="44" t="e">
        <f t="shared" si="1"/>
        <v>#REF!</v>
      </c>
      <c r="H25" s="46" t="e">
        <f t="shared" si="2"/>
        <v>#REF!</v>
      </c>
      <c r="I25" s="45">
        <v>311818141</v>
      </c>
      <c r="J25" s="47">
        <f>SUM(D25:D27)+6500</f>
        <v>43125</v>
      </c>
      <c r="K25" s="48"/>
      <c r="L25" s="48"/>
      <c r="M25" s="48"/>
      <c r="N25" s="49"/>
    </row>
    <row r="26" spans="1:14" s="50" customFormat="1" ht="55.5" customHeight="1" x14ac:dyDescent="0.2">
      <c r="A26" s="42">
        <f t="shared" si="3"/>
        <v>20</v>
      </c>
      <c r="B26" s="42" t="s">
        <v>64</v>
      </c>
      <c r="C26" s="43" t="s">
        <v>67</v>
      </c>
      <c r="D26" s="44">
        <f>+'Folha de salarios'!X29</f>
        <v>14225.000000000002</v>
      </c>
      <c r="E26" s="44">
        <f t="shared" si="0"/>
        <v>142.25000000000003</v>
      </c>
      <c r="F26" s="45" t="e">
        <f>+#REF!+#REF!+#REF!+E26</f>
        <v>#REF!</v>
      </c>
      <c r="G26" s="44" t="e">
        <f t="shared" si="1"/>
        <v>#REF!</v>
      </c>
      <c r="H26" s="46" t="e">
        <f t="shared" si="2"/>
        <v>#REF!</v>
      </c>
      <c r="I26" s="45">
        <v>169475394</v>
      </c>
      <c r="J26" s="47"/>
      <c r="K26" s="48"/>
      <c r="L26" s="48"/>
      <c r="M26" s="48"/>
      <c r="N26" s="49"/>
    </row>
    <row r="27" spans="1:14" s="50" customFormat="1" ht="55.5" customHeight="1" x14ac:dyDescent="0.2">
      <c r="A27" s="42">
        <f t="shared" si="3"/>
        <v>21</v>
      </c>
      <c r="B27" s="42" t="s">
        <v>64</v>
      </c>
      <c r="C27" s="43" t="s">
        <v>68</v>
      </c>
      <c r="D27" s="44">
        <f>+'Folha de salarios'!X30</f>
        <v>10955</v>
      </c>
      <c r="E27" s="44">
        <f t="shared" si="0"/>
        <v>109.55</v>
      </c>
      <c r="F27" s="45" t="e">
        <f>+#REF!+#REF!+#REF!+E27</f>
        <v>#REF!</v>
      </c>
      <c r="G27" s="44" t="e">
        <f t="shared" si="1"/>
        <v>#REF!</v>
      </c>
      <c r="H27" s="46" t="e">
        <f t="shared" si="2"/>
        <v>#REF!</v>
      </c>
      <c r="I27" s="45">
        <v>257804370</v>
      </c>
      <c r="J27" s="47"/>
      <c r="K27" s="48"/>
      <c r="L27" s="48"/>
      <c r="M27" s="48"/>
      <c r="N27" s="49"/>
    </row>
    <row r="28" spans="1:14" s="50" customFormat="1" ht="55.5" customHeight="1" x14ac:dyDescent="0.2">
      <c r="A28" s="141"/>
      <c r="B28" s="141"/>
      <c r="C28" s="142"/>
      <c r="D28" s="143"/>
      <c r="E28" s="143"/>
      <c r="F28" s="144"/>
      <c r="G28" s="143"/>
      <c r="H28" s="147"/>
      <c r="I28" s="144"/>
      <c r="J28" s="145"/>
      <c r="K28" s="48"/>
      <c r="L28" s="48"/>
      <c r="M28" s="48"/>
      <c r="N28" s="49"/>
    </row>
    <row r="29" spans="1:14" s="70" customFormat="1" ht="55.5" customHeight="1" x14ac:dyDescent="0.2">
      <c r="A29" s="65"/>
      <c r="B29" s="65"/>
      <c r="C29" s="1" t="s">
        <v>69</v>
      </c>
      <c r="D29" s="66">
        <f>SUM(D7:D27)</f>
        <v>346473</v>
      </c>
      <c r="E29" s="66">
        <f>SUM(E7:E27)</f>
        <v>3464.73</v>
      </c>
      <c r="F29" s="67" t="e">
        <f>SUM(F7:F27)</f>
        <v>#REF!</v>
      </c>
      <c r="G29" s="66" t="e">
        <f>SUM(G7:G27)</f>
        <v>#REF!</v>
      </c>
      <c r="H29" s="67" t="e">
        <f>SUM(H7:H27)</f>
        <v>#REF!</v>
      </c>
      <c r="I29" s="67"/>
      <c r="J29" s="68">
        <f>SUM(J7:J27)</f>
        <v>321348</v>
      </c>
      <c r="K29" s="48"/>
      <c r="L29" s="48"/>
      <c r="M29" s="69"/>
    </row>
    <row r="30" spans="1:14" s="70" customFormat="1" ht="55.5" customHeight="1" x14ac:dyDescent="0.2">
      <c r="A30" s="71"/>
      <c r="B30" s="71"/>
      <c r="C30" s="72"/>
      <c r="D30" s="74"/>
      <c r="E30" s="74"/>
      <c r="F30" s="75"/>
      <c r="G30" s="74"/>
      <c r="H30" s="75"/>
      <c r="I30" s="75"/>
      <c r="J30" s="73"/>
      <c r="K30" s="48"/>
      <c r="L30" s="48"/>
      <c r="M30" s="69"/>
    </row>
    <row r="31" spans="1:14" s="70" customFormat="1" ht="55.5" customHeight="1" x14ac:dyDescent="0.2">
      <c r="A31" s="71"/>
      <c r="B31" s="71"/>
      <c r="C31" s="72"/>
      <c r="D31" s="74"/>
      <c r="E31" s="74"/>
      <c r="F31" s="75"/>
      <c r="G31" s="74"/>
      <c r="H31" s="75"/>
      <c r="I31" s="75"/>
      <c r="J31" s="73"/>
      <c r="K31" s="48"/>
      <c r="L31" s="48"/>
      <c r="M31" s="69"/>
    </row>
    <row r="32" spans="1:14" s="87" customFormat="1" ht="28.5" customHeight="1" x14ac:dyDescent="0.4">
      <c r="A32" s="76"/>
      <c r="B32" s="77"/>
      <c r="C32" s="78"/>
      <c r="D32" s="82"/>
      <c r="E32" s="51"/>
      <c r="F32" s="79"/>
      <c r="G32" s="51"/>
      <c r="H32" s="83"/>
      <c r="I32" s="83"/>
      <c r="J32" s="84"/>
      <c r="K32" s="48"/>
      <c r="L32" s="48"/>
      <c r="M32" s="85"/>
      <c r="N32" s="86"/>
    </row>
    <row r="33" spans="1:14" s="87" customFormat="1" ht="28.5" customHeight="1" x14ac:dyDescent="0.4">
      <c r="A33" s="76"/>
      <c r="B33" s="77"/>
      <c r="C33" s="88"/>
      <c r="D33" s="96"/>
      <c r="E33" s="96"/>
      <c r="F33" s="79"/>
      <c r="G33" s="51"/>
      <c r="H33" s="78" t="s">
        <v>71</v>
      </c>
      <c r="I33" s="78"/>
      <c r="J33" s="84"/>
      <c r="K33" s="48"/>
      <c r="L33" s="48"/>
      <c r="M33" s="85"/>
      <c r="N33" s="86"/>
    </row>
    <row r="34" spans="1:14" s="87" customFormat="1" ht="28.5" customHeight="1" x14ac:dyDescent="0.4">
      <c r="A34" s="76" t="s">
        <v>72</v>
      </c>
      <c r="B34" s="77"/>
      <c r="C34" s="88" t="s">
        <v>73</v>
      </c>
      <c r="D34" s="96"/>
      <c r="E34" s="96"/>
      <c r="F34" s="88"/>
      <c r="G34" s="51"/>
      <c r="H34" s="88"/>
      <c r="I34" s="88"/>
      <c r="J34" s="100"/>
      <c r="K34" s="48"/>
      <c r="L34" s="48"/>
      <c r="M34" s="85"/>
      <c r="N34" s="86"/>
    </row>
    <row r="35" spans="1:14" s="87" customFormat="1" ht="28.5" customHeight="1" x14ac:dyDescent="0.4">
      <c r="A35" s="76" t="s">
        <v>75</v>
      </c>
      <c r="B35" s="77"/>
      <c r="C35" s="88" t="s">
        <v>76</v>
      </c>
      <c r="D35" s="96"/>
      <c r="E35" s="96"/>
      <c r="F35" s="88"/>
      <c r="G35" s="51"/>
      <c r="H35" s="78" t="s">
        <v>78</v>
      </c>
      <c r="I35" s="78"/>
      <c r="J35" s="84"/>
      <c r="K35" s="48"/>
      <c r="L35" s="48"/>
      <c r="M35" s="85"/>
      <c r="N35" s="86"/>
    </row>
    <row r="36" spans="1:14" s="87" customFormat="1" ht="28.5" customHeight="1" x14ac:dyDescent="0.4">
      <c r="A36" s="76" t="s">
        <v>79</v>
      </c>
      <c r="B36" s="77"/>
      <c r="C36" s="88" t="s">
        <v>80</v>
      </c>
      <c r="D36" s="96"/>
      <c r="E36" s="96"/>
      <c r="F36" s="88"/>
      <c r="G36" s="51"/>
      <c r="H36" s="88"/>
      <c r="I36" s="88"/>
      <c r="J36" s="100"/>
      <c r="K36" s="48"/>
      <c r="L36" s="48"/>
      <c r="M36" s="85"/>
      <c r="N36" s="86"/>
    </row>
    <row r="37" spans="1:14" s="87" customFormat="1" ht="28.5" customHeight="1" x14ac:dyDescent="0.4">
      <c r="A37" s="76" t="s">
        <v>82</v>
      </c>
      <c r="B37" s="77"/>
      <c r="C37" s="88" t="s">
        <v>83</v>
      </c>
      <c r="D37" s="96"/>
      <c r="E37" s="96"/>
      <c r="F37" s="88"/>
      <c r="G37" s="51"/>
      <c r="H37" s="78" t="s">
        <v>84</v>
      </c>
      <c r="I37" s="78"/>
      <c r="J37" s="84"/>
      <c r="K37" s="48"/>
      <c r="L37" s="48"/>
      <c r="M37" s="85"/>
      <c r="N37" s="86"/>
    </row>
    <row r="38" spans="1:14" s="87" customFormat="1" ht="28.5" customHeight="1" x14ac:dyDescent="0.4">
      <c r="A38" s="76"/>
      <c r="B38" s="77"/>
      <c r="C38" s="88"/>
      <c r="D38" s="109"/>
      <c r="E38" s="96"/>
      <c r="F38" s="88"/>
      <c r="G38" s="51"/>
      <c r="H38" s="88"/>
      <c r="I38" s="88"/>
      <c r="J38" s="100"/>
      <c r="K38" s="48"/>
      <c r="L38" s="48"/>
      <c r="M38" s="85"/>
      <c r="N38" s="86"/>
    </row>
    <row r="39" spans="1:14" s="87" customFormat="1" ht="28.5" customHeight="1" x14ac:dyDescent="0.4">
      <c r="A39" s="111"/>
      <c r="B39" s="112"/>
      <c r="C39" s="113"/>
      <c r="D39" s="115"/>
      <c r="E39" s="115"/>
      <c r="F39" s="113"/>
      <c r="G39" s="115"/>
      <c r="H39" s="113"/>
      <c r="I39" s="113"/>
      <c r="J39" s="120"/>
      <c r="K39" s="48"/>
      <c r="L39" s="48"/>
      <c r="M39" s="85"/>
      <c r="N39" s="86"/>
    </row>
    <row r="40" spans="1:14" ht="28.5" customHeight="1" x14ac:dyDescent="0.2">
      <c r="A40" s="121"/>
      <c r="B40" s="121"/>
      <c r="C40" s="122"/>
      <c r="D40" s="123"/>
      <c r="E40" s="123"/>
      <c r="F40" s="122"/>
      <c r="G40" s="123"/>
      <c r="H40" s="122"/>
      <c r="I40" s="122"/>
      <c r="J40" s="123"/>
    </row>
    <row r="41" spans="1:14" ht="28.5" customHeight="1" x14ac:dyDescent="0.2"/>
    <row r="42" spans="1:14" ht="28.5" customHeight="1" x14ac:dyDescent="0.2">
      <c r="H42" s="8" t="e">
        <f>#REF!</f>
        <v>#REF!</v>
      </c>
      <c r="I42" s="8"/>
    </row>
    <row r="43" spans="1:14" ht="28.5" customHeight="1" x14ac:dyDescent="0.2"/>
    <row r="45" spans="1:14" x14ac:dyDescent="0.2">
      <c r="D45" s="124" t="s">
        <v>86</v>
      </c>
    </row>
    <row r="46" spans="1:14" x14ac:dyDescent="0.2">
      <c r="D46" s="124">
        <f>+D29*7%</f>
        <v>24253.11</v>
      </c>
    </row>
  </sheetData>
  <autoFilter ref="A6:R29" xr:uid="{00000000-0009-0000-0000-000002000000}"/>
  <mergeCells count="5">
    <mergeCell ref="A1:H1"/>
    <mergeCell ref="A5:A6"/>
    <mergeCell ref="C5:C6"/>
    <mergeCell ref="E5:F5"/>
    <mergeCell ref="H5:H6"/>
  </mergeCells>
  <phoneticPr fontId="31" type="noConversion"/>
  <printOptions horizontalCentered="1"/>
  <pageMargins left="0.23611111111111099" right="0" top="0.31527777777777799" bottom="0.31527777777777799" header="0.511811023622047" footer="0.511811023622047"/>
  <pageSetup paperSize="9" scale="3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22"/>
  <sheetViews>
    <sheetView view="pageBreakPreview" topLeftCell="A614" zoomScale="91" zoomScaleNormal="100" zoomScalePageLayoutView="91" workbookViewId="0">
      <selection activeCell="I719" sqref="I719"/>
    </sheetView>
  </sheetViews>
  <sheetFormatPr defaultColWidth="9" defaultRowHeight="12.75" x14ac:dyDescent="0.2"/>
  <cols>
    <col min="1" max="1" width="0.85546875" customWidth="1"/>
    <col min="2" max="2" width="10.7109375" customWidth="1"/>
    <col min="3" max="5" width="9.7109375" customWidth="1"/>
    <col min="6" max="6" width="8.7109375" customWidth="1"/>
    <col min="7" max="7" width="10.7109375" customWidth="1"/>
    <col min="8" max="8" width="5.85546875" customWidth="1"/>
    <col min="9" max="9" width="18.28515625" customWidth="1"/>
    <col min="10" max="10" width="10.7109375" customWidth="1"/>
    <col min="11" max="13" width="9.7109375" customWidth="1"/>
    <col min="14" max="14" width="8.7109375" customWidth="1"/>
    <col min="15" max="15" width="10.7109375" customWidth="1"/>
  </cols>
  <sheetData>
    <row r="1" spans="1:15" ht="38.1" customHeight="1" x14ac:dyDescent="0.2">
      <c r="A1" s="125"/>
      <c r="B1" s="247" t="s">
        <v>91</v>
      </c>
      <c r="C1" s="247"/>
      <c r="D1" s="247"/>
      <c r="E1" s="247"/>
      <c r="F1" s="247"/>
      <c r="G1" s="247"/>
      <c r="H1" s="127"/>
      <c r="I1" s="127"/>
      <c r="J1" s="247" t="s">
        <v>91</v>
      </c>
      <c r="K1" s="247"/>
      <c r="L1" s="247"/>
      <c r="M1" s="247"/>
      <c r="N1" s="247"/>
      <c r="O1" s="247"/>
    </row>
    <row r="2" spans="1:15" ht="15" customHeight="1" x14ac:dyDescent="0.2">
      <c r="A2" s="125"/>
      <c r="B2" s="126"/>
      <c r="C2" s="128"/>
      <c r="D2" s="128"/>
      <c r="E2" s="128"/>
      <c r="F2" s="128"/>
      <c r="G2" s="128"/>
      <c r="H2" s="127"/>
      <c r="I2" s="127"/>
      <c r="J2" s="126"/>
      <c r="K2" s="128"/>
      <c r="L2" s="128"/>
      <c r="M2" s="128"/>
      <c r="N2" s="128"/>
      <c r="O2" s="128"/>
    </row>
    <row r="3" spans="1:15" ht="18.600000000000001" customHeight="1" x14ac:dyDescent="0.3">
      <c r="A3" s="125"/>
      <c r="B3" s="248" t="s">
        <v>92</v>
      </c>
      <c r="C3" s="248"/>
      <c r="D3" s="248"/>
      <c r="E3" s="248"/>
      <c r="F3" s="248"/>
      <c r="G3" s="248"/>
      <c r="H3" s="129"/>
      <c r="I3" s="130"/>
      <c r="J3" s="248" t="s">
        <v>92</v>
      </c>
      <c r="K3" s="248"/>
      <c r="L3" s="248"/>
      <c r="M3" s="248"/>
      <c r="N3" s="248"/>
      <c r="O3" s="248"/>
    </row>
    <row r="4" spans="1:15" ht="15" customHeight="1" x14ac:dyDescent="0.2">
      <c r="A4" s="125"/>
      <c r="B4" s="131">
        <v>1</v>
      </c>
      <c r="C4" s="132"/>
      <c r="D4" s="132"/>
      <c r="E4" s="132"/>
      <c r="F4" s="132"/>
      <c r="H4" s="132"/>
      <c r="I4" s="132"/>
      <c r="J4" s="131">
        <f>+B4</f>
        <v>1</v>
      </c>
      <c r="K4" s="130"/>
      <c r="L4" s="132"/>
      <c r="M4" s="132"/>
      <c r="N4" s="132"/>
      <c r="O4" s="132"/>
    </row>
    <row r="5" spans="1:15" ht="18.600000000000001" customHeight="1" x14ac:dyDescent="0.25">
      <c r="A5" s="125"/>
      <c r="B5" s="133" t="s">
        <v>93</v>
      </c>
      <c r="C5" s="134" t="str">
        <f>+'Folha de salarios'!AG6</f>
        <v>JANEIRIO</v>
      </c>
      <c r="D5" s="135"/>
      <c r="E5" s="135">
        <v>2025</v>
      </c>
      <c r="F5" s="133"/>
      <c r="G5" s="136"/>
      <c r="H5" s="136"/>
      <c r="I5" s="136"/>
      <c r="J5" s="133" t="s">
        <v>93</v>
      </c>
      <c r="K5" s="134" t="str">
        <f>+C5</f>
        <v>JANEIRIO</v>
      </c>
      <c r="L5" s="135"/>
      <c r="M5" s="135">
        <f>+E5</f>
        <v>2025</v>
      </c>
      <c r="O5" s="136"/>
    </row>
    <row r="6" spans="1:15" ht="18.600000000000001" customHeight="1" x14ac:dyDescent="0.25">
      <c r="A6" s="125"/>
      <c r="B6" s="133" t="s">
        <v>94</v>
      </c>
      <c r="C6" s="136" t="str">
        <f>+'Folha de salarios'!C10</f>
        <v>MARCO BEBE GIMO</v>
      </c>
      <c r="D6" s="136"/>
      <c r="E6" s="136"/>
      <c r="F6" s="136"/>
      <c r="G6" s="135"/>
      <c r="H6" s="135"/>
      <c r="I6" s="135"/>
      <c r="J6" s="133" t="s">
        <v>94</v>
      </c>
      <c r="K6" s="136" t="str">
        <f>C6</f>
        <v>MARCO BEBE GIMO</v>
      </c>
      <c r="L6" s="135"/>
      <c r="M6" s="135"/>
      <c r="O6" s="135"/>
    </row>
    <row r="7" spans="1:15" ht="15.75" customHeight="1" x14ac:dyDescent="0.25">
      <c r="A7" s="125"/>
      <c r="B7" s="133" t="s">
        <v>95</v>
      </c>
      <c r="C7" s="135" t="str">
        <f>+'Folha de salarios'!G10</f>
        <v>GERENTE</v>
      </c>
      <c r="D7" s="135"/>
      <c r="E7" s="135"/>
      <c r="F7" s="135"/>
      <c r="G7" s="135"/>
      <c r="H7" s="135"/>
      <c r="I7" s="135"/>
      <c r="J7" s="133" t="s">
        <v>95</v>
      </c>
      <c r="K7" s="135" t="str">
        <f>+C7</f>
        <v>GERENTE</v>
      </c>
      <c r="L7" s="135"/>
      <c r="M7" s="135"/>
      <c r="N7" s="135"/>
      <c r="O7" s="135"/>
    </row>
    <row r="8" spans="1:15" ht="15.75" customHeight="1" x14ac:dyDescent="0.25">
      <c r="A8" s="125"/>
      <c r="B8" s="133"/>
      <c r="C8" s="135"/>
      <c r="D8" s="135"/>
      <c r="E8" s="135"/>
      <c r="F8" s="135"/>
      <c r="G8" s="135"/>
      <c r="H8" s="135"/>
      <c r="I8" s="135"/>
      <c r="J8" s="133"/>
      <c r="K8" s="135"/>
      <c r="L8" s="135"/>
      <c r="M8" s="135"/>
      <c r="N8" s="135"/>
      <c r="O8" s="135"/>
    </row>
    <row r="9" spans="1:15" ht="15.75" customHeight="1" x14ac:dyDescent="0.25">
      <c r="A9" s="125"/>
      <c r="B9" s="133" t="s">
        <v>96</v>
      </c>
      <c r="C9" s="135"/>
      <c r="D9" s="135"/>
      <c r="E9" s="135"/>
      <c r="F9" s="135"/>
      <c r="G9" s="137">
        <f>+'Folha de salarios'!M10</f>
        <v>81000.000000000015</v>
      </c>
      <c r="H9" s="137"/>
      <c r="I9" s="137"/>
      <c r="J9" s="133" t="s">
        <v>96</v>
      </c>
      <c r="K9" s="133"/>
      <c r="L9" s="135"/>
      <c r="M9" s="135"/>
      <c r="N9" s="135"/>
      <c r="O9" s="137">
        <f>+G9</f>
        <v>81000.000000000015</v>
      </c>
    </row>
    <row r="10" spans="1:15" ht="15.75" customHeight="1" x14ac:dyDescent="0.25">
      <c r="A10" s="125"/>
      <c r="B10" s="133" t="s">
        <v>97</v>
      </c>
      <c r="C10" s="135"/>
      <c r="D10" s="135"/>
      <c r="E10" s="135"/>
      <c r="F10" s="135"/>
      <c r="G10" s="138">
        <f>0</f>
        <v>0</v>
      </c>
      <c r="H10" s="138"/>
      <c r="I10" s="138"/>
      <c r="J10" s="133" t="s">
        <v>97</v>
      </c>
      <c r="K10" s="133"/>
      <c r="L10" s="135"/>
      <c r="M10" s="135"/>
      <c r="N10" s="135"/>
      <c r="O10" s="138">
        <f>G10</f>
        <v>0</v>
      </c>
    </row>
    <row r="11" spans="1:15" ht="15.75" customHeight="1" x14ac:dyDescent="0.25">
      <c r="A11" s="125"/>
      <c r="B11" s="133" t="s">
        <v>98</v>
      </c>
      <c r="C11" s="135"/>
      <c r="D11" s="135"/>
      <c r="E11" s="135"/>
      <c r="F11" s="135"/>
      <c r="G11" s="138">
        <v>0</v>
      </c>
      <c r="H11" s="138"/>
      <c r="I11" s="138"/>
      <c r="J11" s="133" t="s">
        <v>98</v>
      </c>
      <c r="K11" s="133"/>
      <c r="L11" s="135"/>
      <c r="M11" s="135"/>
      <c r="N11" s="135"/>
      <c r="O11" s="138">
        <f>G11</f>
        <v>0</v>
      </c>
    </row>
    <row r="12" spans="1:15" ht="15.75" customHeight="1" x14ac:dyDescent="0.25">
      <c r="A12" s="125"/>
      <c r="B12" s="133" t="s">
        <v>99</v>
      </c>
      <c r="C12" s="135"/>
      <c r="D12" s="135"/>
      <c r="E12" s="135"/>
      <c r="F12" s="135"/>
      <c r="G12" s="138">
        <v>0</v>
      </c>
      <c r="H12" s="138"/>
      <c r="I12" s="138"/>
      <c r="J12" s="133" t="s">
        <v>99</v>
      </c>
      <c r="K12" s="133"/>
      <c r="L12" s="135"/>
      <c r="M12" s="135"/>
      <c r="N12" s="135"/>
      <c r="O12" s="138">
        <v>0</v>
      </c>
    </row>
    <row r="13" spans="1:15" ht="15.75" customHeight="1" x14ac:dyDescent="0.25">
      <c r="A13" s="125"/>
      <c r="B13" s="135"/>
      <c r="C13" s="135"/>
      <c r="D13" s="135"/>
      <c r="E13" s="133" t="s">
        <v>100</v>
      </c>
      <c r="F13" s="135"/>
      <c r="G13" s="138">
        <f>SUM(G9:G12)</f>
        <v>81000.000000000015</v>
      </c>
      <c r="H13" s="138"/>
      <c r="I13" s="138"/>
      <c r="J13" s="135"/>
      <c r="K13" s="135"/>
      <c r="L13" s="135"/>
      <c r="M13" s="133" t="s">
        <v>100</v>
      </c>
      <c r="N13" s="135"/>
      <c r="O13" s="138">
        <f>SUM(O9:O12)</f>
        <v>81000.000000000015</v>
      </c>
    </row>
    <row r="14" spans="1:15" ht="15.75" customHeight="1" x14ac:dyDescent="0.25">
      <c r="A14" s="125"/>
      <c r="B14" s="135"/>
      <c r="C14" s="135"/>
      <c r="D14" s="135"/>
      <c r="E14" s="135"/>
      <c r="F14" s="135"/>
      <c r="G14" s="138"/>
      <c r="H14" s="138"/>
      <c r="I14" s="138"/>
      <c r="J14" s="135"/>
      <c r="K14" s="135"/>
      <c r="L14" s="135"/>
      <c r="M14" s="135"/>
      <c r="N14" s="135"/>
      <c r="O14" s="138"/>
    </row>
    <row r="15" spans="1:15" ht="15.75" customHeight="1" x14ac:dyDescent="0.25">
      <c r="A15" s="125"/>
      <c r="B15" s="135"/>
      <c r="C15" s="133" t="s">
        <v>101</v>
      </c>
      <c r="D15" s="135"/>
      <c r="E15" s="135"/>
      <c r="F15" s="135"/>
      <c r="G15" s="138"/>
      <c r="H15" s="138"/>
      <c r="I15" s="138"/>
      <c r="J15" s="135"/>
      <c r="K15" s="133" t="s">
        <v>101</v>
      </c>
      <c r="L15" s="135"/>
      <c r="N15" s="135"/>
      <c r="O15" s="138"/>
    </row>
    <row r="16" spans="1:15" ht="15.75" customHeight="1" x14ac:dyDescent="0.25">
      <c r="A16" s="125"/>
      <c r="B16" s="135"/>
      <c r="C16" s="135"/>
      <c r="D16" s="133" t="s">
        <v>102</v>
      </c>
      <c r="E16" s="135"/>
      <c r="F16" s="135"/>
      <c r="G16" s="138">
        <f>+'Folha de salarios'!Z10</f>
        <v>10437.5</v>
      </c>
      <c r="H16" s="138"/>
      <c r="I16" s="138"/>
      <c r="J16" s="135"/>
      <c r="K16" s="135"/>
      <c r="L16" s="133" t="s">
        <v>102</v>
      </c>
      <c r="N16" s="135"/>
      <c r="O16" s="138">
        <f>+G16</f>
        <v>10437.5</v>
      </c>
    </row>
    <row r="17" spans="1:15" ht="15.75" customHeight="1" x14ac:dyDescent="0.25">
      <c r="A17" s="125"/>
      <c r="B17" s="135"/>
      <c r="C17" s="135"/>
      <c r="D17" s="133" t="s">
        <v>86</v>
      </c>
      <c r="E17" s="135"/>
      <c r="F17" s="135"/>
      <c r="G17" s="138">
        <f>+G13*0.03</f>
        <v>2430.0000000000005</v>
      </c>
      <c r="H17" s="138"/>
      <c r="I17" s="138"/>
      <c r="J17" s="135"/>
      <c r="K17" s="135"/>
      <c r="L17" s="133" t="s">
        <v>86</v>
      </c>
      <c r="N17" s="135"/>
      <c r="O17" s="138">
        <f>+G17</f>
        <v>2430.0000000000005</v>
      </c>
    </row>
    <row r="18" spans="1:15" ht="15.75" customHeight="1" x14ac:dyDescent="0.25">
      <c r="A18" s="125"/>
      <c r="B18" s="135"/>
      <c r="C18" s="135"/>
      <c r="D18" s="133" t="s">
        <v>103</v>
      </c>
      <c r="E18" s="135"/>
      <c r="F18" s="135"/>
      <c r="G18" s="138">
        <f>+G13*0.01</f>
        <v>810.00000000000011</v>
      </c>
      <c r="H18" s="138"/>
      <c r="I18" s="138"/>
      <c r="J18" s="135"/>
      <c r="K18" s="135"/>
      <c r="L18" s="133" t="s">
        <v>103</v>
      </c>
      <c r="N18" s="135"/>
      <c r="O18" s="138">
        <f>+G18</f>
        <v>810.00000000000011</v>
      </c>
    </row>
    <row r="19" spans="1:15" ht="15.75" customHeight="1" x14ac:dyDescent="0.25">
      <c r="A19" s="125"/>
      <c r="B19" s="135"/>
      <c r="C19" s="135"/>
      <c r="D19" s="133" t="s">
        <v>104</v>
      </c>
      <c r="E19" s="135"/>
      <c r="F19" s="135"/>
      <c r="G19" s="138"/>
      <c r="H19" s="138"/>
      <c r="I19" s="138"/>
      <c r="J19" s="135"/>
      <c r="K19" s="135"/>
      <c r="L19" s="133" t="s">
        <v>104</v>
      </c>
      <c r="N19" s="135"/>
      <c r="O19" s="138">
        <f>G19</f>
        <v>0</v>
      </c>
    </row>
    <row r="20" spans="1:15" ht="15.75" customHeight="1" x14ac:dyDescent="0.25">
      <c r="A20" s="125"/>
      <c r="B20" s="135"/>
      <c r="C20" s="135"/>
      <c r="D20" s="133" t="s">
        <v>105</v>
      </c>
      <c r="E20" s="135"/>
      <c r="F20" s="135"/>
      <c r="G20" s="138"/>
      <c r="H20" s="138"/>
      <c r="I20" s="138"/>
      <c r="J20" s="135"/>
      <c r="K20" s="135"/>
      <c r="L20" s="133" t="s">
        <v>105</v>
      </c>
      <c r="N20" s="135"/>
      <c r="O20" s="138">
        <f>G20</f>
        <v>0</v>
      </c>
    </row>
    <row r="21" spans="1:15" ht="15.75" customHeight="1" x14ac:dyDescent="0.25">
      <c r="A21" s="125"/>
      <c r="B21" s="135"/>
      <c r="C21" s="135"/>
      <c r="D21" s="133" t="s">
        <v>106</v>
      </c>
      <c r="E21" s="135"/>
      <c r="F21" s="135"/>
      <c r="G21" s="138"/>
      <c r="H21" s="138"/>
      <c r="I21" s="138"/>
      <c r="J21" s="135"/>
      <c r="K21" s="135"/>
      <c r="L21" s="133" t="s">
        <v>106</v>
      </c>
      <c r="N21" s="135"/>
      <c r="O21" s="138">
        <f>G21</f>
        <v>0</v>
      </c>
    </row>
    <row r="22" spans="1:15" ht="15.75" customHeight="1" x14ac:dyDescent="0.25">
      <c r="A22" s="125"/>
      <c r="B22" s="135"/>
      <c r="C22" s="135"/>
      <c r="D22" s="133" t="s">
        <v>107</v>
      </c>
      <c r="E22" s="135"/>
      <c r="F22" s="135"/>
      <c r="G22" s="138">
        <f>+'Folha de salarios'!Y10</f>
        <v>0</v>
      </c>
      <c r="H22" s="138"/>
      <c r="I22" s="138"/>
      <c r="J22" s="135"/>
      <c r="K22" s="135"/>
      <c r="L22" s="133" t="s">
        <v>107</v>
      </c>
      <c r="N22" s="135"/>
      <c r="O22" s="138">
        <f>G22</f>
        <v>0</v>
      </c>
    </row>
    <row r="23" spans="1:15" ht="15.75" customHeight="1" x14ac:dyDescent="0.25">
      <c r="A23" s="125"/>
      <c r="B23" s="135"/>
      <c r="C23" s="135"/>
      <c r="D23" s="135"/>
      <c r="E23" s="133" t="s">
        <v>100</v>
      </c>
      <c r="F23" s="135"/>
      <c r="G23" s="138">
        <f>SUM(G16:G22)</f>
        <v>13677.5</v>
      </c>
      <c r="H23" s="138"/>
      <c r="I23" s="138"/>
      <c r="J23" s="135"/>
      <c r="K23" s="135"/>
      <c r="L23" s="133" t="s">
        <v>100</v>
      </c>
      <c r="N23" s="135"/>
      <c r="O23" s="138">
        <f>SUM(O16:O22)</f>
        <v>13677.5</v>
      </c>
    </row>
    <row r="24" spans="1:15" ht="15.75" customHeight="1" x14ac:dyDescent="0.25">
      <c r="A24" s="125"/>
      <c r="B24" s="135"/>
      <c r="C24" s="135"/>
      <c r="D24" s="135"/>
      <c r="E24" s="135"/>
      <c r="F24" s="135"/>
      <c r="G24" s="138"/>
      <c r="H24" s="138"/>
      <c r="I24" s="138"/>
      <c r="J24" s="135"/>
      <c r="K24" s="135"/>
      <c r="L24" s="135"/>
      <c r="N24" s="135"/>
      <c r="O24" s="138"/>
    </row>
    <row r="25" spans="1:15" ht="15.75" customHeight="1" x14ac:dyDescent="0.25">
      <c r="A25" s="125"/>
      <c r="B25" s="135"/>
      <c r="C25" s="133" t="s">
        <v>109</v>
      </c>
      <c r="D25" s="135"/>
      <c r="E25" s="135"/>
      <c r="F25" s="135"/>
      <c r="G25" s="139">
        <f>G13-G23</f>
        <v>67322.500000000015</v>
      </c>
      <c r="H25" s="138"/>
      <c r="I25" s="138"/>
      <c r="J25" s="135"/>
      <c r="K25" s="133" t="s">
        <v>109</v>
      </c>
      <c r="L25" s="135"/>
      <c r="N25" s="135"/>
      <c r="O25" s="139">
        <f>O13-O23</f>
        <v>67322.500000000015</v>
      </c>
    </row>
    <row r="26" spans="1:15" ht="15.75" customHeight="1" x14ac:dyDescent="0.25">
      <c r="A26" s="125"/>
      <c r="B26" s="135"/>
      <c r="C26" s="133"/>
      <c r="D26" s="135"/>
      <c r="E26" s="135"/>
      <c r="F26" s="135"/>
      <c r="G26" s="138"/>
      <c r="H26" s="138"/>
      <c r="I26" s="138"/>
      <c r="J26" s="135"/>
      <c r="K26" s="135"/>
      <c r="L26" s="133"/>
      <c r="M26" s="135"/>
      <c r="N26" s="135"/>
      <c r="O26" s="138"/>
    </row>
    <row r="27" spans="1:15" ht="15.75" customHeight="1" x14ac:dyDescent="0.25">
      <c r="A27" s="125"/>
      <c r="B27" s="135"/>
      <c r="C27" s="135"/>
      <c r="D27" s="135"/>
      <c r="E27" s="135"/>
      <c r="F27" s="135"/>
      <c r="G27" s="138"/>
      <c r="H27" s="138"/>
      <c r="I27" s="138"/>
      <c r="J27" s="135"/>
      <c r="K27" s="135"/>
      <c r="L27" s="135"/>
      <c r="M27" s="135"/>
      <c r="N27" s="135"/>
      <c r="O27" s="138"/>
    </row>
    <row r="28" spans="1:15" ht="15.75" customHeight="1" x14ac:dyDescent="0.25">
      <c r="A28" s="125"/>
      <c r="B28" s="135"/>
      <c r="C28" s="135"/>
      <c r="D28" s="135"/>
      <c r="E28" s="133" t="s">
        <v>110</v>
      </c>
      <c r="F28" s="135"/>
      <c r="G28" s="138"/>
      <c r="H28" s="138"/>
      <c r="I28" s="138"/>
      <c r="J28" s="135"/>
      <c r="K28" s="135"/>
      <c r="L28" s="135"/>
      <c r="M28" s="133" t="s">
        <v>110</v>
      </c>
      <c r="N28" s="135"/>
      <c r="O28" s="138"/>
    </row>
    <row r="29" spans="1:15" ht="15.75" customHeight="1" x14ac:dyDescent="0.25">
      <c r="A29" s="125"/>
      <c r="B29" s="135"/>
      <c r="C29" s="135"/>
      <c r="D29" s="135"/>
      <c r="E29" s="133"/>
      <c r="F29" s="135"/>
      <c r="G29" s="138"/>
      <c r="H29" s="138"/>
      <c r="I29" s="138"/>
      <c r="J29" s="135"/>
      <c r="K29" s="135"/>
      <c r="L29" s="135"/>
      <c r="M29" s="133"/>
      <c r="N29" s="135"/>
      <c r="O29" s="138"/>
    </row>
    <row r="30" spans="1:15" ht="38.1" customHeight="1" x14ac:dyDescent="0.2">
      <c r="A30" s="125"/>
      <c r="B30" s="247" t="s">
        <v>91</v>
      </c>
      <c r="C30" s="247"/>
      <c r="D30" s="247"/>
      <c r="E30" s="247"/>
      <c r="F30" s="247"/>
      <c r="G30" s="247"/>
      <c r="H30" s="127"/>
      <c r="I30" s="127"/>
      <c r="J30" s="247" t="s">
        <v>91</v>
      </c>
      <c r="K30" s="247"/>
      <c r="L30" s="247"/>
      <c r="M30" s="247"/>
      <c r="N30" s="247"/>
      <c r="O30" s="247"/>
    </row>
    <row r="31" spans="1:15" ht="15" customHeight="1" x14ac:dyDescent="0.2">
      <c r="A31" s="125"/>
      <c r="B31" s="126"/>
      <c r="C31" s="128"/>
      <c r="D31" s="128"/>
      <c r="E31" s="128"/>
      <c r="F31" s="128"/>
      <c r="G31" s="128"/>
      <c r="H31" s="127"/>
      <c r="I31" s="127"/>
      <c r="J31" s="126"/>
      <c r="K31" s="128"/>
      <c r="L31" s="128"/>
      <c r="M31" s="128"/>
      <c r="N31" s="128"/>
      <c r="O31" s="128"/>
    </row>
    <row r="32" spans="1:15" ht="18.600000000000001" customHeight="1" x14ac:dyDescent="0.3">
      <c r="A32" s="125"/>
      <c r="B32" s="248" t="s">
        <v>92</v>
      </c>
      <c r="C32" s="248"/>
      <c r="D32" s="248"/>
      <c r="E32" s="248"/>
      <c r="F32" s="248"/>
      <c r="G32" s="248"/>
      <c r="H32" s="129"/>
      <c r="I32" s="130"/>
      <c r="J32" s="248" t="s">
        <v>92</v>
      </c>
      <c r="K32" s="248"/>
      <c r="L32" s="248"/>
      <c r="M32" s="248"/>
      <c r="N32" s="248"/>
      <c r="O32" s="248"/>
    </row>
    <row r="33" spans="1:15" ht="15" customHeight="1" x14ac:dyDescent="0.2">
      <c r="A33" s="125"/>
      <c r="B33" s="131">
        <f>+B4+1</f>
        <v>2</v>
      </c>
      <c r="C33" s="132"/>
      <c r="D33" s="132"/>
      <c r="E33" s="132"/>
      <c r="F33" s="132"/>
      <c r="G33" s="132"/>
      <c r="H33" s="132"/>
      <c r="I33" s="132"/>
      <c r="J33" s="131">
        <f>+B33</f>
        <v>2</v>
      </c>
      <c r="K33" s="130"/>
      <c r="L33" s="132"/>
      <c r="M33" s="132"/>
      <c r="N33" s="132"/>
      <c r="O33" s="132"/>
    </row>
    <row r="34" spans="1:15" ht="18.600000000000001" customHeight="1" x14ac:dyDescent="0.25">
      <c r="A34" s="125"/>
      <c r="B34" s="133" t="s">
        <v>93</v>
      </c>
      <c r="C34" s="134" t="str">
        <f>+C5</f>
        <v>JANEIRIO</v>
      </c>
      <c r="D34" s="135"/>
      <c r="E34" s="135">
        <f>+E5</f>
        <v>2025</v>
      </c>
      <c r="F34" s="133"/>
      <c r="G34" s="136"/>
      <c r="H34" s="136"/>
      <c r="I34" s="136"/>
      <c r="J34" s="133" t="s">
        <v>93</v>
      </c>
      <c r="K34" s="134" t="str">
        <f>+C34</f>
        <v>JANEIRIO</v>
      </c>
      <c r="L34" s="135"/>
      <c r="M34" s="135">
        <f>+E34</f>
        <v>2025</v>
      </c>
      <c r="O34" s="136"/>
    </row>
    <row r="35" spans="1:15" ht="18.600000000000001" customHeight="1" x14ac:dyDescent="0.25">
      <c r="A35" s="125"/>
      <c r="B35" s="133" t="s">
        <v>94</v>
      </c>
      <c r="C35" s="136" t="str">
        <f>+'Folha de salarios'!C11</f>
        <v>ARMINDO QUETANE HOU</v>
      </c>
      <c r="D35" s="136"/>
      <c r="E35" s="136"/>
      <c r="F35" s="136"/>
      <c r="G35" s="135"/>
      <c r="H35" s="135"/>
      <c r="I35" s="135"/>
      <c r="J35" s="133" t="s">
        <v>94</v>
      </c>
      <c r="K35" s="136" t="str">
        <f>+C35</f>
        <v>ARMINDO QUETANE HOU</v>
      </c>
      <c r="L35" s="135"/>
      <c r="M35" s="135"/>
      <c r="O35" s="135"/>
    </row>
    <row r="36" spans="1:15" ht="15.75" customHeight="1" x14ac:dyDescent="0.25">
      <c r="A36" s="125"/>
      <c r="B36" s="133" t="s">
        <v>95</v>
      </c>
      <c r="C36" s="135" t="str">
        <f>+'Folha de salarios'!G11</f>
        <v>GUARDA</v>
      </c>
      <c r="D36" s="135"/>
      <c r="E36" s="135"/>
      <c r="F36" s="135"/>
      <c r="G36" s="135"/>
      <c r="H36" s="135"/>
      <c r="I36" s="135"/>
      <c r="J36" s="133" t="s">
        <v>95</v>
      </c>
      <c r="K36" s="135" t="str">
        <f>+C36</f>
        <v>GUARDA</v>
      </c>
      <c r="L36" s="135"/>
      <c r="M36" s="135"/>
      <c r="N36" s="135"/>
      <c r="O36" s="135"/>
    </row>
    <row r="37" spans="1:15" ht="15.75" customHeight="1" x14ac:dyDescent="0.25">
      <c r="A37" s="125"/>
      <c r="B37" s="133"/>
      <c r="C37" s="135"/>
      <c r="D37" s="135"/>
      <c r="E37" s="135"/>
      <c r="F37" s="135"/>
      <c r="G37" s="135"/>
      <c r="H37" s="135"/>
      <c r="I37" s="135"/>
      <c r="J37" s="133"/>
      <c r="K37" s="135"/>
      <c r="L37" s="135"/>
      <c r="M37" s="135"/>
      <c r="N37" s="135"/>
      <c r="O37" s="135"/>
    </row>
    <row r="38" spans="1:15" ht="15.75" customHeight="1" x14ac:dyDescent="0.25">
      <c r="A38" s="125"/>
      <c r="B38" s="133" t="s">
        <v>96</v>
      </c>
      <c r="C38" s="135"/>
      <c r="D38" s="135"/>
      <c r="E38" s="135"/>
      <c r="F38" s="135"/>
      <c r="G38" s="137">
        <f>+'Folha de salarios'!M11</f>
        <v>11336</v>
      </c>
      <c r="H38" s="137"/>
      <c r="I38" s="137"/>
      <c r="J38" s="133" t="s">
        <v>96</v>
      </c>
      <c r="K38" s="133"/>
      <c r="L38" s="135"/>
      <c r="M38" s="135"/>
      <c r="N38" s="135"/>
      <c r="O38" s="137">
        <f>+G38</f>
        <v>11336</v>
      </c>
    </row>
    <row r="39" spans="1:15" ht="15.75" customHeight="1" x14ac:dyDescent="0.25">
      <c r="A39" s="125"/>
      <c r="B39" s="133" t="s">
        <v>97</v>
      </c>
      <c r="C39" s="135"/>
      <c r="D39" s="135"/>
      <c r="E39" s="135"/>
      <c r="F39" s="135"/>
      <c r="G39" s="138">
        <f>+'Folha de salarios'!S11</f>
        <v>4251</v>
      </c>
      <c r="H39" s="138"/>
      <c r="I39" s="138"/>
      <c r="J39" s="133" t="s">
        <v>97</v>
      </c>
      <c r="K39" s="133"/>
      <c r="L39" s="135"/>
      <c r="M39" s="135"/>
      <c r="N39" s="135"/>
      <c r="O39" s="138">
        <f>G39</f>
        <v>4251</v>
      </c>
    </row>
    <row r="40" spans="1:15" ht="15.75" customHeight="1" x14ac:dyDescent="0.25">
      <c r="A40" s="125"/>
      <c r="B40" s="133" t="s">
        <v>98</v>
      </c>
      <c r="C40" s="135"/>
      <c r="D40" s="135"/>
      <c r="E40" s="135"/>
      <c r="F40" s="135"/>
      <c r="G40" s="138">
        <v>0</v>
      </c>
      <c r="H40" s="138"/>
      <c r="I40" s="138"/>
      <c r="J40" s="133" t="s">
        <v>98</v>
      </c>
      <c r="K40" s="133"/>
      <c r="L40" s="135"/>
      <c r="M40" s="135"/>
      <c r="N40" s="135"/>
      <c r="O40" s="138">
        <f>G40</f>
        <v>0</v>
      </c>
    </row>
    <row r="41" spans="1:15" ht="15.75" customHeight="1" x14ac:dyDescent="0.25">
      <c r="A41" s="125"/>
      <c r="B41" s="133" t="s">
        <v>99</v>
      </c>
      <c r="C41" s="135"/>
      <c r="D41" s="135"/>
      <c r="E41" s="135"/>
      <c r="F41" s="135"/>
      <c r="G41" s="138">
        <f>+'Folha de salarios'!O11</f>
        <v>1889.3333333333335</v>
      </c>
      <c r="H41" s="138"/>
      <c r="I41" s="138"/>
      <c r="J41" s="133" t="s">
        <v>99</v>
      </c>
      <c r="K41" s="133"/>
      <c r="L41" s="135"/>
      <c r="M41" s="135"/>
      <c r="N41" s="135"/>
      <c r="O41" s="138">
        <f>+G41</f>
        <v>1889.3333333333335</v>
      </c>
    </row>
    <row r="42" spans="1:15" ht="15.75" customHeight="1" x14ac:dyDescent="0.25">
      <c r="A42" s="125"/>
      <c r="B42" s="135"/>
      <c r="C42" s="135"/>
      <c r="D42" s="135"/>
      <c r="E42" s="133" t="s">
        <v>100</v>
      </c>
      <c r="F42" s="135"/>
      <c r="G42" s="138">
        <f>SUM(G38:G41)</f>
        <v>17476.333333333332</v>
      </c>
      <c r="H42" s="138"/>
      <c r="I42" s="138"/>
      <c r="J42" s="135"/>
      <c r="K42" s="135"/>
      <c r="L42" s="135"/>
      <c r="M42" s="133" t="s">
        <v>100</v>
      </c>
      <c r="N42" s="135"/>
      <c r="O42" s="138">
        <f>SUM(O38:O41)</f>
        <v>17476.333333333332</v>
      </c>
    </row>
    <row r="43" spans="1:15" ht="15.75" customHeight="1" x14ac:dyDescent="0.25">
      <c r="A43" s="125"/>
      <c r="B43" s="135"/>
      <c r="C43" s="135"/>
      <c r="D43" s="135"/>
      <c r="E43" s="135"/>
      <c r="F43" s="135"/>
      <c r="G43" s="138"/>
      <c r="H43" s="138"/>
      <c r="I43" s="138"/>
      <c r="J43" s="135"/>
      <c r="K43" s="135"/>
      <c r="L43" s="135"/>
      <c r="M43" s="135"/>
      <c r="N43" s="135"/>
      <c r="O43" s="138"/>
    </row>
    <row r="44" spans="1:15" ht="15.75" customHeight="1" x14ac:dyDescent="0.25">
      <c r="A44" s="125"/>
      <c r="B44" s="135"/>
      <c r="C44" s="133" t="s">
        <v>101</v>
      </c>
      <c r="D44" s="135"/>
      <c r="E44" s="135"/>
      <c r="F44" s="135"/>
      <c r="G44" s="138"/>
      <c r="H44" s="138"/>
      <c r="I44" s="138"/>
      <c r="J44" s="135"/>
      <c r="K44" s="133" t="s">
        <v>101</v>
      </c>
      <c r="L44" s="135"/>
      <c r="N44" s="135"/>
      <c r="O44" s="138"/>
    </row>
    <row r="45" spans="1:15" ht="15.75" customHeight="1" x14ac:dyDescent="0.25">
      <c r="A45" s="125"/>
      <c r="B45" s="135"/>
      <c r="C45" s="135"/>
      <c r="D45" s="133" t="s">
        <v>102</v>
      </c>
      <c r="E45" s="135"/>
      <c r="F45" s="135"/>
      <c r="G45" s="138">
        <f>+'Folha de salarios'!Z40</f>
        <v>0</v>
      </c>
      <c r="H45" s="138"/>
      <c r="I45" s="138"/>
      <c r="J45" s="135"/>
      <c r="K45" s="135"/>
      <c r="L45" s="133" t="s">
        <v>102</v>
      </c>
      <c r="N45" s="135"/>
      <c r="O45" s="138">
        <f>+G45</f>
        <v>0</v>
      </c>
    </row>
    <row r="46" spans="1:15" ht="15.75" customHeight="1" x14ac:dyDescent="0.25">
      <c r="A46" s="125"/>
      <c r="B46" s="135"/>
      <c r="C46" s="135"/>
      <c r="D46" s="133" t="s">
        <v>86</v>
      </c>
      <c r="E46" s="135"/>
      <c r="F46" s="135"/>
      <c r="G46" s="138">
        <f>+G42*0.03</f>
        <v>524.29</v>
      </c>
      <c r="H46" s="138"/>
      <c r="I46" s="138"/>
      <c r="J46" s="135"/>
      <c r="K46" s="135"/>
      <c r="L46" s="133" t="s">
        <v>86</v>
      </c>
      <c r="N46" s="135"/>
      <c r="O46" s="138">
        <f>+G46</f>
        <v>524.29</v>
      </c>
    </row>
    <row r="47" spans="1:15" ht="15.75" customHeight="1" x14ac:dyDescent="0.25">
      <c r="A47" s="125"/>
      <c r="B47" s="135"/>
      <c r="C47" s="135"/>
      <c r="D47" s="133" t="s">
        <v>103</v>
      </c>
      <c r="E47" s="135"/>
      <c r="F47" s="135"/>
      <c r="G47" s="138">
        <f>+G42*0.01</f>
        <v>174.76333333333332</v>
      </c>
      <c r="H47" s="138"/>
      <c r="I47" s="138"/>
      <c r="J47" s="135"/>
      <c r="K47" s="135"/>
      <c r="L47" s="133" t="s">
        <v>103</v>
      </c>
      <c r="N47" s="135"/>
      <c r="O47" s="138">
        <f>+G47</f>
        <v>174.76333333333332</v>
      </c>
    </row>
    <row r="48" spans="1:15" ht="15.75" customHeight="1" x14ac:dyDescent="0.25">
      <c r="A48" s="125"/>
      <c r="B48" s="135"/>
      <c r="C48" s="135"/>
      <c r="D48" s="133" t="s">
        <v>104</v>
      </c>
      <c r="E48" s="135"/>
      <c r="F48" s="135"/>
      <c r="G48" s="138"/>
      <c r="H48" s="138"/>
      <c r="I48" s="138"/>
      <c r="J48" s="135"/>
      <c r="K48" s="135"/>
      <c r="L48" s="133" t="s">
        <v>104</v>
      </c>
      <c r="N48" s="135"/>
      <c r="O48" s="138">
        <f>G48</f>
        <v>0</v>
      </c>
    </row>
    <row r="49" spans="1:15" ht="15.75" customHeight="1" x14ac:dyDescent="0.25">
      <c r="A49" s="125"/>
      <c r="B49" s="135"/>
      <c r="C49" s="135"/>
      <c r="D49" s="133" t="s">
        <v>105</v>
      </c>
      <c r="E49" s="135"/>
      <c r="F49" s="135"/>
      <c r="G49" s="138"/>
      <c r="H49" s="138"/>
      <c r="I49" s="138"/>
      <c r="J49" s="135"/>
      <c r="K49" s="135"/>
      <c r="L49" s="133" t="s">
        <v>105</v>
      </c>
      <c r="N49" s="135"/>
      <c r="O49" s="138">
        <f>G49</f>
        <v>0</v>
      </c>
    </row>
    <row r="50" spans="1:15" ht="15.75" customHeight="1" x14ac:dyDescent="0.25">
      <c r="A50" s="125"/>
      <c r="B50" s="135"/>
      <c r="C50" s="135"/>
      <c r="D50" s="133" t="s">
        <v>106</v>
      </c>
      <c r="E50" s="135"/>
      <c r="F50" s="135"/>
      <c r="G50" s="138"/>
      <c r="H50" s="138"/>
      <c r="I50" s="138"/>
      <c r="J50" s="135"/>
      <c r="K50" s="135"/>
      <c r="L50" s="133" t="s">
        <v>106</v>
      </c>
      <c r="N50" s="135"/>
      <c r="O50" s="138">
        <f>G50</f>
        <v>0</v>
      </c>
    </row>
    <row r="51" spans="1:15" ht="15.75" customHeight="1" x14ac:dyDescent="0.25">
      <c r="A51" s="125"/>
      <c r="B51" s="135"/>
      <c r="C51" s="135"/>
      <c r="D51" s="133" t="s">
        <v>107</v>
      </c>
      <c r="E51" s="135"/>
      <c r="F51" s="135"/>
      <c r="G51" s="138">
        <f>+'Folha de salarios'!Y11</f>
        <v>0</v>
      </c>
      <c r="H51" s="138"/>
      <c r="I51" s="138"/>
      <c r="J51" s="135"/>
      <c r="K51" s="135"/>
      <c r="L51" s="133" t="s">
        <v>107</v>
      </c>
      <c r="N51" s="135"/>
      <c r="O51" s="138">
        <f>G51</f>
        <v>0</v>
      </c>
    </row>
    <row r="52" spans="1:15" ht="15.75" customHeight="1" x14ac:dyDescent="0.25">
      <c r="A52" s="125"/>
      <c r="B52" s="135"/>
      <c r="C52" s="135"/>
      <c r="D52" s="135"/>
      <c r="E52" s="133" t="s">
        <v>100</v>
      </c>
      <c r="F52" s="135"/>
      <c r="G52" s="138">
        <f>SUM(G45:G51)</f>
        <v>699.05333333333328</v>
      </c>
      <c r="H52" s="138"/>
      <c r="I52" s="138"/>
      <c r="J52" s="135"/>
      <c r="K52" s="135"/>
      <c r="L52" s="133" t="s">
        <v>100</v>
      </c>
      <c r="N52" s="135"/>
      <c r="O52" s="138">
        <f>G52</f>
        <v>699.05333333333328</v>
      </c>
    </row>
    <row r="53" spans="1:15" ht="15.75" customHeight="1" x14ac:dyDescent="0.25">
      <c r="A53" s="125"/>
      <c r="B53" s="135"/>
      <c r="C53" s="135"/>
      <c r="D53" s="135"/>
      <c r="E53" s="135"/>
      <c r="F53" s="135"/>
      <c r="G53" s="138"/>
      <c r="H53" s="138"/>
      <c r="I53" s="138"/>
      <c r="J53" s="135"/>
      <c r="K53" s="135"/>
      <c r="L53" s="135"/>
      <c r="M53" s="135"/>
      <c r="N53" s="135"/>
      <c r="O53" s="138"/>
    </row>
    <row r="54" spans="1:15" ht="15.75" customHeight="1" x14ac:dyDescent="0.25">
      <c r="A54" s="125"/>
      <c r="B54" s="135"/>
      <c r="C54" s="133" t="s">
        <v>109</v>
      </c>
      <c r="D54" s="135"/>
      <c r="E54" s="135"/>
      <c r="F54" s="135"/>
      <c r="G54" s="139">
        <f>G42-G52</f>
        <v>16777.28</v>
      </c>
      <c r="H54" s="138"/>
      <c r="I54" s="138"/>
      <c r="J54" s="135"/>
      <c r="K54" s="135"/>
      <c r="L54" s="133" t="s">
        <v>109</v>
      </c>
      <c r="M54" s="135"/>
      <c r="N54" s="135"/>
      <c r="O54" s="139">
        <f>O42-O52</f>
        <v>16777.28</v>
      </c>
    </row>
    <row r="55" spans="1:15" ht="15.75" customHeight="1" x14ac:dyDescent="0.25">
      <c r="A55" s="125"/>
      <c r="B55" s="135"/>
      <c r="C55" s="133"/>
      <c r="D55" s="135"/>
      <c r="E55" s="135"/>
      <c r="F55" s="135"/>
      <c r="G55" s="138"/>
      <c r="H55" s="138"/>
      <c r="I55" s="138"/>
      <c r="J55" s="135"/>
      <c r="K55" s="135"/>
      <c r="L55" s="133"/>
      <c r="M55" s="135"/>
      <c r="N55" s="135"/>
      <c r="O55" s="138"/>
    </row>
    <row r="56" spans="1:15" ht="15.75" customHeight="1" x14ac:dyDescent="0.25">
      <c r="A56" s="125"/>
      <c r="B56" s="135"/>
      <c r="C56" s="135"/>
      <c r="D56" s="135"/>
      <c r="E56" s="135"/>
      <c r="F56" s="135"/>
      <c r="G56" s="138"/>
      <c r="H56" s="138"/>
      <c r="I56" s="138"/>
      <c r="J56" s="135"/>
      <c r="K56" s="135"/>
      <c r="L56" s="135"/>
      <c r="M56" s="135"/>
      <c r="N56" s="135"/>
      <c r="O56" s="138"/>
    </row>
    <row r="57" spans="1:15" ht="15.75" customHeight="1" x14ac:dyDescent="0.25">
      <c r="A57" s="125"/>
      <c r="B57" s="135"/>
      <c r="C57" s="135"/>
      <c r="D57" s="135"/>
      <c r="E57" s="133" t="s">
        <v>110</v>
      </c>
      <c r="F57" s="135"/>
      <c r="G57" s="138"/>
      <c r="H57" s="138"/>
      <c r="I57" s="138"/>
      <c r="J57" s="135"/>
      <c r="K57" s="135"/>
      <c r="L57" s="135"/>
      <c r="M57" s="133" t="s">
        <v>110</v>
      </c>
      <c r="N57" s="135"/>
      <c r="O57" s="138"/>
    </row>
    <row r="58" spans="1:15" ht="15.75" customHeight="1" x14ac:dyDescent="0.25">
      <c r="A58" s="125"/>
      <c r="B58" s="135"/>
      <c r="C58" s="135"/>
      <c r="D58" s="135"/>
      <c r="E58" s="133"/>
      <c r="F58" s="135"/>
      <c r="G58" s="138"/>
      <c r="H58" s="138"/>
      <c r="I58" s="138"/>
      <c r="J58" s="135"/>
      <c r="K58" s="135"/>
      <c r="L58" s="135"/>
      <c r="M58" s="133"/>
      <c r="N58" s="135"/>
      <c r="O58" s="138"/>
    </row>
    <row r="59" spans="1:15" ht="38.1" customHeight="1" x14ac:dyDescent="0.2">
      <c r="A59" s="125"/>
      <c r="B59" s="247" t="s">
        <v>91</v>
      </c>
      <c r="C59" s="247"/>
      <c r="D59" s="247"/>
      <c r="E59" s="247"/>
      <c r="F59" s="247"/>
      <c r="G59" s="247"/>
      <c r="H59" s="127"/>
      <c r="I59" s="127"/>
      <c r="J59" s="247" t="s">
        <v>91</v>
      </c>
      <c r="K59" s="247"/>
      <c r="L59" s="247"/>
      <c r="M59" s="247"/>
      <c r="N59" s="247"/>
      <c r="O59" s="247"/>
    </row>
    <row r="60" spans="1:15" ht="15" customHeight="1" x14ac:dyDescent="0.2">
      <c r="A60" s="125"/>
      <c r="B60" s="126"/>
      <c r="C60" s="128"/>
      <c r="D60" s="128"/>
      <c r="E60" s="128"/>
      <c r="F60" s="128"/>
      <c r="G60" s="128"/>
      <c r="H60" s="127"/>
      <c r="I60" s="127"/>
      <c r="J60" s="126"/>
      <c r="K60" s="128"/>
      <c r="L60" s="128"/>
      <c r="M60" s="128"/>
      <c r="N60" s="128"/>
      <c r="O60" s="128"/>
    </row>
    <row r="61" spans="1:15" ht="18.600000000000001" customHeight="1" x14ac:dyDescent="0.3">
      <c r="A61" s="125"/>
      <c r="B61" s="248" t="s">
        <v>92</v>
      </c>
      <c r="C61" s="248"/>
      <c r="D61" s="248"/>
      <c r="E61" s="248"/>
      <c r="F61" s="248"/>
      <c r="G61" s="248"/>
      <c r="H61" s="129"/>
      <c r="I61" s="130"/>
      <c r="J61" s="248" t="s">
        <v>92</v>
      </c>
      <c r="K61" s="248"/>
      <c r="L61" s="248"/>
      <c r="M61" s="248"/>
      <c r="N61" s="248"/>
      <c r="O61" s="248"/>
    </row>
    <row r="62" spans="1:15" ht="15" customHeight="1" x14ac:dyDescent="0.2">
      <c r="A62" s="125"/>
      <c r="B62" s="131">
        <f>+B33+1</f>
        <v>3</v>
      </c>
      <c r="C62" s="140"/>
      <c r="D62" s="140"/>
      <c r="E62" s="140"/>
      <c r="F62" s="140"/>
      <c r="G62" s="140"/>
      <c r="H62" s="140"/>
      <c r="I62" s="140"/>
      <c r="J62" s="131">
        <f>+B62</f>
        <v>3</v>
      </c>
      <c r="K62" s="130"/>
      <c r="L62" s="132"/>
      <c r="M62" s="132"/>
      <c r="N62" s="132"/>
      <c r="O62" s="132"/>
    </row>
    <row r="63" spans="1:15" ht="18.600000000000001" customHeight="1" x14ac:dyDescent="0.25">
      <c r="A63" s="125"/>
      <c r="B63" s="133" t="s">
        <v>93</v>
      </c>
      <c r="C63" s="134" t="str">
        <f>+C5</f>
        <v>JANEIRIO</v>
      </c>
      <c r="D63" s="135"/>
      <c r="E63" s="135">
        <f>+E5</f>
        <v>2025</v>
      </c>
      <c r="F63" s="133"/>
      <c r="G63" s="136"/>
      <c r="H63" s="136"/>
      <c r="I63" s="136"/>
      <c r="J63" s="133" t="s">
        <v>93</v>
      </c>
      <c r="K63" s="134" t="str">
        <f>+C63</f>
        <v>JANEIRIO</v>
      </c>
      <c r="L63" s="135"/>
      <c r="M63" s="135">
        <f>+E63</f>
        <v>2025</v>
      </c>
      <c r="O63" s="136"/>
    </row>
    <row r="64" spans="1:15" ht="18.600000000000001" customHeight="1" x14ac:dyDescent="0.25">
      <c r="A64" s="125"/>
      <c r="B64" s="133" t="s">
        <v>94</v>
      </c>
      <c r="C64" s="136" t="str">
        <f>+'Folha de salarios'!C12</f>
        <v>CONSTANTINO JOSE PENGA</v>
      </c>
      <c r="D64" s="136"/>
      <c r="E64" s="136"/>
      <c r="F64" s="136"/>
      <c r="G64" s="135"/>
      <c r="H64" s="135"/>
      <c r="I64" s="135"/>
      <c r="J64" s="133" t="s">
        <v>94</v>
      </c>
      <c r="K64" s="136" t="str">
        <f>C64</f>
        <v>CONSTANTINO JOSE PENGA</v>
      </c>
      <c r="L64" s="135"/>
      <c r="M64" s="135"/>
      <c r="O64" s="135"/>
    </row>
    <row r="65" spans="1:15" ht="15.75" customHeight="1" x14ac:dyDescent="0.25">
      <c r="A65" s="125"/>
      <c r="B65" s="133" t="s">
        <v>95</v>
      </c>
      <c r="C65" s="135" t="str">
        <f>+'Folha de salarios'!G12</f>
        <v>GUARDA</v>
      </c>
      <c r="D65" s="135"/>
      <c r="E65" s="135"/>
      <c r="F65" s="135"/>
      <c r="G65" s="135"/>
      <c r="H65" s="135"/>
      <c r="I65" s="135"/>
      <c r="J65" s="133" t="s">
        <v>95</v>
      </c>
      <c r="K65" s="135"/>
      <c r="L65" s="135"/>
      <c r="M65" s="135"/>
      <c r="N65" s="135"/>
      <c r="O65" s="135"/>
    </row>
    <row r="66" spans="1:15" ht="15.75" customHeight="1" x14ac:dyDescent="0.25">
      <c r="A66" s="125"/>
      <c r="B66" s="133"/>
      <c r="C66" s="135"/>
      <c r="D66" s="135"/>
      <c r="E66" s="135"/>
      <c r="F66" s="135"/>
      <c r="G66" s="135"/>
      <c r="H66" s="135"/>
      <c r="I66" s="135"/>
      <c r="J66" s="133"/>
      <c r="K66" s="135"/>
      <c r="L66" s="135"/>
      <c r="M66" s="135"/>
      <c r="N66" s="135"/>
      <c r="O66" s="135"/>
    </row>
    <row r="67" spans="1:15" ht="15.75" customHeight="1" x14ac:dyDescent="0.25">
      <c r="A67" s="125"/>
      <c r="B67" s="133" t="s">
        <v>96</v>
      </c>
      <c r="C67" s="135"/>
      <c r="D67" s="135"/>
      <c r="E67" s="135"/>
      <c r="F67" s="135"/>
      <c r="G67" s="137">
        <f>+'Folha de salarios'!M12</f>
        <v>11336</v>
      </c>
      <c r="H67" s="137"/>
      <c r="I67" s="137"/>
      <c r="J67" s="133" t="s">
        <v>96</v>
      </c>
      <c r="K67" s="133"/>
      <c r="L67" s="135"/>
      <c r="M67" s="135"/>
      <c r="N67" s="135"/>
      <c r="O67" s="137">
        <f>+G67</f>
        <v>11336</v>
      </c>
    </row>
    <row r="68" spans="1:15" ht="15.75" customHeight="1" x14ac:dyDescent="0.25">
      <c r="A68" s="125"/>
      <c r="B68" s="133" t="s">
        <v>97</v>
      </c>
      <c r="C68" s="135"/>
      <c r="D68" s="135"/>
      <c r="E68" s="135"/>
      <c r="F68" s="135"/>
      <c r="G68" s="138">
        <f>+'Folha de salarios'!S12</f>
        <v>4723.333333333333</v>
      </c>
      <c r="H68" s="138"/>
      <c r="I68" s="138"/>
      <c r="J68" s="133" t="s">
        <v>97</v>
      </c>
      <c r="K68" s="133"/>
      <c r="L68" s="135"/>
      <c r="M68" s="135"/>
      <c r="N68" s="135"/>
      <c r="O68" s="138">
        <f>G68</f>
        <v>4723.333333333333</v>
      </c>
    </row>
    <row r="69" spans="1:15" ht="15.75" customHeight="1" x14ac:dyDescent="0.25">
      <c r="A69" s="125"/>
      <c r="B69" s="133" t="s">
        <v>98</v>
      </c>
      <c r="C69" s="135"/>
      <c r="D69" s="135"/>
      <c r="E69" s="135"/>
      <c r="F69" s="135"/>
      <c r="G69" s="138">
        <v>0</v>
      </c>
      <c r="H69" s="138"/>
      <c r="I69" s="138"/>
      <c r="J69" s="133" t="s">
        <v>98</v>
      </c>
      <c r="K69" s="133"/>
      <c r="L69" s="135"/>
      <c r="M69" s="135"/>
      <c r="N69" s="135"/>
      <c r="O69" s="138">
        <f>G69</f>
        <v>0</v>
      </c>
    </row>
    <row r="70" spans="1:15" ht="15.75" customHeight="1" x14ac:dyDescent="0.25">
      <c r="A70" s="125"/>
      <c r="B70" s="133" t="s">
        <v>99</v>
      </c>
      <c r="C70" s="135"/>
      <c r="D70" s="135"/>
      <c r="E70" s="135"/>
      <c r="F70" s="135"/>
      <c r="G70" s="138">
        <f>+'Folha de salarios'!O12</f>
        <v>1889.3333333333335</v>
      </c>
      <c r="H70" s="138"/>
      <c r="I70" s="138"/>
      <c r="J70" s="133" t="s">
        <v>99</v>
      </c>
      <c r="K70" s="133"/>
      <c r="L70" s="135"/>
      <c r="M70" s="135"/>
      <c r="N70" s="135"/>
      <c r="O70" s="138">
        <f>+G70</f>
        <v>1889.3333333333335</v>
      </c>
    </row>
    <row r="71" spans="1:15" ht="15.75" customHeight="1" x14ac:dyDescent="0.25">
      <c r="A71" s="125"/>
      <c r="B71" s="135"/>
      <c r="C71" s="135"/>
      <c r="D71" s="135"/>
      <c r="E71" s="133" t="s">
        <v>100</v>
      </c>
      <c r="F71" s="135"/>
      <c r="G71" s="138">
        <f>SUM(G67:G70)</f>
        <v>17948.666666666664</v>
      </c>
      <c r="H71" s="138"/>
      <c r="I71" s="138"/>
      <c r="J71" s="135"/>
      <c r="K71" s="135"/>
      <c r="L71" s="135"/>
      <c r="M71" s="133" t="s">
        <v>100</v>
      </c>
      <c r="N71" s="135"/>
      <c r="O71" s="138">
        <f>SUM(O67:O70)</f>
        <v>17948.666666666664</v>
      </c>
    </row>
    <row r="72" spans="1:15" ht="15.75" customHeight="1" x14ac:dyDescent="0.25">
      <c r="A72" s="125"/>
      <c r="B72" s="135"/>
      <c r="C72" s="135"/>
      <c r="D72" s="135"/>
      <c r="E72" s="135"/>
      <c r="F72" s="135"/>
      <c r="G72" s="138"/>
      <c r="H72" s="138"/>
      <c r="I72" s="138"/>
      <c r="J72" s="135"/>
      <c r="K72" s="135"/>
      <c r="L72" s="135"/>
      <c r="M72" s="135"/>
      <c r="N72" s="135"/>
      <c r="O72" s="138"/>
    </row>
    <row r="73" spans="1:15" ht="15.75" customHeight="1" x14ac:dyDescent="0.25">
      <c r="A73" s="125"/>
      <c r="B73" s="135"/>
      <c r="C73" s="133" t="s">
        <v>101</v>
      </c>
      <c r="D73" s="135"/>
      <c r="E73" s="135"/>
      <c r="F73" s="135"/>
      <c r="G73" s="138"/>
      <c r="H73" s="138"/>
      <c r="I73" s="138"/>
      <c r="J73" s="135"/>
      <c r="K73" s="133" t="s">
        <v>101</v>
      </c>
      <c r="L73" s="135"/>
      <c r="N73" s="135"/>
      <c r="O73" s="138"/>
    </row>
    <row r="74" spans="1:15" ht="15.75" customHeight="1" x14ac:dyDescent="0.25">
      <c r="A74" s="125"/>
      <c r="B74" s="135"/>
      <c r="C74" s="135"/>
      <c r="D74" s="133" t="s">
        <v>102</v>
      </c>
      <c r="E74" s="135"/>
      <c r="F74" s="135"/>
      <c r="G74" s="138">
        <f>+'Folha de salarios'!Z59</f>
        <v>0</v>
      </c>
      <c r="H74" s="138"/>
      <c r="I74" s="138"/>
      <c r="J74" s="135"/>
      <c r="K74" s="135"/>
      <c r="L74" s="133" t="s">
        <v>102</v>
      </c>
      <c r="N74" s="135"/>
      <c r="O74" s="138">
        <f>+G74</f>
        <v>0</v>
      </c>
    </row>
    <row r="75" spans="1:15" ht="15.75" customHeight="1" x14ac:dyDescent="0.25">
      <c r="A75" s="125"/>
      <c r="B75" s="135"/>
      <c r="C75" s="135"/>
      <c r="D75" s="133" t="s">
        <v>86</v>
      </c>
      <c r="E75" s="135"/>
      <c r="F75" s="135"/>
      <c r="G75" s="138">
        <f>+G71*0.03</f>
        <v>538.45999999999992</v>
      </c>
      <c r="H75" s="138"/>
      <c r="I75" s="138"/>
      <c r="J75" s="135"/>
      <c r="K75" s="135"/>
      <c r="L75" s="133" t="s">
        <v>86</v>
      </c>
      <c r="N75" s="135"/>
      <c r="O75" s="138">
        <f>+G75</f>
        <v>538.45999999999992</v>
      </c>
    </row>
    <row r="76" spans="1:15" ht="15.75" customHeight="1" x14ac:dyDescent="0.25">
      <c r="A76" s="125"/>
      <c r="B76" s="135"/>
      <c r="C76" s="135"/>
      <c r="D76" s="133" t="s">
        <v>103</v>
      </c>
      <c r="E76" s="135"/>
      <c r="F76" s="135"/>
      <c r="G76" s="138">
        <f>+G71*0.01</f>
        <v>179.48666666666665</v>
      </c>
      <c r="H76" s="138"/>
      <c r="I76" s="138"/>
      <c r="J76" s="135"/>
      <c r="K76" s="135"/>
      <c r="L76" s="133" t="s">
        <v>103</v>
      </c>
      <c r="N76" s="135"/>
      <c r="O76" s="138">
        <f>+G76</f>
        <v>179.48666666666665</v>
      </c>
    </row>
    <row r="77" spans="1:15" ht="15.75" customHeight="1" x14ac:dyDescent="0.25">
      <c r="A77" s="125"/>
      <c r="B77" s="135"/>
      <c r="C77" s="135"/>
      <c r="D77" s="133" t="s">
        <v>104</v>
      </c>
      <c r="E77" s="135"/>
      <c r="F77" s="135"/>
      <c r="G77" s="138"/>
      <c r="H77" s="138"/>
      <c r="I77" s="138"/>
      <c r="J77" s="135"/>
      <c r="K77" s="135"/>
      <c r="L77" s="133" t="s">
        <v>104</v>
      </c>
      <c r="N77" s="135"/>
      <c r="O77" s="138">
        <f>G77</f>
        <v>0</v>
      </c>
    </row>
    <row r="78" spans="1:15" ht="15.75" customHeight="1" x14ac:dyDescent="0.25">
      <c r="A78" s="125"/>
      <c r="B78" s="135"/>
      <c r="C78" s="135"/>
      <c r="D78" s="133" t="s">
        <v>105</v>
      </c>
      <c r="E78" s="135"/>
      <c r="F78" s="135"/>
      <c r="G78" s="138"/>
      <c r="H78" s="138"/>
      <c r="I78" s="138"/>
      <c r="J78" s="135"/>
      <c r="K78" s="135"/>
      <c r="L78" s="133" t="s">
        <v>105</v>
      </c>
      <c r="N78" s="135"/>
      <c r="O78" s="138">
        <f>G78</f>
        <v>0</v>
      </c>
    </row>
    <row r="79" spans="1:15" ht="15.75" customHeight="1" x14ac:dyDescent="0.25">
      <c r="A79" s="125"/>
      <c r="B79" s="135"/>
      <c r="C79" s="135"/>
      <c r="D79" s="133" t="s">
        <v>106</v>
      </c>
      <c r="E79" s="135"/>
      <c r="F79" s="135"/>
      <c r="G79" s="138"/>
      <c r="H79" s="138"/>
      <c r="I79" s="138"/>
      <c r="J79" s="135"/>
      <c r="K79" s="135"/>
      <c r="L79" s="133" t="s">
        <v>106</v>
      </c>
      <c r="N79" s="135"/>
      <c r="O79" s="138">
        <f>G79</f>
        <v>0</v>
      </c>
    </row>
    <row r="80" spans="1:15" ht="15.75" customHeight="1" x14ac:dyDescent="0.25">
      <c r="A80" s="125"/>
      <c r="B80" s="135"/>
      <c r="C80" s="135"/>
      <c r="D80" s="133" t="s">
        <v>112</v>
      </c>
      <c r="E80" s="135"/>
      <c r="F80" s="135"/>
      <c r="G80" s="138">
        <f>+'Folha de salarios'!Y12</f>
        <v>0</v>
      </c>
      <c r="H80" s="138"/>
      <c r="I80" s="138"/>
      <c r="J80" s="135"/>
      <c r="K80" s="135"/>
      <c r="L80" s="133" t="str">
        <f>+D80</f>
        <v>Pagament Antecipado</v>
      </c>
      <c r="N80" s="135"/>
      <c r="O80" s="138">
        <f>G80</f>
        <v>0</v>
      </c>
    </row>
    <row r="81" spans="1:15" ht="15.75" customHeight="1" x14ac:dyDescent="0.25">
      <c r="A81" s="125"/>
      <c r="B81" s="135"/>
      <c r="C81" s="135"/>
      <c r="D81" s="135"/>
      <c r="E81" s="133" t="s">
        <v>100</v>
      </c>
      <c r="F81" s="135"/>
      <c r="G81" s="138">
        <f>SUM(G74:G80)</f>
        <v>717.9466666666666</v>
      </c>
      <c r="H81" s="138"/>
      <c r="I81" s="138"/>
      <c r="J81" s="135"/>
      <c r="K81" s="135"/>
      <c r="L81" s="133" t="s">
        <v>100</v>
      </c>
      <c r="N81" s="135"/>
      <c r="O81" s="138">
        <f>G81</f>
        <v>717.9466666666666</v>
      </c>
    </row>
    <row r="82" spans="1:15" ht="15.75" customHeight="1" x14ac:dyDescent="0.25">
      <c r="A82" s="125"/>
      <c r="B82" s="135"/>
      <c r="C82" s="135"/>
      <c r="D82" s="135"/>
      <c r="E82" s="135"/>
      <c r="F82" s="135"/>
      <c r="G82" s="138"/>
      <c r="H82" s="138"/>
      <c r="I82" s="138"/>
      <c r="J82" s="135"/>
      <c r="K82" s="135"/>
      <c r="L82" s="135"/>
      <c r="M82" s="135"/>
      <c r="N82" s="135"/>
      <c r="O82" s="138"/>
    </row>
    <row r="83" spans="1:15" ht="15.75" customHeight="1" x14ac:dyDescent="0.25">
      <c r="A83" s="125"/>
      <c r="B83" s="135"/>
      <c r="C83" s="133" t="s">
        <v>109</v>
      </c>
      <c r="D83" s="135"/>
      <c r="E83" s="135"/>
      <c r="F83" s="135"/>
      <c r="G83" s="139">
        <f>G71-G81</f>
        <v>17230.719999999998</v>
      </c>
      <c r="H83" s="138"/>
      <c r="I83" s="138"/>
      <c r="J83" s="135"/>
      <c r="K83" s="135"/>
      <c r="L83" s="133" t="s">
        <v>109</v>
      </c>
      <c r="M83" s="135"/>
      <c r="N83" s="135"/>
      <c r="O83" s="139">
        <f>O71-O81</f>
        <v>17230.719999999998</v>
      </c>
    </row>
    <row r="84" spans="1:15" ht="15.75" customHeight="1" x14ac:dyDescent="0.25">
      <c r="A84" s="125"/>
      <c r="B84" s="135"/>
      <c r="C84" s="133"/>
      <c r="D84" s="135"/>
      <c r="E84" s="135"/>
      <c r="F84" s="135"/>
      <c r="G84" s="138"/>
      <c r="H84" s="138"/>
      <c r="I84" s="138"/>
      <c r="J84" s="135"/>
      <c r="K84" s="135"/>
      <c r="L84" s="133"/>
      <c r="M84" s="135"/>
      <c r="N84" s="135"/>
      <c r="O84" s="138"/>
    </row>
    <row r="85" spans="1:15" ht="15.75" customHeight="1" x14ac:dyDescent="0.25">
      <c r="A85" s="125"/>
      <c r="B85" s="135"/>
      <c r="C85" s="135"/>
      <c r="D85" s="135"/>
      <c r="E85" s="135"/>
      <c r="F85" s="135"/>
      <c r="G85" s="138"/>
      <c r="H85" s="138"/>
      <c r="I85" s="138"/>
      <c r="J85" s="135"/>
      <c r="K85" s="135"/>
      <c r="L85" s="135"/>
      <c r="M85" s="135"/>
      <c r="N85" s="135"/>
      <c r="O85" s="138"/>
    </row>
    <row r="86" spans="1:15" ht="15.75" customHeight="1" x14ac:dyDescent="0.25">
      <c r="A86" s="125"/>
      <c r="B86" s="135"/>
      <c r="C86" s="135"/>
      <c r="D86" s="135"/>
      <c r="E86" s="133" t="s">
        <v>110</v>
      </c>
      <c r="F86" s="135"/>
      <c r="G86" s="138"/>
      <c r="H86" s="138"/>
      <c r="I86" s="138"/>
      <c r="J86" s="135"/>
      <c r="K86" s="135"/>
      <c r="L86" s="135"/>
      <c r="M86" s="133" t="s">
        <v>110</v>
      </c>
      <c r="N86" s="135"/>
      <c r="O86" s="138"/>
    </row>
    <row r="87" spans="1:15" ht="15.75" customHeight="1" x14ac:dyDescent="0.25">
      <c r="A87" s="125"/>
      <c r="B87" s="135"/>
      <c r="C87" s="135"/>
      <c r="D87" s="135"/>
      <c r="E87" s="133"/>
      <c r="F87" s="135"/>
      <c r="G87" s="138"/>
      <c r="H87" s="138"/>
      <c r="I87" s="138"/>
      <c r="J87" s="135"/>
      <c r="K87" s="135"/>
      <c r="L87" s="135"/>
      <c r="M87" s="133"/>
      <c r="N87" s="135"/>
      <c r="O87" s="138"/>
    </row>
    <row r="88" spans="1:15" ht="38.1" customHeight="1" x14ac:dyDescent="0.2">
      <c r="A88" s="125"/>
      <c r="B88" s="247" t="s">
        <v>91</v>
      </c>
      <c r="C88" s="247"/>
      <c r="D88" s="247"/>
      <c r="E88" s="247"/>
      <c r="F88" s="247"/>
      <c r="G88" s="247"/>
      <c r="H88" s="127"/>
      <c r="I88" s="127"/>
      <c r="J88" s="247" t="s">
        <v>91</v>
      </c>
      <c r="K88" s="247"/>
      <c r="L88" s="247"/>
      <c r="M88" s="247"/>
      <c r="N88" s="247"/>
      <c r="O88" s="247"/>
    </row>
    <row r="89" spans="1:15" ht="15" customHeight="1" x14ac:dyDescent="0.2">
      <c r="A89" s="125"/>
      <c r="B89" s="126"/>
      <c r="C89" s="128"/>
      <c r="D89" s="128"/>
      <c r="E89" s="128"/>
      <c r="F89" s="128"/>
      <c r="G89" s="128"/>
      <c r="H89" s="127"/>
      <c r="I89" s="127"/>
      <c r="J89" s="126"/>
      <c r="K89" s="128"/>
      <c r="L89" s="128"/>
      <c r="M89" s="128"/>
      <c r="N89" s="128"/>
      <c r="O89" s="128"/>
    </row>
    <row r="90" spans="1:15" ht="18.600000000000001" customHeight="1" x14ac:dyDescent="0.3">
      <c r="A90" s="125"/>
      <c r="B90" s="248" t="s">
        <v>92</v>
      </c>
      <c r="C90" s="248"/>
      <c r="D90" s="248"/>
      <c r="E90" s="248"/>
      <c r="F90" s="248"/>
      <c r="G90" s="248"/>
      <c r="H90" s="129"/>
      <c r="I90" s="130"/>
      <c r="J90" s="248" t="s">
        <v>92</v>
      </c>
      <c r="K90" s="248"/>
      <c r="L90" s="248"/>
      <c r="M90" s="248"/>
      <c r="N90" s="248"/>
      <c r="O90" s="248"/>
    </row>
    <row r="91" spans="1:15" ht="15" customHeight="1" x14ac:dyDescent="0.2">
      <c r="A91" s="125"/>
      <c r="B91" s="131">
        <f>+B62+1</f>
        <v>4</v>
      </c>
      <c r="C91" s="140"/>
      <c r="D91" s="140"/>
      <c r="E91" s="140"/>
      <c r="F91" s="140"/>
      <c r="G91" s="140"/>
      <c r="H91" s="140"/>
      <c r="I91" s="140"/>
      <c r="J91" s="131">
        <v>4</v>
      </c>
      <c r="K91" s="131"/>
      <c r="L91" s="132"/>
      <c r="M91" s="132"/>
      <c r="N91" s="132"/>
      <c r="O91" s="132"/>
    </row>
    <row r="92" spans="1:15" ht="18.600000000000001" customHeight="1" x14ac:dyDescent="0.25">
      <c r="A92" s="125"/>
      <c r="B92" s="133" t="s">
        <v>93</v>
      </c>
      <c r="C92" s="134" t="str">
        <f>+C5</f>
        <v>JANEIRIO</v>
      </c>
      <c r="D92" s="135"/>
      <c r="E92" s="135">
        <f>+E34</f>
        <v>2025</v>
      </c>
      <c r="F92" s="133"/>
      <c r="G92" s="136"/>
      <c r="H92" s="136"/>
      <c r="I92" s="136"/>
      <c r="J92" s="133" t="s">
        <v>93</v>
      </c>
      <c r="K92" s="134" t="str">
        <f>+C92</f>
        <v>JANEIRIO</v>
      </c>
      <c r="L92" s="135"/>
      <c r="M92" s="135">
        <f>+E92</f>
        <v>2025</v>
      </c>
      <c r="O92" s="136"/>
    </row>
    <row r="93" spans="1:15" ht="18.600000000000001" customHeight="1" x14ac:dyDescent="0.25">
      <c r="A93" s="125"/>
      <c r="B93" s="133" t="s">
        <v>94</v>
      </c>
      <c r="C93" s="136" t="str">
        <f>+'Folha de salarios'!C13</f>
        <v>ANSELMO LUCAS HUO</v>
      </c>
      <c r="D93" s="136"/>
      <c r="E93" s="136"/>
      <c r="F93" s="136"/>
      <c r="G93" s="135"/>
      <c r="H93" s="135"/>
      <c r="I93" s="135"/>
      <c r="J93" s="133" t="s">
        <v>94</v>
      </c>
      <c r="K93" s="136" t="str">
        <f>C93</f>
        <v>ANSELMO LUCAS HUO</v>
      </c>
      <c r="L93" s="135"/>
      <c r="M93" s="135"/>
      <c r="O93" s="135"/>
    </row>
    <row r="94" spans="1:15" ht="15.75" customHeight="1" x14ac:dyDescent="0.25">
      <c r="A94" s="125"/>
      <c r="B94" s="133" t="s">
        <v>95</v>
      </c>
      <c r="C94" s="135" t="str">
        <f>+'Folha de salarios'!G13</f>
        <v>GUARDA</v>
      </c>
      <c r="D94" s="135"/>
      <c r="E94" s="135"/>
      <c r="F94" s="135"/>
      <c r="G94" s="135"/>
      <c r="H94" s="135"/>
      <c r="I94" s="135"/>
      <c r="J94" s="133" t="s">
        <v>95</v>
      </c>
      <c r="K94" s="135" t="str">
        <f>+C94</f>
        <v>GUARDA</v>
      </c>
      <c r="L94" s="135"/>
      <c r="M94" s="135"/>
      <c r="N94" s="135"/>
      <c r="O94" s="135"/>
    </row>
    <row r="95" spans="1:15" ht="15.75" customHeight="1" x14ac:dyDescent="0.25">
      <c r="A95" s="125"/>
      <c r="B95" s="133"/>
      <c r="C95" s="135"/>
      <c r="D95" s="135"/>
      <c r="E95" s="135"/>
      <c r="F95" s="135"/>
      <c r="G95" s="135"/>
      <c r="H95" s="135"/>
      <c r="I95" s="135"/>
      <c r="J95" s="133"/>
      <c r="K95" s="135"/>
      <c r="L95" s="135"/>
      <c r="M95" s="135"/>
      <c r="N95" s="135"/>
      <c r="O95" s="135"/>
    </row>
    <row r="96" spans="1:15" ht="15.75" customHeight="1" x14ac:dyDescent="0.25">
      <c r="A96" s="125"/>
      <c r="B96" s="133" t="s">
        <v>96</v>
      </c>
      <c r="C96" s="135"/>
      <c r="D96" s="135"/>
      <c r="E96" s="135"/>
      <c r="F96" s="135"/>
      <c r="G96" s="137">
        <f>+'Folha de salarios'!M13</f>
        <v>11336</v>
      </c>
      <c r="H96" s="137"/>
      <c r="I96" s="137"/>
      <c r="J96" s="133" t="s">
        <v>96</v>
      </c>
      <c r="K96" s="133"/>
      <c r="L96" s="135"/>
      <c r="M96" s="135"/>
      <c r="N96" s="135"/>
      <c r="O96" s="137">
        <f>+G96</f>
        <v>11336</v>
      </c>
    </row>
    <row r="97" spans="1:15" ht="15.75" customHeight="1" x14ac:dyDescent="0.25">
      <c r="A97" s="125"/>
      <c r="B97" s="133" t="s">
        <v>97</v>
      </c>
      <c r="C97" s="135"/>
      <c r="D97" s="135"/>
      <c r="E97" s="135"/>
      <c r="F97" s="135"/>
      <c r="G97" s="138">
        <f>+'Folha de salarios'!S13</f>
        <v>944.66666666666663</v>
      </c>
      <c r="H97" s="138"/>
      <c r="I97" s="138"/>
      <c r="J97" s="133" t="s">
        <v>97</v>
      </c>
      <c r="K97" s="133"/>
      <c r="L97" s="135"/>
      <c r="M97" s="135"/>
      <c r="N97" s="135"/>
      <c r="O97" s="138">
        <f>G97</f>
        <v>944.66666666666663</v>
      </c>
    </row>
    <row r="98" spans="1:15" ht="15.75" customHeight="1" x14ac:dyDescent="0.25">
      <c r="A98" s="125"/>
      <c r="B98" s="133" t="s">
        <v>98</v>
      </c>
      <c r="C98" s="135"/>
      <c r="D98" s="135"/>
      <c r="E98" s="135"/>
      <c r="F98" s="135"/>
      <c r="G98" s="138">
        <v>0</v>
      </c>
      <c r="H98" s="138"/>
      <c r="I98" s="138"/>
      <c r="J98" s="133" t="s">
        <v>98</v>
      </c>
      <c r="K98" s="133"/>
      <c r="L98" s="135"/>
      <c r="M98" s="135"/>
      <c r="N98" s="135"/>
      <c r="O98" s="138">
        <f>G98</f>
        <v>0</v>
      </c>
    </row>
    <row r="99" spans="1:15" ht="15.75" customHeight="1" x14ac:dyDescent="0.25">
      <c r="A99" s="125"/>
      <c r="B99" s="133" t="s">
        <v>99</v>
      </c>
      <c r="C99" s="135"/>
      <c r="D99" s="135"/>
      <c r="E99" s="135"/>
      <c r="F99" s="135"/>
      <c r="G99" s="138">
        <f>+'Folha de salarios'!O13</f>
        <v>1889.3333333333335</v>
      </c>
      <c r="H99" s="138"/>
      <c r="I99" s="138"/>
      <c r="J99" s="133" t="s">
        <v>99</v>
      </c>
      <c r="K99" s="133"/>
      <c r="L99" s="135"/>
      <c r="M99" s="135"/>
      <c r="N99" s="135"/>
      <c r="O99" s="138">
        <f>+G99</f>
        <v>1889.3333333333335</v>
      </c>
    </row>
    <row r="100" spans="1:15" ht="15.75" customHeight="1" x14ac:dyDescent="0.25">
      <c r="A100" s="125"/>
      <c r="B100" s="135"/>
      <c r="C100" s="135"/>
      <c r="D100" s="135"/>
      <c r="E100" s="133" t="s">
        <v>100</v>
      </c>
      <c r="F100" s="135"/>
      <c r="G100" s="138">
        <f>SUM(G96:G99)</f>
        <v>14170</v>
      </c>
      <c r="H100" s="138"/>
      <c r="I100" s="138"/>
      <c r="J100" s="135"/>
      <c r="K100" s="135"/>
      <c r="L100" s="135"/>
      <c r="M100" s="133" t="s">
        <v>100</v>
      </c>
      <c r="N100" s="135"/>
      <c r="O100" s="138">
        <f>SUM(O96:O99)</f>
        <v>14170</v>
      </c>
    </row>
    <row r="101" spans="1:15" ht="15.75" customHeight="1" x14ac:dyDescent="0.25">
      <c r="A101" s="125"/>
      <c r="B101" s="135"/>
      <c r="C101" s="135"/>
      <c r="D101" s="135"/>
      <c r="E101" s="135"/>
      <c r="F101" s="135"/>
      <c r="G101" s="138"/>
      <c r="H101" s="138"/>
      <c r="I101" s="138"/>
      <c r="J101" s="135"/>
      <c r="K101" s="135"/>
      <c r="L101" s="135"/>
      <c r="M101" s="135"/>
      <c r="N101" s="135"/>
      <c r="O101" s="138"/>
    </row>
    <row r="102" spans="1:15" ht="15.75" customHeight="1" x14ac:dyDescent="0.25">
      <c r="A102" s="125"/>
      <c r="B102" s="135"/>
      <c r="C102" s="133" t="s">
        <v>101</v>
      </c>
      <c r="D102" s="135"/>
      <c r="E102" s="135"/>
      <c r="F102" s="135"/>
      <c r="G102" s="138"/>
      <c r="H102" s="138"/>
      <c r="I102" s="138"/>
      <c r="J102" s="135"/>
      <c r="K102" s="133" t="s">
        <v>101</v>
      </c>
      <c r="L102" s="135"/>
      <c r="M102" s="135"/>
      <c r="O102" s="138"/>
    </row>
    <row r="103" spans="1:15" ht="15.75" customHeight="1" x14ac:dyDescent="0.25">
      <c r="A103" s="125"/>
      <c r="B103" s="135"/>
      <c r="C103" s="135"/>
      <c r="D103" s="133" t="s">
        <v>102</v>
      </c>
      <c r="E103" s="135"/>
      <c r="F103" s="135"/>
      <c r="G103" s="138">
        <f>+'Folha de salarios'!Z88</f>
        <v>0</v>
      </c>
      <c r="H103" s="138"/>
      <c r="I103" s="138"/>
      <c r="J103" s="135"/>
      <c r="K103" s="135"/>
      <c r="L103" s="133" t="s">
        <v>102</v>
      </c>
      <c r="M103" s="135"/>
      <c r="O103" s="138">
        <f>+G103</f>
        <v>0</v>
      </c>
    </row>
    <row r="104" spans="1:15" ht="15.75" customHeight="1" x14ac:dyDescent="0.25">
      <c r="A104" s="125"/>
      <c r="B104" s="135"/>
      <c r="C104" s="135"/>
      <c r="D104" s="133" t="s">
        <v>86</v>
      </c>
      <c r="E104" s="135"/>
      <c r="F104" s="135"/>
      <c r="G104" s="138">
        <f>+G100*0.03</f>
        <v>425.09999999999997</v>
      </c>
      <c r="H104" s="138"/>
      <c r="I104" s="138"/>
      <c r="J104" s="135"/>
      <c r="K104" s="135"/>
      <c r="L104" s="133" t="s">
        <v>86</v>
      </c>
      <c r="M104" s="135"/>
      <c r="O104" s="138">
        <f>+G104</f>
        <v>425.09999999999997</v>
      </c>
    </row>
    <row r="105" spans="1:15" ht="15.75" customHeight="1" x14ac:dyDescent="0.25">
      <c r="A105" s="125"/>
      <c r="B105" s="135"/>
      <c r="C105" s="135"/>
      <c r="D105" s="133" t="s">
        <v>103</v>
      </c>
      <c r="E105" s="135"/>
      <c r="F105" s="135"/>
      <c r="G105" s="138">
        <f>+G100*0.01</f>
        <v>141.70000000000002</v>
      </c>
      <c r="H105" s="138"/>
      <c r="I105" s="138"/>
      <c r="J105" s="135"/>
      <c r="K105" s="135"/>
      <c r="L105" s="133" t="s">
        <v>103</v>
      </c>
      <c r="M105" s="135"/>
      <c r="O105" s="138">
        <f>+G105</f>
        <v>141.70000000000002</v>
      </c>
    </row>
    <row r="106" spans="1:15" ht="15.75" customHeight="1" x14ac:dyDescent="0.25">
      <c r="A106" s="125"/>
      <c r="B106" s="135"/>
      <c r="C106" s="135"/>
      <c r="D106" s="133" t="s">
        <v>104</v>
      </c>
      <c r="E106" s="135"/>
      <c r="F106" s="135"/>
      <c r="G106" s="138"/>
      <c r="H106" s="138"/>
      <c r="I106" s="138"/>
      <c r="J106" s="135"/>
      <c r="K106" s="135"/>
      <c r="L106" s="133" t="s">
        <v>104</v>
      </c>
      <c r="M106" s="135"/>
      <c r="O106" s="138">
        <f>G106</f>
        <v>0</v>
      </c>
    </row>
    <row r="107" spans="1:15" ht="15.75" customHeight="1" x14ac:dyDescent="0.25">
      <c r="A107" s="125"/>
      <c r="B107" s="135"/>
      <c r="C107" s="135"/>
      <c r="D107" s="133" t="s">
        <v>105</v>
      </c>
      <c r="E107" s="135"/>
      <c r="F107" s="135"/>
      <c r="G107" s="138"/>
      <c r="H107" s="138"/>
      <c r="I107" s="138"/>
      <c r="J107" s="135"/>
      <c r="K107" s="135"/>
      <c r="L107" s="133" t="s">
        <v>105</v>
      </c>
      <c r="M107" s="135"/>
      <c r="O107" s="138">
        <f>G107</f>
        <v>0</v>
      </c>
    </row>
    <row r="108" spans="1:15" ht="15.75" customHeight="1" x14ac:dyDescent="0.25">
      <c r="A108" s="125"/>
      <c r="B108" s="135"/>
      <c r="C108" s="135"/>
      <c r="D108" s="133" t="s">
        <v>106</v>
      </c>
      <c r="E108" s="135"/>
      <c r="F108" s="135"/>
      <c r="G108" s="138"/>
      <c r="H108" s="138"/>
      <c r="I108" s="138"/>
      <c r="J108" s="135"/>
      <c r="K108" s="135"/>
      <c r="L108" s="133" t="s">
        <v>106</v>
      </c>
      <c r="M108" s="135"/>
      <c r="O108" s="138">
        <f>G108</f>
        <v>0</v>
      </c>
    </row>
    <row r="109" spans="1:15" ht="15.75" customHeight="1" x14ac:dyDescent="0.25">
      <c r="A109" s="125"/>
      <c r="B109" s="135"/>
      <c r="C109" s="135"/>
      <c r="D109" s="133" t="s">
        <v>112</v>
      </c>
      <c r="E109" s="135"/>
      <c r="F109" s="135"/>
      <c r="G109" s="138">
        <f>+'Folha de salarios'!Y13</f>
        <v>0</v>
      </c>
      <c r="H109" s="138"/>
      <c r="I109" s="138"/>
      <c r="J109" s="135"/>
      <c r="K109" s="135"/>
      <c r="L109" s="133" t="str">
        <f>+D109</f>
        <v>Pagament Antecipado</v>
      </c>
      <c r="N109" s="135"/>
      <c r="O109" s="138">
        <f>G109</f>
        <v>0</v>
      </c>
    </row>
    <row r="110" spans="1:15" ht="15.75" customHeight="1" x14ac:dyDescent="0.25">
      <c r="A110" s="125"/>
      <c r="B110" s="135"/>
      <c r="C110" s="135"/>
      <c r="D110" s="135"/>
      <c r="E110" s="133" t="s">
        <v>100</v>
      </c>
      <c r="F110" s="135"/>
      <c r="G110" s="138">
        <f>SUM(G103:G109)</f>
        <v>566.79999999999995</v>
      </c>
      <c r="H110" s="138"/>
      <c r="I110" s="138"/>
      <c r="J110" s="135"/>
      <c r="K110" s="135"/>
      <c r="L110" s="135"/>
      <c r="M110" s="133" t="s">
        <v>100</v>
      </c>
      <c r="N110" s="135"/>
      <c r="O110" s="138">
        <f>SUM(O103:O109)</f>
        <v>566.79999999999995</v>
      </c>
    </row>
    <row r="111" spans="1:15" ht="15.75" customHeight="1" x14ac:dyDescent="0.25">
      <c r="A111" s="125"/>
      <c r="B111" s="135"/>
      <c r="C111" s="135"/>
      <c r="D111" s="135"/>
      <c r="E111" s="135"/>
      <c r="F111" s="135"/>
      <c r="G111" s="138"/>
      <c r="H111" s="138"/>
      <c r="I111" s="138"/>
      <c r="J111" s="135"/>
      <c r="K111" s="135"/>
      <c r="L111" s="135"/>
      <c r="M111" s="135"/>
      <c r="N111" s="135"/>
      <c r="O111" s="138"/>
    </row>
    <row r="112" spans="1:15" ht="15.75" customHeight="1" x14ac:dyDescent="0.25">
      <c r="A112" s="125"/>
      <c r="B112" s="135"/>
      <c r="C112" s="133" t="s">
        <v>109</v>
      </c>
      <c r="D112" s="135"/>
      <c r="E112" s="135"/>
      <c r="F112" s="135"/>
      <c r="G112" s="139">
        <f>G100-G110</f>
        <v>13603.2</v>
      </c>
      <c r="H112" s="138"/>
      <c r="I112" s="138"/>
      <c r="J112" s="135"/>
      <c r="K112" s="135"/>
      <c r="L112" s="133" t="s">
        <v>109</v>
      </c>
      <c r="M112" s="135"/>
      <c r="N112" s="135"/>
      <c r="O112" s="139">
        <f>O100-O110</f>
        <v>13603.2</v>
      </c>
    </row>
    <row r="113" spans="1:15" ht="15.75" customHeight="1" x14ac:dyDescent="0.25">
      <c r="A113" s="125"/>
      <c r="B113" s="135"/>
      <c r="C113" s="133"/>
      <c r="D113" s="135"/>
      <c r="E113" s="135"/>
      <c r="F113" s="135"/>
      <c r="G113" s="138"/>
      <c r="H113" s="138"/>
      <c r="I113" s="138"/>
      <c r="J113" s="135"/>
      <c r="K113" s="135"/>
      <c r="L113" s="133"/>
      <c r="M113" s="135"/>
      <c r="N113" s="135"/>
      <c r="O113" s="138"/>
    </row>
    <row r="114" spans="1:15" ht="15.75" customHeight="1" x14ac:dyDescent="0.25">
      <c r="A114" s="125"/>
      <c r="B114" s="135"/>
      <c r="C114" s="135"/>
      <c r="D114" s="135"/>
      <c r="E114" s="135"/>
      <c r="F114" s="135"/>
      <c r="G114" s="138"/>
      <c r="H114" s="138"/>
      <c r="I114" s="138"/>
      <c r="J114" s="135"/>
      <c r="K114" s="135"/>
      <c r="L114" s="135"/>
      <c r="M114" s="135"/>
      <c r="N114" s="135"/>
      <c r="O114" s="138"/>
    </row>
    <row r="115" spans="1:15" ht="15.75" customHeight="1" x14ac:dyDescent="0.25">
      <c r="A115" s="125"/>
      <c r="B115" s="135"/>
      <c r="C115" s="135"/>
      <c r="D115" s="135"/>
      <c r="E115" s="133" t="s">
        <v>110</v>
      </c>
      <c r="F115" s="135"/>
      <c r="G115" s="138"/>
      <c r="H115" s="138"/>
      <c r="I115" s="138"/>
      <c r="J115" s="135"/>
      <c r="K115" s="135"/>
      <c r="L115" s="135"/>
      <c r="M115" s="133" t="s">
        <v>110</v>
      </c>
      <c r="N115" s="135"/>
      <c r="O115" s="138"/>
    </row>
    <row r="116" spans="1:15" ht="38.1" customHeight="1" x14ac:dyDescent="0.2">
      <c r="A116" s="125"/>
      <c r="B116" s="247" t="s">
        <v>91</v>
      </c>
      <c r="C116" s="247"/>
      <c r="D116" s="247"/>
      <c r="E116" s="247"/>
      <c r="F116" s="247"/>
      <c r="G116" s="247"/>
      <c r="H116" s="127"/>
      <c r="I116" s="127"/>
      <c r="J116" s="247" t="s">
        <v>91</v>
      </c>
      <c r="K116" s="247"/>
      <c r="L116" s="247"/>
      <c r="M116" s="247"/>
      <c r="N116" s="247"/>
      <c r="O116" s="247"/>
    </row>
    <row r="117" spans="1:15" ht="15" customHeight="1" x14ac:dyDescent="0.2">
      <c r="A117" s="125"/>
      <c r="B117" s="126"/>
      <c r="C117" s="128"/>
      <c r="D117" s="128"/>
      <c r="E117" s="128"/>
      <c r="F117" s="128"/>
      <c r="G117" s="128"/>
      <c r="H117" s="127"/>
      <c r="I117" s="127"/>
      <c r="J117" s="126"/>
      <c r="K117" s="128"/>
      <c r="L117" s="128"/>
      <c r="M117" s="128"/>
      <c r="N117" s="128"/>
      <c r="O117" s="128"/>
    </row>
    <row r="118" spans="1:15" ht="18.600000000000001" customHeight="1" x14ac:dyDescent="0.3">
      <c r="A118" s="125"/>
      <c r="B118" s="248" t="s">
        <v>92</v>
      </c>
      <c r="C118" s="248"/>
      <c r="D118" s="248"/>
      <c r="E118" s="248"/>
      <c r="F118" s="248"/>
      <c r="G118" s="248"/>
      <c r="H118" s="129"/>
      <c r="I118" s="130"/>
      <c r="J118" s="248" t="s">
        <v>92</v>
      </c>
      <c r="K118" s="248"/>
      <c r="L118" s="248"/>
      <c r="M118" s="248"/>
      <c r="N118" s="248"/>
      <c r="O118" s="248"/>
    </row>
    <row r="119" spans="1:15" ht="15" customHeight="1" x14ac:dyDescent="0.2">
      <c r="A119" s="125"/>
      <c r="B119" s="131">
        <f>+B91+1</f>
        <v>5</v>
      </c>
      <c r="C119" s="132"/>
      <c r="D119" s="132"/>
      <c r="E119" s="132"/>
      <c r="F119" s="132"/>
      <c r="H119" s="132"/>
      <c r="I119" s="132"/>
      <c r="J119" s="131">
        <f>+B119</f>
        <v>5</v>
      </c>
      <c r="K119" s="130"/>
      <c r="L119" s="132"/>
      <c r="M119" s="132"/>
      <c r="N119" s="132"/>
      <c r="O119" s="132"/>
    </row>
    <row r="120" spans="1:15" ht="18.600000000000001" customHeight="1" x14ac:dyDescent="0.25">
      <c r="A120" s="125"/>
      <c r="B120" s="133" t="s">
        <v>93</v>
      </c>
      <c r="C120" s="134" t="str">
        <f>+C5</f>
        <v>JANEIRIO</v>
      </c>
      <c r="D120" s="135"/>
      <c r="E120" s="135">
        <f>+E5</f>
        <v>2025</v>
      </c>
      <c r="F120" s="133"/>
      <c r="G120" s="136"/>
      <c r="H120" s="136"/>
      <c r="I120" s="136"/>
      <c r="J120" s="133" t="s">
        <v>93</v>
      </c>
      <c r="K120" s="134" t="str">
        <f>+C120</f>
        <v>JANEIRIO</v>
      </c>
      <c r="L120" s="135"/>
      <c r="M120" s="135">
        <f>+E120</f>
        <v>2025</v>
      </c>
      <c r="O120" s="136"/>
    </row>
    <row r="121" spans="1:15" ht="18.600000000000001" customHeight="1" x14ac:dyDescent="0.25">
      <c r="A121" s="125"/>
      <c r="B121" s="133" t="s">
        <v>94</v>
      </c>
      <c r="C121" s="136" t="str">
        <f>+'Folha de salarios'!C14</f>
        <v>CISTORA JOAO TANGUNE</v>
      </c>
      <c r="D121" s="136"/>
      <c r="E121" s="136"/>
      <c r="F121" s="136"/>
      <c r="G121" s="135"/>
      <c r="H121" s="135"/>
      <c r="I121" s="135"/>
      <c r="J121" s="133" t="s">
        <v>94</v>
      </c>
      <c r="K121" s="136" t="str">
        <f>C121</f>
        <v>CISTORA JOAO TANGUNE</v>
      </c>
      <c r="L121" s="135"/>
      <c r="M121" s="135"/>
      <c r="O121" s="135"/>
    </row>
    <row r="122" spans="1:15" ht="15.75" customHeight="1" x14ac:dyDescent="0.25">
      <c r="A122" s="125"/>
      <c r="B122" s="133" t="s">
        <v>95</v>
      </c>
      <c r="C122" s="135" t="str">
        <f>+'Folha de salarios'!G14</f>
        <v>EMPREGADA</v>
      </c>
      <c r="D122" s="135"/>
      <c r="E122" s="135"/>
      <c r="F122" s="135"/>
      <c r="G122" s="135"/>
      <c r="H122" s="135"/>
      <c r="I122" s="135"/>
      <c r="J122" s="133" t="s">
        <v>95</v>
      </c>
      <c r="K122" s="135" t="str">
        <f>+C122</f>
        <v>EMPREGADA</v>
      </c>
      <c r="L122" s="135"/>
      <c r="M122" s="135"/>
      <c r="N122" s="135"/>
      <c r="O122" s="135"/>
    </row>
    <row r="123" spans="1:15" ht="15.75" customHeight="1" x14ac:dyDescent="0.25">
      <c r="A123" s="125"/>
      <c r="B123" s="133"/>
      <c r="C123" s="135"/>
      <c r="D123" s="135"/>
      <c r="E123" s="135"/>
      <c r="F123" s="135"/>
      <c r="G123" s="135"/>
      <c r="H123" s="135"/>
      <c r="I123" s="135"/>
      <c r="J123" s="133"/>
      <c r="K123" s="135"/>
      <c r="L123" s="135"/>
      <c r="M123" s="135"/>
      <c r="N123" s="135"/>
      <c r="O123" s="135"/>
    </row>
    <row r="124" spans="1:15" ht="15.75" customHeight="1" x14ac:dyDescent="0.25">
      <c r="A124" s="125"/>
      <c r="B124" s="133" t="s">
        <v>96</v>
      </c>
      <c r="C124" s="135"/>
      <c r="D124" s="135"/>
      <c r="E124" s="135"/>
      <c r="F124" s="135"/>
      <c r="G124" s="137">
        <f>+'Folha de salarios'!M14</f>
        <v>10900</v>
      </c>
      <c r="H124" s="137"/>
      <c r="I124" s="137"/>
      <c r="J124" s="133" t="s">
        <v>96</v>
      </c>
      <c r="K124" s="133"/>
      <c r="L124" s="135"/>
      <c r="M124" s="135"/>
      <c r="N124" s="135"/>
      <c r="O124" s="137">
        <f>+G124</f>
        <v>10900</v>
      </c>
    </row>
    <row r="125" spans="1:15" ht="15.75" customHeight="1" x14ac:dyDescent="0.25">
      <c r="A125" s="125"/>
      <c r="B125" s="133" t="s">
        <v>97</v>
      </c>
      <c r="C125" s="135"/>
      <c r="D125" s="135"/>
      <c r="E125" s="135"/>
      <c r="F125" s="135"/>
      <c r="G125" s="138">
        <f>0</f>
        <v>0</v>
      </c>
      <c r="H125" s="138"/>
      <c r="I125" s="138"/>
      <c r="J125" s="133" t="s">
        <v>97</v>
      </c>
      <c r="K125" s="133"/>
      <c r="L125" s="135"/>
      <c r="M125" s="135"/>
      <c r="N125" s="135"/>
      <c r="O125" s="138">
        <f>G125</f>
        <v>0</v>
      </c>
    </row>
    <row r="126" spans="1:15" ht="15.75" customHeight="1" x14ac:dyDescent="0.25">
      <c r="A126" s="125"/>
      <c r="B126" s="133" t="s">
        <v>98</v>
      </c>
      <c r="C126" s="135"/>
      <c r="D126" s="135"/>
      <c r="E126" s="135"/>
      <c r="F126" s="135"/>
      <c r="G126" s="138">
        <v>0</v>
      </c>
      <c r="H126" s="138"/>
      <c r="I126" s="138"/>
      <c r="J126" s="133" t="s">
        <v>98</v>
      </c>
      <c r="K126" s="133"/>
      <c r="L126" s="135"/>
      <c r="M126" s="135"/>
      <c r="N126" s="135"/>
      <c r="O126" s="138">
        <f>G126</f>
        <v>0</v>
      </c>
    </row>
    <row r="127" spans="1:15" ht="15.75" customHeight="1" x14ac:dyDescent="0.25">
      <c r="A127" s="125"/>
      <c r="B127" s="133" t="s">
        <v>99</v>
      </c>
      <c r="C127" s="135"/>
      <c r="D127" s="135"/>
      <c r="E127" s="135"/>
      <c r="F127" s="135"/>
      <c r="G127" s="138">
        <v>0</v>
      </c>
      <c r="H127" s="138"/>
      <c r="I127" s="138"/>
      <c r="J127" s="133" t="s">
        <v>99</v>
      </c>
      <c r="K127" s="133"/>
      <c r="L127" s="135"/>
      <c r="M127" s="135"/>
      <c r="N127" s="135"/>
      <c r="O127" s="138">
        <v>0</v>
      </c>
    </row>
    <row r="128" spans="1:15" ht="15.75" customHeight="1" x14ac:dyDescent="0.25">
      <c r="A128" s="125"/>
      <c r="B128" s="135"/>
      <c r="C128" s="135"/>
      <c r="D128" s="135"/>
      <c r="E128" s="133" t="s">
        <v>100</v>
      </c>
      <c r="F128" s="135"/>
      <c r="G128" s="138">
        <f>SUM(G124:G127)</f>
        <v>10900</v>
      </c>
      <c r="H128" s="138"/>
      <c r="I128" s="138"/>
      <c r="J128" s="135"/>
      <c r="K128" s="135"/>
      <c r="L128" s="135"/>
      <c r="M128" s="133" t="s">
        <v>100</v>
      </c>
      <c r="N128" s="135"/>
      <c r="O128" s="138">
        <f>SUM(O124:O127)</f>
        <v>10900</v>
      </c>
    </row>
    <row r="129" spans="1:15" ht="15.75" customHeight="1" x14ac:dyDescent="0.25">
      <c r="A129" s="125"/>
      <c r="B129" s="135"/>
      <c r="C129" s="135"/>
      <c r="D129" s="135"/>
      <c r="E129" s="135"/>
      <c r="F129" s="135"/>
      <c r="G129" s="138"/>
      <c r="H129" s="138"/>
      <c r="I129" s="138"/>
      <c r="J129" s="135"/>
      <c r="K129" s="135"/>
      <c r="L129" s="135"/>
      <c r="M129" s="135"/>
      <c r="N129" s="135"/>
      <c r="O129" s="138"/>
    </row>
    <row r="130" spans="1:15" ht="15.75" customHeight="1" x14ac:dyDescent="0.25">
      <c r="A130" s="125"/>
      <c r="B130" s="135"/>
      <c r="C130" s="133" t="s">
        <v>101</v>
      </c>
      <c r="D130" s="135"/>
      <c r="E130" s="135"/>
      <c r="F130" s="135"/>
      <c r="G130" s="138"/>
      <c r="H130" s="138"/>
      <c r="I130" s="138"/>
      <c r="J130" s="135"/>
      <c r="K130" s="133" t="s">
        <v>101</v>
      </c>
      <c r="L130" s="135"/>
      <c r="N130" s="135"/>
      <c r="O130" s="138"/>
    </row>
    <row r="131" spans="1:15" ht="15.75" customHeight="1" x14ac:dyDescent="0.25">
      <c r="A131" s="125"/>
      <c r="B131" s="135"/>
      <c r="C131" s="135"/>
      <c r="D131" s="133" t="s">
        <v>102</v>
      </c>
      <c r="E131" s="135"/>
      <c r="F131" s="135"/>
      <c r="G131" s="138">
        <f>+'Folha de salarios'!Z117</f>
        <v>0</v>
      </c>
      <c r="H131" s="138"/>
      <c r="I131" s="138"/>
      <c r="J131" s="135"/>
      <c r="K131" s="135"/>
      <c r="L131" s="133" t="s">
        <v>102</v>
      </c>
      <c r="N131" s="135"/>
      <c r="O131" s="138">
        <f>+G131</f>
        <v>0</v>
      </c>
    </row>
    <row r="132" spans="1:15" ht="15.75" customHeight="1" x14ac:dyDescent="0.25">
      <c r="A132" s="125"/>
      <c r="B132" s="135"/>
      <c r="C132" s="135"/>
      <c r="D132" s="133" t="s">
        <v>86</v>
      </c>
      <c r="E132" s="135"/>
      <c r="F132" s="135"/>
      <c r="G132" s="138">
        <f>+G128*0.03</f>
        <v>327</v>
      </c>
      <c r="H132" s="138"/>
      <c r="I132" s="138"/>
      <c r="J132" s="135"/>
      <c r="K132" s="135"/>
      <c r="L132" s="133" t="s">
        <v>86</v>
      </c>
      <c r="N132" s="135"/>
      <c r="O132" s="138">
        <f>+G132</f>
        <v>327</v>
      </c>
    </row>
    <row r="133" spans="1:15" ht="15.75" customHeight="1" x14ac:dyDescent="0.25">
      <c r="A133" s="125"/>
      <c r="B133" s="135"/>
      <c r="C133" s="135"/>
      <c r="D133" s="133" t="s">
        <v>103</v>
      </c>
      <c r="E133" s="135"/>
      <c r="F133" s="135"/>
      <c r="G133" s="138">
        <f>+G128*0.01</f>
        <v>109</v>
      </c>
      <c r="H133" s="138"/>
      <c r="I133" s="138"/>
      <c r="J133" s="135"/>
      <c r="K133" s="135"/>
      <c r="L133" s="133" t="s">
        <v>103</v>
      </c>
      <c r="N133" s="135"/>
      <c r="O133" s="138">
        <f>+G133</f>
        <v>109</v>
      </c>
    </row>
    <row r="134" spans="1:15" ht="15.75" customHeight="1" x14ac:dyDescent="0.25">
      <c r="A134" s="125"/>
      <c r="B134" s="135"/>
      <c r="C134" s="135"/>
      <c r="D134" s="133" t="s">
        <v>104</v>
      </c>
      <c r="E134" s="135"/>
      <c r="F134" s="135"/>
      <c r="G134" s="138"/>
      <c r="H134" s="138"/>
      <c r="I134" s="138"/>
      <c r="J134" s="135"/>
      <c r="K134" s="135"/>
      <c r="L134" s="133" t="s">
        <v>104</v>
      </c>
      <c r="N134" s="135"/>
      <c r="O134" s="138">
        <f>G134</f>
        <v>0</v>
      </c>
    </row>
    <row r="135" spans="1:15" ht="15.75" customHeight="1" x14ac:dyDescent="0.25">
      <c r="A135" s="125"/>
      <c r="B135" s="135"/>
      <c r="C135" s="135"/>
      <c r="D135" s="133" t="s">
        <v>105</v>
      </c>
      <c r="E135" s="135"/>
      <c r="F135" s="135"/>
      <c r="G135" s="138"/>
      <c r="H135" s="138"/>
      <c r="I135" s="138"/>
      <c r="J135" s="135"/>
      <c r="K135" s="135"/>
      <c r="L135" s="133" t="s">
        <v>105</v>
      </c>
      <c r="N135" s="135"/>
      <c r="O135" s="138">
        <f>G135</f>
        <v>0</v>
      </c>
    </row>
    <row r="136" spans="1:15" ht="15.75" customHeight="1" x14ac:dyDescent="0.25">
      <c r="A136" s="125"/>
      <c r="B136" s="135"/>
      <c r="C136" s="135"/>
      <c r="D136" s="133" t="s">
        <v>106</v>
      </c>
      <c r="E136" s="135"/>
      <c r="F136" s="135"/>
      <c r="G136" s="138"/>
      <c r="H136" s="138"/>
      <c r="I136" s="138"/>
      <c r="J136" s="135"/>
      <c r="K136" s="135"/>
      <c r="L136" s="133" t="s">
        <v>106</v>
      </c>
      <c r="N136" s="135"/>
      <c r="O136" s="138">
        <f>G136</f>
        <v>0</v>
      </c>
    </row>
    <row r="137" spans="1:15" ht="15.75" customHeight="1" x14ac:dyDescent="0.25">
      <c r="A137" s="125"/>
      <c r="B137" s="135"/>
      <c r="C137" s="135"/>
      <c r="D137" s="133" t="s">
        <v>112</v>
      </c>
      <c r="E137" s="135"/>
      <c r="F137" s="135"/>
      <c r="G137" s="138">
        <f>+'Folha de salarios'!Y14</f>
        <v>0</v>
      </c>
      <c r="H137" s="138"/>
      <c r="I137" s="138"/>
      <c r="J137" s="135"/>
      <c r="K137" s="135"/>
      <c r="L137" s="133" t="str">
        <f>+D137</f>
        <v>Pagament Antecipado</v>
      </c>
      <c r="N137" s="135"/>
      <c r="O137" s="138">
        <f>G137</f>
        <v>0</v>
      </c>
    </row>
    <row r="138" spans="1:15" ht="15.75" customHeight="1" x14ac:dyDescent="0.25">
      <c r="A138" s="125"/>
      <c r="B138" s="135"/>
      <c r="C138" s="135"/>
      <c r="D138" s="133" t="s">
        <v>108</v>
      </c>
      <c r="E138" s="135"/>
      <c r="F138" s="135"/>
      <c r="G138" s="138"/>
      <c r="H138" s="138"/>
      <c r="I138" s="138"/>
      <c r="J138" s="135"/>
      <c r="K138" s="135"/>
      <c r="L138" s="135" t="str">
        <f>+D138</f>
        <v>Arredondamento</v>
      </c>
      <c r="N138" s="135"/>
      <c r="O138" s="138"/>
    </row>
    <row r="139" spans="1:15" ht="15.75" customHeight="1" x14ac:dyDescent="0.25">
      <c r="A139" s="125"/>
      <c r="B139" s="135"/>
      <c r="C139" s="135"/>
      <c r="D139" s="135"/>
      <c r="E139" s="133" t="s">
        <v>100</v>
      </c>
      <c r="F139" s="135"/>
      <c r="G139" s="138">
        <f>SUM(G131:G138)</f>
        <v>436</v>
      </c>
      <c r="H139" s="138"/>
      <c r="I139" s="138"/>
      <c r="J139" s="135"/>
      <c r="K139" s="135"/>
      <c r="L139" s="133" t="s">
        <v>100</v>
      </c>
      <c r="N139" s="135"/>
      <c r="O139" s="138">
        <f>G139</f>
        <v>436</v>
      </c>
    </row>
    <row r="140" spans="1:15" ht="15.75" customHeight="1" x14ac:dyDescent="0.25">
      <c r="A140" s="125"/>
      <c r="B140" s="135"/>
      <c r="C140" s="135"/>
      <c r="D140" s="135"/>
      <c r="E140" s="135"/>
      <c r="F140" s="135"/>
      <c r="G140" s="138"/>
      <c r="H140" s="138"/>
      <c r="I140" s="138"/>
      <c r="J140" s="135"/>
      <c r="K140" s="135"/>
      <c r="L140" s="135"/>
      <c r="M140" s="135"/>
      <c r="N140" s="135"/>
      <c r="O140" s="138"/>
    </row>
    <row r="141" spans="1:15" ht="15.75" customHeight="1" x14ac:dyDescent="0.25">
      <c r="A141" s="125"/>
      <c r="B141" s="135"/>
      <c r="C141" s="133" t="s">
        <v>109</v>
      </c>
      <c r="D141" s="135"/>
      <c r="E141" s="135"/>
      <c r="F141" s="135"/>
      <c r="G141" s="139">
        <f>G128-G139</f>
        <v>10464</v>
      </c>
      <c r="H141" s="138"/>
      <c r="I141" s="138"/>
      <c r="J141" s="135"/>
      <c r="K141" s="135"/>
      <c r="L141" s="133" t="s">
        <v>109</v>
      </c>
      <c r="M141" s="135"/>
      <c r="N141" s="135"/>
      <c r="O141" s="139">
        <f>O128-O139</f>
        <v>10464</v>
      </c>
    </row>
    <row r="142" spans="1:15" ht="15.75" customHeight="1" x14ac:dyDescent="0.25">
      <c r="A142" s="125"/>
      <c r="B142" s="135"/>
      <c r="C142" s="133"/>
      <c r="D142" s="135"/>
      <c r="E142" s="135"/>
      <c r="F142" s="135"/>
      <c r="G142" s="138"/>
      <c r="H142" s="138"/>
      <c r="I142" s="138"/>
      <c r="J142" s="135"/>
      <c r="K142" s="135"/>
      <c r="L142" s="133"/>
      <c r="M142" s="135"/>
      <c r="N142" s="135"/>
      <c r="O142" s="138"/>
    </row>
    <row r="143" spans="1:15" ht="15.75" customHeight="1" x14ac:dyDescent="0.25">
      <c r="A143" s="125"/>
      <c r="B143" s="135"/>
      <c r="C143" s="135"/>
      <c r="D143" s="135"/>
      <c r="E143" s="135"/>
      <c r="F143" s="135"/>
      <c r="G143" s="138"/>
      <c r="H143" s="138"/>
      <c r="I143" s="138"/>
      <c r="J143" s="135"/>
      <c r="K143" s="135"/>
      <c r="L143" s="135"/>
      <c r="M143" s="135"/>
      <c r="N143" s="135"/>
      <c r="O143" s="138"/>
    </row>
    <row r="144" spans="1:15" ht="15.75" customHeight="1" x14ac:dyDescent="0.25">
      <c r="A144" s="125"/>
      <c r="B144" s="135"/>
      <c r="C144" s="135"/>
      <c r="D144" s="135"/>
      <c r="E144" s="133" t="s">
        <v>110</v>
      </c>
      <c r="F144" s="135"/>
      <c r="G144" s="138"/>
      <c r="H144" s="138"/>
      <c r="I144" s="138"/>
      <c r="J144" s="135"/>
      <c r="K144" s="135"/>
      <c r="L144" s="135"/>
      <c r="M144" s="133" t="s">
        <v>110</v>
      </c>
      <c r="N144" s="135"/>
      <c r="O144" s="138"/>
    </row>
    <row r="145" spans="1:15" ht="38.1" customHeight="1" x14ac:dyDescent="0.2">
      <c r="A145" s="125"/>
      <c r="B145" s="247" t="s">
        <v>91</v>
      </c>
      <c r="C145" s="247"/>
      <c r="D145" s="247"/>
      <c r="E145" s="247"/>
      <c r="F145" s="247"/>
      <c r="G145" s="247"/>
      <c r="H145" s="127"/>
      <c r="I145" s="127"/>
      <c r="J145" s="247" t="s">
        <v>91</v>
      </c>
      <c r="K145" s="247"/>
      <c r="L145" s="247"/>
      <c r="M145" s="247"/>
      <c r="N145" s="247"/>
      <c r="O145" s="247"/>
    </row>
    <row r="146" spans="1:15" ht="15" customHeight="1" x14ac:dyDescent="0.2">
      <c r="A146" s="125"/>
      <c r="B146" s="126"/>
      <c r="C146" s="128"/>
      <c r="D146" s="128"/>
      <c r="E146" s="128"/>
      <c r="F146" s="128"/>
      <c r="G146" s="128"/>
      <c r="H146" s="127"/>
      <c r="I146" s="127"/>
      <c r="J146" s="126"/>
      <c r="K146" s="128"/>
      <c r="L146" s="128"/>
      <c r="M146" s="128"/>
      <c r="N146" s="128"/>
      <c r="O146" s="128"/>
    </row>
    <row r="147" spans="1:15" ht="18.600000000000001" customHeight="1" x14ac:dyDescent="0.3">
      <c r="A147" s="125"/>
      <c r="B147" s="248" t="s">
        <v>92</v>
      </c>
      <c r="C147" s="248"/>
      <c r="D147" s="248"/>
      <c r="E147" s="248"/>
      <c r="F147" s="248"/>
      <c r="G147" s="248"/>
      <c r="H147" s="129"/>
      <c r="I147" s="130"/>
      <c r="J147" s="248" t="s">
        <v>92</v>
      </c>
      <c r="K147" s="248"/>
      <c r="L147" s="248"/>
      <c r="M147" s="248"/>
      <c r="N147" s="248"/>
      <c r="O147" s="248"/>
    </row>
    <row r="148" spans="1:15" ht="15" customHeight="1" x14ac:dyDescent="0.2">
      <c r="A148" s="125"/>
      <c r="B148" s="131">
        <f>+B119+1</f>
        <v>6</v>
      </c>
      <c r="C148" s="132"/>
      <c r="D148" s="132"/>
      <c r="E148" s="132"/>
      <c r="F148" s="132"/>
      <c r="H148" s="132"/>
      <c r="I148" s="132"/>
      <c r="J148" s="131">
        <f>+B148</f>
        <v>6</v>
      </c>
      <c r="K148" s="130"/>
      <c r="L148" s="132"/>
      <c r="M148" s="132"/>
      <c r="N148" s="132"/>
      <c r="O148" s="132"/>
    </row>
    <row r="149" spans="1:15" ht="18.600000000000001" customHeight="1" x14ac:dyDescent="0.25">
      <c r="A149" s="125"/>
      <c r="B149" s="133" t="s">
        <v>93</v>
      </c>
      <c r="C149" s="134" t="str">
        <f>+C5</f>
        <v>JANEIRIO</v>
      </c>
      <c r="D149" s="135"/>
      <c r="E149" s="135">
        <f>+E5</f>
        <v>2025</v>
      </c>
      <c r="F149" s="133"/>
      <c r="G149" s="136"/>
      <c r="H149" s="136"/>
      <c r="I149" s="136"/>
      <c r="J149" s="133" t="s">
        <v>93</v>
      </c>
      <c r="K149" s="134" t="str">
        <f>+C149</f>
        <v>JANEIRIO</v>
      </c>
      <c r="L149" s="135"/>
      <c r="M149" s="135">
        <f>+E149</f>
        <v>2025</v>
      </c>
      <c r="O149" s="136"/>
    </row>
    <row r="150" spans="1:15" ht="18.600000000000001" customHeight="1" x14ac:dyDescent="0.25">
      <c r="A150" s="125"/>
      <c r="B150" s="133" t="s">
        <v>94</v>
      </c>
      <c r="C150" s="136" t="str">
        <f>+'Folha de salarios'!C15</f>
        <v>EMILIO GELSON ZIBANE</v>
      </c>
      <c r="D150" s="136"/>
      <c r="E150" s="136"/>
      <c r="F150" s="136"/>
      <c r="G150" s="135"/>
      <c r="H150" s="135"/>
      <c r="I150" s="135"/>
      <c r="J150" s="133" t="s">
        <v>94</v>
      </c>
      <c r="K150" s="136" t="str">
        <f>C150</f>
        <v>EMILIO GELSON ZIBANE</v>
      </c>
      <c r="L150" s="135"/>
      <c r="M150" s="135"/>
      <c r="O150" s="135"/>
    </row>
    <row r="151" spans="1:15" ht="15.75" customHeight="1" x14ac:dyDescent="0.25">
      <c r="A151" s="125"/>
      <c r="B151" s="133" t="s">
        <v>95</v>
      </c>
      <c r="C151" s="135" t="str">
        <f>+'Folha de salarios'!G15</f>
        <v>JARDINERO</v>
      </c>
      <c r="D151" s="135"/>
      <c r="E151" s="135"/>
      <c r="F151" s="135"/>
      <c r="G151" s="135"/>
      <c r="H151" s="135"/>
      <c r="I151" s="135"/>
      <c r="J151" s="133" t="s">
        <v>95</v>
      </c>
      <c r="K151" s="135" t="str">
        <f>+C151</f>
        <v>JARDINERO</v>
      </c>
      <c r="L151" s="135"/>
      <c r="M151" s="135"/>
      <c r="N151" s="135"/>
      <c r="O151" s="135"/>
    </row>
    <row r="152" spans="1:15" ht="15.75" customHeight="1" x14ac:dyDescent="0.25">
      <c r="A152" s="125"/>
      <c r="B152" s="133"/>
      <c r="C152" s="135"/>
      <c r="D152" s="135"/>
      <c r="E152" s="135"/>
      <c r="F152" s="135"/>
      <c r="G152" s="135"/>
      <c r="H152" s="135"/>
      <c r="I152" s="135"/>
      <c r="J152" s="133"/>
      <c r="K152" s="135"/>
      <c r="L152" s="135"/>
      <c r="M152" s="135"/>
      <c r="N152" s="135"/>
      <c r="O152" s="135"/>
    </row>
    <row r="153" spans="1:15" ht="15.75" customHeight="1" x14ac:dyDescent="0.25">
      <c r="A153" s="125"/>
      <c r="B153" s="133" t="s">
        <v>96</v>
      </c>
      <c r="C153" s="135"/>
      <c r="D153" s="135"/>
      <c r="E153" s="135"/>
      <c r="F153" s="135"/>
      <c r="G153" s="137">
        <f>+'Folha de salarios'!M15</f>
        <v>11445</v>
      </c>
      <c r="H153" s="137"/>
      <c r="I153" s="137"/>
      <c r="J153" s="133" t="s">
        <v>96</v>
      </c>
      <c r="K153" s="133"/>
      <c r="L153" s="135"/>
      <c r="M153" s="135"/>
      <c r="N153" s="135"/>
      <c r="O153" s="137">
        <f>+G153</f>
        <v>11445</v>
      </c>
    </row>
    <row r="154" spans="1:15" ht="15.75" customHeight="1" x14ac:dyDescent="0.25">
      <c r="A154" s="125"/>
      <c r="B154" s="133" t="s">
        <v>97</v>
      </c>
      <c r="C154" s="135"/>
      <c r="D154" s="135"/>
      <c r="E154" s="135"/>
      <c r="F154" s="135"/>
      <c r="G154" s="138">
        <f>0</f>
        <v>0</v>
      </c>
      <c r="H154" s="138"/>
      <c r="I154" s="138"/>
      <c r="J154" s="133" t="s">
        <v>97</v>
      </c>
      <c r="K154" s="133"/>
      <c r="L154" s="135"/>
      <c r="M154" s="135"/>
      <c r="N154" s="135"/>
      <c r="O154" s="138">
        <f>G154</f>
        <v>0</v>
      </c>
    </row>
    <row r="155" spans="1:15" ht="15.75" customHeight="1" x14ac:dyDescent="0.25">
      <c r="A155" s="125"/>
      <c r="B155" s="133" t="s">
        <v>98</v>
      </c>
      <c r="C155" s="135"/>
      <c r="D155" s="135"/>
      <c r="E155" s="135"/>
      <c r="F155" s="135"/>
      <c r="G155" s="138">
        <v>0</v>
      </c>
      <c r="H155" s="138"/>
      <c r="I155" s="138"/>
      <c r="J155" s="133" t="s">
        <v>98</v>
      </c>
      <c r="K155" s="133"/>
      <c r="L155" s="135"/>
      <c r="M155" s="135"/>
      <c r="N155" s="135"/>
      <c r="O155" s="138">
        <f>G155</f>
        <v>0</v>
      </c>
    </row>
    <row r="156" spans="1:15" ht="15.75" customHeight="1" x14ac:dyDescent="0.25">
      <c r="A156" s="125"/>
      <c r="B156" s="133" t="s">
        <v>99</v>
      </c>
      <c r="C156" s="135"/>
      <c r="D156" s="135"/>
      <c r="E156" s="135"/>
      <c r="F156" s="135"/>
      <c r="G156" s="138">
        <v>0</v>
      </c>
      <c r="H156" s="138"/>
      <c r="I156" s="138"/>
      <c r="J156" s="133" t="s">
        <v>99</v>
      </c>
      <c r="K156" s="133"/>
      <c r="L156" s="135"/>
      <c r="M156" s="135"/>
      <c r="N156" s="135"/>
      <c r="O156" s="138">
        <v>0</v>
      </c>
    </row>
    <row r="157" spans="1:15" ht="15.75" customHeight="1" x14ac:dyDescent="0.25">
      <c r="A157" s="125"/>
      <c r="B157" s="135"/>
      <c r="C157" s="135"/>
      <c r="D157" s="135"/>
      <c r="E157" s="133" t="s">
        <v>100</v>
      </c>
      <c r="F157" s="135"/>
      <c r="G157" s="138">
        <f>SUM(G153:G156)</f>
        <v>11445</v>
      </c>
      <c r="H157" s="138"/>
      <c r="I157" s="138"/>
      <c r="J157" s="135"/>
      <c r="K157" s="135"/>
      <c r="L157" s="135"/>
      <c r="M157" s="133" t="s">
        <v>100</v>
      </c>
      <c r="N157" s="135"/>
      <c r="O157" s="138">
        <f>SUM(O153:O156)</f>
        <v>11445</v>
      </c>
    </row>
    <row r="158" spans="1:15" ht="15.75" customHeight="1" x14ac:dyDescent="0.25">
      <c r="A158" s="125"/>
      <c r="B158" s="135"/>
      <c r="C158" s="135"/>
      <c r="D158" s="135"/>
      <c r="E158" s="135"/>
      <c r="F158" s="135"/>
      <c r="G158" s="138"/>
      <c r="H158" s="138"/>
      <c r="I158" s="138"/>
      <c r="J158" s="135"/>
      <c r="K158" s="135"/>
      <c r="L158" s="135"/>
      <c r="M158" s="135"/>
      <c r="N158" s="135"/>
      <c r="O158" s="138"/>
    </row>
    <row r="159" spans="1:15" ht="15.75" customHeight="1" x14ac:dyDescent="0.25">
      <c r="A159" s="125"/>
      <c r="B159" s="135"/>
      <c r="C159" s="133" t="s">
        <v>101</v>
      </c>
      <c r="D159" s="135"/>
      <c r="E159" s="135"/>
      <c r="F159" s="135"/>
      <c r="G159" s="138"/>
      <c r="H159" s="138"/>
      <c r="I159" s="138"/>
      <c r="J159" s="135"/>
      <c r="K159" s="133" t="s">
        <v>101</v>
      </c>
      <c r="L159" s="135"/>
      <c r="N159" s="135"/>
      <c r="O159" s="138"/>
    </row>
    <row r="160" spans="1:15" ht="15.75" customHeight="1" x14ac:dyDescent="0.25">
      <c r="A160" s="125"/>
      <c r="B160" s="135"/>
      <c r="C160" s="135"/>
      <c r="D160" s="133" t="s">
        <v>102</v>
      </c>
      <c r="E160" s="135"/>
      <c r="F160" s="135"/>
      <c r="G160" s="138">
        <f>+'Folha de salarios'!Z146</f>
        <v>0</v>
      </c>
      <c r="H160" s="138"/>
      <c r="I160" s="138"/>
      <c r="J160" s="135"/>
      <c r="K160" s="135"/>
      <c r="L160" s="133" t="s">
        <v>102</v>
      </c>
      <c r="N160" s="135"/>
      <c r="O160" s="138">
        <f>+G160</f>
        <v>0</v>
      </c>
    </row>
    <row r="161" spans="1:15" ht="15.75" customHeight="1" x14ac:dyDescent="0.25">
      <c r="A161" s="125"/>
      <c r="B161" s="135"/>
      <c r="C161" s="135"/>
      <c r="D161" s="133" t="s">
        <v>86</v>
      </c>
      <c r="E161" s="135"/>
      <c r="F161" s="135"/>
      <c r="G161" s="138">
        <f>+G157*0.03</f>
        <v>343.34999999999997</v>
      </c>
      <c r="H161" s="138"/>
      <c r="I161" s="138"/>
      <c r="J161" s="135"/>
      <c r="K161" s="135"/>
      <c r="L161" s="133" t="s">
        <v>86</v>
      </c>
      <c r="N161" s="135"/>
      <c r="O161" s="138">
        <f>+G161</f>
        <v>343.34999999999997</v>
      </c>
    </row>
    <row r="162" spans="1:15" ht="15.75" customHeight="1" x14ac:dyDescent="0.25">
      <c r="A162" s="125"/>
      <c r="B162" s="135"/>
      <c r="C162" s="135"/>
      <c r="D162" s="133" t="s">
        <v>103</v>
      </c>
      <c r="E162" s="135"/>
      <c r="F162" s="135"/>
      <c r="G162" s="138">
        <f>+G157*0.01</f>
        <v>114.45</v>
      </c>
      <c r="H162" s="138"/>
      <c r="I162" s="138"/>
      <c r="J162" s="135"/>
      <c r="K162" s="135"/>
      <c r="L162" s="133" t="s">
        <v>103</v>
      </c>
      <c r="N162" s="135"/>
      <c r="O162" s="138">
        <f>+G162</f>
        <v>114.45</v>
      </c>
    </row>
    <row r="163" spans="1:15" ht="15.75" customHeight="1" x14ac:dyDescent="0.25">
      <c r="A163" s="125"/>
      <c r="B163" s="135"/>
      <c r="C163" s="135"/>
      <c r="D163" s="133" t="s">
        <v>104</v>
      </c>
      <c r="E163" s="135"/>
      <c r="F163" s="135"/>
      <c r="G163" s="138"/>
      <c r="H163" s="138"/>
      <c r="I163" s="138"/>
      <c r="J163" s="135"/>
      <c r="K163" s="135"/>
      <c r="L163" s="133" t="s">
        <v>104</v>
      </c>
      <c r="N163" s="135"/>
      <c r="O163" s="138">
        <f>G163</f>
        <v>0</v>
      </c>
    </row>
    <row r="164" spans="1:15" ht="15.75" customHeight="1" x14ac:dyDescent="0.25">
      <c r="A164" s="125"/>
      <c r="B164" s="135"/>
      <c r="C164" s="135"/>
      <c r="D164" s="133" t="s">
        <v>105</v>
      </c>
      <c r="E164" s="135"/>
      <c r="F164" s="135"/>
      <c r="G164" s="138"/>
      <c r="H164" s="138"/>
      <c r="I164" s="138"/>
      <c r="J164" s="135"/>
      <c r="K164" s="135"/>
      <c r="L164" s="133" t="s">
        <v>105</v>
      </c>
      <c r="N164" s="135"/>
      <c r="O164" s="138">
        <f>G164</f>
        <v>0</v>
      </c>
    </row>
    <row r="165" spans="1:15" ht="15.75" customHeight="1" x14ac:dyDescent="0.25">
      <c r="A165" s="125"/>
      <c r="B165" s="135"/>
      <c r="C165" s="135"/>
      <c r="D165" s="133" t="s">
        <v>106</v>
      </c>
      <c r="E165" s="135"/>
      <c r="F165" s="135"/>
      <c r="G165" s="138"/>
      <c r="H165" s="138"/>
      <c r="I165" s="138"/>
      <c r="J165" s="135"/>
      <c r="K165" s="135"/>
      <c r="L165" s="133" t="s">
        <v>106</v>
      </c>
      <c r="N165" s="135"/>
      <c r="O165" s="138">
        <f>G165</f>
        <v>0</v>
      </c>
    </row>
    <row r="166" spans="1:15" ht="15.75" customHeight="1" x14ac:dyDescent="0.25">
      <c r="A166" s="125"/>
      <c r="B166" s="135"/>
      <c r="C166" s="135"/>
      <c r="D166" s="133" t="s">
        <v>112</v>
      </c>
      <c r="E166" s="135"/>
      <c r="F166" s="135"/>
      <c r="G166" s="138">
        <f>+'Folha de salarios'!Y15</f>
        <v>0</v>
      </c>
      <c r="H166" s="138"/>
      <c r="I166" s="138"/>
      <c r="J166" s="135"/>
      <c r="K166" s="135"/>
      <c r="L166" s="133" t="str">
        <f>+D166</f>
        <v>Pagament Antecipado</v>
      </c>
      <c r="N166" s="135"/>
      <c r="O166" s="138">
        <f>G166</f>
        <v>0</v>
      </c>
    </row>
    <row r="167" spans="1:15" ht="15.75" customHeight="1" x14ac:dyDescent="0.25">
      <c r="A167" s="125"/>
      <c r="B167" s="135"/>
      <c r="C167" s="135"/>
      <c r="D167" s="135"/>
      <c r="E167" s="133" t="s">
        <v>100</v>
      </c>
      <c r="F167" s="135"/>
      <c r="G167" s="138">
        <f>SUM(G160:G166)</f>
        <v>457.79999999999995</v>
      </c>
      <c r="H167" s="138"/>
      <c r="I167" s="138"/>
      <c r="J167" s="135"/>
      <c r="K167" s="135"/>
      <c r="L167" s="133" t="s">
        <v>100</v>
      </c>
      <c r="N167" s="135"/>
      <c r="O167" s="138">
        <f>G167</f>
        <v>457.79999999999995</v>
      </c>
    </row>
    <row r="168" spans="1:15" ht="15.75" customHeight="1" x14ac:dyDescent="0.25">
      <c r="A168" s="125"/>
      <c r="B168" s="135"/>
      <c r="C168" s="135"/>
      <c r="D168" s="135"/>
      <c r="E168" s="135"/>
      <c r="F168" s="135"/>
      <c r="G168" s="138"/>
      <c r="H168" s="138"/>
      <c r="I168" s="138"/>
      <c r="J168" s="135"/>
      <c r="K168" s="135"/>
      <c r="L168" s="135"/>
      <c r="M168" s="135"/>
      <c r="N168" s="135"/>
      <c r="O168" s="138"/>
    </row>
    <row r="169" spans="1:15" ht="15.75" customHeight="1" x14ac:dyDescent="0.25">
      <c r="A169" s="125"/>
      <c r="B169" s="135"/>
      <c r="C169" s="133" t="s">
        <v>109</v>
      </c>
      <c r="D169" s="135"/>
      <c r="E169" s="135"/>
      <c r="F169" s="135"/>
      <c r="G169" s="139">
        <f>G157-G167</f>
        <v>10987.2</v>
      </c>
      <c r="H169" s="138"/>
      <c r="I169" s="138"/>
      <c r="J169" s="135"/>
      <c r="K169" s="135"/>
      <c r="L169" s="133" t="s">
        <v>109</v>
      </c>
      <c r="M169" s="135"/>
      <c r="N169" s="135"/>
      <c r="O169" s="139">
        <f>O157-O167</f>
        <v>10987.2</v>
      </c>
    </row>
    <row r="170" spans="1:15" ht="15.75" customHeight="1" x14ac:dyDescent="0.25">
      <c r="A170" s="125"/>
      <c r="B170" s="135"/>
      <c r="C170" s="133"/>
      <c r="D170" s="135"/>
      <c r="E170" s="135"/>
      <c r="F170" s="135"/>
      <c r="G170" s="138"/>
      <c r="H170" s="138"/>
      <c r="I170" s="138"/>
      <c r="J170" s="135"/>
      <c r="K170" s="135"/>
      <c r="L170" s="133"/>
      <c r="M170" s="135"/>
      <c r="N170" s="135"/>
      <c r="O170" s="138"/>
    </row>
    <row r="171" spans="1:15" ht="15.75" customHeight="1" x14ac:dyDescent="0.25">
      <c r="A171" s="125"/>
      <c r="B171" s="135"/>
      <c r="C171" s="135"/>
      <c r="D171" s="135"/>
      <c r="E171" s="135"/>
      <c r="F171" s="135"/>
      <c r="G171" s="138"/>
      <c r="H171" s="138"/>
      <c r="I171" s="138"/>
      <c r="J171" s="135"/>
      <c r="K171" s="135"/>
      <c r="L171" s="135"/>
      <c r="M171" s="135"/>
      <c r="N171" s="135"/>
      <c r="O171" s="138"/>
    </row>
    <row r="172" spans="1:15" ht="15.75" customHeight="1" x14ac:dyDescent="0.25">
      <c r="A172" s="125"/>
      <c r="B172" s="135"/>
      <c r="C172" s="135"/>
      <c r="D172" s="135"/>
      <c r="E172" s="133" t="s">
        <v>110</v>
      </c>
      <c r="F172" s="135"/>
      <c r="G172" s="138"/>
      <c r="H172" s="138"/>
      <c r="I172" s="138"/>
      <c r="J172" s="135"/>
      <c r="K172" s="135"/>
      <c r="L172" s="135"/>
      <c r="M172" s="133" t="s">
        <v>110</v>
      </c>
      <c r="N172" s="135"/>
      <c r="O172" s="138"/>
    </row>
    <row r="173" spans="1:15" ht="38.1" customHeight="1" x14ac:dyDescent="0.2">
      <c r="A173" s="125"/>
      <c r="B173" s="247" t="s">
        <v>91</v>
      </c>
      <c r="C173" s="247"/>
      <c r="D173" s="247"/>
      <c r="E173" s="247"/>
      <c r="F173" s="247"/>
      <c r="G173" s="247"/>
      <c r="H173" s="127"/>
      <c r="I173" s="127"/>
      <c r="J173" s="247" t="s">
        <v>91</v>
      </c>
      <c r="K173" s="247"/>
      <c r="L173" s="247"/>
      <c r="M173" s="247"/>
      <c r="N173" s="247"/>
      <c r="O173" s="247"/>
    </row>
    <row r="174" spans="1:15" ht="15" customHeight="1" x14ac:dyDescent="0.2">
      <c r="A174" s="125"/>
      <c r="B174" s="126"/>
      <c r="C174" s="128"/>
      <c r="D174" s="128"/>
      <c r="E174" s="128"/>
      <c r="F174" s="128"/>
      <c r="G174" s="128"/>
      <c r="H174" s="127"/>
      <c r="I174" s="127"/>
      <c r="J174" s="126"/>
      <c r="K174" s="128"/>
      <c r="L174" s="128"/>
      <c r="M174" s="128"/>
      <c r="N174" s="128"/>
      <c r="O174" s="128"/>
    </row>
    <row r="175" spans="1:15" ht="18.600000000000001" customHeight="1" x14ac:dyDescent="0.3">
      <c r="A175" s="125"/>
      <c r="B175" s="248" t="s">
        <v>92</v>
      </c>
      <c r="C175" s="248"/>
      <c r="D175" s="248"/>
      <c r="E175" s="248"/>
      <c r="F175" s="248"/>
      <c r="G175" s="248"/>
      <c r="H175" s="129"/>
      <c r="I175" s="130"/>
      <c r="J175" s="248" t="s">
        <v>92</v>
      </c>
      <c r="K175" s="248"/>
      <c r="L175" s="248"/>
      <c r="M175" s="248"/>
      <c r="N175" s="248"/>
      <c r="O175" s="248"/>
    </row>
    <row r="176" spans="1:15" ht="15" customHeight="1" x14ac:dyDescent="0.2">
      <c r="A176" s="125"/>
      <c r="B176" s="131">
        <f>+B148+1</f>
        <v>7</v>
      </c>
      <c r="C176" s="132"/>
      <c r="D176" s="132"/>
      <c r="E176" s="132"/>
      <c r="F176" s="132"/>
      <c r="G176" s="132"/>
      <c r="H176" s="132"/>
      <c r="I176" s="132"/>
      <c r="J176" s="131">
        <f>+B176</f>
        <v>7</v>
      </c>
      <c r="K176" s="130"/>
      <c r="L176" s="132"/>
      <c r="M176" s="132"/>
      <c r="N176" s="132"/>
      <c r="O176" s="132"/>
    </row>
    <row r="177" spans="1:15" ht="18.600000000000001" customHeight="1" x14ac:dyDescent="0.25">
      <c r="A177" s="125"/>
      <c r="B177" s="133" t="s">
        <v>93</v>
      </c>
      <c r="C177" s="134" t="str">
        <f>+C5</f>
        <v>JANEIRIO</v>
      </c>
      <c r="D177" s="135"/>
      <c r="E177" s="135">
        <f>+E149</f>
        <v>2025</v>
      </c>
      <c r="F177" s="133"/>
      <c r="G177" s="136"/>
      <c r="H177" s="136"/>
      <c r="I177" s="136"/>
      <c r="J177" s="133" t="s">
        <v>93</v>
      </c>
      <c r="K177" s="134" t="str">
        <f>+C177</f>
        <v>JANEIRIO</v>
      </c>
      <c r="L177" s="135"/>
      <c r="M177" s="135">
        <f>+E177</f>
        <v>2025</v>
      </c>
      <c r="O177" s="136"/>
    </row>
    <row r="178" spans="1:15" ht="18.600000000000001" customHeight="1" x14ac:dyDescent="0.25">
      <c r="A178" s="125"/>
      <c r="B178" s="133" t="s">
        <v>94</v>
      </c>
      <c r="C178" s="136" t="str">
        <f>+'Folha de salarios'!C16</f>
        <v>ALMEIDA ANTONIO VILANCULO</v>
      </c>
      <c r="D178" s="136"/>
      <c r="E178" s="136"/>
      <c r="F178" s="136"/>
      <c r="G178" s="135"/>
      <c r="H178" s="135"/>
      <c r="I178" s="135"/>
      <c r="J178" s="133" t="s">
        <v>94</v>
      </c>
      <c r="K178" s="136" t="str">
        <f>+C178</f>
        <v>ALMEIDA ANTONIO VILANCULO</v>
      </c>
      <c r="L178" s="135"/>
      <c r="M178" s="135"/>
      <c r="O178" s="135"/>
    </row>
    <row r="179" spans="1:15" ht="15.75" customHeight="1" x14ac:dyDescent="0.25">
      <c r="A179" s="125"/>
      <c r="B179" s="133" t="s">
        <v>95</v>
      </c>
      <c r="C179" s="135" t="str">
        <f>+'Folha de salarios'!G16</f>
        <v>JARDINERO</v>
      </c>
      <c r="D179" s="135"/>
      <c r="E179" s="135"/>
      <c r="F179" s="135"/>
      <c r="G179" s="135"/>
      <c r="H179" s="135"/>
      <c r="I179" s="135"/>
      <c r="J179" s="133" t="s">
        <v>95</v>
      </c>
      <c r="K179" s="135" t="str">
        <f>+C179</f>
        <v>JARDINERO</v>
      </c>
      <c r="L179" s="135"/>
      <c r="M179" s="135"/>
      <c r="N179" s="135"/>
      <c r="O179" s="135"/>
    </row>
    <row r="180" spans="1:15" ht="15.75" customHeight="1" x14ac:dyDescent="0.25">
      <c r="A180" s="125"/>
      <c r="B180" s="133"/>
      <c r="C180" s="135"/>
      <c r="D180" s="135"/>
      <c r="E180" s="135"/>
      <c r="F180" s="135"/>
      <c r="G180" s="135"/>
      <c r="H180" s="135"/>
      <c r="I180" s="135"/>
      <c r="J180" s="133"/>
      <c r="K180" s="135"/>
      <c r="L180" s="135"/>
      <c r="M180" s="135"/>
      <c r="N180" s="135"/>
      <c r="O180" s="135"/>
    </row>
    <row r="181" spans="1:15" ht="15.75" customHeight="1" x14ac:dyDescent="0.25">
      <c r="A181" s="125"/>
      <c r="B181" s="133" t="s">
        <v>96</v>
      </c>
      <c r="C181" s="135"/>
      <c r="D181" s="135"/>
      <c r="E181" s="135"/>
      <c r="F181" s="135"/>
      <c r="G181" s="137">
        <f>+'Folha de salarios'!M16</f>
        <v>10900</v>
      </c>
      <c r="H181" s="137"/>
      <c r="I181" s="137"/>
      <c r="J181" s="133" t="s">
        <v>96</v>
      </c>
      <c r="K181" s="133"/>
      <c r="L181" s="135"/>
      <c r="M181" s="135"/>
      <c r="N181" s="135"/>
      <c r="O181" s="137">
        <f>+G181</f>
        <v>10900</v>
      </c>
    </row>
    <row r="182" spans="1:15" ht="15.75" customHeight="1" x14ac:dyDescent="0.25">
      <c r="A182" s="125"/>
      <c r="B182" s="133" t="s">
        <v>97</v>
      </c>
      <c r="C182" s="135"/>
      <c r="D182" s="135"/>
      <c r="E182" s="135"/>
      <c r="F182" s="135"/>
      <c r="G182" s="138">
        <f>0</f>
        <v>0</v>
      </c>
      <c r="H182" s="138"/>
      <c r="I182" s="138"/>
      <c r="J182" s="133" t="s">
        <v>97</v>
      </c>
      <c r="K182" s="133"/>
      <c r="L182" s="135"/>
      <c r="M182" s="135"/>
      <c r="N182" s="135"/>
      <c r="O182" s="138">
        <f>G182</f>
        <v>0</v>
      </c>
    </row>
    <row r="183" spans="1:15" ht="15.75" customHeight="1" x14ac:dyDescent="0.25">
      <c r="A183" s="125"/>
      <c r="B183" s="133" t="s">
        <v>98</v>
      </c>
      <c r="C183" s="135"/>
      <c r="D183" s="135"/>
      <c r="E183" s="135"/>
      <c r="F183" s="135"/>
      <c r="G183" s="138">
        <v>0</v>
      </c>
      <c r="H183" s="138"/>
      <c r="I183" s="138"/>
      <c r="J183" s="133" t="s">
        <v>98</v>
      </c>
      <c r="K183" s="133"/>
      <c r="L183" s="135"/>
      <c r="M183" s="135"/>
      <c r="N183" s="135"/>
      <c r="O183" s="138">
        <f>G183</f>
        <v>0</v>
      </c>
    </row>
    <row r="184" spans="1:15" ht="15.75" customHeight="1" x14ac:dyDescent="0.25">
      <c r="A184" s="125"/>
      <c r="B184" s="133" t="s">
        <v>99</v>
      </c>
      <c r="C184" s="135"/>
      <c r="D184" s="135"/>
      <c r="E184" s="135"/>
      <c r="F184" s="135"/>
      <c r="G184" s="138">
        <f>+'Folha de salarios'!O16</f>
        <v>0</v>
      </c>
      <c r="H184" s="138"/>
      <c r="I184" s="138"/>
      <c r="J184" s="133" t="s">
        <v>99</v>
      </c>
      <c r="K184" s="133"/>
      <c r="L184" s="135"/>
      <c r="M184" s="135"/>
      <c r="N184" s="135"/>
      <c r="O184" s="138">
        <f>+G184</f>
        <v>0</v>
      </c>
    </row>
    <row r="185" spans="1:15" ht="15.75" customHeight="1" x14ac:dyDescent="0.25">
      <c r="A185" s="125"/>
      <c r="B185" s="135"/>
      <c r="C185" s="135"/>
      <c r="D185" s="135"/>
      <c r="E185" s="133" t="s">
        <v>100</v>
      </c>
      <c r="F185" s="135"/>
      <c r="G185" s="138">
        <f>SUM(G181:G184)</f>
        <v>10900</v>
      </c>
      <c r="H185" s="138"/>
      <c r="I185" s="138"/>
      <c r="J185" s="135"/>
      <c r="K185" s="135"/>
      <c r="L185" s="135"/>
      <c r="M185" s="133" t="s">
        <v>100</v>
      </c>
      <c r="N185" s="135"/>
      <c r="O185" s="138">
        <f>SUM(O181:O184)</f>
        <v>10900</v>
      </c>
    </row>
    <row r="186" spans="1:15" ht="15.75" customHeight="1" x14ac:dyDescent="0.25">
      <c r="A186" s="125"/>
      <c r="B186" s="135"/>
      <c r="C186" s="135"/>
      <c r="D186" s="135"/>
      <c r="E186" s="135"/>
      <c r="F186" s="135"/>
      <c r="G186" s="138"/>
      <c r="H186" s="138"/>
      <c r="I186" s="138"/>
      <c r="J186" s="135"/>
      <c r="K186" s="135"/>
      <c r="L186" s="135"/>
      <c r="M186" s="135"/>
      <c r="N186" s="135"/>
      <c r="O186" s="138"/>
    </row>
    <row r="187" spans="1:15" ht="15.75" customHeight="1" x14ac:dyDescent="0.25">
      <c r="A187" s="125"/>
      <c r="B187" s="135"/>
      <c r="C187" s="133" t="s">
        <v>101</v>
      </c>
      <c r="D187" s="135"/>
      <c r="E187" s="135"/>
      <c r="F187" s="135"/>
      <c r="G187" s="138"/>
      <c r="H187" s="138"/>
      <c r="I187" s="138"/>
      <c r="J187" s="135"/>
      <c r="K187" s="133" t="s">
        <v>101</v>
      </c>
      <c r="L187" s="135"/>
      <c r="M187" s="135"/>
      <c r="O187" s="138"/>
    </row>
    <row r="188" spans="1:15" ht="15.75" customHeight="1" x14ac:dyDescent="0.25">
      <c r="A188" s="125"/>
      <c r="B188" s="135"/>
      <c r="C188" s="135"/>
      <c r="D188" s="133" t="s">
        <v>102</v>
      </c>
      <c r="E188" s="135"/>
      <c r="F188" s="135"/>
      <c r="G188" s="138">
        <f>+'Folha de salarios'!Z175</f>
        <v>0</v>
      </c>
      <c r="H188" s="138"/>
      <c r="I188" s="138"/>
      <c r="J188" s="135"/>
      <c r="K188" s="135"/>
      <c r="L188" s="133" t="s">
        <v>102</v>
      </c>
      <c r="M188" s="135"/>
      <c r="O188" s="138">
        <f>+G188</f>
        <v>0</v>
      </c>
    </row>
    <row r="189" spans="1:15" ht="15.75" customHeight="1" x14ac:dyDescent="0.25">
      <c r="A189" s="125"/>
      <c r="B189" s="135"/>
      <c r="C189" s="135"/>
      <c r="D189" s="133" t="s">
        <v>86</v>
      </c>
      <c r="E189" s="135"/>
      <c r="F189" s="135"/>
      <c r="G189" s="138">
        <f>+G185*0.03</f>
        <v>327</v>
      </c>
      <c r="H189" s="138"/>
      <c r="I189" s="138"/>
      <c r="J189" s="135"/>
      <c r="K189" s="135"/>
      <c r="L189" s="133" t="s">
        <v>86</v>
      </c>
      <c r="M189" s="135"/>
      <c r="O189" s="138">
        <f>+G189</f>
        <v>327</v>
      </c>
    </row>
    <row r="190" spans="1:15" ht="15.75" customHeight="1" x14ac:dyDescent="0.25">
      <c r="A190" s="125"/>
      <c r="B190" s="135"/>
      <c r="C190" s="135"/>
      <c r="D190" s="133" t="s">
        <v>103</v>
      </c>
      <c r="E190" s="135"/>
      <c r="F190" s="135"/>
      <c r="G190" s="138">
        <f>+G185*0.01</f>
        <v>109</v>
      </c>
      <c r="H190" s="138"/>
      <c r="I190" s="138"/>
      <c r="J190" s="135"/>
      <c r="K190" s="135"/>
      <c r="L190" s="133" t="s">
        <v>103</v>
      </c>
      <c r="M190" s="135"/>
      <c r="O190" s="138">
        <f>+G190</f>
        <v>109</v>
      </c>
    </row>
    <row r="191" spans="1:15" ht="15.75" customHeight="1" x14ac:dyDescent="0.25">
      <c r="A191" s="125"/>
      <c r="B191" s="135"/>
      <c r="C191" s="135"/>
      <c r="D191" s="133" t="s">
        <v>104</v>
      </c>
      <c r="E191" s="135"/>
      <c r="F191" s="135"/>
      <c r="G191" s="138"/>
      <c r="H191" s="138"/>
      <c r="I191" s="138"/>
      <c r="J191" s="135"/>
      <c r="K191" s="135"/>
      <c r="L191" s="133" t="s">
        <v>104</v>
      </c>
      <c r="M191" s="135"/>
      <c r="O191" s="138">
        <f>G191</f>
        <v>0</v>
      </c>
    </row>
    <row r="192" spans="1:15" ht="15.75" customHeight="1" x14ac:dyDescent="0.25">
      <c r="A192" s="125"/>
      <c r="B192" s="135"/>
      <c r="C192" s="135"/>
      <c r="D192" s="133" t="s">
        <v>105</v>
      </c>
      <c r="E192" s="135"/>
      <c r="F192" s="135"/>
      <c r="G192" s="138"/>
      <c r="H192" s="138"/>
      <c r="I192" s="138"/>
      <c r="J192" s="135"/>
      <c r="K192" s="135"/>
      <c r="L192" s="133" t="s">
        <v>105</v>
      </c>
      <c r="M192" s="135"/>
      <c r="O192" s="138">
        <f>G192</f>
        <v>0</v>
      </c>
    </row>
    <row r="193" spans="1:15" ht="15.75" customHeight="1" x14ac:dyDescent="0.25">
      <c r="A193" s="125"/>
      <c r="B193" s="135"/>
      <c r="C193" s="135"/>
      <c r="D193" s="133" t="s">
        <v>106</v>
      </c>
      <c r="E193" s="135"/>
      <c r="F193" s="135"/>
      <c r="G193" s="138"/>
      <c r="H193" s="138"/>
      <c r="I193" s="138"/>
      <c r="J193" s="135"/>
      <c r="K193" s="135"/>
      <c r="L193" s="133" t="s">
        <v>106</v>
      </c>
      <c r="M193" s="135"/>
      <c r="O193" s="138">
        <f>G193</f>
        <v>0</v>
      </c>
    </row>
    <row r="194" spans="1:15" ht="15.75" customHeight="1" x14ac:dyDescent="0.25">
      <c r="A194" s="125"/>
      <c r="B194" s="135"/>
      <c r="C194" s="135"/>
      <c r="D194" s="133" t="s">
        <v>112</v>
      </c>
      <c r="E194" s="135"/>
      <c r="F194" s="135"/>
      <c r="G194" s="138">
        <f>+'Folha de salarios'!Y16</f>
        <v>0</v>
      </c>
      <c r="H194" s="138"/>
      <c r="I194" s="138"/>
      <c r="J194" s="135"/>
      <c r="K194" s="135"/>
      <c r="L194" s="133" t="str">
        <f>+D194</f>
        <v>Pagament Antecipado</v>
      </c>
      <c r="N194" s="135"/>
      <c r="O194" s="138">
        <f>G194</f>
        <v>0</v>
      </c>
    </row>
    <row r="195" spans="1:15" ht="15.75" customHeight="1" x14ac:dyDescent="0.25">
      <c r="A195" s="125"/>
      <c r="B195" s="135"/>
      <c r="C195" s="135"/>
      <c r="D195" s="133" t="s">
        <v>108</v>
      </c>
      <c r="E195" s="135"/>
      <c r="F195" s="135"/>
      <c r="G195" s="138"/>
      <c r="H195" s="138"/>
      <c r="I195" s="138"/>
      <c r="J195" s="135"/>
      <c r="K195" s="135"/>
      <c r="L195" s="133" t="str">
        <f>+D195</f>
        <v>Arredondamento</v>
      </c>
      <c r="N195" s="135"/>
      <c r="O195" s="138"/>
    </row>
    <row r="196" spans="1:15" ht="15.75" customHeight="1" x14ac:dyDescent="0.25">
      <c r="A196" s="125"/>
      <c r="B196" s="135"/>
      <c r="C196" s="135"/>
      <c r="D196" s="135"/>
      <c r="E196" s="133" t="s">
        <v>100</v>
      </c>
      <c r="F196" s="135"/>
      <c r="G196" s="138">
        <f>SUM(G188:G195)</f>
        <v>436</v>
      </c>
      <c r="H196" s="138"/>
      <c r="I196" s="138"/>
      <c r="J196" s="135"/>
      <c r="K196" s="135"/>
      <c r="L196" s="135"/>
      <c r="M196" s="133" t="s">
        <v>100</v>
      </c>
      <c r="N196" s="135"/>
      <c r="O196" s="138">
        <f>G196</f>
        <v>436</v>
      </c>
    </row>
    <row r="197" spans="1:15" ht="15.75" customHeight="1" x14ac:dyDescent="0.25">
      <c r="A197" s="125"/>
      <c r="B197" s="135"/>
      <c r="C197" s="135"/>
      <c r="D197" s="135"/>
      <c r="E197" s="135"/>
      <c r="F197" s="135"/>
      <c r="G197" s="138"/>
      <c r="H197" s="138"/>
      <c r="I197" s="138"/>
      <c r="J197" s="135"/>
      <c r="K197" s="135"/>
      <c r="L197" s="135"/>
      <c r="M197" s="135"/>
      <c r="N197" s="135"/>
      <c r="O197" s="138"/>
    </row>
    <row r="198" spans="1:15" ht="15.75" customHeight="1" x14ac:dyDescent="0.25">
      <c r="A198" s="125"/>
      <c r="B198" s="135"/>
      <c r="C198" s="133" t="s">
        <v>109</v>
      </c>
      <c r="D198" s="135"/>
      <c r="E198" s="135"/>
      <c r="F198" s="135"/>
      <c r="G198" s="139">
        <f>G185-G196</f>
        <v>10464</v>
      </c>
      <c r="H198" s="138"/>
      <c r="I198" s="138"/>
      <c r="J198" s="135"/>
      <c r="K198" s="135"/>
      <c r="L198" s="133" t="s">
        <v>109</v>
      </c>
      <c r="M198" s="135"/>
      <c r="N198" s="135"/>
      <c r="O198" s="139">
        <f>O185-O196</f>
        <v>10464</v>
      </c>
    </row>
    <row r="199" spans="1:15" ht="15.75" customHeight="1" x14ac:dyDescent="0.25">
      <c r="A199" s="125"/>
      <c r="B199" s="135"/>
      <c r="C199" s="133"/>
      <c r="D199" s="135"/>
      <c r="E199" s="135"/>
      <c r="F199" s="135"/>
      <c r="G199" s="138"/>
      <c r="H199" s="138"/>
      <c r="I199" s="138"/>
      <c r="J199" s="135"/>
      <c r="K199" s="135"/>
      <c r="L199" s="133"/>
      <c r="M199" s="135"/>
      <c r="N199" s="135"/>
      <c r="O199" s="138"/>
    </row>
    <row r="200" spans="1:15" ht="15.75" customHeight="1" x14ac:dyDescent="0.25">
      <c r="A200" s="125"/>
      <c r="B200" s="135"/>
      <c r="C200" s="135"/>
      <c r="D200" s="135"/>
      <c r="E200" s="135"/>
      <c r="F200" s="135"/>
      <c r="G200" s="138"/>
      <c r="H200" s="138"/>
      <c r="I200" s="138"/>
      <c r="J200" s="135"/>
      <c r="K200" s="135"/>
      <c r="L200" s="135"/>
      <c r="M200" s="135"/>
      <c r="N200" s="135"/>
      <c r="O200" s="138"/>
    </row>
    <row r="201" spans="1:15" ht="15.75" customHeight="1" x14ac:dyDescent="0.25">
      <c r="A201" s="125"/>
      <c r="B201" s="135"/>
      <c r="C201" s="135"/>
      <c r="D201" s="135"/>
      <c r="E201" s="133" t="s">
        <v>110</v>
      </c>
      <c r="F201" s="135"/>
      <c r="G201" s="138"/>
      <c r="H201" s="138"/>
      <c r="I201" s="138"/>
      <c r="J201" s="135"/>
      <c r="K201" s="135"/>
      <c r="L201" s="135"/>
      <c r="M201" s="133" t="s">
        <v>110</v>
      </c>
      <c r="N201" s="135"/>
      <c r="O201" s="138"/>
    </row>
    <row r="202" spans="1:15" ht="38.1" customHeight="1" x14ac:dyDescent="0.2">
      <c r="A202" s="125"/>
      <c r="B202" s="247" t="s">
        <v>91</v>
      </c>
      <c r="C202" s="247"/>
      <c r="D202" s="247"/>
      <c r="E202" s="247"/>
      <c r="F202" s="247"/>
      <c r="G202" s="247"/>
      <c r="H202" s="127"/>
      <c r="I202" s="127"/>
      <c r="J202" s="247" t="s">
        <v>91</v>
      </c>
      <c r="K202" s="247"/>
      <c r="L202" s="247"/>
      <c r="M202" s="247"/>
      <c r="N202" s="247"/>
      <c r="O202" s="247"/>
    </row>
    <row r="203" spans="1:15" ht="15" customHeight="1" x14ac:dyDescent="0.2">
      <c r="A203" s="125"/>
      <c r="B203" s="126"/>
      <c r="C203" s="128"/>
      <c r="D203" s="128"/>
      <c r="E203" s="128"/>
      <c r="F203" s="128"/>
      <c r="G203" s="128"/>
      <c r="H203" s="127"/>
      <c r="I203" s="127"/>
      <c r="J203" s="126"/>
      <c r="K203" s="128"/>
      <c r="L203" s="128"/>
      <c r="M203" s="128"/>
      <c r="N203" s="128"/>
      <c r="O203" s="128"/>
    </row>
    <row r="204" spans="1:15" ht="18.600000000000001" customHeight="1" x14ac:dyDescent="0.3">
      <c r="A204" s="125"/>
      <c r="B204" s="248" t="s">
        <v>92</v>
      </c>
      <c r="C204" s="248"/>
      <c r="D204" s="248"/>
      <c r="E204" s="248"/>
      <c r="F204" s="248"/>
      <c r="G204" s="248"/>
      <c r="H204" s="129"/>
      <c r="I204" s="130"/>
      <c r="J204" s="248" t="s">
        <v>92</v>
      </c>
      <c r="K204" s="248"/>
      <c r="L204" s="248"/>
      <c r="M204" s="248"/>
      <c r="N204" s="248"/>
      <c r="O204" s="248"/>
    </row>
    <row r="205" spans="1:15" ht="15" customHeight="1" x14ac:dyDescent="0.2">
      <c r="A205" s="125"/>
      <c r="B205" s="131">
        <f>+'Folha de salarios'!A17</f>
        <v>8</v>
      </c>
      <c r="C205" s="140"/>
      <c r="D205" s="140"/>
      <c r="E205" s="140"/>
      <c r="F205" s="140"/>
      <c r="G205" s="140"/>
      <c r="H205" s="140"/>
      <c r="I205" s="140"/>
      <c r="J205" s="131">
        <f>+B205</f>
        <v>8</v>
      </c>
      <c r="K205" s="131"/>
      <c r="L205" s="132"/>
      <c r="M205" s="132"/>
      <c r="N205" s="132"/>
      <c r="O205" s="132"/>
    </row>
    <row r="206" spans="1:15" ht="18.600000000000001" customHeight="1" x14ac:dyDescent="0.25">
      <c r="A206" s="125"/>
      <c r="B206" s="133" t="s">
        <v>93</v>
      </c>
      <c r="C206" s="134" t="str">
        <f>+C5</f>
        <v>JANEIRIO</v>
      </c>
      <c r="D206" s="135"/>
      <c r="E206" s="135">
        <f>+E495</f>
        <v>2025</v>
      </c>
      <c r="F206" s="133"/>
      <c r="G206" s="136"/>
      <c r="H206" s="136"/>
      <c r="I206" s="136"/>
      <c r="J206" s="133" t="s">
        <v>93</v>
      </c>
      <c r="K206" s="134" t="str">
        <f>+C206</f>
        <v>JANEIRIO</v>
      </c>
      <c r="L206" s="135"/>
      <c r="M206" s="135">
        <f>+E206</f>
        <v>2025</v>
      </c>
      <c r="O206" s="136"/>
    </row>
    <row r="207" spans="1:15" ht="18.600000000000001" customHeight="1" x14ac:dyDescent="0.25">
      <c r="A207" s="125"/>
      <c r="B207" s="133" t="s">
        <v>94</v>
      </c>
      <c r="C207" s="136" t="str">
        <f>+'Folha de salarios'!C17</f>
        <v>FELIX CARLOS MASSUANGANHE</v>
      </c>
      <c r="D207" s="136"/>
      <c r="E207" s="136"/>
      <c r="F207" s="136"/>
      <c r="G207" s="135"/>
      <c r="H207" s="135"/>
      <c r="I207" s="135"/>
      <c r="J207" s="133" t="s">
        <v>94</v>
      </c>
      <c r="K207" s="136" t="str">
        <f>C207</f>
        <v>FELIX CARLOS MASSUANGANHE</v>
      </c>
      <c r="L207" s="135"/>
      <c r="M207" s="135"/>
      <c r="O207" s="135"/>
    </row>
    <row r="208" spans="1:15" ht="15.75" customHeight="1" x14ac:dyDescent="0.25">
      <c r="A208" s="125"/>
      <c r="B208" s="133" t="s">
        <v>95</v>
      </c>
      <c r="C208" s="135" t="str">
        <f>+'Folha de salarios'!G17</f>
        <v>JARDINERO</v>
      </c>
      <c r="D208" s="135"/>
      <c r="E208" s="135"/>
      <c r="F208" s="135"/>
      <c r="G208" s="135"/>
      <c r="H208" s="135"/>
      <c r="I208" s="135"/>
      <c r="J208" s="133" t="s">
        <v>95</v>
      </c>
      <c r="K208" s="135" t="str">
        <f>+C208</f>
        <v>JARDINERO</v>
      </c>
      <c r="L208" s="135"/>
      <c r="M208" s="135"/>
      <c r="N208" s="135"/>
      <c r="O208" s="135"/>
    </row>
    <row r="209" spans="1:15" ht="15.75" customHeight="1" x14ac:dyDescent="0.25">
      <c r="A209" s="125"/>
      <c r="B209" s="133"/>
      <c r="C209" s="135"/>
      <c r="D209" s="135"/>
      <c r="E209" s="135"/>
      <c r="F209" s="135"/>
      <c r="G209" s="135"/>
      <c r="H209" s="135"/>
      <c r="I209" s="135"/>
      <c r="J209" s="133"/>
      <c r="K209" s="135"/>
      <c r="L209" s="135"/>
      <c r="M209" s="135"/>
      <c r="N209" s="135"/>
      <c r="O209" s="135"/>
    </row>
    <row r="210" spans="1:15" ht="15.75" customHeight="1" x14ac:dyDescent="0.25">
      <c r="A210" s="125"/>
      <c r="B210" s="133" t="s">
        <v>96</v>
      </c>
      <c r="C210" s="135"/>
      <c r="D210" s="135"/>
      <c r="E210" s="135"/>
      <c r="F210" s="135"/>
      <c r="G210" s="137">
        <f>+'Folha de salarios'!M17</f>
        <v>10900</v>
      </c>
      <c r="H210" s="137"/>
      <c r="I210" s="137"/>
      <c r="J210" s="133" t="s">
        <v>96</v>
      </c>
      <c r="K210" s="133"/>
      <c r="L210" s="135"/>
      <c r="M210" s="135"/>
      <c r="N210" s="135"/>
      <c r="O210" s="137">
        <f>+G210</f>
        <v>10900</v>
      </c>
    </row>
    <row r="211" spans="1:15" ht="15.75" customHeight="1" x14ac:dyDescent="0.25">
      <c r="A211" s="125"/>
      <c r="B211" s="133" t="s">
        <v>97</v>
      </c>
      <c r="C211" s="135"/>
      <c r="D211" s="135"/>
      <c r="E211" s="135"/>
      <c r="F211" s="135"/>
      <c r="G211" s="138">
        <f>+'Folha de salarios'!S439</f>
        <v>0</v>
      </c>
      <c r="H211" s="138"/>
      <c r="I211" s="138"/>
      <c r="J211" s="133" t="s">
        <v>97</v>
      </c>
      <c r="K211" s="133"/>
      <c r="L211" s="135"/>
      <c r="M211" s="135"/>
      <c r="N211" s="135"/>
      <c r="O211" s="138">
        <f>G211</f>
        <v>0</v>
      </c>
    </row>
    <row r="212" spans="1:15" ht="15.75" customHeight="1" x14ac:dyDescent="0.25">
      <c r="A212" s="125"/>
      <c r="B212" s="133" t="s">
        <v>98</v>
      </c>
      <c r="C212" s="135"/>
      <c r="D212" s="135"/>
      <c r="E212" s="135"/>
      <c r="F212" s="135"/>
      <c r="G212" s="138">
        <v>0</v>
      </c>
      <c r="H212" s="138"/>
      <c r="I212" s="138"/>
      <c r="J212" s="133" t="s">
        <v>98</v>
      </c>
      <c r="K212" s="133"/>
      <c r="L212" s="135"/>
      <c r="M212" s="135"/>
      <c r="N212" s="135"/>
      <c r="O212" s="138">
        <f>G212</f>
        <v>0</v>
      </c>
    </row>
    <row r="213" spans="1:15" ht="15.75" customHeight="1" x14ac:dyDescent="0.25">
      <c r="A213" s="125"/>
      <c r="B213" s="133" t="s">
        <v>99</v>
      </c>
      <c r="C213" s="135"/>
      <c r="D213" s="135"/>
      <c r="E213" s="135"/>
      <c r="F213" s="135"/>
      <c r="G213" s="138">
        <f>+'Folha de salarios'!O439</f>
        <v>0</v>
      </c>
      <c r="H213" s="138"/>
      <c r="I213" s="138"/>
      <c r="J213" s="133" t="s">
        <v>99</v>
      </c>
      <c r="K213" s="133"/>
      <c r="L213" s="135"/>
      <c r="M213" s="135"/>
      <c r="N213" s="135"/>
      <c r="O213" s="138">
        <f>+G213</f>
        <v>0</v>
      </c>
    </row>
    <row r="214" spans="1:15" ht="15.75" customHeight="1" x14ac:dyDescent="0.25">
      <c r="A214" s="125"/>
      <c r="B214" s="135"/>
      <c r="C214" s="135"/>
      <c r="D214" s="135"/>
      <c r="E214" s="133" t="s">
        <v>100</v>
      </c>
      <c r="F214" s="135"/>
      <c r="G214" s="138">
        <f>SUM(G210:G213)</f>
        <v>10900</v>
      </c>
      <c r="H214" s="138"/>
      <c r="I214" s="138"/>
      <c r="J214" s="135"/>
      <c r="K214" s="135"/>
      <c r="L214" s="135"/>
      <c r="M214" s="133" t="s">
        <v>100</v>
      </c>
      <c r="N214" s="135"/>
      <c r="O214" s="138">
        <f>SUM(O210:O213)</f>
        <v>10900</v>
      </c>
    </row>
    <row r="215" spans="1:15" ht="15.75" customHeight="1" x14ac:dyDescent="0.25">
      <c r="A215" s="125"/>
      <c r="B215" s="135"/>
      <c r="C215" s="135"/>
      <c r="D215" s="135"/>
      <c r="E215" s="135"/>
      <c r="F215" s="135"/>
      <c r="G215" s="138"/>
      <c r="H215" s="138"/>
      <c r="I215" s="138"/>
      <c r="J215" s="135"/>
      <c r="K215" s="135"/>
      <c r="L215" s="135"/>
      <c r="M215" s="135"/>
      <c r="N215" s="135"/>
      <c r="O215" s="138"/>
    </row>
    <row r="216" spans="1:15" ht="15.75" customHeight="1" x14ac:dyDescent="0.25">
      <c r="A216" s="125"/>
      <c r="B216" s="135"/>
      <c r="C216" s="133" t="s">
        <v>101</v>
      </c>
      <c r="D216" s="135"/>
      <c r="E216" s="135"/>
      <c r="F216" s="135"/>
      <c r="G216" s="138"/>
      <c r="H216" s="138"/>
      <c r="I216" s="138"/>
      <c r="J216" s="135"/>
      <c r="K216" s="133" t="s">
        <v>101</v>
      </c>
      <c r="L216" s="135"/>
      <c r="N216" s="135"/>
      <c r="O216" s="138"/>
    </row>
    <row r="217" spans="1:15" ht="15.75" customHeight="1" x14ac:dyDescent="0.25">
      <c r="A217" s="125"/>
      <c r="B217" s="135"/>
      <c r="C217" s="135"/>
      <c r="D217" s="133" t="s">
        <v>102</v>
      </c>
      <c r="E217" s="135"/>
      <c r="F217" s="135"/>
      <c r="G217" s="138">
        <f>+'Folha de salarios'!Z523</f>
        <v>0</v>
      </c>
      <c r="H217" s="138"/>
      <c r="I217" s="138"/>
      <c r="J217" s="135"/>
      <c r="K217" s="135"/>
      <c r="L217" s="133" t="s">
        <v>102</v>
      </c>
      <c r="N217" s="135"/>
      <c r="O217" s="138">
        <f>+G217</f>
        <v>0</v>
      </c>
    </row>
    <row r="218" spans="1:15" ht="15.75" customHeight="1" x14ac:dyDescent="0.25">
      <c r="A218" s="125"/>
      <c r="B218" s="135"/>
      <c r="C218" s="135"/>
      <c r="D218" s="133" t="s">
        <v>86</v>
      </c>
      <c r="E218" s="135"/>
      <c r="F218" s="135"/>
      <c r="G218" s="138">
        <f>+G214*0.03</f>
        <v>327</v>
      </c>
      <c r="H218" s="138"/>
      <c r="I218" s="138"/>
      <c r="J218" s="135"/>
      <c r="K218" s="135"/>
      <c r="L218" s="133" t="s">
        <v>86</v>
      </c>
      <c r="N218" s="135"/>
      <c r="O218" s="138">
        <f>+G218</f>
        <v>327</v>
      </c>
    </row>
    <row r="219" spans="1:15" ht="15.75" customHeight="1" x14ac:dyDescent="0.25">
      <c r="A219" s="125"/>
      <c r="B219" s="135"/>
      <c r="C219" s="135"/>
      <c r="D219" s="133" t="s">
        <v>103</v>
      </c>
      <c r="E219" s="135"/>
      <c r="F219" s="135"/>
      <c r="G219" s="138">
        <f>+G214*0.01</f>
        <v>109</v>
      </c>
      <c r="H219" s="138"/>
      <c r="I219" s="138"/>
      <c r="J219" s="135"/>
      <c r="K219" s="135"/>
      <c r="L219" s="133" t="s">
        <v>103</v>
      </c>
      <c r="N219" s="135"/>
      <c r="O219" s="138">
        <f>+G219</f>
        <v>109</v>
      </c>
    </row>
    <row r="220" spans="1:15" ht="15.75" customHeight="1" x14ac:dyDescent="0.25">
      <c r="A220" s="125"/>
      <c r="B220" s="135"/>
      <c r="C220" s="135"/>
      <c r="D220" s="133" t="s">
        <v>104</v>
      </c>
      <c r="E220" s="135"/>
      <c r="F220" s="135"/>
      <c r="G220" s="138"/>
      <c r="H220" s="138"/>
      <c r="I220" s="138"/>
      <c r="J220" s="135"/>
      <c r="K220" s="135"/>
      <c r="L220" s="133" t="s">
        <v>104</v>
      </c>
      <c r="N220" s="135"/>
      <c r="O220" s="138">
        <f>G220</f>
        <v>0</v>
      </c>
    </row>
    <row r="221" spans="1:15" ht="15.75" customHeight="1" x14ac:dyDescent="0.25">
      <c r="A221" s="125"/>
      <c r="B221" s="135"/>
      <c r="C221" s="135"/>
      <c r="D221" s="133" t="s">
        <v>105</v>
      </c>
      <c r="E221" s="135"/>
      <c r="F221" s="135"/>
      <c r="G221" s="138"/>
      <c r="H221" s="138"/>
      <c r="I221" s="138"/>
      <c r="J221" s="135"/>
      <c r="K221" s="135"/>
      <c r="L221" s="133" t="s">
        <v>105</v>
      </c>
      <c r="N221" s="135"/>
      <c r="O221" s="138">
        <f>G221</f>
        <v>0</v>
      </c>
    </row>
    <row r="222" spans="1:15" ht="15.75" customHeight="1" x14ac:dyDescent="0.25">
      <c r="A222" s="125"/>
      <c r="B222" s="135"/>
      <c r="C222" s="135"/>
      <c r="D222" s="133" t="s">
        <v>106</v>
      </c>
      <c r="E222" s="135"/>
      <c r="F222" s="135"/>
      <c r="G222" s="138"/>
      <c r="H222" s="138"/>
      <c r="I222" s="138"/>
      <c r="J222" s="135"/>
      <c r="K222" s="135"/>
      <c r="L222" s="133" t="s">
        <v>106</v>
      </c>
      <c r="N222" s="135"/>
      <c r="O222" s="138">
        <f>G222</f>
        <v>0</v>
      </c>
    </row>
    <row r="223" spans="1:15" ht="15.75" customHeight="1" x14ac:dyDescent="0.25">
      <c r="A223" s="125"/>
      <c r="B223" s="135"/>
      <c r="C223" s="135"/>
      <c r="D223" s="133" t="s">
        <v>112</v>
      </c>
      <c r="E223" s="135"/>
      <c r="F223" s="135"/>
      <c r="G223" s="138">
        <f>+'Folha de salarios'!Y17</f>
        <v>5500</v>
      </c>
      <c r="H223" s="138"/>
      <c r="I223" s="138"/>
      <c r="J223" s="135"/>
      <c r="K223" s="135"/>
      <c r="L223" s="133" t="str">
        <f>+D223</f>
        <v>Pagament Antecipado</v>
      </c>
      <c r="N223" s="135"/>
      <c r="O223" s="138">
        <f>G223</f>
        <v>5500</v>
      </c>
    </row>
    <row r="224" spans="1:15" ht="15.75" customHeight="1" x14ac:dyDescent="0.25">
      <c r="A224" s="125"/>
      <c r="B224" s="135"/>
      <c r="C224" s="135"/>
      <c r="D224" s="133" t="s">
        <v>108</v>
      </c>
      <c r="E224" s="135"/>
      <c r="F224" s="135"/>
      <c r="G224" s="138"/>
      <c r="H224" s="138"/>
      <c r="I224" s="138"/>
      <c r="J224" s="135"/>
      <c r="K224" s="135"/>
      <c r="L224" s="133" t="str">
        <f>+D224</f>
        <v>Arredondamento</v>
      </c>
      <c r="N224" s="135"/>
      <c r="O224" s="138"/>
    </row>
    <row r="225" spans="1:15" ht="15.75" customHeight="1" x14ac:dyDescent="0.25">
      <c r="A225" s="125"/>
      <c r="B225" s="135"/>
      <c r="C225" s="135"/>
      <c r="D225" s="135"/>
      <c r="E225" s="133" t="s">
        <v>100</v>
      </c>
      <c r="F225" s="135"/>
      <c r="G225" s="138">
        <f>SUM(G217:G224)</f>
        <v>5936</v>
      </c>
      <c r="H225" s="138"/>
      <c r="I225" s="138"/>
      <c r="J225" s="135"/>
      <c r="K225" s="135"/>
      <c r="L225" s="135"/>
      <c r="M225" s="133" t="s">
        <v>100</v>
      </c>
      <c r="N225" s="135"/>
      <c r="O225" s="138">
        <f>G225</f>
        <v>5936</v>
      </c>
    </row>
    <row r="226" spans="1:15" ht="15.75" customHeight="1" x14ac:dyDescent="0.25">
      <c r="A226" s="125"/>
      <c r="B226" s="135"/>
      <c r="C226" s="135"/>
      <c r="D226" s="135"/>
      <c r="E226" s="135"/>
      <c r="F226" s="135"/>
      <c r="G226" s="138"/>
      <c r="H226" s="138"/>
      <c r="I226" s="138"/>
      <c r="J226" s="135"/>
      <c r="K226" s="135"/>
      <c r="L226" s="135"/>
      <c r="M226" s="135"/>
      <c r="N226" s="135"/>
      <c r="O226" s="138"/>
    </row>
    <row r="227" spans="1:15" ht="15.75" customHeight="1" x14ac:dyDescent="0.25">
      <c r="A227" s="125"/>
      <c r="B227" s="135"/>
      <c r="C227" s="133" t="s">
        <v>109</v>
      </c>
      <c r="D227" s="135"/>
      <c r="E227" s="135"/>
      <c r="F227" s="135"/>
      <c r="G227" s="139">
        <f>G214-G225</f>
        <v>4964</v>
      </c>
      <c r="H227" s="138"/>
      <c r="I227" s="138"/>
      <c r="J227" s="135"/>
      <c r="K227" s="135"/>
      <c r="L227" s="133" t="s">
        <v>109</v>
      </c>
      <c r="M227" s="135"/>
      <c r="N227" s="135"/>
      <c r="O227" s="139">
        <f>O214-O225</f>
        <v>4964</v>
      </c>
    </row>
    <row r="228" spans="1:15" ht="15.75" customHeight="1" x14ac:dyDescent="0.25">
      <c r="A228" s="125"/>
      <c r="B228" s="135"/>
      <c r="C228" s="133"/>
      <c r="D228" s="135"/>
      <c r="E228" s="135"/>
      <c r="F228" s="135"/>
      <c r="G228" s="138"/>
      <c r="H228" s="138"/>
      <c r="I228" s="138"/>
      <c r="J228" s="135"/>
      <c r="K228" s="135"/>
      <c r="L228" s="133"/>
      <c r="M228" s="135"/>
      <c r="N228" s="135"/>
      <c r="O228" s="138"/>
    </row>
    <row r="229" spans="1:15" ht="15.75" customHeight="1" x14ac:dyDescent="0.25">
      <c r="A229" s="125"/>
      <c r="B229" s="135"/>
      <c r="C229" s="135"/>
      <c r="D229" s="135"/>
      <c r="E229" s="135"/>
      <c r="F229" s="135"/>
      <c r="G229" s="138"/>
      <c r="H229" s="138"/>
      <c r="I229" s="138"/>
      <c r="J229" s="135"/>
      <c r="K229" s="135"/>
      <c r="L229" s="135"/>
      <c r="M229" s="135"/>
      <c r="N229" s="135"/>
      <c r="O229" s="138"/>
    </row>
    <row r="230" spans="1:15" ht="15.75" customHeight="1" x14ac:dyDescent="0.25">
      <c r="A230" s="125"/>
      <c r="B230" s="135"/>
      <c r="C230" s="135"/>
      <c r="D230" s="135"/>
      <c r="E230" s="133" t="s">
        <v>110</v>
      </c>
      <c r="F230" s="135"/>
      <c r="G230" s="138"/>
      <c r="H230" s="138"/>
      <c r="I230" s="138"/>
      <c r="J230" s="135"/>
      <c r="K230" s="135"/>
      <c r="L230" s="135"/>
      <c r="M230" s="133" t="s">
        <v>110</v>
      </c>
      <c r="N230" s="135"/>
      <c r="O230" s="138"/>
    </row>
    <row r="231" spans="1:15" ht="38.1" customHeight="1" x14ac:dyDescent="0.2">
      <c r="A231" s="125"/>
      <c r="B231" s="247" t="s">
        <v>91</v>
      </c>
      <c r="C231" s="247"/>
      <c r="D231" s="247"/>
      <c r="E231" s="247"/>
      <c r="F231" s="247"/>
      <c r="G231" s="247"/>
      <c r="H231" s="127"/>
      <c r="I231" s="127"/>
      <c r="J231" s="247" t="s">
        <v>91</v>
      </c>
      <c r="K231" s="247"/>
      <c r="L231" s="247"/>
      <c r="M231" s="247"/>
      <c r="N231" s="247"/>
      <c r="O231" s="247"/>
    </row>
    <row r="232" spans="1:15" ht="15" customHeight="1" x14ac:dyDescent="0.2">
      <c r="A232" s="125"/>
      <c r="B232" s="126"/>
      <c r="C232" s="128"/>
      <c r="D232" s="128"/>
      <c r="E232" s="128"/>
      <c r="F232" s="128"/>
      <c r="G232" s="128"/>
      <c r="H232" s="127"/>
      <c r="I232" s="127"/>
      <c r="J232" s="126"/>
      <c r="K232" s="128"/>
      <c r="L232" s="128"/>
      <c r="M232" s="128"/>
      <c r="N232" s="128"/>
      <c r="O232" s="128"/>
    </row>
    <row r="233" spans="1:15" ht="18.600000000000001" customHeight="1" x14ac:dyDescent="0.3">
      <c r="A233" s="125"/>
      <c r="B233" s="248" t="s">
        <v>92</v>
      </c>
      <c r="C233" s="248"/>
      <c r="D233" s="248"/>
      <c r="E233" s="248"/>
      <c r="F233" s="248"/>
      <c r="G233" s="248"/>
      <c r="H233" s="129"/>
      <c r="I233" s="130"/>
      <c r="J233" s="248" t="s">
        <v>92</v>
      </c>
      <c r="K233" s="248"/>
      <c r="L233" s="248"/>
      <c r="M233" s="248"/>
      <c r="N233" s="248"/>
      <c r="O233" s="248"/>
    </row>
    <row r="234" spans="1:15" ht="15" customHeight="1" x14ac:dyDescent="0.2">
      <c r="A234" s="125"/>
      <c r="B234" s="131">
        <f>+'Folha de salarios'!A18</f>
        <v>9</v>
      </c>
      <c r="C234" s="140"/>
      <c r="D234" s="140"/>
      <c r="E234" s="140"/>
      <c r="F234" s="140"/>
      <c r="G234" s="140"/>
      <c r="H234" s="140"/>
      <c r="I234" s="140"/>
      <c r="J234" s="131">
        <f>+B234</f>
        <v>9</v>
      </c>
      <c r="K234" s="130"/>
      <c r="L234" s="132"/>
      <c r="M234" s="132"/>
      <c r="N234" s="132"/>
      <c r="O234" s="132"/>
    </row>
    <row r="235" spans="1:15" ht="18.600000000000001" customHeight="1" x14ac:dyDescent="0.25">
      <c r="A235" s="125"/>
      <c r="B235" s="133" t="s">
        <v>93</v>
      </c>
      <c r="C235" s="134" t="str">
        <f>+C5</f>
        <v>JANEIRIO</v>
      </c>
      <c r="D235" s="135"/>
      <c r="E235" s="135">
        <f>+E149</f>
        <v>2025</v>
      </c>
      <c r="F235" s="133"/>
      <c r="G235" s="136"/>
      <c r="H235" s="136"/>
      <c r="I235" s="136"/>
      <c r="J235" s="133" t="s">
        <v>93</v>
      </c>
      <c r="K235" s="134" t="str">
        <f>+C235</f>
        <v>JANEIRIO</v>
      </c>
      <c r="L235" s="135"/>
      <c r="M235" s="135">
        <f>+E235</f>
        <v>2025</v>
      </c>
      <c r="O235" s="136"/>
    </row>
    <row r="236" spans="1:15" ht="18.600000000000001" customHeight="1" x14ac:dyDescent="0.25">
      <c r="A236" s="125"/>
      <c r="B236" s="133" t="s">
        <v>94</v>
      </c>
      <c r="C236" s="136" t="str">
        <f>+'Folha de salarios'!C18</f>
        <v>GILDA DALARIO FALACO MUABASA</v>
      </c>
      <c r="D236" s="136"/>
      <c r="E236" s="136"/>
      <c r="F236" s="136"/>
      <c r="G236" s="135"/>
      <c r="H236" s="135"/>
      <c r="I236" s="135"/>
      <c r="J236" s="133" t="s">
        <v>94</v>
      </c>
      <c r="K236" s="136" t="str">
        <f>C236</f>
        <v>GILDA DALARIO FALACO MUABASA</v>
      </c>
      <c r="L236" s="135"/>
      <c r="M236" s="135"/>
      <c r="O236" s="135"/>
    </row>
    <row r="237" spans="1:15" ht="15.75" customHeight="1" x14ac:dyDescent="0.25">
      <c r="A237" s="125"/>
      <c r="B237" s="133" t="s">
        <v>95</v>
      </c>
      <c r="C237" s="135" t="str">
        <f>+'Folha de salarios'!G18</f>
        <v>EMPREGADA</v>
      </c>
      <c r="D237" s="135"/>
      <c r="E237" s="135" t="s">
        <v>41</v>
      </c>
      <c r="F237" s="135"/>
      <c r="G237" s="135"/>
      <c r="H237" s="135"/>
      <c r="I237" s="135"/>
      <c r="J237" s="133" t="s">
        <v>95</v>
      </c>
      <c r="K237" s="135"/>
      <c r="L237" s="135"/>
      <c r="M237" s="135"/>
      <c r="N237" s="135"/>
      <c r="O237" s="135"/>
    </row>
    <row r="238" spans="1:15" ht="15.75" customHeight="1" x14ac:dyDescent="0.25">
      <c r="A238" s="125"/>
      <c r="B238" s="133"/>
      <c r="C238" s="135"/>
      <c r="D238" s="135"/>
      <c r="E238" s="135"/>
      <c r="F238" s="135"/>
      <c r="G238" s="135"/>
      <c r="H238" s="135"/>
      <c r="I238" s="135"/>
      <c r="J238" s="133"/>
      <c r="K238" s="135"/>
      <c r="L238" s="135"/>
      <c r="M238" s="135"/>
      <c r="N238" s="135"/>
      <c r="O238" s="135"/>
    </row>
    <row r="239" spans="1:15" ht="15.75" customHeight="1" x14ac:dyDescent="0.25">
      <c r="A239" s="125"/>
      <c r="B239" s="133" t="s">
        <v>96</v>
      </c>
      <c r="C239" s="135"/>
      <c r="D239" s="135"/>
      <c r="E239" s="135"/>
      <c r="F239" s="135"/>
      <c r="G239" s="137">
        <f>+'Folha de salarios'!M18</f>
        <v>10955</v>
      </c>
      <c r="H239" s="137"/>
      <c r="I239" s="137"/>
      <c r="J239" s="133" t="s">
        <v>96</v>
      </c>
      <c r="K239" s="133"/>
      <c r="L239" s="135"/>
      <c r="M239" s="135"/>
      <c r="N239" s="135"/>
      <c r="O239" s="137">
        <f>+G239</f>
        <v>10955</v>
      </c>
    </row>
    <row r="240" spans="1:15" ht="15.75" customHeight="1" x14ac:dyDescent="0.25">
      <c r="A240" s="125"/>
      <c r="B240" s="133" t="s">
        <v>97</v>
      </c>
      <c r="C240" s="135"/>
      <c r="D240" s="135"/>
      <c r="E240" s="135"/>
      <c r="F240" s="135"/>
      <c r="G240" s="138">
        <f>+'Folha de salarios'!S18</f>
        <v>0</v>
      </c>
      <c r="H240" s="138"/>
      <c r="I240" s="138"/>
      <c r="J240" s="133" t="s">
        <v>97</v>
      </c>
      <c r="K240" s="133"/>
      <c r="L240" s="135"/>
      <c r="M240" s="135"/>
      <c r="N240" s="135"/>
      <c r="O240" s="138">
        <f>G240</f>
        <v>0</v>
      </c>
    </row>
    <row r="241" spans="1:15" ht="15.75" customHeight="1" x14ac:dyDescent="0.25">
      <c r="A241" s="125"/>
      <c r="B241" s="133" t="s">
        <v>98</v>
      </c>
      <c r="C241" s="135"/>
      <c r="D241" s="135"/>
      <c r="E241" s="135"/>
      <c r="F241" s="135"/>
      <c r="G241" s="138"/>
      <c r="H241" s="138"/>
      <c r="I241" s="138"/>
      <c r="J241" s="133" t="s">
        <v>98</v>
      </c>
      <c r="K241" s="133"/>
      <c r="L241" s="135"/>
      <c r="M241" s="135"/>
      <c r="N241" s="135"/>
      <c r="O241" s="138">
        <f>G241</f>
        <v>0</v>
      </c>
    </row>
    <row r="242" spans="1:15" ht="15.75" customHeight="1" x14ac:dyDescent="0.25">
      <c r="A242" s="125"/>
      <c r="B242" s="133" t="s">
        <v>99</v>
      </c>
      <c r="C242" s="135"/>
      <c r="D242" s="135"/>
      <c r="E242" s="135"/>
      <c r="F242" s="135"/>
      <c r="G242" s="138">
        <f>+'Folha de salarios'!O18</f>
        <v>0</v>
      </c>
      <c r="H242" s="138"/>
      <c r="I242" s="138"/>
      <c r="J242" s="133" t="s">
        <v>99</v>
      </c>
      <c r="K242" s="133"/>
      <c r="L242" s="135"/>
      <c r="M242" s="135"/>
      <c r="N242" s="135"/>
      <c r="O242" s="138">
        <v>0</v>
      </c>
    </row>
    <row r="243" spans="1:15" ht="15.75" customHeight="1" x14ac:dyDescent="0.25">
      <c r="A243" s="125"/>
      <c r="B243" s="135"/>
      <c r="C243" s="135"/>
      <c r="D243" s="135"/>
      <c r="E243" s="133" t="s">
        <v>100</v>
      </c>
      <c r="F243" s="135"/>
      <c r="G243" s="138">
        <f>SUM(G239:G242)</f>
        <v>10955</v>
      </c>
      <c r="H243" s="138"/>
      <c r="I243" s="138"/>
      <c r="J243" s="135"/>
      <c r="K243" s="135"/>
      <c r="L243" s="135"/>
      <c r="M243" s="133" t="s">
        <v>100</v>
      </c>
      <c r="N243" s="135"/>
      <c r="O243" s="138">
        <f>SUM(O239:O242)</f>
        <v>10955</v>
      </c>
    </row>
    <row r="244" spans="1:15" ht="15.75" customHeight="1" x14ac:dyDescent="0.25">
      <c r="A244" s="125"/>
      <c r="B244" s="135"/>
      <c r="C244" s="135"/>
      <c r="D244" s="135"/>
      <c r="E244" s="135"/>
      <c r="F244" s="135"/>
      <c r="G244" s="138"/>
      <c r="H244" s="138"/>
      <c r="I244" s="138"/>
      <c r="J244" s="135"/>
      <c r="K244" s="135"/>
      <c r="L244" s="135"/>
      <c r="M244" s="135"/>
      <c r="N244" s="135"/>
      <c r="O244" s="138"/>
    </row>
    <row r="245" spans="1:15" ht="15.75" customHeight="1" x14ac:dyDescent="0.25">
      <c r="A245" s="125"/>
      <c r="B245" s="135"/>
      <c r="C245" s="133" t="s">
        <v>101</v>
      </c>
      <c r="D245" s="135"/>
      <c r="E245" s="135"/>
      <c r="F245" s="135"/>
      <c r="G245" s="138"/>
      <c r="H245" s="138"/>
      <c r="I245" s="138"/>
      <c r="J245" s="135"/>
      <c r="K245" s="133" t="s">
        <v>101</v>
      </c>
      <c r="L245" s="135"/>
      <c r="M245" s="135"/>
      <c r="O245" s="138"/>
    </row>
    <row r="246" spans="1:15" ht="15.75" customHeight="1" x14ac:dyDescent="0.25">
      <c r="A246" s="125"/>
      <c r="B246" s="135"/>
      <c r="C246" s="135"/>
      <c r="D246" s="133" t="s">
        <v>102</v>
      </c>
      <c r="E246" s="135"/>
      <c r="F246" s="135"/>
      <c r="G246" s="138">
        <f>+'Folha de salarios'!Z204</f>
        <v>0</v>
      </c>
      <c r="H246" s="138"/>
      <c r="I246" s="138"/>
      <c r="J246" s="135"/>
      <c r="K246" s="135"/>
      <c r="L246" s="133" t="s">
        <v>102</v>
      </c>
      <c r="M246" s="135"/>
      <c r="O246" s="138">
        <f>+G246</f>
        <v>0</v>
      </c>
    </row>
    <row r="247" spans="1:15" ht="15.75" customHeight="1" x14ac:dyDescent="0.25">
      <c r="A247" s="125"/>
      <c r="B247" s="135"/>
      <c r="C247" s="135"/>
      <c r="D247" s="133" t="s">
        <v>86</v>
      </c>
      <c r="E247" s="135"/>
      <c r="F247" s="135"/>
      <c r="G247" s="138">
        <f>+G243*0.03</f>
        <v>328.65</v>
      </c>
      <c r="H247" s="138"/>
      <c r="I247" s="138"/>
      <c r="J247" s="135"/>
      <c r="K247" s="135"/>
      <c r="L247" s="133" t="s">
        <v>86</v>
      </c>
      <c r="M247" s="135"/>
      <c r="O247" s="138">
        <f>+G247</f>
        <v>328.65</v>
      </c>
    </row>
    <row r="248" spans="1:15" ht="15.75" customHeight="1" x14ac:dyDescent="0.25">
      <c r="A248" s="125"/>
      <c r="B248" s="135"/>
      <c r="C248" s="135"/>
      <c r="D248" s="133" t="s">
        <v>103</v>
      </c>
      <c r="E248" s="135"/>
      <c r="F248" s="135"/>
      <c r="G248" s="138">
        <f>+G243*0.01</f>
        <v>109.55</v>
      </c>
      <c r="H248" s="138"/>
      <c r="I248" s="138"/>
      <c r="J248" s="135"/>
      <c r="K248" s="135"/>
      <c r="L248" s="133" t="s">
        <v>103</v>
      </c>
      <c r="M248" s="135"/>
      <c r="O248" s="138">
        <f>+G248</f>
        <v>109.55</v>
      </c>
    </row>
    <row r="249" spans="1:15" ht="15.75" customHeight="1" x14ac:dyDescent="0.25">
      <c r="A249" s="125"/>
      <c r="B249" s="135"/>
      <c r="C249" s="135"/>
      <c r="D249" s="133" t="s">
        <v>104</v>
      </c>
      <c r="E249" s="135"/>
      <c r="F249" s="135"/>
      <c r="G249" s="138"/>
      <c r="H249" s="138"/>
      <c r="I249" s="138"/>
      <c r="J249" s="135"/>
      <c r="K249" s="135"/>
      <c r="L249" s="133" t="s">
        <v>104</v>
      </c>
      <c r="M249" s="135"/>
      <c r="O249" s="138">
        <f>G249</f>
        <v>0</v>
      </c>
    </row>
    <row r="250" spans="1:15" ht="15.75" customHeight="1" x14ac:dyDescent="0.25">
      <c r="A250" s="125"/>
      <c r="B250" s="135"/>
      <c r="C250" s="135"/>
      <c r="D250" s="133" t="s">
        <v>105</v>
      </c>
      <c r="E250" s="135"/>
      <c r="F250" s="135"/>
      <c r="G250" s="138"/>
      <c r="H250" s="138"/>
      <c r="I250" s="138"/>
      <c r="J250" s="135"/>
      <c r="K250" s="135"/>
      <c r="L250" s="133" t="s">
        <v>105</v>
      </c>
      <c r="M250" s="135"/>
      <c r="O250" s="138">
        <f>G250</f>
        <v>0</v>
      </c>
    </row>
    <row r="251" spans="1:15" ht="15.75" customHeight="1" x14ac:dyDescent="0.25">
      <c r="A251" s="125"/>
      <c r="B251" s="135"/>
      <c r="C251" s="135"/>
      <c r="D251" s="133" t="s">
        <v>106</v>
      </c>
      <c r="E251" s="135"/>
      <c r="F251" s="135"/>
      <c r="G251" s="138"/>
      <c r="H251" s="138"/>
      <c r="I251" s="138"/>
      <c r="J251" s="135"/>
      <c r="K251" s="135"/>
      <c r="L251" s="133" t="s">
        <v>106</v>
      </c>
      <c r="M251" s="135"/>
      <c r="O251" s="138">
        <f>G251</f>
        <v>0</v>
      </c>
    </row>
    <row r="252" spans="1:15" ht="15.75" customHeight="1" x14ac:dyDescent="0.25">
      <c r="A252" s="125"/>
      <c r="B252" s="135"/>
      <c r="C252" s="135"/>
      <c r="D252" s="133" t="s">
        <v>112</v>
      </c>
      <c r="E252" s="135"/>
      <c r="F252" s="135"/>
      <c r="G252" s="138">
        <f>+'Folha de salarios'!Y18</f>
        <v>0</v>
      </c>
      <c r="H252" s="138"/>
      <c r="I252" s="138"/>
      <c r="J252" s="135"/>
      <c r="K252" s="135"/>
      <c r="L252" s="133" t="str">
        <f>+D252</f>
        <v>Pagament Antecipado</v>
      </c>
      <c r="N252" s="135"/>
      <c r="O252" s="138">
        <f>G252</f>
        <v>0</v>
      </c>
    </row>
    <row r="253" spans="1:15" ht="15.75" customHeight="1" x14ac:dyDescent="0.25">
      <c r="A253" s="125"/>
      <c r="B253" s="135"/>
      <c r="C253" s="135"/>
      <c r="D253" s="133" t="s">
        <v>108</v>
      </c>
      <c r="E253" s="135"/>
      <c r="F253" s="135"/>
      <c r="G253" s="138">
        <v>0</v>
      </c>
      <c r="H253" s="138"/>
      <c r="I253" s="138"/>
      <c r="J253" s="135"/>
      <c r="K253" s="135"/>
      <c r="L253" s="133" t="str">
        <f>+D253</f>
        <v>Arredondamento</v>
      </c>
      <c r="N253" s="135"/>
      <c r="O253" s="138">
        <f>+G253</f>
        <v>0</v>
      </c>
    </row>
    <row r="254" spans="1:15" ht="15.75" customHeight="1" x14ac:dyDescent="0.25">
      <c r="A254" s="125"/>
      <c r="B254" s="135"/>
      <c r="C254" s="135"/>
      <c r="D254" s="135"/>
      <c r="E254" s="133" t="s">
        <v>100</v>
      </c>
      <c r="F254" s="135"/>
      <c r="G254" s="138">
        <f>SUM(G246:G253)</f>
        <v>438.2</v>
      </c>
      <c r="H254" s="138"/>
      <c r="I254" s="138"/>
      <c r="J254" s="135"/>
      <c r="K254" s="135"/>
      <c r="L254" s="135"/>
      <c r="M254" s="133" t="s">
        <v>100</v>
      </c>
      <c r="N254" s="135"/>
      <c r="O254" s="138">
        <f>G254</f>
        <v>438.2</v>
      </c>
    </row>
    <row r="255" spans="1:15" ht="15.75" customHeight="1" x14ac:dyDescent="0.25">
      <c r="A255" s="125"/>
      <c r="B255" s="135"/>
      <c r="C255" s="135"/>
      <c r="D255" s="135"/>
      <c r="E255" s="135"/>
      <c r="F255" s="135"/>
      <c r="G255" s="138"/>
      <c r="H255" s="138"/>
      <c r="I255" s="138"/>
      <c r="J255" s="135"/>
      <c r="K255" s="135"/>
      <c r="L255" s="135"/>
      <c r="M255" s="135"/>
      <c r="N255" s="135"/>
      <c r="O255" s="138"/>
    </row>
    <row r="256" spans="1:15" ht="15.75" customHeight="1" x14ac:dyDescent="0.25">
      <c r="A256" s="125"/>
      <c r="B256" s="135"/>
      <c r="C256" s="133" t="s">
        <v>109</v>
      </c>
      <c r="D256" s="135"/>
      <c r="E256" s="135"/>
      <c r="F256" s="135"/>
      <c r="G256" s="139">
        <f>G243-G254</f>
        <v>10516.8</v>
      </c>
      <c r="H256" s="138"/>
      <c r="I256" s="138"/>
      <c r="J256" s="135"/>
      <c r="K256" s="135"/>
      <c r="L256" s="133" t="s">
        <v>109</v>
      </c>
      <c r="M256" s="135"/>
      <c r="N256" s="135"/>
      <c r="O256" s="139">
        <f>O243-O254</f>
        <v>10516.8</v>
      </c>
    </row>
    <row r="257" spans="1:15" ht="15.75" customHeight="1" x14ac:dyDescent="0.25">
      <c r="A257" s="125"/>
      <c r="B257" s="135"/>
      <c r="C257" s="133"/>
      <c r="D257" s="135"/>
      <c r="E257" s="135"/>
      <c r="F257" s="135"/>
      <c r="G257" s="138"/>
      <c r="H257" s="138"/>
      <c r="I257" s="138"/>
      <c r="J257" s="135"/>
      <c r="K257" s="135"/>
      <c r="L257" s="133"/>
      <c r="M257" s="135"/>
      <c r="N257" s="135"/>
      <c r="O257" s="138"/>
    </row>
    <row r="258" spans="1:15" ht="15.75" customHeight="1" x14ac:dyDescent="0.25">
      <c r="A258" s="125"/>
      <c r="B258" s="135"/>
      <c r="C258" s="135"/>
      <c r="D258" s="135"/>
      <c r="E258" s="135"/>
      <c r="F258" s="135"/>
      <c r="G258" s="138"/>
      <c r="H258" s="138"/>
      <c r="I258" s="138"/>
      <c r="J258" s="135"/>
      <c r="K258" s="135"/>
      <c r="L258" s="135"/>
      <c r="M258" s="135"/>
      <c r="N258" s="135"/>
      <c r="O258" s="138"/>
    </row>
    <row r="259" spans="1:15" ht="15.75" customHeight="1" x14ac:dyDescent="0.25">
      <c r="A259" s="125"/>
      <c r="B259" s="135"/>
      <c r="C259" s="135"/>
      <c r="D259" s="135"/>
      <c r="E259" s="133" t="s">
        <v>110</v>
      </c>
      <c r="F259" s="135"/>
      <c r="G259" s="138"/>
      <c r="H259" s="138"/>
      <c r="I259" s="138"/>
      <c r="J259" s="135"/>
      <c r="K259" s="135"/>
      <c r="L259" s="135"/>
      <c r="M259" s="133" t="s">
        <v>110</v>
      </c>
      <c r="N259" s="135"/>
      <c r="O259" s="138"/>
    </row>
    <row r="260" spans="1:15" ht="38.1" customHeight="1" x14ac:dyDescent="0.2">
      <c r="A260" s="125"/>
      <c r="B260" s="247" t="s">
        <v>91</v>
      </c>
      <c r="C260" s="247"/>
      <c r="D260" s="247"/>
      <c r="E260" s="247"/>
      <c r="F260" s="247"/>
      <c r="G260" s="247"/>
      <c r="H260" s="127"/>
      <c r="I260" s="127"/>
      <c r="J260" s="247" t="s">
        <v>91</v>
      </c>
      <c r="K260" s="247"/>
      <c r="L260" s="247"/>
      <c r="M260" s="247"/>
      <c r="N260" s="247"/>
      <c r="O260" s="247"/>
    </row>
    <row r="261" spans="1:15" ht="15" customHeight="1" x14ac:dyDescent="0.2">
      <c r="A261" s="125"/>
      <c r="B261" s="126"/>
      <c r="C261" s="128"/>
      <c r="D261" s="128"/>
      <c r="E261" s="128"/>
      <c r="F261" s="128"/>
      <c r="G261" s="128"/>
      <c r="H261" s="127"/>
      <c r="I261" s="127"/>
      <c r="J261" s="126"/>
      <c r="K261" s="128"/>
      <c r="L261" s="128"/>
      <c r="M261" s="128"/>
      <c r="N261" s="128"/>
      <c r="O261" s="128"/>
    </row>
    <row r="262" spans="1:15" ht="18.600000000000001" customHeight="1" x14ac:dyDescent="0.3">
      <c r="A262" s="125"/>
      <c r="B262" s="248" t="s">
        <v>92</v>
      </c>
      <c r="C262" s="248"/>
      <c r="D262" s="248"/>
      <c r="E262" s="248"/>
      <c r="F262" s="248"/>
      <c r="G262" s="248"/>
      <c r="H262" s="129"/>
      <c r="I262" s="130"/>
      <c r="J262" s="248" t="s">
        <v>92</v>
      </c>
      <c r="K262" s="248"/>
      <c r="L262" s="248"/>
      <c r="M262" s="248"/>
      <c r="N262" s="248"/>
      <c r="O262" s="248"/>
    </row>
    <row r="263" spans="1:15" ht="15" customHeight="1" x14ac:dyDescent="0.2">
      <c r="A263" s="125"/>
      <c r="B263" s="131">
        <f>+'Folha de salarios'!A19</f>
        <v>10</v>
      </c>
      <c r="C263" s="140"/>
      <c r="D263" s="140"/>
      <c r="E263" s="140"/>
      <c r="F263" s="140"/>
      <c r="G263" s="140"/>
      <c r="H263" s="140"/>
      <c r="I263" s="140"/>
      <c r="J263" s="131">
        <f>+B263</f>
        <v>10</v>
      </c>
      <c r="K263" s="131"/>
      <c r="L263" s="132"/>
      <c r="M263" s="132"/>
      <c r="N263" s="132"/>
      <c r="O263" s="132"/>
    </row>
    <row r="264" spans="1:15" ht="18.600000000000001" customHeight="1" x14ac:dyDescent="0.25">
      <c r="A264" s="125"/>
      <c r="B264" s="133" t="s">
        <v>93</v>
      </c>
      <c r="C264" s="134" t="str">
        <f>+C5</f>
        <v>JANEIRIO</v>
      </c>
      <c r="D264" s="135"/>
      <c r="E264" s="135">
        <f>+E177</f>
        <v>2025</v>
      </c>
      <c r="F264" s="133"/>
      <c r="G264" s="136"/>
      <c r="H264" s="136"/>
      <c r="I264" s="136"/>
      <c r="J264" s="133" t="s">
        <v>93</v>
      </c>
      <c r="K264" s="134" t="str">
        <f>+C5</f>
        <v>JANEIRIO</v>
      </c>
      <c r="L264" s="135"/>
      <c r="M264" s="135">
        <f>+E264</f>
        <v>2025</v>
      </c>
      <c r="O264" s="136"/>
    </row>
    <row r="265" spans="1:15" ht="18.600000000000001" customHeight="1" x14ac:dyDescent="0.25">
      <c r="A265" s="125"/>
      <c r="B265" s="133" t="s">
        <v>94</v>
      </c>
      <c r="C265" s="136" t="str">
        <f>+'Folha de salarios'!C19</f>
        <v>SERGIO FENIASSE BUANE</v>
      </c>
      <c r="D265" s="136"/>
      <c r="E265" s="136"/>
      <c r="F265" s="136"/>
      <c r="G265" s="135"/>
      <c r="H265" s="135"/>
      <c r="I265" s="135"/>
      <c r="J265" s="133" t="s">
        <v>94</v>
      </c>
      <c r="K265" s="136" t="str">
        <f>C265</f>
        <v>SERGIO FENIASSE BUANE</v>
      </c>
      <c r="L265" s="135"/>
      <c r="M265" s="135"/>
      <c r="O265" s="135"/>
    </row>
    <row r="266" spans="1:15" ht="15.75" customHeight="1" x14ac:dyDescent="0.25">
      <c r="A266" s="125"/>
      <c r="B266" s="133" t="s">
        <v>95</v>
      </c>
      <c r="C266" s="135" t="str">
        <f>+'Folha de salarios'!G19</f>
        <v>COZINHEIRA</v>
      </c>
      <c r="D266" s="135"/>
      <c r="E266" s="135"/>
      <c r="F266" s="135"/>
      <c r="G266" s="135"/>
      <c r="H266" s="135"/>
      <c r="I266" s="135"/>
      <c r="J266" s="133" t="s">
        <v>95</v>
      </c>
      <c r="K266" s="135" t="str">
        <f>+C266</f>
        <v>COZINHEIRA</v>
      </c>
      <c r="L266" s="135"/>
      <c r="M266" s="135"/>
      <c r="N266" s="135"/>
      <c r="O266" s="135"/>
    </row>
    <row r="267" spans="1:15" ht="15.75" customHeight="1" x14ac:dyDescent="0.25">
      <c r="A267" s="125"/>
      <c r="B267" s="133"/>
      <c r="C267" s="135"/>
      <c r="D267" s="135"/>
      <c r="E267" s="135"/>
      <c r="F267" s="135"/>
      <c r="G267" s="135"/>
      <c r="H267" s="135"/>
      <c r="I267" s="135"/>
      <c r="J267" s="133"/>
      <c r="K267" s="135"/>
      <c r="L267" s="135"/>
      <c r="M267" s="135"/>
      <c r="N267" s="135"/>
      <c r="O267" s="135"/>
    </row>
    <row r="268" spans="1:15" ht="15.75" customHeight="1" x14ac:dyDescent="0.25">
      <c r="A268" s="125"/>
      <c r="B268" s="133" t="s">
        <v>96</v>
      </c>
      <c r="C268" s="135"/>
      <c r="D268" s="135"/>
      <c r="E268" s="135"/>
      <c r="F268" s="135"/>
      <c r="G268" s="137">
        <f>+'Folha de salarios'!M19</f>
        <v>14824.000000000002</v>
      </c>
      <c r="H268" s="137"/>
      <c r="I268" s="137"/>
      <c r="J268" s="133" t="s">
        <v>96</v>
      </c>
      <c r="K268" s="133"/>
      <c r="L268" s="135"/>
      <c r="M268" s="135"/>
      <c r="N268" s="135"/>
      <c r="O268" s="137">
        <f>+G268</f>
        <v>14824.000000000002</v>
      </c>
    </row>
    <row r="269" spans="1:15" ht="15.75" customHeight="1" x14ac:dyDescent="0.25">
      <c r="A269" s="125"/>
      <c r="B269" s="133" t="s">
        <v>97</v>
      </c>
      <c r="C269" s="135"/>
      <c r="D269" s="135"/>
      <c r="E269" s="135"/>
      <c r="F269" s="135"/>
      <c r="G269" s="138">
        <f>+'Folha de salarios'!S149</f>
        <v>0</v>
      </c>
      <c r="H269" s="138"/>
      <c r="I269" s="138"/>
      <c r="J269" s="133" t="s">
        <v>97</v>
      </c>
      <c r="K269" s="133"/>
      <c r="L269" s="135"/>
      <c r="M269" s="135"/>
      <c r="N269" s="135"/>
      <c r="O269" s="138">
        <f>G269</f>
        <v>0</v>
      </c>
    </row>
    <row r="270" spans="1:15" ht="15.75" customHeight="1" x14ac:dyDescent="0.25">
      <c r="A270" s="125"/>
      <c r="B270" s="133" t="s">
        <v>98</v>
      </c>
      <c r="C270" s="135"/>
      <c r="D270" s="135"/>
      <c r="E270" s="135"/>
      <c r="F270" s="135"/>
      <c r="G270" s="138">
        <v>0</v>
      </c>
      <c r="H270" s="138"/>
      <c r="I270" s="138"/>
      <c r="J270" s="133" t="s">
        <v>98</v>
      </c>
      <c r="K270" s="133"/>
      <c r="L270" s="135"/>
      <c r="M270" s="135"/>
      <c r="N270" s="135"/>
      <c r="O270" s="138">
        <f>G270</f>
        <v>0</v>
      </c>
    </row>
    <row r="271" spans="1:15" ht="15.75" customHeight="1" x14ac:dyDescent="0.25">
      <c r="A271" s="125"/>
      <c r="B271" s="133" t="s">
        <v>99</v>
      </c>
      <c r="C271" s="135"/>
      <c r="D271" s="135"/>
      <c r="E271" s="135"/>
      <c r="F271" s="135"/>
      <c r="G271" s="138">
        <f>+'Folha de salarios'!O149</f>
        <v>0</v>
      </c>
      <c r="H271" s="138"/>
      <c r="I271" s="138"/>
      <c r="J271" s="133" t="s">
        <v>99</v>
      </c>
      <c r="K271" s="133"/>
      <c r="L271" s="135"/>
      <c r="M271" s="135"/>
      <c r="N271" s="135"/>
      <c r="O271" s="138">
        <f>+G271</f>
        <v>0</v>
      </c>
    </row>
    <row r="272" spans="1:15" ht="15.75" customHeight="1" x14ac:dyDescent="0.25">
      <c r="A272" s="125"/>
      <c r="B272" s="135"/>
      <c r="C272" s="135"/>
      <c r="D272" s="135"/>
      <c r="E272" s="133" t="s">
        <v>100</v>
      </c>
      <c r="F272" s="135"/>
      <c r="G272" s="138">
        <f>SUM(G268:G271)</f>
        <v>14824.000000000002</v>
      </c>
      <c r="H272" s="138"/>
      <c r="I272" s="138"/>
      <c r="J272" s="135"/>
      <c r="K272" s="135"/>
      <c r="L272" s="135"/>
      <c r="M272" s="133" t="s">
        <v>100</v>
      </c>
      <c r="N272" s="135"/>
      <c r="O272" s="138">
        <f>SUM(O268:O271)</f>
        <v>14824.000000000002</v>
      </c>
    </row>
    <row r="273" spans="1:15" ht="15.75" customHeight="1" x14ac:dyDescent="0.25">
      <c r="A273" s="125"/>
      <c r="B273" s="135"/>
      <c r="C273" s="135"/>
      <c r="D273" s="135"/>
      <c r="E273" s="135"/>
      <c r="F273" s="135"/>
      <c r="G273" s="138"/>
      <c r="H273" s="138"/>
      <c r="I273" s="138"/>
      <c r="J273" s="135"/>
      <c r="K273" s="135"/>
      <c r="L273" s="135"/>
      <c r="M273" s="135"/>
      <c r="N273" s="135"/>
      <c r="O273" s="138"/>
    </row>
    <row r="274" spans="1:15" ht="15.75" customHeight="1" x14ac:dyDescent="0.25">
      <c r="A274" s="125"/>
      <c r="B274" s="135"/>
      <c r="C274" s="133" t="s">
        <v>101</v>
      </c>
      <c r="D274" s="135"/>
      <c r="E274" s="135"/>
      <c r="F274" s="135"/>
      <c r="G274" s="138"/>
      <c r="H274" s="138"/>
      <c r="I274" s="138"/>
      <c r="J274" s="135"/>
      <c r="K274" s="133" t="s">
        <v>101</v>
      </c>
      <c r="L274" s="135"/>
      <c r="M274" s="135"/>
      <c r="O274" s="138"/>
    </row>
    <row r="275" spans="1:15" ht="15.75" customHeight="1" x14ac:dyDescent="0.25">
      <c r="A275" s="125"/>
      <c r="B275" s="135"/>
      <c r="C275" s="135"/>
      <c r="D275" s="133" t="s">
        <v>102</v>
      </c>
      <c r="E275" s="135"/>
      <c r="F275" s="135"/>
      <c r="G275" s="138">
        <f>+'Folha de salarios'!Z233</f>
        <v>0</v>
      </c>
      <c r="H275" s="138"/>
      <c r="I275" s="138"/>
      <c r="J275" s="135"/>
      <c r="K275" s="135"/>
      <c r="L275" s="133" t="s">
        <v>102</v>
      </c>
      <c r="M275" s="135"/>
      <c r="O275" s="138">
        <f>+G275</f>
        <v>0</v>
      </c>
    </row>
    <row r="276" spans="1:15" ht="15.75" customHeight="1" x14ac:dyDescent="0.25">
      <c r="A276" s="125"/>
      <c r="B276" s="135"/>
      <c r="C276" s="135"/>
      <c r="D276" s="133" t="s">
        <v>86</v>
      </c>
      <c r="E276" s="135"/>
      <c r="F276" s="135"/>
      <c r="G276" s="138">
        <f>+G272*0.03</f>
        <v>444.72</v>
      </c>
      <c r="H276" s="138"/>
      <c r="I276" s="138"/>
      <c r="J276" s="135"/>
      <c r="K276" s="135"/>
      <c r="L276" s="133" t="s">
        <v>86</v>
      </c>
      <c r="M276" s="135"/>
      <c r="O276" s="138">
        <f>+G276</f>
        <v>444.72</v>
      </c>
    </row>
    <row r="277" spans="1:15" ht="15.75" customHeight="1" x14ac:dyDescent="0.25">
      <c r="A277" s="125"/>
      <c r="B277" s="135"/>
      <c r="C277" s="135"/>
      <c r="D277" s="133" t="s">
        <v>103</v>
      </c>
      <c r="E277" s="135"/>
      <c r="F277" s="135"/>
      <c r="G277" s="138">
        <f>+G272*0.01</f>
        <v>148.24</v>
      </c>
      <c r="H277" s="138"/>
      <c r="I277" s="138"/>
      <c r="J277" s="135"/>
      <c r="K277" s="135"/>
      <c r="L277" s="133" t="s">
        <v>103</v>
      </c>
      <c r="M277" s="135"/>
      <c r="O277" s="138">
        <f>+G277</f>
        <v>148.24</v>
      </c>
    </row>
    <row r="278" spans="1:15" ht="15.75" customHeight="1" x14ac:dyDescent="0.25">
      <c r="A278" s="125"/>
      <c r="B278" s="135"/>
      <c r="C278" s="135"/>
      <c r="D278" s="133" t="s">
        <v>104</v>
      </c>
      <c r="E278" s="135"/>
      <c r="F278" s="135"/>
      <c r="G278" s="138"/>
      <c r="H278" s="138"/>
      <c r="I278" s="138"/>
      <c r="J278" s="135"/>
      <c r="K278" s="135"/>
      <c r="L278" s="133" t="s">
        <v>104</v>
      </c>
      <c r="M278" s="135"/>
      <c r="O278" s="138">
        <f>G278</f>
        <v>0</v>
      </c>
    </row>
    <row r="279" spans="1:15" ht="15.75" customHeight="1" x14ac:dyDescent="0.25">
      <c r="A279" s="125"/>
      <c r="B279" s="135"/>
      <c r="C279" s="135"/>
      <c r="D279" s="133" t="s">
        <v>105</v>
      </c>
      <c r="E279" s="135"/>
      <c r="F279" s="135"/>
      <c r="G279" s="138"/>
      <c r="H279" s="138"/>
      <c r="I279" s="138"/>
      <c r="J279" s="135"/>
      <c r="K279" s="135"/>
      <c r="L279" s="133" t="s">
        <v>105</v>
      </c>
      <c r="M279" s="135"/>
      <c r="O279" s="138">
        <f>G279</f>
        <v>0</v>
      </c>
    </row>
    <row r="280" spans="1:15" ht="15.75" customHeight="1" x14ac:dyDescent="0.25">
      <c r="A280" s="125"/>
      <c r="B280" s="135"/>
      <c r="C280" s="135"/>
      <c r="D280" s="133" t="s">
        <v>106</v>
      </c>
      <c r="E280" s="135"/>
      <c r="F280" s="135"/>
      <c r="G280" s="138"/>
      <c r="H280" s="138"/>
      <c r="I280" s="138"/>
      <c r="J280" s="135"/>
      <c r="K280" s="135"/>
      <c r="L280" s="133" t="s">
        <v>106</v>
      </c>
      <c r="M280" s="135"/>
      <c r="O280" s="138">
        <f>G280</f>
        <v>0</v>
      </c>
    </row>
    <row r="281" spans="1:15" ht="15.75" customHeight="1" x14ac:dyDescent="0.25">
      <c r="A281" s="125"/>
      <c r="B281" s="135"/>
      <c r="C281" s="135"/>
      <c r="D281" s="133" t="s">
        <v>112</v>
      </c>
      <c r="E281" s="135"/>
      <c r="F281" s="135"/>
      <c r="G281" s="138">
        <f>+'Folha de salarios'!Y19</f>
        <v>0</v>
      </c>
      <c r="H281" s="138"/>
      <c r="I281" s="138"/>
      <c r="J281" s="135"/>
      <c r="K281" s="135"/>
      <c r="L281" s="133" t="str">
        <f>+D281</f>
        <v>Pagament Antecipado</v>
      </c>
      <c r="N281" s="135"/>
      <c r="O281" s="138">
        <f>G281</f>
        <v>0</v>
      </c>
    </row>
    <row r="282" spans="1:15" ht="15.75" customHeight="1" x14ac:dyDescent="0.25">
      <c r="A282" s="125"/>
      <c r="B282" s="135"/>
      <c r="C282" s="135"/>
      <c r="D282" s="133" t="s">
        <v>108</v>
      </c>
      <c r="E282" s="135"/>
      <c r="F282" s="135"/>
      <c r="G282" s="138"/>
      <c r="H282" s="138"/>
      <c r="I282" s="138"/>
      <c r="J282" s="135"/>
      <c r="K282" s="135"/>
      <c r="L282" s="133" t="str">
        <f>+D282</f>
        <v>Arredondamento</v>
      </c>
      <c r="N282" s="135"/>
      <c r="O282" s="138">
        <f>+G282</f>
        <v>0</v>
      </c>
    </row>
    <row r="283" spans="1:15" ht="15.75" customHeight="1" x14ac:dyDescent="0.25">
      <c r="A283" s="125"/>
      <c r="B283" s="135"/>
      <c r="C283" s="135"/>
      <c r="D283" s="135"/>
      <c r="E283" s="133" t="s">
        <v>100</v>
      </c>
      <c r="F283" s="135"/>
      <c r="G283" s="138">
        <f>SUM(G275:G282)</f>
        <v>592.96</v>
      </c>
      <c r="H283" s="138"/>
      <c r="I283" s="138"/>
      <c r="J283" s="135"/>
      <c r="K283" s="135"/>
      <c r="L283" s="135"/>
      <c r="M283" s="133" t="s">
        <v>100</v>
      </c>
      <c r="N283" s="135"/>
      <c r="O283" s="138">
        <f>SUM(O275:O282)</f>
        <v>592.96</v>
      </c>
    </row>
    <row r="284" spans="1:15" ht="15.75" customHeight="1" x14ac:dyDescent="0.25">
      <c r="A284" s="125"/>
      <c r="B284" s="135"/>
      <c r="C284" s="135"/>
      <c r="D284" s="135"/>
      <c r="E284" s="135"/>
      <c r="F284" s="135"/>
      <c r="G284" s="138"/>
      <c r="H284" s="138"/>
      <c r="I284" s="138"/>
      <c r="J284" s="135"/>
      <c r="K284" s="135"/>
      <c r="L284" s="135"/>
      <c r="M284" s="135"/>
      <c r="N284" s="135"/>
      <c r="O284" s="138"/>
    </row>
    <row r="285" spans="1:15" ht="15.75" customHeight="1" x14ac:dyDescent="0.25">
      <c r="A285" s="125"/>
      <c r="B285" s="135"/>
      <c r="C285" s="133" t="s">
        <v>109</v>
      </c>
      <c r="D285" s="135"/>
      <c r="E285" s="135"/>
      <c r="F285" s="135"/>
      <c r="G285" s="139">
        <f>G272-G283</f>
        <v>14231.04</v>
      </c>
      <c r="H285" s="138"/>
      <c r="I285" s="138"/>
      <c r="J285" s="135"/>
      <c r="K285" s="135"/>
      <c r="L285" s="133" t="s">
        <v>109</v>
      </c>
      <c r="M285" s="135"/>
      <c r="N285" s="135"/>
      <c r="O285" s="139">
        <f>O272-O283</f>
        <v>14231.04</v>
      </c>
    </row>
    <row r="286" spans="1:15" ht="15.75" customHeight="1" x14ac:dyDescent="0.25">
      <c r="A286" s="125"/>
      <c r="B286" s="135"/>
      <c r="C286" s="133"/>
      <c r="D286" s="135"/>
      <c r="E286" s="135"/>
      <c r="F286" s="135"/>
      <c r="G286" s="138"/>
      <c r="H286" s="138"/>
      <c r="I286" s="138"/>
      <c r="J286" s="135"/>
      <c r="K286" s="135"/>
      <c r="L286" s="133"/>
      <c r="M286" s="135"/>
      <c r="N286" s="135"/>
      <c r="O286" s="138"/>
    </row>
    <row r="287" spans="1:15" ht="15.75" customHeight="1" x14ac:dyDescent="0.25">
      <c r="A287" s="125"/>
      <c r="B287" s="135"/>
      <c r="C287" s="135"/>
      <c r="D287" s="135"/>
      <c r="E287" s="135"/>
      <c r="F287" s="135"/>
      <c r="G287" s="138"/>
      <c r="H287" s="138"/>
      <c r="I287" s="138"/>
      <c r="J287" s="135"/>
      <c r="K287" s="135"/>
      <c r="L287" s="135"/>
      <c r="M287" s="135"/>
      <c r="N287" s="135"/>
      <c r="O287" s="138"/>
    </row>
    <row r="288" spans="1:15" ht="15.75" customHeight="1" x14ac:dyDescent="0.25">
      <c r="A288" s="125"/>
      <c r="B288" s="135"/>
      <c r="C288" s="135"/>
      <c r="D288" s="135"/>
      <c r="E288" s="133" t="s">
        <v>110</v>
      </c>
      <c r="F288" s="135"/>
      <c r="G288" s="138"/>
      <c r="H288" s="138"/>
      <c r="I288" s="138"/>
      <c r="J288" s="135"/>
      <c r="K288" s="135"/>
      <c r="L288" s="135"/>
      <c r="M288" s="133" t="s">
        <v>110</v>
      </c>
      <c r="N288" s="135"/>
      <c r="O288" s="138"/>
    </row>
    <row r="289" spans="1:15" ht="38.1" customHeight="1" x14ac:dyDescent="0.2">
      <c r="A289" s="125"/>
      <c r="B289" s="247" t="s">
        <v>91</v>
      </c>
      <c r="C289" s="247"/>
      <c r="D289" s="247"/>
      <c r="E289" s="247"/>
      <c r="F289" s="247"/>
      <c r="G289" s="247"/>
      <c r="H289" s="127"/>
      <c r="I289" s="127"/>
      <c r="J289" s="247" t="s">
        <v>91</v>
      </c>
      <c r="K289" s="247"/>
      <c r="L289" s="247"/>
      <c r="M289" s="247"/>
      <c r="N289" s="247"/>
      <c r="O289" s="247"/>
    </row>
    <row r="290" spans="1:15" ht="15" customHeight="1" x14ac:dyDescent="0.2">
      <c r="A290" s="125"/>
      <c r="B290" s="126"/>
      <c r="C290" s="128"/>
      <c r="D290" s="128"/>
      <c r="E290" s="128"/>
      <c r="F290" s="128"/>
      <c r="G290" s="128"/>
      <c r="H290" s="127"/>
      <c r="I290" s="127"/>
      <c r="J290" s="126"/>
      <c r="K290" s="128"/>
      <c r="L290" s="128"/>
      <c r="M290" s="128"/>
      <c r="N290" s="128"/>
      <c r="O290" s="128"/>
    </row>
    <row r="291" spans="1:15" ht="18.600000000000001" customHeight="1" x14ac:dyDescent="0.3">
      <c r="A291" s="125"/>
      <c r="B291" s="248" t="s">
        <v>92</v>
      </c>
      <c r="C291" s="248"/>
      <c r="D291" s="248"/>
      <c r="E291" s="248"/>
      <c r="F291" s="248"/>
      <c r="G291" s="248"/>
      <c r="H291" s="129"/>
      <c r="I291" s="130"/>
      <c r="J291" s="248" t="s">
        <v>92</v>
      </c>
      <c r="K291" s="248"/>
      <c r="L291" s="248"/>
      <c r="M291" s="248"/>
      <c r="N291" s="248"/>
      <c r="O291" s="248"/>
    </row>
    <row r="292" spans="1:15" ht="15" customHeight="1" x14ac:dyDescent="0.2">
      <c r="A292" s="125"/>
      <c r="B292" s="131">
        <f>+B263+1</f>
        <v>11</v>
      </c>
      <c r="C292" s="132"/>
      <c r="D292" s="132"/>
      <c r="E292" s="132"/>
      <c r="F292" s="132"/>
      <c r="H292" s="132"/>
      <c r="I292" s="132"/>
      <c r="J292" s="131">
        <f>+B292</f>
        <v>11</v>
      </c>
      <c r="K292" s="130"/>
      <c r="L292" s="132"/>
      <c r="M292" s="132"/>
      <c r="N292" s="132"/>
      <c r="O292" s="132"/>
    </row>
    <row r="293" spans="1:15" ht="18.600000000000001" customHeight="1" x14ac:dyDescent="0.25">
      <c r="A293" s="125"/>
      <c r="B293" s="133" t="s">
        <v>93</v>
      </c>
      <c r="C293" s="134" t="str">
        <f>+C5</f>
        <v>JANEIRIO</v>
      </c>
      <c r="D293" s="135"/>
      <c r="E293" s="135">
        <f>+E5</f>
        <v>2025</v>
      </c>
      <c r="F293" s="133"/>
      <c r="G293" s="136"/>
      <c r="H293" s="136"/>
      <c r="I293" s="136"/>
      <c r="J293" s="133" t="s">
        <v>93</v>
      </c>
      <c r="K293" s="134" t="str">
        <f>+C293</f>
        <v>JANEIRIO</v>
      </c>
      <c r="L293" s="135"/>
      <c r="M293" s="135">
        <f>+E293</f>
        <v>2025</v>
      </c>
      <c r="O293" s="136"/>
    </row>
    <row r="294" spans="1:15" ht="18.600000000000001" customHeight="1" x14ac:dyDescent="0.25">
      <c r="A294" s="125"/>
      <c r="B294" s="133" t="s">
        <v>94</v>
      </c>
      <c r="C294" s="136" t="str">
        <f>+'Folha de salarios'!C20</f>
        <v>AMINOSSE ARNALDO TANGUNE</v>
      </c>
      <c r="D294" s="136"/>
      <c r="E294" s="136"/>
      <c r="F294" s="136"/>
      <c r="G294" s="135"/>
      <c r="H294" s="135"/>
      <c r="I294" s="135"/>
      <c r="J294" s="133" t="s">
        <v>94</v>
      </c>
      <c r="K294" s="136" t="str">
        <f>C294</f>
        <v>AMINOSSE ARNALDO TANGUNE</v>
      </c>
      <c r="L294" s="135"/>
      <c r="M294" s="135"/>
      <c r="O294" s="135"/>
    </row>
    <row r="295" spans="1:15" ht="15.75" customHeight="1" x14ac:dyDescent="0.25">
      <c r="A295" s="125"/>
      <c r="B295" s="133" t="s">
        <v>95</v>
      </c>
      <c r="C295" s="135" t="str">
        <f>+'Folha de salarios'!G20</f>
        <v>CAPITÃO DE BARCO</v>
      </c>
      <c r="D295" s="135"/>
      <c r="E295" s="135"/>
      <c r="F295" s="135"/>
      <c r="G295" s="135"/>
      <c r="H295" s="135"/>
      <c r="I295" s="135"/>
      <c r="J295" s="133" t="s">
        <v>95</v>
      </c>
      <c r="K295" s="135" t="str">
        <f>+C295</f>
        <v>CAPITÃO DE BARCO</v>
      </c>
      <c r="L295" s="135"/>
      <c r="M295" s="135"/>
      <c r="N295" s="135"/>
      <c r="O295" s="135"/>
    </row>
    <row r="296" spans="1:15" ht="15.75" customHeight="1" x14ac:dyDescent="0.25">
      <c r="A296" s="125"/>
      <c r="B296" s="133"/>
      <c r="C296" s="135"/>
      <c r="D296" s="135"/>
      <c r="E296" s="135"/>
      <c r="F296" s="135"/>
      <c r="G296" s="135"/>
      <c r="H296" s="135"/>
      <c r="I296" s="135"/>
      <c r="J296" s="133"/>
      <c r="K296" s="135"/>
      <c r="L296" s="135"/>
      <c r="M296" s="135"/>
      <c r="N296" s="135"/>
      <c r="O296" s="135"/>
    </row>
    <row r="297" spans="1:15" ht="15.75" customHeight="1" x14ac:dyDescent="0.25">
      <c r="A297" s="125"/>
      <c r="B297" s="133" t="s">
        <v>96</v>
      </c>
      <c r="C297" s="135"/>
      <c r="D297" s="135"/>
      <c r="E297" s="135"/>
      <c r="F297" s="135"/>
      <c r="G297" s="137">
        <f>+'Folha de salarios'!M20</f>
        <v>14170.000000000002</v>
      </c>
      <c r="H297" s="137"/>
      <c r="I297" s="137"/>
      <c r="J297" s="133" t="s">
        <v>96</v>
      </c>
      <c r="K297" s="133"/>
      <c r="L297" s="135"/>
      <c r="M297" s="135"/>
      <c r="N297" s="135"/>
      <c r="O297" s="137">
        <f>+G297</f>
        <v>14170.000000000002</v>
      </c>
    </row>
    <row r="298" spans="1:15" ht="15.75" customHeight="1" x14ac:dyDescent="0.25">
      <c r="A298" s="125"/>
      <c r="B298" s="133" t="s">
        <v>97</v>
      </c>
      <c r="C298" s="135"/>
      <c r="D298" s="135"/>
      <c r="E298" s="135"/>
      <c r="F298" s="135"/>
      <c r="G298" s="138">
        <f>0</f>
        <v>0</v>
      </c>
      <c r="H298" s="138"/>
      <c r="I298" s="138"/>
      <c r="J298" s="133" t="s">
        <v>97</v>
      </c>
      <c r="K298" s="133"/>
      <c r="L298" s="135"/>
      <c r="M298" s="135"/>
      <c r="N298" s="135"/>
      <c r="O298" s="138">
        <f>G298</f>
        <v>0</v>
      </c>
    </row>
    <row r="299" spans="1:15" ht="15.75" customHeight="1" x14ac:dyDescent="0.25">
      <c r="A299" s="125"/>
      <c r="B299" s="133" t="s">
        <v>98</v>
      </c>
      <c r="C299" s="135"/>
      <c r="D299" s="135"/>
      <c r="E299" s="135"/>
      <c r="F299" s="135"/>
      <c r="G299" s="138">
        <v>0</v>
      </c>
      <c r="H299" s="138"/>
      <c r="I299" s="138"/>
      <c r="J299" s="133" t="s">
        <v>98</v>
      </c>
      <c r="K299" s="133"/>
      <c r="L299" s="135"/>
      <c r="M299" s="135"/>
      <c r="N299" s="135"/>
      <c r="O299" s="138">
        <f>G299</f>
        <v>0</v>
      </c>
    </row>
    <row r="300" spans="1:15" ht="15.75" customHeight="1" x14ac:dyDescent="0.25">
      <c r="A300" s="125"/>
      <c r="B300" s="133" t="s">
        <v>99</v>
      </c>
      <c r="C300" s="135"/>
      <c r="D300" s="135"/>
      <c r="E300" s="135"/>
      <c r="F300" s="135"/>
      <c r="G300" s="138">
        <v>0</v>
      </c>
      <c r="H300" s="138"/>
      <c r="I300" s="138"/>
      <c r="J300" s="133" t="s">
        <v>99</v>
      </c>
      <c r="K300" s="133"/>
      <c r="L300" s="135"/>
      <c r="M300" s="135"/>
      <c r="N300" s="135"/>
      <c r="O300" s="138">
        <v>0</v>
      </c>
    </row>
    <row r="301" spans="1:15" ht="15.75" customHeight="1" x14ac:dyDescent="0.25">
      <c r="A301" s="125"/>
      <c r="B301" s="135"/>
      <c r="C301" s="135"/>
      <c r="D301" s="135"/>
      <c r="E301" s="133" t="s">
        <v>100</v>
      </c>
      <c r="F301" s="135"/>
      <c r="G301" s="138">
        <f>SUM(G297:G300)</f>
        <v>14170.000000000002</v>
      </c>
      <c r="H301" s="138"/>
      <c r="I301" s="138"/>
      <c r="J301" s="135"/>
      <c r="K301" s="135"/>
      <c r="L301" s="135"/>
      <c r="M301" s="133" t="s">
        <v>100</v>
      </c>
      <c r="N301" s="135"/>
      <c r="O301" s="138">
        <f>SUM(O297:O300)</f>
        <v>14170.000000000002</v>
      </c>
    </row>
    <row r="302" spans="1:15" ht="15.75" customHeight="1" x14ac:dyDescent="0.25">
      <c r="A302" s="125"/>
      <c r="B302" s="135"/>
      <c r="C302" s="135"/>
      <c r="D302" s="135"/>
      <c r="E302" s="135"/>
      <c r="F302" s="135"/>
      <c r="G302" s="138"/>
      <c r="H302" s="138"/>
      <c r="I302" s="138"/>
      <c r="J302" s="135"/>
      <c r="K302" s="135"/>
      <c r="L302" s="135"/>
      <c r="M302" s="135"/>
      <c r="N302" s="135"/>
      <c r="O302" s="138"/>
    </row>
    <row r="303" spans="1:15" ht="15.75" customHeight="1" x14ac:dyDescent="0.25">
      <c r="A303" s="125"/>
      <c r="B303" s="135"/>
      <c r="C303" s="133" t="s">
        <v>101</v>
      </c>
      <c r="D303" s="135"/>
      <c r="E303" s="135"/>
      <c r="F303" s="135"/>
      <c r="G303" s="138"/>
      <c r="H303" s="138"/>
      <c r="I303" s="138"/>
      <c r="J303" s="135"/>
      <c r="K303" s="133" t="s">
        <v>101</v>
      </c>
      <c r="L303" s="135"/>
      <c r="M303" s="135"/>
      <c r="O303" s="138"/>
    </row>
    <row r="304" spans="1:15" ht="15.75" customHeight="1" x14ac:dyDescent="0.25">
      <c r="A304" s="125"/>
      <c r="B304" s="135"/>
      <c r="C304" s="135"/>
      <c r="D304" s="133" t="s">
        <v>102</v>
      </c>
      <c r="E304" s="135"/>
      <c r="F304" s="135"/>
      <c r="G304" s="138">
        <f>+'Folha de salarios'!Z262</f>
        <v>0</v>
      </c>
      <c r="H304" s="138"/>
      <c r="I304" s="138"/>
      <c r="J304" s="135"/>
      <c r="K304" s="135"/>
      <c r="L304" s="133" t="s">
        <v>102</v>
      </c>
      <c r="M304" s="135"/>
      <c r="O304" s="138">
        <f>+G304</f>
        <v>0</v>
      </c>
    </row>
    <row r="305" spans="1:15" ht="15.75" customHeight="1" x14ac:dyDescent="0.25">
      <c r="A305" s="125"/>
      <c r="B305" s="135"/>
      <c r="C305" s="135"/>
      <c r="D305" s="133" t="s">
        <v>86</v>
      </c>
      <c r="E305" s="135"/>
      <c r="F305" s="135"/>
      <c r="G305" s="138">
        <f>+G301*0.03</f>
        <v>425.1</v>
      </c>
      <c r="H305" s="138"/>
      <c r="I305" s="138"/>
      <c r="J305" s="135"/>
      <c r="K305" s="135"/>
      <c r="L305" s="133" t="s">
        <v>86</v>
      </c>
      <c r="M305" s="135"/>
      <c r="O305" s="138">
        <f>+G305</f>
        <v>425.1</v>
      </c>
    </row>
    <row r="306" spans="1:15" ht="15.75" customHeight="1" x14ac:dyDescent="0.25">
      <c r="A306" s="125"/>
      <c r="B306" s="135"/>
      <c r="C306" s="135"/>
      <c r="D306" s="133" t="s">
        <v>103</v>
      </c>
      <c r="E306" s="135"/>
      <c r="F306" s="135"/>
      <c r="G306" s="138">
        <f>+G301*0.01</f>
        <v>141.70000000000002</v>
      </c>
      <c r="H306" s="138"/>
      <c r="I306" s="138"/>
      <c r="J306" s="135"/>
      <c r="K306" s="135"/>
      <c r="L306" s="133" t="s">
        <v>103</v>
      </c>
      <c r="M306" s="135"/>
      <c r="O306" s="138">
        <f>+G306</f>
        <v>141.70000000000002</v>
      </c>
    </row>
    <row r="307" spans="1:15" ht="15.75" customHeight="1" x14ac:dyDescent="0.25">
      <c r="A307" s="125"/>
      <c r="B307" s="135"/>
      <c r="C307" s="135"/>
      <c r="D307" s="133" t="s">
        <v>104</v>
      </c>
      <c r="E307" s="135"/>
      <c r="F307" s="135"/>
      <c r="G307" s="138"/>
      <c r="H307" s="138"/>
      <c r="I307" s="138"/>
      <c r="J307" s="135"/>
      <c r="K307" s="135"/>
      <c r="L307" s="133" t="s">
        <v>104</v>
      </c>
      <c r="M307" s="135"/>
      <c r="O307" s="138">
        <f>G307</f>
        <v>0</v>
      </c>
    </row>
    <row r="308" spans="1:15" ht="15.75" customHeight="1" x14ac:dyDescent="0.25">
      <c r="A308" s="125"/>
      <c r="B308" s="135"/>
      <c r="C308" s="135"/>
      <c r="D308" s="133" t="s">
        <v>105</v>
      </c>
      <c r="E308" s="135"/>
      <c r="F308" s="135"/>
      <c r="G308" s="138"/>
      <c r="H308" s="138"/>
      <c r="I308" s="138"/>
      <c r="J308" s="135"/>
      <c r="K308" s="135"/>
      <c r="L308" s="133" t="s">
        <v>105</v>
      </c>
      <c r="M308" s="135"/>
      <c r="O308" s="138">
        <f>G308</f>
        <v>0</v>
      </c>
    </row>
    <row r="309" spans="1:15" ht="15.75" customHeight="1" x14ac:dyDescent="0.25">
      <c r="A309" s="125"/>
      <c r="B309" s="135"/>
      <c r="C309" s="135"/>
      <c r="D309" s="133" t="s">
        <v>106</v>
      </c>
      <c r="E309" s="135"/>
      <c r="F309" s="135"/>
      <c r="G309" s="138"/>
      <c r="H309" s="138"/>
      <c r="I309" s="138"/>
      <c r="J309" s="135"/>
      <c r="K309" s="135"/>
      <c r="L309" s="133" t="s">
        <v>106</v>
      </c>
      <c r="M309" s="135"/>
      <c r="O309" s="138">
        <f>G309</f>
        <v>0</v>
      </c>
    </row>
    <row r="310" spans="1:15" ht="15.75" customHeight="1" x14ac:dyDescent="0.25">
      <c r="A310" s="125"/>
      <c r="B310" s="135"/>
      <c r="C310" s="135"/>
      <c r="D310" s="133" t="s">
        <v>112</v>
      </c>
      <c r="E310" s="135"/>
      <c r="F310" s="135"/>
      <c r="G310" s="138">
        <f>+'Folha de salarios'!Y20</f>
        <v>0</v>
      </c>
      <c r="H310" s="138"/>
      <c r="I310" s="138"/>
      <c r="J310" s="135"/>
      <c r="K310" s="135"/>
      <c r="L310" s="133" t="str">
        <f>+D310</f>
        <v>Pagament Antecipado</v>
      </c>
      <c r="N310" s="135"/>
      <c r="O310" s="138">
        <f>G310</f>
        <v>0</v>
      </c>
    </row>
    <row r="311" spans="1:15" ht="15.75" customHeight="1" x14ac:dyDescent="0.25">
      <c r="A311" s="125"/>
      <c r="B311" s="135"/>
      <c r="C311" s="135"/>
      <c r="D311" s="133" t="s">
        <v>108</v>
      </c>
      <c r="E311" s="135"/>
      <c r="F311" s="135"/>
      <c r="G311" s="138"/>
      <c r="H311" s="138"/>
      <c r="I311" s="138"/>
      <c r="J311" s="135"/>
      <c r="K311" s="135"/>
      <c r="L311" s="133" t="str">
        <f>+D311</f>
        <v>Arredondamento</v>
      </c>
      <c r="N311" s="135"/>
      <c r="O311" s="138">
        <f>+G311</f>
        <v>0</v>
      </c>
    </row>
    <row r="312" spans="1:15" ht="15.75" customHeight="1" x14ac:dyDescent="0.25">
      <c r="A312" s="125"/>
      <c r="B312" s="135"/>
      <c r="C312" s="135"/>
      <c r="D312" s="135"/>
      <c r="E312" s="133" t="s">
        <v>100</v>
      </c>
      <c r="F312" s="135"/>
      <c r="G312" s="138">
        <f>SUM(G304:G311)</f>
        <v>566.80000000000007</v>
      </c>
      <c r="H312" s="138"/>
      <c r="I312" s="138"/>
      <c r="J312" s="135"/>
      <c r="K312" s="135"/>
      <c r="L312" s="135"/>
      <c r="M312" s="133" t="s">
        <v>100</v>
      </c>
      <c r="N312" s="135"/>
      <c r="O312" s="138">
        <f>G312</f>
        <v>566.80000000000007</v>
      </c>
    </row>
    <row r="313" spans="1:15" ht="15.75" customHeight="1" x14ac:dyDescent="0.25">
      <c r="A313" s="125"/>
      <c r="B313" s="135"/>
      <c r="C313" s="135"/>
      <c r="D313" s="135"/>
      <c r="E313" s="135"/>
      <c r="F313" s="135"/>
      <c r="G313" s="138"/>
      <c r="H313" s="138"/>
      <c r="I313" s="138"/>
      <c r="J313" s="135"/>
      <c r="K313" s="135"/>
      <c r="L313" s="135"/>
      <c r="M313" s="135"/>
      <c r="N313" s="135"/>
      <c r="O313" s="138"/>
    </row>
    <row r="314" spans="1:15" ht="15.75" customHeight="1" x14ac:dyDescent="0.25">
      <c r="A314" s="125"/>
      <c r="B314" s="135"/>
      <c r="C314" s="133" t="s">
        <v>109</v>
      </c>
      <c r="D314" s="135"/>
      <c r="E314" s="135"/>
      <c r="F314" s="135"/>
      <c r="G314" s="139">
        <f>G301-G312</f>
        <v>13603.200000000003</v>
      </c>
      <c r="H314" s="138"/>
      <c r="I314" s="138"/>
      <c r="J314" s="135"/>
      <c r="K314" s="135"/>
      <c r="L314" s="133" t="s">
        <v>109</v>
      </c>
      <c r="M314" s="135"/>
      <c r="N314" s="135"/>
      <c r="O314" s="139">
        <f>O301-O312</f>
        <v>13603.200000000003</v>
      </c>
    </row>
    <row r="315" spans="1:15" ht="15.75" customHeight="1" x14ac:dyDescent="0.25">
      <c r="A315" s="125"/>
      <c r="B315" s="135"/>
      <c r="C315" s="133"/>
      <c r="D315" s="135"/>
      <c r="E315" s="135"/>
      <c r="F315" s="135"/>
      <c r="G315" s="138"/>
      <c r="H315" s="138"/>
      <c r="I315" s="138"/>
      <c r="J315" s="135"/>
      <c r="K315" s="135"/>
      <c r="L315" s="133"/>
      <c r="M315" s="135"/>
      <c r="N315" s="135"/>
      <c r="O315" s="138"/>
    </row>
    <row r="316" spans="1:15" ht="15.75" customHeight="1" x14ac:dyDescent="0.25">
      <c r="A316" s="125"/>
      <c r="B316" s="135"/>
      <c r="C316" s="135"/>
      <c r="D316" s="135"/>
      <c r="E316" s="135"/>
      <c r="F316" s="135"/>
      <c r="G316" s="138"/>
      <c r="H316" s="138"/>
      <c r="I316" s="138"/>
      <c r="J316" s="135"/>
      <c r="K316" s="135"/>
      <c r="L316" s="135"/>
      <c r="M316" s="135"/>
      <c r="N316" s="135"/>
      <c r="O316" s="138"/>
    </row>
    <row r="317" spans="1:15" ht="15.75" customHeight="1" x14ac:dyDescent="0.25">
      <c r="A317" s="125"/>
      <c r="B317" s="135"/>
      <c r="C317" s="135"/>
      <c r="D317" s="135"/>
      <c r="E317" s="133" t="s">
        <v>110</v>
      </c>
      <c r="F317" s="135"/>
      <c r="G317" s="138"/>
      <c r="H317" s="138"/>
      <c r="I317" s="138"/>
      <c r="J317" s="135"/>
      <c r="K317" s="135"/>
      <c r="L317" s="135"/>
      <c r="M317" s="133" t="s">
        <v>110</v>
      </c>
      <c r="N317" s="135"/>
      <c r="O317" s="138"/>
    </row>
    <row r="318" spans="1:15" ht="38.1" customHeight="1" x14ac:dyDescent="0.2">
      <c r="A318" s="125"/>
      <c r="B318" s="247" t="s">
        <v>91</v>
      </c>
      <c r="C318" s="247"/>
      <c r="D318" s="247"/>
      <c r="E318" s="247"/>
      <c r="F318" s="247"/>
      <c r="G318" s="247"/>
      <c r="H318" s="127"/>
      <c r="I318" s="127"/>
      <c r="J318" s="247" t="s">
        <v>91</v>
      </c>
      <c r="K318" s="247"/>
      <c r="L318" s="247"/>
      <c r="M318" s="247"/>
      <c r="N318" s="247"/>
      <c r="O318" s="247"/>
    </row>
    <row r="319" spans="1:15" ht="15" customHeight="1" x14ac:dyDescent="0.2">
      <c r="A319" s="125"/>
      <c r="B319" s="126"/>
      <c r="C319" s="128"/>
      <c r="D319" s="128"/>
      <c r="E319" s="128"/>
      <c r="F319" s="128"/>
      <c r="G319" s="128"/>
      <c r="H319" s="127"/>
      <c r="I319" s="127"/>
      <c r="J319" s="126"/>
      <c r="K319" s="128"/>
      <c r="L319" s="128"/>
      <c r="M319" s="128"/>
      <c r="N319" s="128"/>
      <c r="O319" s="128"/>
    </row>
    <row r="320" spans="1:15" ht="18.600000000000001" customHeight="1" x14ac:dyDescent="0.3">
      <c r="A320" s="125"/>
      <c r="B320" s="248" t="s">
        <v>92</v>
      </c>
      <c r="C320" s="248"/>
      <c r="D320" s="248"/>
      <c r="E320" s="248"/>
      <c r="F320" s="248"/>
      <c r="G320" s="248"/>
      <c r="H320" s="129"/>
      <c r="I320" s="130"/>
      <c r="J320" s="248" t="s">
        <v>92</v>
      </c>
      <c r="K320" s="248"/>
      <c r="L320" s="248"/>
      <c r="M320" s="248"/>
      <c r="N320" s="248"/>
      <c r="O320" s="248"/>
    </row>
    <row r="321" spans="1:15" ht="15" customHeight="1" x14ac:dyDescent="0.2">
      <c r="A321" s="125"/>
      <c r="B321" s="131">
        <f>+B292+1</f>
        <v>12</v>
      </c>
      <c r="C321" s="132"/>
      <c r="D321" s="132"/>
      <c r="E321" s="132"/>
      <c r="F321" s="132"/>
      <c r="H321" s="132"/>
      <c r="I321" s="132"/>
      <c r="J321" s="131">
        <f>+B321</f>
        <v>12</v>
      </c>
      <c r="K321" s="130"/>
      <c r="L321" s="132"/>
      <c r="M321" s="132"/>
      <c r="N321" s="132"/>
      <c r="O321" s="132"/>
    </row>
    <row r="322" spans="1:15" ht="18.600000000000001" customHeight="1" x14ac:dyDescent="0.25">
      <c r="A322" s="125"/>
      <c r="B322" s="133" t="s">
        <v>93</v>
      </c>
      <c r="C322" s="134" t="str">
        <f>+C5</f>
        <v>JANEIRIO</v>
      </c>
      <c r="D322" s="135"/>
      <c r="E322" s="135">
        <f>+E5</f>
        <v>2025</v>
      </c>
      <c r="F322" s="133"/>
      <c r="G322" s="136"/>
      <c r="H322" s="136"/>
      <c r="I322" s="136"/>
      <c r="J322" s="133" t="s">
        <v>93</v>
      </c>
      <c r="K322" s="134" t="str">
        <f>+C322</f>
        <v>JANEIRIO</v>
      </c>
      <c r="L322" s="135"/>
      <c r="M322" s="135">
        <f>+E322</f>
        <v>2025</v>
      </c>
      <c r="O322" s="136"/>
    </row>
    <row r="323" spans="1:15" ht="18.600000000000001" customHeight="1" x14ac:dyDescent="0.25">
      <c r="A323" s="125"/>
      <c r="B323" s="133" t="s">
        <v>94</v>
      </c>
      <c r="C323" s="136" t="str">
        <f>+'Folha de salarios'!C21</f>
        <v>SERGIO FRANCISCO TANGUNE ZITO</v>
      </c>
      <c r="D323" s="136"/>
      <c r="E323" s="136"/>
      <c r="F323" s="136"/>
      <c r="G323" s="135"/>
      <c r="H323" s="135"/>
      <c r="I323" s="135"/>
      <c r="J323" s="133" t="s">
        <v>94</v>
      </c>
      <c r="K323" s="136" t="str">
        <f>C323</f>
        <v>SERGIO FRANCISCO TANGUNE ZITO</v>
      </c>
      <c r="L323" s="135"/>
      <c r="M323" s="135"/>
      <c r="O323" s="135"/>
    </row>
    <row r="324" spans="1:15" ht="15.75" customHeight="1" x14ac:dyDescent="0.25">
      <c r="A324" s="125"/>
      <c r="B324" s="133" t="s">
        <v>95</v>
      </c>
      <c r="C324" s="135" t="str">
        <f>+'Folha de salarios'!G21</f>
        <v>GHILLIE</v>
      </c>
      <c r="D324" s="135"/>
      <c r="E324" s="135"/>
      <c r="F324" s="135"/>
      <c r="G324" s="135"/>
      <c r="H324" s="135"/>
      <c r="I324" s="135"/>
      <c r="J324" s="133" t="s">
        <v>95</v>
      </c>
      <c r="K324" s="135" t="str">
        <f>+C324</f>
        <v>GHILLIE</v>
      </c>
      <c r="L324" s="135"/>
      <c r="M324" s="135"/>
      <c r="N324" s="135"/>
      <c r="O324" s="135"/>
    </row>
    <row r="325" spans="1:15" ht="15.75" customHeight="1" x14ac:dyDescent="0.25">
      <c r="A325" s="125"/>
      <c r="B325" s="133"/>
      <c r="C325" s="135"/>
      <c r="D325" s="135"/>
      <c r="E325" s="135"/>
      <c r="F325" s="135"/>
      <c r="G325" s="135"/>
      <c r="H325" s="135"/>
      <c r="I325" s="135"/>
      <c r="J325" s="133"/>
      <c r="K325" s="135"/>
      <c r="L325" s="135"/>
      <c r="M325" s="135"/>
      <c r="N325" s="135"/>
      <c r="O325" s="135"/>
    </row>
    <row r="326" spans="1:15" ht="15.75" customHeight="1" x14ac:dyDescent="0.25">
      <c r="A326" s="125"/>
      <c r="B326" s="133" t="s">
        <v>96</v>
      </c>
      <c r="C326" s="135"/>
      <c r="D326" s="135"/>
      <c r="E326" s="135"/>
      <c r="F326" s="135"/>
      <c r="G326" s="137">
        <f>+'Folha de salarios'!M21</f>
        <v>14879.000000000002</v>
      </c>
      <c r="H326" s="137"/>
      <c r="I326" s="137"/>
      <c r="J326" s="133" t="s">
        <v>96</v>
      </c>
      <c r="K326" s="133"/>
      <c r="L326" s="135"/>
      <c r="M326" s="135"/>
      <c r="N326" s="135"/>
      <c r="O326" s="137">
        <f>+G326</f>
        <v>14879.000000000002</v>
      </c>
    </row>
    <row r="327" spans="1:15" ht="15.75" customHeight="1" x14ac:dyDescent="0.25">
      <c r="A327" s="125"/>
      <c r="B327" s="133" t="s">
        <v>97</v>
      </c>
      <c r="C327" s="135"/>
      <c r="D327" s="135"/>
      <c r="E327" s="135"/>
      <c r="F327" s="135"/>
      <c r="G327" s="138">
        <f>0</f>
        <v>0</v>
      </c>
      <c r="H327" s="138"/>
      <c r="I327" s="138"/>
      <c r="J327" s="133" t="s">
        <v>97</v>
      </c>
      <c r="K327" s="133"/>
      <c r="L327" s="135"/>
      <c r="M327" s="135"/>
      <c r="N327" s="135"/>
      <c r="O327" s="138">
        <f>G327</f>
        <v>0</v>
      </c>
    </row>
    <row r="328" spans="1:15" ht="15.75" customHeight="1" x14ac:dyDescent="0.25">
      <c r="A328" s="125"/>
      <c r="B328" s="133" t="s">
        <v>98</v>
      </c>
      <c r="C328" s="135"/>
      <c r="D328" s="135"/>
      <c r="E328" s="135"/>
      <c r="F328" s="135"/>
      <c r="G328" s="138">
        <v>0</v>
      </c>
      <c r="H328" s="138"/>
      <c r="I328" s="138"/>
      <c r="J328" s="133" t="s">
        <v>98</v>
      </c>
      <c r="K328" s="133"/>
      <c r="L328" s="135"/>
      <c r="M328" s="135"/>
      <c r="N328" s="135"/>
      <c r="O328" s="138">
        <f>G328</f>
        <v>0</v>
      </c>
    </row>
    <row r="329" spans="1:15" ht="15.75" customHeight="1" x14ac:dyDescent="0.25">
      <c r="A329" s="125"/>
      <c r="B329" s="133" t="s">
        <v>99</v>
      </c>
      <c r="C329" s="135"/>
      <c r="D329" s="135"/>
      <c r="E329" s="135"/>
      <c r="F329" s="135"/>
      <c r="G329" s="138">
        <v>0</v>
      </c>
      <c r="H329" s="138"/>
      <c r="I329" s="138"/>
      <c r="J329" s="133" t="s">
        <v>99</v>
      </c>
      <c r="K329" s="133"/>
      <c r="L329" s="135"/>
      <c r="M329" s="135"/>
      <c r="N329" s="135"/>
      <c r="O329" s="138">
        <v>0</v>
      </c>
    </row>
    <row r="330" spans="1:15" ht="15.75" customHeight="1" x14ac:dyDescent="0.25">
      <c r="A330" s="125"/>
      <c r="B330" s="135"/>
      <c r="C330" s="135"/>
      <c r="D330" s="135"/>
      <c r="E330" s="133" t="s">
        <v>100</v>
      </c>
      <c r="F330" s="135"/>
      <c r="G330" s="138">
        <f>SUM(G326:G329)</f>
        <v>14879.000000000002</v>
      </c>
      <c r="H330" s="138"/>
      <c r="I330" s="138"/>
      <c r="J330" s="135"/>
      <c r="K330" s="135"/>
      <c r="L330" s="135"/>
      <c r="M330" s="133" t="s">
        <v>100</v>
      </c>
      <c r="N330" s="135"/>
      <c r="O330" s="138">
        <f>SUM(O326:O329)</f>
        <v>14879.000000000002</v>
      </c>
    </row>
    <row r="331" spans="1:15" ht="15.75" customHeight="1" x14ac:dyDescent="0.25">
      <c r="A331" s="125"/>
      <c r="B331" s="135"/>
      <c r="C331" s="135"/>
      <c r="D331" s="135"/>
      <c r="E331" s="135"/>
      <c r="F331" s="135"/>
      <c r="G331" s="138"/>
      <c r="H331" s="138"/>
      <c r="I331" s="138"/>
      <c r="J331" s="135"/>
      <c r="K331" s="135"/>
      <c r="L331" s="135"/>
      <c r="M331" s="135"/>
      <c r="N331" s="135"/>
      <c r="O331" s="138"/>
    </row>
    <row r="332" spans="1:15" ht="15.75" customHeight="1" x14ac:dyDescent="0.25">
      <c r="A332" s="125"/>
      <c r="B332" s="135"/>
      <c r="C332" s="133" t="s">
        <v>101</v>
      </c>
      <c r="D332" s="135"/>
      <c r="E332" s="135"/>
      <c r="F332" s="135"/>
      <c r="G332" s="138"/>
      <c r="H332" s="138"/>
      <c r="I332" s="138"/>
      <c r="J332" s="135"/>
      <c r="K332" s="133" t="s">
        <v>101</v>
      </c>
      <c r="L332" s="135"/>
      <c r="M332" s="135"/>
      <c r="O332" s="138"/>
    </row>
    <row r="333" spans="1:15" ht="15.75" customHeight="1" x14ac:dyDescent="0.25">
      <c r="A333" s="125"/>
      <c r="B333" s="135"/>
      <c r="C333" s="135"/>
      <c r="D333" s="133" t="s">
        <v>102</v>
      </c>
      <c r="E333" s="135"/>
      <c r="F333" s="135"/>
      <c r="G333" s="138">
        <f>+'Folha de salarios'!Z291</f>
        <v>0</v>
      </c>
      <c r="H333" s="138"/>
      <c r="I333" s="138"/>
      <c r="J333" s="135"/>
      <c r="K333" s="135"/>
      <c r="L333" s="133" t="s">
        <v>102</v>
      </c>
      <c r="M333" s="135"/>
      <c r="O333" s="138">
        <f>+G333</f>
        <v>0</v>
      </c>
    </row>
    <row r="334" spans="1:15" ht="15.75" customHeight="1" x14ac:dyDescent="0.25">
      <c r="A334" s="125"/>
      <c r="B334" s="135"/>
      <c r="C334" s="135"/>
      <c r="D334" s="133" t="s">
        <v>86</v>
      </c>
      <c r="E334" s="135"/>
      <c r="F334" s="135"/>
      <c r="G334" s="138">
        <f>+G330*0.03</f>
        <v>446.37000000000006</v>
      </c>
      <c r="H334" s="138"/>
      <c r="I334" s="138"/>
      <c r="J334" s="135"/>
      <c r="K334" s="135"/>
      <c r="L334" s="133" t="s">
        <v>86</v>
      </c>
      <c r="M334" s="135"/>
      <c r="O334" s="138">
        <f>+G334</f>
        <v>446.37000000000006</v>
      </c>
    </row>
    <row r="335" spans="1:15" ht="15.75" customHeight="1" x14ac:dyDescent="0.25">
      <c r="A335" s="125"/>
      <c r="B335" s="135"/>
      <c r="C335" s="135"/>
      <c r="D335" s="133" t="s">
        <v>103</v>
      </c>
      <c r="E335" s="135"/>
      <c r="F335" s="135"/>
      <c r="G335" s="138">
        <f>+G330*0.01</f>
        <v>148.79000000000002</v>
      </c>
      <c r="H335" s="138"/>
      <c r="I335" s="138"/>
      <c r="J335" s="135"/>
      <c r="K335" s="135"/>
      <c r="L335" s="133" t="s">
        <v>103</v>
      </c>
      <c r="M335" s="135"/>
      <c r="O335" s="138">
        <f>+G335</f>
        <v>148.79000000000002</v>
      </c>
    </row>
    <row r="336" spans="1:15" ht="15.75" customHeight="1" x14ac:dyDescent="0.25">
      <c r="A336" s="125"/>
      <c r="B336" s="135"/>
      <c r="C336" s="135"/>
      <c r="D336" s="133" t="s">
        <v>104</v>
      </c>
      <c r="E336" s="135"/>
      <c r="F336" s="135"/>
      <c r="G336" s="138"/>
      <c r="H336" s="138"/>
      <c r="I336" s="138"/>
      <c r="J336" s="135"/>
      <c r="K336" s="135"/>
      <c r="L336" s="133" t="s">
        <v>104</v>
      </c>
      <c r="M336" s="135"/>
      <c r="O336" s="138">
        <f>G336</f>
        <v>0</v>
      </c>
    </row>
    <row r="337" spans="1:15" ht="15.75" customHeight="1" x14ac:dyDescent="0.25">
      <c r="A337" s="125"/>
      <c r="B337" s="135"/>
      <c r="C337" s="135"/>
      <c r="D337" s="133" t="s">
        <v>105</v>
      </c>
      <c r="E337" s="135"/>
      <c r="F337" s="135"/>
      <c r="G337" s="138"/>
      <c r="H337" s="138"/>
      <c r="I337" s="138"/>
      <c r="J337" s="135"/>
      <c r="K337" s="135"/>
      <c r="L337" s="133" t="s">
        <v>105</v>
      </c>
      <c r="M337" s="135"/>
      <c r="O337" s="138">
        <f>G337</f>
        <v>0</v>
      </c>
    </row>
    <row r="338" spans="1:15" ht="15.75" customHeight="1" x14ac:dyDescent="0.25">
      <c r="A338" s="125"/>
      <c r="B338" s="135"/>
      <c r="C338" s="135"/>
      <c r="D338" s="133" t="s">
        <v>106</v>
      </c>
      <c r="E338" s="135"/>
      <c r="F338" s="135"/>
      <c r="G338" s="138"/>
      <c r="H338" s="138"/>
      <c r="I338" s="138"/>
      <c r="J338" s="135"/>
      <c r="K338" s="135"/>
      <c r="L338" s="133" t="s">
        <v>106</v>
      </c>
      <c r="M338" s="135"/>
      <c r="O338" s="138">
        <f>G338</f>
        <v>0</v>
      </c>
    </row>
    <row r="339" spans="1:15" ht="15.75" customHeight="1" x14ac:dyDescent="0.25">
      <c r="A339" s="125"/>
      <c r="B339" s="135"/>
      <c r="C339" s="135"/>
      <c r="D339" s="133" t="s">
        <v>112</v>
      </c>
      <c r="E339" s="135"/>
      <c r="F339" s="135"/>
      <c r="G339" s="138">
        <f>+'Folha de salarios'!Y21</f>
        <v>0</v>
      </c>
      <c r="H339" s="138"/>
      <c r="I339" s="138"/>
      <c r="J339" s="135"/>
      <c r="K339" s="135"/>
      <c r="L339" s="133" t="str">
        <f>+D339</f>
        <v>Pagament Antecipado</v>
      </c>
      <c r="N339" s="135"/>
      <c r="O339" s="138">
        <f>G339</f>
        <v>0</v>
      </c>
    </row>
    <row r="340" spans="1:15" ht="15.75" customHeight="1" x14ac:dyDescent="0.25">
      <c r="A340" s="125"/>
      <c r="B340" s="135"/>
      <c r="C340" s="135"/>
      <c r="D340" s="133" t="s">
        <v>108</v>
      </c>
      <c r="E340" s="135"/>
      <c r="F340" s="135"/>
      <c r="G340" s="138"/>
      <c r="H340" s="138"/>
      <c r="I340" s="138"/>
      <c r="J340" s="135"/>
      <c r="K340" s="135"/>
      <c r="L340" s="133" t="str">
        <f>+D340</f>
        <v>Arredondamento</v>
      </c>
      <c r="N340" s="135"/>
      <c r="O340" s="138">
        <f>+G340</f>
        <v>0</v>
      </c>
    </row>
    <row r="341" spans="1:15" ht="15.75" customHeight="1" x14ac:dyDescent="0.25">
      <c r="A341" s="125"/>
      <c r="B341" s="135"/>
      <c r="C341" s="135"/>
      <c r="D341" s="135"/>
      <c r="E341" s="133" t="s">
        <v>100</v>
      </c>
      <c r="F341" s="135"/>
      <c r="G341" s="138">
        <f>SUM(G333:G340)</f>
        <v>595.16000000000008</v>
      </c>
      <c r="H341" s="138"/>
      <c r="I341" s="138"/>
      <c r="J341" s="135"/>
      <c r="K341" s="135"/>
      <c r="L341" s="135"/>
      <c r="M341" s="133" t="s">
        <v>100</v>
      </c>
      <c r="N341" s="135"/>
      <c r="O341" s="138">
        <f>G341</f>
        <v>595.16000000000008</v>
      </c>
    </row>
    <row r="342" spans="1:15" ht="15.75" customHeight="1" x14ac:dyDescent="0.25">
      <c r="A342" s="125"/>
      <c r="B342" s="135"/>
      <c r="C342" s="135"/>
      <c r="D342" s="135"/>
      <c r="E342" s="135"/>
      <c r="F342" s="135"/>
      <c r="G342" s="138"/>
      <c r="H342" s="138"/>
      <c r="I342" s="138"/>
      <c r="J342" s="135"/>
      <c r="K342" s="135"/>
      <c r="L342" s="135"/>
      <c r="M342" s="135"/>
      <c r="N342" s="135"/>
      <c r="O342" s="138"/>
    </row>
    <row r="343" spans="1:15" ht="15.75" customHeight="1" x14ac:dyDescent="0.25">
      <c r="A343" s="125"/>
      <c r="B343" s="135"/>
      <c r="C343" s="133" t="s">
        <v>109</v>
      </c>
      <c r="D343" s="135"/>
      <c r="E343" s="135"/>
      <c r="F343" s="135"/>
      <c r="G343" s="139">
        <f>G330-G341</f>
        <v>14283.840000000002</v>
      </c>
      <c r="H343" s="138"/>
      <c r="I343" s="138"/>
      <c r="J343" s="135"/>
      <c r="K343" s="135"/>
      <c r="L343" s="133" t="s">
        <v>109</v>
      </c>
      <c r="M343" s="135"/>
      <c r="N343" s="135"/>
      <c r="O343" s="139">
        <f>O330-O341</f>
        <v>14283.840000000002</v>
      </c>
    </row>
    <row r="344" spans="1:15" ht="15.75" customHeight="1" x14ac:dyDescent="0.25">
      <c r="A344" s="125"/>
      <c r="B344" s="135"/>
      <c r="C344" s="133"/>
      <c r="D344" s="135"/>
      <c r="E344" s="135"/>
      <c r="F344" s="135"/>
      <c r="G344" s="138"/>
      <c r="H344" s="138"/>
      <c r="I344" s="138"/>
      <c r="J344" s="135"/>
      <c r="K344" s="135"/>
      <c r="L344" s="133"/>
      <c r="M344" s="135"/>
      <c r="N344" s="135"/>
      <c r="O344" s="138"/>
    </row>
    <row r="345" spans="1:15" ht="15.75" customHeight="1" x14ac:dyDescent="0.25">
      <c r="A345" s="125"/>
      <c r="B345" s="135"/>
      <c r="C345" s="135"/>
      <c r="D345" s="135"/>
      <c r="E345" s="135"/>
      <c r="F345" s="135"/>
      <c r="G345" s="138"/>
      <c r="H345" s="138"/>
      <c r="I345" s="138"/>
      <c r="J345" s="135"/>
      <c r="K345" s="135"/>
      <c r="L345" s="135"/>
      <c r="M345" s="135"/>
      <c r="N345" s="135"/>
      <c r="O345" s="138"/>
    </row>
    <row r="346" spans="1:15" ht="15.75" customHeight="1" x14ac:dyDescent="0.25">
      <c r="A346" s="125"/>
      <c r="B346" s="135"/>
      <c r="C346" s="135"/>
      <c r="D346" s="135"/>
      <c r="E346" s="133" t="s">
        <v>110</v>
      </c>
      <c r="F346" s="135"/>
      <c r="G346" s="138"/>
      <c r="H346" s="138"/>
      <c r="I346" s="138"/>
      <c r="J346" s="135"/>
      <c r="K346" s="135"/>
      <c r="L346" s="135"/>
      <c r="M346" s="133" t="s">
        <v>110</v>
      </c>
      <c r="N346" s="135"/>
      <c r="O346" s="138"/>
    </row>
    <row r="347" spans="1:15" ht="38.1" customHeight="1" x14ac:dyDescent="0.2">
      <c r="A347" s="125"/>
      <c r="B347" s="247" t="s">
        <v>91</v>
      </c>
      <c r="C347" s="247"/>
      <c r="D347" s="247"/>
      <c r="E347" s="247"/>
      <c r="F347" s="247"/>
      <c r="G347" s="247"/>
      <c r="H347" s="127"/>
      <c r="I347" s="127"/>
      <c r="J347" s="247" t="s">
        <v>91</v>
      </c>
      <c r="K347" s="247"/>
      <c r="L347" s="247"/>
      <c r="M347" s="247"/>
      <c r="N347" s="247"/>
      <c r="O347" s="247"/>
    </row>
    <row r="348" spans="1:15" ht="15" customHeight="1" x14ac:dyDescent="0.2">
      <c r="A348" s="125"/>
      <c r="B348" s="126"/>
      <c r="C348" s="128"/>
      <c r="D348" s="128"/>
      <c r="E348" s="128"/>
      <c r="F348" s="128"/>
      <c r="G348" s="128"/>
      <c r="H348" s="127"/>
      <c r="I348" s="127"/>
      <c r="J348" s="126"/>
      <c r="K348" s="128"/>
      <c r="L348" s="128"/>
      <c r="M348" s="128"/>
      <c r="N348" s="128"/>
      <c r="O348" s="128"/>
    </row>
    <row r="349" spans="1:15" ht="18.600000000000001" customHeight="1" x14ac:dyDescent="0.3">
      <c r="A349" s="125"/>
      <c r="B349" s="248" t="s">
        <v>92</v>
      </c>
      <c r="C349" s="248"/>
      <c r="D349" s="248"/>
      <c r="E349" s="248"/>
      <c r="F349" s="248"/>
      <c r="G349" s="248"/>
      <c r="H349" s="129"/>
      <c r="I349" s="130"/>
      <c r="J349" s="248" t="s">
        <v>92</v>
      </c>
      <c r="K349" s="248"/>
      <c r="L349" s="248"/>
      <c r="M349" s="248"/>
      <c r="N349" s="248"/>
      <c r="O349" s="248"/>
    </row>
    <row r="350" spans="1:15" ht="15" customHeight="1" x14ac:dyDescent="0.2">
      <c r="A350" s="125"/>
      <c r="B350" s="131">
        <f>+B321+1</f>
        <v>13</v>
      </c>
      <c r="C350" s="132"/>
      <c r="D350" s="132"/>
      <c r="E350" s="132"/>
      <c r="F350" s="132"/>
      <c r="G350" s="132"/>
      <c r="H350" s="132"/>
      <c r="I350" s="132"/>
      <c r="J350" s="131">
        <f>+B350</f>
        <v>13</v>
      </c>
      <c r="K350" s="130"/>
      <c r="L350" s="132"/>
      <c r="M350" s="132"/>
      <c r="N350" s="132"/>
      <c r="O350" s="132"/>
    </row>
    <row r="351" spans="1:15" ht="18.600000000000001" customHeight="1" x14ac:dyDescent="0.25">
      <c r="A351" s="125"/>
      <c r="B351" s="133" t="s">
        <v>93</v>
      </c>
      <c r="C351" s="134" t="str">
        <f>+C322</f>
        <v>JANEIRIO</v>
      </c>
      <c r="D351" s="135"/>
      <c r="E351" s="135">
        <f>+E322</f>
        <v>2025</v>
      </c>
      <c r="F351" s="133"/>
      <c r="G351" s="136"/>
      <c r="H351" s="136"/>
      <c r="I351" s="136"/>
      <c r="J351" s="133" t="s">
        <v>93</v>
      </c>
      <c r="K351" s="134" t="str">
        <f>+C351</f>
        <v>JANEIRIO</v>
      </c>
      <c r="L351" s="135"/>
      <c r="M351" s="135">
        <f>+E351</f>
        <v>2025</v>
      </c>
      <c r="O351" s="136"/>
    </row>
    <row r="352" spans="1:15" ht="18.600000000000001" customHeight="1" x14ac:dyDescent="0.25">
      <c r="A352" s="125"/>
      <c r="B352" s="133" t="s">
        <v>94</v>
      </c>
      <c r="C352" s="136" t="str">
        <f>+'Folha de salarios'!C22</f>
        <v>VITORIA FRANCISCO ZIBANE</v>
      </c>
      <c r="D352" s="136"/>
      <c r="E352" s="136"/>
      <c r="F352" s="136"/>
      <c r="G352" s="135"/>
      <c r="H352" s="135"/>
      <c r="I352" s="135"/>
      <c r="J352" s="133" t="s">
        <v>94</v>
      </c>
      <c r="K352" s="136" t="str">
        <f>+C352</f>
        <v>VITORIA FRANCISCO ZIBANE</v>
      </c>
      <c r="L352" s="135"/>
      <c r="M352" s="135"/>
      <c r="O352" s="135"/>
    </row>
    <row r="353" spans="1:15" ht="15.75" customHeight="1" x14ac:dyDescent="0.25">
      <c r="A353" s="125"/>
      <c r="B353" s="133" t="s">
        <v>95</v>
      </c>
      <c r="C353" s="135" t="str">
        <f>+'Folha de salarios'!G22</f>
        <v>EMPREGADA</v>
      </c>
      <c r="D353" s="135"/>
      <c r="E353" s="135"/>
      <c r="F353" s="135"/>
      <c r="G353" s="135"/>
      <c r="H353" s="135"/>
      <c r="I353" s="135"/>
      <c r="J353" s="133" t="s">
        <v>95</v>
      </c>
      <c r="K353" s="135" t="str">
        <f>+C353</f>
        <v>EMPREGADA</v>
      </c>
      <c r="L353" s="135"/>
      <c r="M353" s="135"/>
      <c r="N353" s="135"/>
      <c r="O353" s="135"/>
    </row>
    <row r="354" spans="1:15" ht="15.75" customHeight="1" x14ac:dyDescent="0.25">
      <c r="A354" s="125"/>
      <c r="B354" s="133"/>
      <c r="C354" s="135"/>
      <c r="D354" s="135"/>
      <c r="E354" s="135"/>
      <c r="F354" s="135"/>
      <c r="G354" s="135"/>
      <c r="H354" s="135"/>
      <c r="I354" s="135"/>
      <c r="J354" s="133"/>
      <c r="K354" s="135"/>
      <c r="L354" s="135"/>
      <c r="M354" s="135"/>
      <c r="N354" s="135"/>
      <c r="O354" s="135"/>
    </row>
    <row r="355" spans="1:15" ht="15.75" customHeight="1" x14ac:dyDescent="0.25">
      <c r="A355" s="125"/>
      <c r="B355" s="133" t="s">
        <v>96</v>
      </c>
      <c r="C355" s="135"/>
      <c r="D355" s="135"/>
      <c r="E355" s="135"/>
      <c r="F355" s="135"/>
      <c r="G355" s="137">
        <f>+'Folha de salarios'!M22</f>
        <v>10955</v>
      </c>
      <c r="H355" s="137"/>
      <c r="I355" s="137"/>
      <c r="J355" s="133" t="s">
        <v>96</v>
      </c>
      <c r="K355" s="133"/>
      <c r="L355" s="135"/>
      <c r="M355" s="135"/>
      <c r="N355" s="135"/>
      <c r="O355" s="137">
        <f>+G355</f>
        <v>10955</v>
      </c>
    </row>
    <row r="356" spans="1:15" ht="15.75" customHeight="1" x14ac:dyDescent="0.25">
      <c r="A356" s="125"/>
      <c r="B356" s="133" t="s">
        <v>97</v>
      </c>
      <c r="C356" s="135"/>
      <c r="D356" s="135"/>
      <c r="E356" s="135"/>
      <c r="F356" s="135"/>
      <c r="G356" s="138">
        <f>+'Folha de salarios'!S22</f>
        <v>0</v>
      </c>
      <c r="H356" s="138"/>
      <c r="I356" s="138"/>
      <c r="J356" s="133" t="s">
        <v>97</v>
      </c>
      <c r="K356" s="133"/>
      <c r="L356" s="135"/>
      <c r="M356" s="135"/>
      <c r="N356" s="135"/>
      <c r="O356" s="138">
        <f>G356</f>
        <v>0</v>
      </c>
    </row>
    <row r="357" spans="1:15" ht="15.75" customHeight="1" x14ac:dyDescent="0.25">
      <c r="A357" s="125"/>
      <c r="B357" s="133" t="s">
        <v>98</v>
      </c>
      <c r="C357" s="135"/>
      <c r="D357" s="135"/>
      <c r="E357" s="135"/>
      <c r="F357" s="135"/>
      <c r="G357" s="138">
        <v>0</v>
      </c>
      <c r="H357" s="138"/>
      <c r="I357" s="138"/>
      <c r="J357" s="133" t="s">
        <v>98</v>
      </c>
      <c r="K357" s="133"/>
      <c r="L357" s="135"/>
      <c r="M357" s="135"/>
      <c r="N357" s="135"/>
      <c r="O357" s="138">
        <f>G357</f>
        <v>0</v>
      </c>
    </row>
    <row r="358" spans="1:15" ht="15.75" customHeight="1" x14ac:dyDescent="0.25">
      <c r="A358" s="125"/>
      <c r="B358" s="133" t="s">
        <v>99</v>
      </c>
      <c r="C358" s="135"/>
      <c r="D358" s="135"/>
      <c r="E358" s="135"/>
      <c r="F358" s="135"/>
      <c r="G358" s="138">
        <f>+'Folha de salarios'!O292</f>
        <v>0</v>
      </c>
      <c r="H358" s="138"/>
      <c r="I358" s="138"/>
      <c r="J358" s="133" t="s">
        <v>99</v>
      </c>
      <c r="K358" s="133"/>
      <c r="L358" s="135"/>
      <c r="M358" s="135"/>
      <c r="N358" s="135"/>
      <c r="O358" s="138">
        <v>0</v>
      </c>
    </row>
    <row r="359" spans="1:15" ht="15.75" customHeight="1" x14ac:dyDescent="0.25">
      <c r="A359" s="125"/>
      <c r="B359" s="135"/>
      <c r="C359" s="135"/>
      <c r="D359" s="135"/>
      <c r="E359" s="133" t="s">
        <v>100</v>
      </c>
      <c r="F359" s="135"/>
      <c r="G359" s="138">
        <f>SUM(G355:G358)</f>
        <v>10955</v>
      </c>
      <c r="H359" s="138"/>
      <c r="I359" s="138"/>
      <c r="J359" s="135"/>
      <c r="K359" s="135"/>
      <c r="L359" s="135"/>
      <c r="M359" s="133" t="s">
        <v>100</v>
      </c>
      <c r="N359" s="135"/>
      <c r="O359" s="138">
        <f>SUM(O355:O358)</f>
        <v>10955</v>
      </c>
    </row>
    <row r="360" spans="1:15" ht="15.75" customHeight="1" x14ac:dyDescent="0.25">
      <c r="A360" s="125"/>
      <c r="B360" s="135"/>
      <c r="C360" s="135"/>
      <c r="D360" s="135"/>
      <c r="E360" s="135"/>
      <c r="F360" s="135"/>
      <c r="G360" s="138"/>
      <c r="H360" s="138"/>
      <c r="I360" s="138"/>
      <c r="J360" s="135"/>
      <c r="K360" s="135"/>
      <c r="L360" s="135"/>
      <c r="M360" s="135"/>
      <c r="N360" s="135"/>
      <c r="O360" s="138"/>
    </row>
    <row r="361" spans="1:15" ht="15.75" customHeight="1" x14ac:dyDescent="0.25">
      <c r="A361" s="125"/>
      <c r="B361" s="135"/>
      <c r="C361" s="133" t="s">
        <v>101</v>
      </c>
      <c r="D361" s="135"/>
      <c r="E361" s="135"/>
      <c r="F361" s="135"/>
      <c r="G361" s="138"/>
      <c r="H361" s="138"/>
      <c r="I361" s="138"/>
      <c r="J361" s="135"/>
      <c r="K361" s="133" t="s">
        <v>101</v>
      </c>
      <c r="L361" s="135"/>
      <c r="M361" s="135"/>
      <c r="N361" s="135"/>
      <c r="O361" s="138"/>
    </row>
    <row r="362" spans="1:15" ht="15.75" customHeight="1" x14ac:dyDescent="0.25">
      <c r="A362" s="125"/>
      <c r="B362" s="135"/>
      <c r="C362" s="135"/>
      <c r="D362" s="133" t="s">
        <v>102</v>
      </c>
      <c r="E362" s="135"/>
      <c r="F362" s="135"/>
      <c r="G362" s="138">
        <f>+'Folha de salarios'!Z320</f>
        <v>0</v>
      </c>
      <c r="H362" s="138"/>
      <c r="I362" s="138"/>
      <c r="J362" s="135"/>
      <c r="K362" s="135"/>
      <c r="L362" s="133" t="s">
        <v>102</v>
      </c>
      <c r="M362" s="135"/>
      <c r="N362" s="135"/>
      <c r="O362" s="138">
        <f>+G362</f>
        <v>0</v>
      </c>
    </row>
    <row r="363" spans="1:15" ht="15.75" customHeight="1" x14ac:dyDescent="0.25">
      <c r="A363" s="125"/>
      <c r="B363" s="135"/>
      <c r="C363" s="135"/>
      <c r="D363" s="133" t="s">
        <v>86</v>
      </c>
      <c r="E363" s="135"/>
      <c r="F363" s="135"/>
      <c r="G363" s="138">
        <f>+G359*0.03</f>
        <v>328.65</v>
      </c>
      <c r="H363" s="138"/>
      <c r="I363" s="138"/>
      <c r="J363" s="135"/>
      <c r="K363" s="135"/>
      <c r="L363" s="133" t="s">
        <v>86</v>
      </c>
      <c r="M363" s="135"/>
      <c r="N363" s="135"/>
      <c r="O363" s="138">
        <f>+G363</f>
        <v>328.65</v>
      </c>
    </row>
    <row r="364" spans="1:15" ht="15.75" customHeight="1" x14ac:dyDescent="0.25">
      <c r="A364" s="125"/>
      <c r="B364" s="135"/>
      <c r="C364" s="135"/>
      <c r="D364" s="133" t="s">
        <v>103</v>
      </c>
      <c r="E364" s="135"/>
      <c r="F364" s="135"/>
      <c r="G364" s="138">
        <f>+G359*0.01</f>
        <v>109.55</v>
      </c>
      <c r="H364" s="138"/>
      <c r="I364" s="138"/>
      <c r="J364" s="135"/>
      <c r="K364" s="135"/>
      <c r="L364" s="133" t="s">
        <v>103</v>
      </c>
      <c r="M364" s="135"/>
      <c r="N364" s="135"/>
      <c r="O364" s="138">
        <f>+G364</f>
        <v>109.55</v>
      </c>
    </row>
    <row r="365" spans="1:15" ht="15.75" customHeight="1" x14ac:dyDescent="0.25">
      <c r="A365" s="125"/>
      <c r="B365" s="135"/>
      <c r="C365" s="135"/>
      <c r="D365" s="133" t="s">
        <v>104</v>
      </c>
      <c r="E365" s="135"/>
      <c r="F365" s="135"/>
      <c r="G365" s="138"/>
      <c r="H365" s="138"/>
      <c r="I365" s="138"/>
      <c r="J365" s="135"/>
      <c r="K365" s="135"/>
      <c r="L365" s="133" t="s">
        <v>104</v>
      </c>
      <c r="M365" s="135"/>
      <c r="N365" s="135"/>
      <c r="O365" s="138">
        <f>G365</f>
        <v>0</v>
      </c>
    </row>
    <row r="366" spans="1:15" ht="15.75" customHeight="1" x14ac:dyDescent="0.25">
      <c r="A366" s="125"/>
      <c r="B366" s="135"/>
      <c r="C366" s="135"/>
      <c r="D366" s="133" t="s">
        <v>105</v>
      </c>
      <c r="E366" s="135"/>
      <c r="F366" s="135"/>
      <c r="G366" s="138"/>
      <c r="H366" s="138"/>
      <c r="I366" s="138"/>
      <c r="J366" s="135"/>
      <c r="K366" s="135"/>
      <c r="L366" s="133" t="s">
        <v>105</v>
      </c>
      <c r="M366" s="135"/>
      <c r="N366" s="135"/>
      <c r="O366" s="138">
        <f>G366</f>
        <v>0</v>
      </c>
    </row>
    <row r="367" spans="1:15" ht="15.75" customHeight="1" x14ac:dyDescent="0.25">
      <c r="A367" s="125"/>
      <c r="B367" s="135"/>
      <c r="C367" s="135"/>
      <c r="D367" s="133" t="s">
        <v>106</v>
      </c>
      <c r="E367" s="135"/>
      <c r="F367" s="135"/>
      <c r="G367" s="138"/>
      <c r="H367" s="138"/>
      <c r="I367" s="138"/>
      <c r="J367" s="135"/>
      <c r="K367" s="135"/>
      <c r="L367" s="133" t="s">
        <v>106</v>
      </c>
      <c r="M367" s="135"/>
      <c r="N367" s="135"/>
      <c r="O367" s="138">
        <f>G367</f>
        <v>0</v>
      </c>
    </row>
    <row r="368" spans="1:15" ht="15.75" customHeight="1" x14ac:dyDescent="0.25">
      <c r="A368" s="125"/>
      <c r="B368" s="135"/>
      <c r="C368" s="135"/>
      <c r="D368" s="133" t="s">
        <v>112</v>
      </c>
      <c r="E368" s="135"/>
      <c r="F368" s="135"/>
      <c r="G368" s="138">
        <f>+'Folha de salarios'!Y22</f>
        <v>0</v>
      </c>
      <c r="H368" s="138"/>
      <c r="I368" s="138"/>
      <c r="J368" s="135"/>
      <c r="K368" s="135"/>
      <c r="L368" s="133" t="str">
        <f>+D368</f>
        <v>Pagament Antecipado</v>
      </c>
      <c r="N368" s="135"/>
      <c r="O368" s="138">
        <f>G368</f>
        <v>0</v>
      </c>
    </row>
    <row r="369" spans="1:15" ht="15.75" customHeight="1" x14ac:dyDescent="0.25">
      <c r="A369" s="125"/>
      <c r="B369" s="135"/>
      <c r="C369" s="135"/>
      <c r="D369" s="133" t="s">
        <v>108</v>
      </c>
      <c r="E369" s="135"/>
      <c r="F369" s="135"/>
      <c r="G369" s="138">
        <v>0</v>
      </c>
      <c r="H369" s="138"/>
      <c r="I369" s="138"/>
      <c r="J369" s="135"/>
      <c r="K369" s="135"/>
      <c r="L369" s="133" t="str">
        <f>+D369</f>
        <v>Arredondamento</v>
      </c>
      <c r="N369" s="135"/>
      <c r="O369" s="138">
        <f>+G369</f>
        <v>0</v>
      </c>
    </row>
    <row r="370" spans="1:15" ht="15.75" customHeight="1" x14ac:dyDescent="0.25">
      <c r="A370" s="125"/>
      <c r="B370" s="135"/>
      <c r="C370" s="135"/>
      <c r="D370" s="135"/>
      <c r="E370" s="133" t="s">
        <v>100</v>
      </c>
      <c r="F370" s="135"/>
      <c r="G370" s="138">
        <f>SUM(G362:G369)</f>
        <v>438.2</v>
      </c>
      <c r="H370" s="138"/>
      <c r="I370" s="138"/>
      <c r="J370" s="135"/>
      <c r="K370" s="135"/>
      <c r="L370" s="135"/>
      <c r="M370" s="133" t="s">
        <v>100</v>
      </c>
      <c r="N370" s="135"/>
      <c r="O370" s="138">
        <f>G370</f>
        <v>438.2</v>
      </c>
    </row>
    <row r="371" spans="1:15" ht="15.75" customHeight="1" x14ac:dyDescent="0.25">
      <c r="A371" s="125"/>
      <c r="B371" s="135"/>
      <c r="C371" s="135"/>
      <c r="D371" s="135"/>
      <c r="E371" s="135"/>
      <c r="F371" s="135"/>
      <c r="G371" s="138"/>
      <c r="H371" s="138"/>
      <c r="I371" s="138"/>
      <c r="J371" s="135"/>
      <c r="K371" s="135"/>
      <c r="L371" s="135"/>
      <c r="M371" s="135"/>
      <c r="N371" s="135"/>
      <c r="O371" s="138"/>
    </row>
    <row r="372" spans="1:15" ht="15.75" customHeight="1" x14ac:dyDescent="0.25">
      <c r="A372" s="125"/>
      <c r="B372" s="135"/>
      <c r="C372" s="133" t="s">
        <v>109</v>
      </c>
      <c r="D372" s="135"/>
      <c r="E372" s="135"/>
      <c r="F372" s="135"/>
      <c r="G372" s="139">
        <f>G359-G370</f>
        <v>10516.8</v>
      </c>
      <c r="H372" s="138"/>
      <c r="I372" s="138"/>
      <c r="J372" s="135"/>
      <c r="K372" s="135"/>
      <c r="L372" s="133" t="s">
        <v>109</v>
      </c>
      <c r="M372" s="135"/>
      <c r="N372" s="135"/>
      <c r="O372" s="139">
        <f>O359-O370</f>
        <v>10516.8</v>
      </c>
    </row>
    <row r="373" spans="1:15" ht="15.75" customHeight="1" x14ac:dyDescent="0.25">
      <c r="A373" s="125"/>
      <c r="B373" s="135"/>
      <c r="C373" s="133"/>
      <c r="D373" s="135"/>
      <c r="E373" s="135"/>
      <c r="F373" s="135"/>
      <c r="G373" s="138"/>
      <c r="H373" s="138"/>
      <c r="I373" s="138"/>
      <c r="J373" s="135"/>
      <c r="K373" s="135"/>
      <c r="L373" s="133"/>
      <c r="M373" s="135"/>
      <c r="N373" s="135"/>
      <c r="O373" s="138"/>
    </row>
    <row r="374" spans="1:15" ht="15.75" customHeight="1" x14ac:dyDescent="0.25">
      <c r="A374" s="125"/>
      <c r="B374" s="135"/>
      <c r="C374" s="135"/>
      <c r="D374" s="135"/>
      <c r="E374" s="135"/>
      <c r="F374" s="135"/>
      <c r="G374" s="138"/>
      <c r="H374" s="138"/>
      <c r="I374" s="138"/>
      <c r="J374" s="135"/>
      <c r="K374" s="135"/>
      <c r="L374" s="135"/>
      <c r="M374" s="135"/>
      <c r="N374" s="135"/>
      <c r="O374" s="138"/>
    </row>
    <row r="375" spans="1:15" ht="15.75" customHeight="1" x14ac:dyDescent="0.25">
      <c r="A375" s="125"/>
      <c r="B375" s="135"/>
      <c r="C375" s="135"/>
      <c r="D375" s="135"/>
      <c r="E375" s="133" t="s">
        <v>110</v>
      </c>
      <c r="F375" s="135"/>
      <c r="G375" s="138"/>
      <c r="H375" s="138"/>
      <c r="I375" s="138"/>
      <c r="J375" s="135"/>
      <c r="K375" s="135"/>
      <c r="L375" s="135"/>
      <c r="M375" s="133" t="s">
        <v>110</v>
      </c>
      <c r="N375" s="135"/>
      <c r="O375" s="138"/>
    </row>
    <row r="376" spans="1:15" ht="38.1" customHeight="1" x14ac:dyDescent="0.2">
      <c r="A376" s="125"/>
      <c r="B376" s="247" t="s">
        <v>91</v>
      </c>
      <c r="C376" s="247"/>
      <c r="D376" s="247"/>
      <c r="E376" s="247"/>
      <c r="F376" s="247"/>
      <c r="G376" s="247"/>
      <c r="H376" s="127"/>
      <c r="I376" s="127"/>
      <c r="J376" s="247" t="s">
        <v>91</v>
      </c>
      <c r="K376" s="247"/>
      <c r="L376" s="247"/>
      <c r="M376" s="247"/>
      <c r="N376" s="247"/>
      <c r="O376" s="247"/>
    </row>
    <row r="377" spans="1:15" ht="15" customHeight="1" x14ac:dyDescent="0.2">
      <c r="A377" s="125"/>
      <c r="B377" s="126"/>
      <c r="C377" s="128"/>
      <c r="D377" s="128"/>
      <c r="E377" s="128"/>
      <c r="F377" s="128"/>
      <c r="G377" s="128"/>
      <c r="H377" s="127"/>
      <c r="I377" s="127"/>
      <c r="J377" s="126"/>
      <c r="K377" s="128"/>
      <c r="L377" s="128"/>
      <c r="M377" s="128"/>
      <c r="N377" s="128"/>
      <c r="O377" s="128"/>
    </row>
    <row r="378" spans="1:15" ht="18.600000000000001" customHeight="1" x14ac:dyDescent="0.3">
      <c r="A378" s="125"/>
      <c r="B378" s="248" t="s">
        <v>92</v>
      </c>
      <c r="C378" s="248"/>
      <c r="D378" s="248"/>
      <c r="E378" s="248"/>
      <c r="F378" s="248"/>
      <c r="G378" s="248"/>
      <c r="H378" s="129"/>
      <c r="I378" s="130"/>
      <c r="J378" s="248" t="s">
        <v>92</v>
      </c>
      <c r="K378" s="248"/>
      <c r="L378" s="248"/>
      <c r="M378" s="248"/>
      <c r="N378" s="248"/>
      <c r="O378" s="248"/>
    </row>
    <row r="379" spans="1:15" ht="15" customHeight="1" x14ac:dyDescent="0.2">
      <c r="A379" s="125"/>
      <c r="B379" s="131">
        <f>+B350+1</f>
        <v>14</v>
      </c>
      <c r="C379" s="140"/>
      <c r="D379" s="140"/>
      <c r="E379" s="140"/>
      <c r="F379" s="140"/>
      <c r="G379" s="140"/>
      <c r="H379" s="140"/>
      <c r="I379" s="140"/>
      <c r="J379" s="131">
        <f>+B379</f>
        <v>14</v>
      </c>
      <c r="K379" s="130"/>
      <c r="L379" s="132"/>
      <c r="M379" s="132"/>
      <c r="N379" s="132"/>
      <c r="O379" s="132"/>
    </row>
    <row r="380" spans="1:15" ht="18.600000000000001" customHeight="1" x14ac:dyDescent="0.25">
      <c r="A380" s="125"/>
      <c r="B380" s="133" t="s">
        <v>93</v>
      </c>
      <c r="C380" s="134" t="str">
        <f>+C5</f>
        <v>JANEIRIO</v>
      </c>
      <c r="D380" s="135"/>
      <c r="E380" s="135">
        <f>+E322</f>
        <v>2025</v>
      </c>
      <c r="F380" s="133"/>
      <c r="G380" s="136"/>
      <c r="H380" s="136"/>
      <c r="I380" s="136"/>
      <c r="J380" s="133" t="s">
        <v>93</v>
      </c>
      <c r="K380" s="134" t="str">
        <f>+C380</f>
        <v>JANEIRIO</v>
      </c>
      <c r="L380" s="135"/>
      <c r="M380" s="135">
        <f>+E380</f>
        <v>2025</v>
      </c>
      <c r="O380" s="136"/>
    </row>
    <row r="381" spans="1:15" ht="18.600000000000001" customHeight="1" x14ac:dyDescent="0.25">
      <c r="A381" s="125"/>
      <c r="B381" s="133" t="s">
        <v>94</v>
      </c>
      <c r="C381" s="136" t="str">
        <f>+'Folha de salarios'!C23</f>
        <v>INACIO FABIAO TIMBE</v>
      </c>
      <c r="D381" s="136"/>
      <c r="E381" s="136"/>
      <c r="F381" s="136"/>
      <c r="G381" s="135"/>
      <c r="H381" s="135"/>
      <c r="I381" s="135"/>
      <c r="J381" s="133" t="s">
        <v>94</v>
      </c>
      <c r="K381" s="136" t="str">
        <f>C381</f>
        <v>INACIO FABIAO TIMBE</v>
      </c>
      <c r="L381" s="135"/>
      <c r="M381" s="135"/>
      <c r="O381" s="135"/>
    </row>
    <row r="382" spans="1:15" ht="15.75" customHeight="1" x14ac:dyDescent="0.25">
      <c r="A382" s="125"/>
      <c r="B382" s="133" t="s">
        <v>95</v>
      </c>
      <c r="C382" s="135" t="str">
        <f>+'Folha de salarios'!G23</f>
        <v>CAPITÃO DE BARCO</v>
      </c>
      <c r="D382" s="135"/>
      <c r="E382" s="135"/>
      <c r="F382" s="135"/>
      <c r="G382" s="135"/>
      <c r="H382" s="135"/>
      <c r="I382" s="135"/>
      <c r="J382" s="133" t="s">
        <v>95</v>
      </c>
      <c r="K382" s="135"/>
      <c r="L382" s="135"/>
      <c r="M382" s="135"/>
      <c r="N382" s="135"/>
      <c r="O382" s="135"/>
    </row>
    <row r="383" spans="1:15" ht="15.75" customHeight="1" x14ac:dyDescent="0.25">
      <c r="A383" s="125"/>
      <c r="B383" s="133"/>
      <c r="C383" s="135"/>
      <c r="D383" s="135"/>
      <c r="E383" s="135"/>
      <c r="F383" s="135"/>
      <c r="G383" s="135"/>
      <c r="H383" s="135"/>
      <c r="I383" s="135"/>
      <c r="J383" s="133"/>
      <c r="K383" s="135"/>
      <c r="L383" s="135"/>
      <c r="M383" s="135"/>
      <c r="N383" s="135"/>
      <c r="O383" s="135"/>
    </row>
    <row r="384" spans="1:15" ht="15.75" customHeight="1" x14ac:dyDescent="0.25">
      <c r="A384" s="125"/>
      <c r="B384" s="133" t="s">
        <v>96</v>
      </c>
      <c r="C384" s="135"/>
      <c r="D384" s="135"/>
      <c r="E384" s="135"/>
      <c r="F384" s="135"/>
      <c r="G384" s="137">
        <f>+'Folha de salarios'!M23</f>
        <v>16350.000000000004</v>
      </c>
      <c r="H384" s="137"/>
      <c r="I384" s="137"/>
      <c r="J384" s="133" t="s">
        <v>96</v>
      </c>
      <c r="K384" s="133"/>
      <c r="L384" s="135"/>
      <c r="M384" s="135"/>
      <c r="N384" s="135"/>
      <c r="O384" s="137">
        <f>+G384</f>
        <v>16350.000000000004</v>
      </c>
    </row>
    <row r="385" spans="1:15" ht="15.75" customHeight="1" x14ac:dyDescent="0.25">
      <c r="A385" s="125"/>
      <c r="B385" s="133" t="s">
        <v>97</v>
      </c>
      <c r="C385" s="135"/>
      <c r="D385" s="135"/>
      <c r="E385" s="135"/>
      <c r="F385" s="135"/>
      <c r="G385" s="138">
        <f>+'Folha de salarios'!S23</f>
        <v>0</v>
      </c>
      <c r="H385" s="138"/>
      <c r="I385" s="138"/>
      <c r="J385" s="133" t="s">
        <v>97</v>
      </c>
      <c r="K385" s="133"/>
      <c r="L385" s="135"/>
      <c r="M385" s="135"/>
      <c r="N385" s="135"/>
      <c r="O385" s="138">
        <f>G385</f>
        <v>0</v>
      </c>
    </row>
    <row r="386" spans="1:15" ht="15.75" customHeight="1" x14ac:dyDescent="0.25">
      <c r="A386" s="125"/>
      <c r="B386" s="133" t="s">
        <v>98</v>
      </c>
      <c r="C386" s="135"/>
      <c r="D386" s="135"/>
      <c r="E386" s="135"/>
      <c r="F386" s="135"/>
      <c r="G386" s="138">
        <v>0</v>
      </c>
      <c r="H386" s="138"/>
      <c r="I386" s="138"/>
      <c r="J386" s="133" t="s">
        <v>98</v>
      </c>
      <c r="K386" s="133"/>
      <c r="L386" s="135"/>
      <c r="M386" s="135"/>
      <c r="N386" s="135"/>
      <c r="O386" s="138">
        <f>G386</f>
        <v>0</v>
      </c>
    </row>
    <row r="387" spans="1:15" ht="15.75" customHeight="1" x14ac:dyDescent="0.25">
      <c r="A387" s="125"/>
      <c r="B387" s="133" t="s">
        <v>99</v>
      </c>
      <c r="C387" s="135"/>
      <c r="D387" s="135"/>
      <c r="E387" s="135"/>
      <c r="F387" s="135"/>
      <c r="G387" s="138">
        <f>+'Folha de salarios'!O293</f>
        <v>0</v>
      </c>
      <c r="H387" s="138"/>
      <c r="I387" s="138"/>
      <c r="J387" s="133" t="s">
        <v>99</v>
      </c>
      <c r="K387" s="133"/>
      <c r="L387" s="135"/>
      <c r="M387" s="135"/>
      <c r="N387" s="135"/>
      <c r="O387" s="138">
        <v>0</v>
      </c>
    </row>
    <row r="388" spans="1:15" ht="15.75" customHeight="1" x14ac:dyDescent="0.25">
      <c r="A388" s="125"/>
      <c r="B388" s="135"/>
      <c r="C388" s="135"/>
      <c r="D388" s="135"/>
      <c r="E388" s="133" t="s">
        <v>100</v>
      </c>
      <c r="F388" s="135"/>
      <c r="G388" s="138">
        <f>SUM(G384:G387)</f>
        <v>16350.000000000004</v>
      </c>
      <c r="H388" s="138"/>
      <c r="I388" s="138"/>
      <c r="J388" s="135"/>
      <c r="K388" s="135"/>
      <c r="L388" s="135"/>
      <c r="M388" s="133" t="s">
        <v>100</v>
      </c>
      <c r="N388" s="135"/>
      <c r="O388" s="138">
        <f>SUM(O384:O387)</f>
        <v>16350.000000000004</v>
      </c>
    </row>
    <row r="389" spans="1:15" ht="15.75" customHeight="1" x14ac:dyDescent="0.25">
      <c r="A389" s="125"/>
      <c r="B389" s="135"/>
      <c r="C389" s="135"/>
      <c r="D389" s="135"/>
      <c r="E389" s="135"/>
      <c r="F389" s="135"/>
      <c r="G389" s="138"/>
      <c r="H389" s="138"/>
      <c r="I389" s="138"/>
      <c r="J389" s="135"/>
      <c r="K389" s="135"/>
      <c r="L389" s="135"/>
      <c r="M389" s="135"/>
      <c r="N389" s="135"/>
      <c r="O389" s="138"/>
    </row>
    <row r="390" spans="1:15" ht="15.75" customHeight="1" x14ac:dyDescent="0.25">
      <c r="A390" s="125"/>
      <c r="B390" s="135"/>
      <c r="C390" s="133" t="s">
        <v>101</v>
      </c>
      <c r="D390" s="135"/>
      <c r="E390" s="135"/>
      <c r="F390" s="135"/>
      <c r="G390" s="138"/>
      <c r="H390" s="138"/>
      <c r="I390" s="138"/>
      <c r="J390" s="135"/>
      <c r="K390" s="133" t="s">
        <v>101</v>
      </c>
      <c r="L390" s="135"/>
      <c r="N390" s="135"/>
      <c r="O390" s="138"/>
    </row>
    <row r="391" spans="1:15" ht="15.75" customHeight="1" x14ac:dyDescent="0.25">
      <c r="A391" s="125"/>
      <c r="B391" s="135"/>
      <c r="C391" s="135"/>
      <c r="D391" s="133" t="s">
        <v>102</v>
      </c>
      <c r="E391" s="135"/>
      <c r="F391" s="135"/>
      <c r="G391" s="138">
        <f>+'Folha de salarios'!Z349</f>
        <v>0</v>
      </c>
      <c r="H391" s="138"/>
      <c r="I391" s="138"/>
      <c r="J391" s="135"/>
      <c r="K391" s="135"/>
      <c r="L391" s="133" t="s">
        <v>102</v>
      </c>
      <c r="N391" s="135"/>
      <c r="O391" s="138">
        <f>+G391</f>
        <v>0</v>
      </c>
    </row>
    <row r="392" spans="1:15" ht="15.75" customHeight="1" x14ac:dyDescent="0.25">
      <c r="A392" s="125"/>
      <c r="B392" s="135"/>
      <c r="C392" s="135"/>
      <c r="D392" s="133" t="s">
        <v>86</v>
      </c>
      <c r="E392" s="135"/>
      <c r="F392" s="135"/>
      <c r="G392" s="138">
        <f>+G388*0.03</f>
        <v>490.50000000000011</v>
      </c>
      <c r="H392" s="138"/>
      <c r="I392" s="138"/>
      <c r="J392" s="135"/>
      <c r="K392" s="135"/>
      <c r="L392" s="133" t="s">
        <v>86</v>
      </c>
      <c r="N392" s="135"/>
      <c r="O392" s="138">
        <f>+G392</f>
        <v>490.50000000000011</v>
      </c>
    </row>
    <row r="393" spans="1:15" ht="15.75" customHeight="1" x14ac:dyDescent="0.25">
      <c r="A393" s="125"/>
      <c r="B393" s="135"/>
      <c r="C393" s="135"/>
      <c r="D393" s="133" t="s">
        <v>103</v>
      </c>
      <c r="E393" s="135"/>
      <c r="F393" s="135"/>
      <c r="G393" s="138">
        <f>+G388*0.01</f>
        <v>163.50000000000003</v>
      </c>
      <c r="H393" s="138"/>
      <c r="I393" s="138"/>
      <c r="J393" s="135"/>
      <c r="K393" s="135"/>
      <c r="L393" s="133" t="s">
        <v>103</v>
      </c>
      <c r="N393" s="135"/>
      <c r="O393" s="138">
        <f>+G393</f>
        <v>163.50000000000003</v>
      </c>
    </row>
    <row r="394" spans="1:15" ht="15.75" customHeight="1" x14ac:dyDescent="0.25">
      <c r="A394" s="125"/>
      <c r="B394" s="135"/>
      <c r="C394" s="135"/>
      <c r="D394" s="133" t="s">
        <v>104</v>
      </c>
      <c r="E394" s="135"/>
      <c r="F394" s="135"/>
      <c r="G394" s="138"/>
      <c r="H394" s="138"/>
      <c r="I394" s="138"/>
      <c r="J394" s="135"/>
      <c r="K394" s="135"/>
      <c r="L394" s="133" t="s">
        <v>104</v>
      </c>
      <c r="N394" s="135"/>
      <c r="O394" s="138">
        <f>G394</f>
        <v>0</v>
      </c>
    </row>
    <row r="395" spans="1:15" ht="15.75" customHeight="1" x14ac:dyDescent="0.25">
      <c r="A395" s="125"/>
      <c r="B395" s="135"/>
      <c r="C395" s="135"/>
      <c r="D395" s="133" t="s">
        <v>105</v>
      </c>
      <c r="E395" s="135"/>
      <c r="F395" s="135"/>
      <c r="G395" s="138"/>
      <c r="H395" s="138"/>
      <c r="I395" s="138"/>
      <c r="J395" s="135"/>
      <c r="K395" s="135"/>
      <c r="L395" s="133" t="s">
        <v>105</v>
      </c>
      <c r="N395" s="135"/>
      <c r="O395" s="138">
        <f>G395</f>
        <v>0</v>
      </c>
    </row>
    <row r="396" spans="1:15" ht="15.75" customHeight="1" x14ac:dyDescent="0.25">
      <c r="A396" s="125"/>
      <c r="B396" s="135"/>
      <c r="C396" s="135"/>
      <c r="D396" s="133" t="s">
        <v>106</v>
      </c>
      <c r="E396" s="135"/>
      <c r="F396" s="135"/>
      <c r="G396" s="138"/>
      <c r="H396" s="138"/>
      <c r="I396" s="138"/>
      <c r="J396" s="135"/>
      <c r="K396" s="135"/>
      <c r="L396" s="133" t="s">
        <v>106</v>
      </c>
      <c r="N396" s="135"/>
      <c r="O396" s="138">
        <f>G396</f>
        <v>0</v>
      </c>
    </row>
    <row r="397" spans="1:15" ht="15.75" customHeight="1" x14ac:dyDescent="0.25">
      <c r="A397" s="125"/>
      <c r="B397" s="135"/>
      <c r="C397" s="135"/>
      <c r="D397" s="133" t="s">
        <v>112</v>
      </c>
      <c r="E397" s="135"/>
      <c r="F397" s="135"/>
      <c r="G397" s="138">
        <f>+'Folha de salarios'!Y23</f>
        <v>0</v>
      </c>
      <c r="H397" s="138"/>
      <c r="I397" s="138"/>
      <c r="J397" s="135"/>
      <c r="K397" s="135"/>
      <c r="L397" s="133" t="str">
        <f>+D397</f>
        <v>Pagament Antecipado</v>
      </c>
      <c r="N397" s="135"/>
      <c r="O397" s="138">
        <f>G397</f>
        <v>0</v>
      </c>
    </row>
    <row r="398" spans="1:15" ht="15.75" customHeight="1" x14ac:dyDescent="0.25">
      <c r="A398" s="125"/>
      <c r="B398" s="135"/>
      <c r="C398" s="135"/>
      <c r="D398" s="133" t="s">
        <v>108</v>
      </c>
      <c r="E398" s="135"/>
      <c r="F398" s="135"/>
      <c r="G398" s="138">
        <v>0</v>
      </c>
      <c r="H398" s="138"/>
      <c r="I398" s="138"/>
      <c r="J398" s="135"/>
      <c r="K398" s="135"/>
      <c r="L398" s="133" t="str">
        <f>+D398</f>
        <v>Arredondamento</v>
      </c>
      <c r="N398" s="135"/>
      <c r="O398" s="138">
        <f>+G398</f>
        <v>0</v>
      </c>
    </row>
    <row r="399" spans="1:15" ht="15.75" customHeight="1" x14ac:dyDescent="0.25">
      <c r="A399" s="125"/>
      <c r="B399" s="135"/>
      <c r="C399" s="135"/>
      <c r="D399" s="135"/>
      <c r="E399" s="133" t="s">
        <v>100</v>
      </c>
      <c r="F399" s="135"/>
      <c r="G399" s="138">
        <f>SUM(G391:G398)</f>
        <v>654.00000000000011</v>
      </c>
      <c r="H399" s="138"/>
      <c r="I399" s="138"/>
      <c r="J399" s="135"/>
      <c r="K399" s="135"/>
      <c r="L399" s="135"/>
      <c r="M399" s="133" t="s">
        <v>100</v>
      </c>
      <c r="N399" s="135"/>
      <c r="O399" s="138">
        <f>G399</f>
        <v>654.00000000000011</v>
      </c>
    </row>
    <row r="400" spans="1:15" ht="15.75" customHeight="1" x14ac:dyDescent="0.25">
      <c r="A400" s="125"/>
      <c r="B400" s="135"/>
      <c r="C400" s="135"/>
      <c r="D400" s="135"/>
      <c r="E400" s="135"/>
      <c r="F400" s="135"/>
      <c r="G400" s="138"/>
      <c r="H400" s="138"/>
      <c r="I400" s="138"/>
      <c r="J400" s="135"/>
      <c r="K400" s="135"/>
      <c r="L400" s="135"/>
      <c r="M400" s="135"/>
      <c r="N400" s="135"/>
      <c r="O400" s="138"/>
    </row>
    <row r="401" spans="1:15" ht="15.75" customHeight="1" x14ac:dyDescent="0.25">
      <c r="A401" s="125"/>
      <c r="B401" s="135"/>
      <c r="C401" s="133" t="s">
        <v>109</v>
      </c>
      <c r="D401" s="135"/>
      <c r="E401" s="135"/>
      <c r="F401" s="135"/>
      <c r="G401" s="139">
        <f>G388-G399</f>
        <v>15696.000000000004</v>
      </c>
      <c r="H401" s="138"/>
      <c r="I401" s="138"/>
      <c r="J401" s="135"/>
      <c r="K401" s="135"/>
      <c r="L401" s="133" t="s">
        <v>109</v>
      </c>
      <c r="M401" s="135"/>
      <c r="N401" s="135"/>
      <c r="O401" s="139">
        <f>O388-O399</f>
        <v>15696.000000000004</v>
      </c>
    </row>
    <row r="402" spans="1:15" ht="15.75" customHeight="1" x14ac:dyDescent="0.25">
      <c r="A402" s="125"/>
      <c r="B402" s="135"/>
      <c r="C402" s="133"/>
      <c r="D402" s="135"/>
      <c r="E402" s="135"/>
      <c r="F402" s="135"/>
      <c r="G402" s="138"/>
      <c r="H402" s="138"/>
      <c r="I402" s="138"/>
      <c r="J402" s="135"/>
      <c r="K402" s="135"/>
      <c r="L402" s="133"/>
      <c r="M402" s="135"/>
      <c r="N402" s="135"/>
      <c r="O402" s="138"/>
    </row>
    <row r="403" spans="1:15" ht="15.75" customHeight="1" x14ac:dyDescent="0.25">
      <c r="A403" s="125"/>
      <c r="B403" s="135"/>
      <c r="C403" s="135"/>
      <c r="D403" s="135"/>
      <c r="E403" s="135"/>
      <c r="F403" s="135"/>
      <c r="G403" s="138"/>
      <c r="H403" s="138"/>
      <c r="I403" s="138"/>
      <c r="J403" s="135"/>
      <c r="K403" s="135"/>
      <c r="L403" s="135"/>
      <c r="M403" s="135"/>
      <c r="N403" s="135"/>
      <c r="O403" s="138"/>
    </row>
    <row r="404" spans="1:15" ht="15.75" customHeight="1" x14ac:dyDescent="0.25">
      <c r="A404" s="125"/>
      <c r="B404" s="135"/>
      <c r="C404" s="135"/>
      <c r="D404" s="135"/>
      <c r="E404" s="133" t="s">
        <v>110</v>
      </c>
      <c r="F404" s="135"/>
      <c r="G404" s="138"/>
      <c r="H404" s="138"/>
      <c r="I404" s="138"/>
      <c r="J404" s="135"/>
      <c r="K404" s="135"/>
      <c r="L404" s="135"/>
      <c r="M404" s="133" t="s">
        <v>110</v>
      </c>
      <c r="N404" s="135"/>
      <c r="O404" s="138"/>
    </row>
    <row r="405" spans="1:15" ht="38.1" customHeight="1" x14ac:dyDescent="0.2">
      <c r="A405" s="125"/>
      <c r="B405" s="247" t="s">
        <v>91</v>
      </c>
      <c r="C405" s="247"/>
      <c r="D405" s="247"/>
      <c r="E405" s="247"/>
      <c r="F405" s="247"/>
      <c r="G405" s="247"/>
      <c r="H405" s="127"/>
      <c r="I405" s="127"/>
      <c r="J405" s="247" t="s">
        <v>91</v>
      </c>
      <c r="K405" s="247"/>
      <c r="L405" s="247"/>
      <c r="M405" s="247"/>
      <c r="N405" s="247"/>
      <c r="O405" s="247"/>
    </row>
    <row r="406" spans="1:15" ht="15" customHeight="1" x14ac:dyDescent="0.2">
      <c r="A406" s="125"/>
      <c r="B406" s="126"/>
      <c r="C406" s="128"/>
      <c r="D406" s="128"/>
      <c r="E406" s="128"/>
      <c r="F406" s="128"/>
      <c r="G406" s="128"/>
      <c r="H406" s="127"/>
      <c r="I406" s="127"/>
      <c r="J406" s="126"/>
      <c r="K406" s="128"/>
      <c r="L406" s="128"/>
      <c r="M406" s="128"/>
      <c r="N406" s="128"/>
      <c r="O406" s="128"/>
    </row>
    <row r="407" spans="1:15" ht="18.600000000000001" customHeight="1" x14ac:dyDescent="0.3">
      <c r="A407" s="125"/>
      <c r="B407" s="248" t="s">
        <v>92</v>
      </c>
      <c r="C407" s="248"/>
      <c r="D407" s="248"/>
      <c r="E407" s="248"/>
      <c r="F407" s="248"/>
      <c r="G407" s="248"/>
      <c r="H407" s="129"/>
      <c r="I407" s="130"/>
      <c r="J407" s="248" t="s">
        <v>92</v>
      </c>
      <c r="K407" s="248"/>
      <c r="L407" s="248"/>
      <c r="M407" s="248"/>
      <c r="N407" s="248"/>
      <c r="O407" s="248"/>
    </row>
    <row r="408" spans="1:15" ht="15" customHeight="1" x14ac:dyDescent="0.2">
      <c r="A408" s="125"/>
      <c r="B408" s="131">
        <f>+B379+1</f>
        <v>15</v>
      </c>
      <c r="C408" s="140"/>
      <c r="D408" s="140"/>
      <c r="E408" s="140"/>
      <c r="F408" s="140"/>
      <c r="G408" s="140"/>
      <c r="H408" s="140"/>
      <c r="I408" s="140"/>
      <c r="J408" s="131">
        <f>+B408</f>
        <v>15</v>
      </c>
      <c r="K408" s="131"/>
      <c r="L408" s="132"/>
      <c r="M408" s="132"/>
      <c r="N408" s="132"/>
      <c r="O408" s="132"/>
    </row>
    <row r="409" spans="1:15" ht="18.600000000000001" customHeight="1" x14ac:dyDescent="0.25">
      <c r="A409" s="125"/>
      <c r="B409" s="133" t="s">
        <v>93</v>
      </c>
      <c r="C409" s="134" t="str">
        <f>+C5</f>
        <v>JANEIRIO</v>
      </c>
      <c r="D409" s="135"/>
      <c r="E409" s="135">
        <f>+E351</f>
        <v>2025</v>
      </c>
      <c r="F409" s="133"/>
      <c r="G409" s="136"/>
      <c r="H409" s="136"/>
      <c r="I409" s="136"/>
      <c r="J409" s="133" t="s">
        <v>93</v>
      </c>
      <c r="K409" s="134" t="str">
        <f>+C409</f>
        <v>JANEIRIO</v>
      </c>
      <c r="L409" s="135"/>
      <c r="M409" s="135">
        <f>+E409</f>
        <v>2025</v>
      </c>
      <c r="O409" s="136"/>
    </row>
    <row r="410" spans="1:15" ht="18.600000000000001" customHeight="1" x14ac:dyDescent="0.25">
      <c r="A410" s="125"/>
      <c r="B410" s="133" t="s">
        <v>94</v>
      </c>
      <c r="C410" s="136" t="str">
        <f>+'Folha de salarios'!C24</f>
        <v>CALDERONE AGOSTINHO CHIVALE</v>
      </c>
      <c r="D410" s="136"/>
      <c r="E410" s="136"/>
      <c r="F410" s="136"/>
      <c r="G410" s="135"/>
      <c r="H410" s="135"/>
      <c r="I410" s="135"/>
      <c r="J410" s="133" t="s">
        <v>94</v>
      </c>
      <c r="K410" s="136" t="str">
        <f>C410</f>
        <v>CALDERONE AGOSTINHO CHIVALE</v>
      </c>
      <c r="L410" s="135"/>
      <c r="M410" s="135"/>
      <c r="O410" s="135"/>
    </row>
    <row r="411" spans="1:15" ht="15.75" customHeight="1" x14ac:dyDescent="0.25">
      <c r="A411" s="125"/>
      <c r="B411" s="133" t="s">
        <v>95</v>
      </c>
      <c r="C411" s="135" t="str">
        <f>+'Folha de salarios'!G24</f>
        <v>COZINHEIRA</v>
      </c>
      <c r="D411" s="135"/>
      <c r="E411" s="135"/>
      <c r="F411" s="135"/>
      <c r="G411" s="135"/>
      <c r="H411" s="135"/>
      <c r="I411" s="135"/>
      <c r="J411" s="133" t="s">
        <v>95</v>
      </c>
      <c r="K411" s="135" t="str">
        <f>+C411</f>
        <v>COZINHEIRA</v>
      </c>
      <c r="L411" s="135"/>
      <c r="M411" s="135"/>
      <c r="N411" s="135"/>
      <c r="O411" s="135"/>
    </row>
    <row r="412" spans="1:15" ht="15.75" customHeight="1" x14ac:dyDescent="0.25">
      <c r="A412" s="125"/>
      <c r="B412" s="133"/>
      <c r="C412" s="135"/>
      <c r="D412" s="135"/>
      <c r="E412" s="135"/>
      <c r="F412" s="135"/>
      <c r="G412" s="135"/>
      <c r="H412" s="135"/>
      <c r="I412" s="135"/>
      <c r="J412" s="133"/>
      <c r="K412" s="135"/>
      <c r="L412" s="135"/>
      <c r="M412" s="135"/>
      <c r="N412" s="135"/>
      <c r="O412" s="135"/>
    </row>
    <row r="413" spans="1:15" ht="15.75" customHeight="1" x14ac:dyDescent="0.25">
      <c r="A413" s="125"/>
      <c r="B413" s="133" t="s">
        <v>96</v>
      </c>
      <c r="C413" s="135"/>
      <c r="D413" s="135"/>
      <c r="E413" s="135"/>
      <c r="F413" s="135"/>
      <c r="G413" s="137">
        <f>+'Folha de salarios'!M24</f>
        <v>16350.000000000004</v>
      </c>
      <c r="H413" s="137"/>
      <c r="I413" s="137"/>
      <c r="J413" s="133" t="s">
        <v>96</v>
      </c>
      <c r="K413" s="133"/>
      <c r="L413" s="135"/>
      <c r="M413" s="135"/>
      <c r="N413" s="135"/>
      <c r="O413" s="137">
        <f>+G413</f>
        <v>16350.000000000004</v>
      </c>
    </row>
    <row r="414" spans="1:15" ht="15.75" customHeight="1" x14ac:dyDescent="0.25">
      <c r="A414" s="125"/>
      <c r="B414" s="133" t="s">
        <v>97</v>
      </c>
      <c r="C414" s="135"/>
      <c r="D414" s="135"/>
      <c r="E414" s="135"/>
      <c r="F414" s="135"/>
      <c r="G414" s="138">
        <f>+'Folha de salarios'!S24</f>
        <v>0</v>
      </c>
      <c r="H414" s="138"/>
      <c r="I414" s="138"/>
      <c r="J414" s="133" t="s">
        <v>97</v>
      </c>
      <c r="K414" s="133"/>
      <c r="L414" s="135"/>
      <c r="M414" s="135"/>
      <c r="N414" s="135"/>
      <c r="O414" s="138">
        <f>G414</f>
        <v>0</v>
      </c>
    </row>
    <row r="415" spans="1:15" ht="15.75" customHeight="1" x14ac:dyDescent="0.25">
      <c r="A415" s="125"/>
      <c r="B415" s="133" t="s">
        <v>98</v>
      </c>
      <c r="C415" s="135"/>
      <c r="D415" s="135"/>
      <c r="E415" s="135"/>
      <c r="F415" s="135"/>
      <c r="G415" s="138">
        <v>0</v>
      </c>
      <c r="H415" s="138"/>
      <c r="I415" s="138"/>
      <c r="J415" s="133" t="s">
        <v>98</v>
      </c>
      <c r="K415" s="133"/>
      <c r="L415" s="135"/>
      <c r="M415" s="135"/>
      <c r="N415" s="135"/>
      <c r="O415" s="138">
        <f>G415</f>
        <v>0</v>
      </c>
    </row>
    <row r="416" spans="1:15" ht="15.75" customHeight="1" x14ac:dyDescent="0.25">
      <c r="A416" s="125"/>
      <c r="B416" s="133" t="s">
        <v>99</v>
      </c>
      <c r="C416" s="135"/>
      <c r="D416" s="135"/>
      <c r="E416" s="135"/>
      <c r="F416" s="135"/>
      <c r="G416" s="138">
        <f>+'Folha de salarios'!O294</f>
        <v>0</v>
      </c>
      <c r="H416" s="138"/>
      <c r="I416" s="138"/>
      <c r="J416" s="133" t="s">
        <v>99</v>
      </c>
      <c r="K416" s="133"/>
      <c r="L416" s="135"/>
      <c r="M416" s="135"/>
      <c r="N416" s="135"/>
      <c r="O416" s="138">
        <f>+G416</f>
        <v>0</v>
      </c>
    </row>
    <row r="417" spans="1:15" ht="15.75" customHeight="1" x14ac:dyDescent="0.25">
      <c r="A417" s="125"/>
      <c r="B417" s="135"/>
      <c r="C417" s="135"/>
      <c r="D417" s="135"/>
      <c r="E417" s="133" t="s">
        <v>100</v>
      </c>
      <c r="F417" s="135"/>
      <c r="G417" s="138">
        <f>SUM(G413:G416)</f>
        <v>16350.000000000004</v>
      </c>
      <c r="H417" s="138"/>
      <c r="I417" s="138"/>
      <c r="J417" s="135"/>
      <c r="K417" s="135"/>
      <c r="L417" s="135"/>
      <c r="M417" s="133" t="s">
        <v>100</v>
      </c>
      <c r="N417" s="135"/>
      <c r="O417" s="138">
        <f>SUM(O413:O416)</f>
        <v>16350.000000000004</v>
      </c>
    </row>
    <row r="418" spans="1:15" ht="15.75" customHeight="1" x14ac:dyDescent="0.25">
      <c r="A418" s="125"/>
      <c r="B418" s="135"/>
      <c r="C418" s="135"/>
      <c r="D418" s="135"/>
      <c r="E418" s="135"/>
      <c r="F418" s="135"/>
      <c r="G418" s="138"/>
      <c r="H418" s="138"/>
      <c r="I418" s="138"/>
      <c r="J418" s="135"/>
      <c r="K418" s="135"/>
      <c r="L418" s="135"/>
      <c r="M418" s="135"/>
      <c r="N418" s="135"/>
      <c r="O418" s="138"/>
    </row>
    <row r="419" spans="1:15" ht="15.75" customHeight="1" x14ac:dyDescent="0.25">
      <c r="A419" s="125"/>
      <c r="B419" s="135"/>
      <c r="C419" s="133" t="s">
        <v>101</v>
      </c>
      <c r="D419" s="135"/>
      <c r="E419" s="135"/>
      <c r="F419" s="135"/>
      <c r="G419" s="138"/>
      <c r="H419" s="138"/>
      <c r="I419" s="138"/>
      <c r="J419" s="135"/>
      <c r="K419" s="133" t="s">
        <v>101</v>
      </c>
      <c r="L419" s="135"/>
      <c r="M419" s="135"/>
      <c r="O419" s="138"/>
    </row>
    <row r="420" spans="1:15" ht="15.75" customHeight="1" x14ac:dyDescent="0.25">
      <c r="A420" s="125"/>
      <c r="B420" s="135"/>
      <c r="C420" s="135"/>
      <c r="D420" s="133" t="s">
        <v>102</v>
      </c>
      <c r="E420" s="135"/>
      <c r="F420" s="135"/>
      <c r="G420" s="138">
        <f>+'Folha de salarios'!Z378</f>
        <v>0</v>
      </c>
      <c r="H420" s="138"/>
      <c r="I420" s="138"/>
      <c r="J420" s="135"/>
      <c r="K420" s="135"/>
      <c r="L420" s="133" t="s">
        <v>102</v>
      </c>
      <c r="M420" s="135"/>
      <c r="O420" s="138">
        <f>+G420</f>
        <v>0</v>
      </c>
    </row>
    <row r="421" spans="1:15" ht="15.75" customHeight="1" x14ac:dyDescent="0.25">
      <c r="A421" s="125"/>
      <c r="B421" s="135"/>
      <c r="C421" s="135"/>
      <c r="D421" s="133" t="s">
        <v>86</v>
      </c>
      <c r="E421" s="135"/>
      <c r="F421" s="135"/>
      <c r="G421" s="138">
        <f>+G417*0.03</f>
        <v>490.50000000000011</v>
      </c>
      <c r="H421" s="138"/>
      <c r="I421" s="138"/>
      <c r="J421" s="135"/>
      <c r="K421" s="135"/>
      <c r="L421" s="133" t="s">
        <v>86</v>
      </c>
      <c r="M421" s="135"/>
      <c r="O421" s="138">
        <f>+G421</f>
        <v>490.50000000000011</v>
      </c>
    </row>
    <row r="422" spans="1:15" ht="15.75" customHeight="1" x14ac:dyDescent="0.25">
      <c r="A422" s="125"/>
      <c r="B422" s="135"/>
      <c r="C422" s="135"/>
      <c r="D422" s="133" t="s">
        <v>103</v>
      </c>
      <c r="E422" s="135"/>
      <c r="F422" s="135"/>
      <c r="G422" s="138">
        <f>+G417*0.01</f>
        <v>163.50000000000003</v>
      </c>
      <c r="H422" s="138"/>
      <c r="I422" s="138"/>
      <c r="J422" s="135"/>
      <c r="K422" s="135"/>
      <c r="L422" s="133" t="s">
        <v>103</v>
      </c>
      <c r="M422" s="135"/>
      <c r="O422" s="138">
        <f>+G422</f>
        <v>163.50000000000003</v>
      </c>
    </row>
    <row r="423" spans="1:15" ht="15.75" customHeight="1" x14ac:dyDescent="0.25">
      <c r="A423" s="125"/>
      <c r="B423" s="135"/>
      <c r="C423" s="135"/>
      <c r="D423" s="133" t="s">
        <v>104</v>
      </c>
      <c r="E423" s="135"/>
      <c r="F423" s="135"/>
      <c r="G423" s="138"/>
      <c r="H423" s="138"/>
      <c r="I423" s="138"/>
      <c r="J423" s="135"/>
      <c r="K423" s="135"/>
      <c r="L423" s="133" t="s">
        <v>104</v>
      </c>
      <c r="M423" s="135"/>
      <c r="O423" s="138">
        <f>G423</f>
        <v>0</v>
      </c>
    </row>
    <row r="424" spans="1:15" ht="15.75" customHeight="1" x14ac:dyDescent="0.25">
      <c r="A424" s="125"/>
      <c r="B424" s="135"/>
      <c r="C424" s="135"/>
      <c r="D424" s="133" t="s">
        <v>105</v>
      </c>
      <c r="E424" s="135"/>
      <c r="F424" s="135"/>
      <c r="G424" s="138"/>
      <c r="H424" s="138"/>
      <c r="I424" s="138"/>
      <c r="J424" s="135"/>
      <c r="K424" s="135"/>
      <c r="L424" s="133" t="s">
        <v>105</v>
      </c>
      <c r="M424" s="135"/>
      <c r="O424" s="138">
        <f>G424</f>
        <v>0</v>
      </c>
    </row>
    <row r="425" spans="1:15" ht="15.75" customHeight="1" x14ac:dyDescent="0.25">
      <c r="A425" s="125"/>
      <c r="B425" s="135"/>
      <c r="C425" s="135"/>
      <c r="D425" s="133" t="s">
        <v>106</v>
      </c>
      <c r="E425" s="135"/>
      <c r="F425" s="135"/>
      <c r="G425" s="138"/>
      <c r="H425" s="138"/>
      <c r="I425" s="138"/>
      <c r="J425" s="135"/>
      <c r="K425" s="135"/>
      <c r="L425" s="133" t="s">
        <v>106</v>
      </c>
      <c r="M425" s="135"/>
      <c r="O425" s="138">
        <f>G425</f>
        <v>0</v>
      </c>
    </row>
    <row r="426" spans="1:15" ht="15.75" customHeight="1" x14ac:dyDescent="0.25">
      <c r="A426" s="125"/>
      <c r="B426" s="135"/>
      <c r="C426" s="135"/>
      <c r="D426" s="133" t="s">
        <v>112</v>
      </c>
      <c r="E426" s="135"/>
      <c r="F426" s="135"/>
      <c r="G426" s="138">
        <f>+'Folha de salarios'!Y24</f>
        <v>0</v>
      </c>
      <c r="H426" s="138"/>
      <c r="I426" s="138"/>
      <c r="J426" s="135"/>
      <c r="K426" s="135"/>
      <c r="L426" s="133" t="str">
        <f>+D426</f>
        <v>Pagament Antecipado</v>
      </c>
      <c r="N426" s="135"/>
      <c r="O426" s="138">
        <f>G426</f>
        <v>0</v>
      </c>
    </row>
    <row r="427" spans="1:15" ht="15.75" customHeight="1" x14ac:dyDescent="0.25">
      <c r="A427" s="125"/>
      <c r="B427" s="135"/>
      <c r="C427" s="135"/>
      <c r="D427" s="133" t="s">
        <v>108</v>
      </c>
      <c r="E427" s="135"/>
      <c r="F427" s="135"/>
      <c r="G427" s="138">
        <v>0</v>
      </c>
      <c r="H427" s="138"/>
      <c r="I427" s="138"/>
      <c r="J427" s="135"/>
      <c r="K427" s="135"/>
      <c r="L427" s="133" t="str">
        <f>+D427</f>
        <v>Arredondamento</v>
      </c>
      <c r="N427" s="135"/>
      <c r="O427" s="138">
        <f>+G427</f>
        <v>0</v>
      </c>
    </row>
    <row r="428" spans="1:15" ht="15.75" customHeight="1" x14ac:dyDescent="0.25">
      <c r="A428" s="125"/>
      <c r="B428" s="135"/>
      <c r="C428" s="135"/>
      <c r="D428" s="135"/>
      <c r="E428" s="133" t="s">
        <v>100</v>
      </c>
      <c r="F428" s="135"/>
      <c r="G428" s="138">
        <f>SUM(G420:G427)</f>
        <v>654.00000000000011</v>
      </c>
      <c r="H428" s="138"/>
      <c r="I428" s="138"/>
      <c r="J428" s="135"/>
      <c r="K428" s="135"/>
      <c r="L428" s="135"/>
      <c r="M428" s="133" t="s">
        <v>100</v>
      </c>
      <c r="N428" s="135"/>
      <c r="O428" s="138">
        <f>G428</f>
        <v>654.00000000000011</v>
      </c>
    </row>
    <row r="429" spans="1:15" ht="15.75" customHeight="1" x14ac:dyDescent="0.25">
      <c r="A429" s="125"/>
      <c r="B429" s="135"/>
      <c r="C429" s="135"/>
      <c r="D429" s="135"/>
      <c r="E429" s="135"/>
      <c r="F429" s="135"/>
      <c r="G429" s="138"/>
      <c r="H429" s="138"/>
      <c r="I429" s="138"/>
      <c r="J429" s="135"/>
      <c r="K429" s="135"/>
      <c r="L429" s="135"/>
      <c r="M429" s="135"/>
      <c r="N429" s="135"/>
      <c r="O429" s="138"/>
    </row>
    <row r="430" spans="1:15" ht="15.75" customHeight="1" x14ac:dyDescent="0.25">
      <c r="A430" s="125"/>
      <c r="B430" s="135"/>
      <c r="C430" s="133" t="s">
        <v>109</v>
      </c>
      <c r="D430" s="135"/>
      <c r="E430" s="135"/>
      <c r="F430" s="135"/>
      <c r="G430" s="139">
        <f>G417-G428</f>
        <v>15696.000000000004</v>
      </c>
      <c r="H430" s="138"/>
      <c r="I430" s="138"/>
      <c r="J430" s="135"/>
      <c r="K430" s="135"/>
      <c r="L430" s="133" t="s">
        <v>109</v>
      </c>
      <c r="M430" s="135"/>
      <c r="N430" s="135"/>
      <c r="O430" s="139">
        <f>O417-O428</f>
        <v>15696.000000000004</v>
      </c>
    </row>
    <row r="431" spans="1:15" ht="15.75" customHeight="1" x14ac:dyDescent="0.25">
      <c r="A431" s="125"/>
      <c r="B431" s="135"/>
      <c r="C431" s="133"/>
      <c r="D431" s="135"/>
      <c r="E431" s="135"/>
      <c r="F431" s="135"/>
      <c r="G431" s="138"/>
      <c r="H431" s="138"/>
      <c r="I431" s="138"/>
      <c r="J431" s="135"/>
      <c r="K431" s="135"/>
      <c r="L431" s="133"/>
      <c r="M431" s="135"/>
      <c r="N431" s="135"/>
      <c r="O431" s="138"/>
    </row>
    <row r="432" spans="1:15" ht="15.75" customHeight="1" x14ac:dyDescent="0.25">
      <c r="A432" s="125"/>
      <c r="B432" s="135"/>
      <c r="C432" s="135"/>
      <c r="D432" s="135"/>
      <c r="E432" s="135"/>
      <c r="F432" s="135"/>
      <c r="G432" s="138"/>
      <c r="H432" s="138"/>
      <c r="I432" s="138"/>
      <c r="J432" s="135"/>
      <c r="K432" s="135"/>
      <c r="L432" s="135"/>
      <c r="M432" s="135"/>
      <c r="N432" s="135"/>
      <c r="O432" s="138"/>
    </row>
    <row r="433" spans="1:15" ht="15.75" customHeight="1" x14ac:dyDescent="0.25">
      <c r="A433" s="125"/>
      <c r="B433" s="135"/>
      <c r="C433" s="135"/>
      <c r="D433" s="135"/>
      <c r="E433" s="133" t="s">
        <v>110</v>
      </c>
      <c r="F433" s="135"/>
      <c r="G433" s="138"/>
      <c r="H433" s="138"/>
      <c r="I433" s="138"/>
      <c r="J433" s="135"/>
      <c r="K433" s="135"/>
      <c r="L433" s="135"/>
      <c r="M433" s="133" t="s">
        <v>110</v>
      </c>
      <c r="N433" s="135"/>
      <c r="O433" s="138"/>
    </row>
    <row r="434" spans="1:15" ht="38.1" customHeight="1" x14ac:dyDescent="0.2">
      <c r="A434" s="125"/>
      <c r="B434" s="247" t="s">
        <v>91</v>
      </c>
      <c r="C434" s="247"/>
      <c r="D434" s="247"/>
      <c r="E434" s="247"/>
      <c r="F434" s="247"/>
      <c r="G434" s="247"/>
      <c r="H434" s="127"/>
      <c r="I434" s="127"/>
      <c r="J434" s="247" t="s">
        <v>91</v>
      </c>
      <c r="K434" s="247"/>
      <c r="L434" s="247"/>
      <c r="M434" s="247"/>
      <c r="N434" s="247"/>
      <c r="O434" s="247"/>
    </row>
    <row r="435" spans="1:15" ht="15" customHeight="1" x14ac:dyDescent="0.2">
      <c r="A435" s="125"/>
      <c r="B435" s="126"/>
      <c r="C435" s="128"/>
      <c r="D435" s="128"/>
      <c r="E435" s="128"/>
      <c r="F435" s="128"/>
      <c r="G435" s="128"/>
      <c r="H435" s="127"/>
      <c r="I435" s="127"/>
      <c r="J435" s="126"/>
      <c r="K435" s="128"/>
      <c r="L435" s="128"/>
      <c r="M435" s="128"/>
      <c r="N435" s="128"/>
      <c r="O435" s="128"/>
    </row>
    <row r="436" spans="1:15" ht="18.600000000000001" customHeight="1" x14ac:dyDescent="0.3">
      <c r="A436" s="125"/>
      <c r="B436" s="248" t="s">
        <v>92</v>
      </c>
      <c r="C436" s="248"/>
      <c r="D436" s="248"/>
      <c r="E436" s="248"/>
      <c r="F436" s="248"/>
      <c r="G436" s="248"/>
      <c r="H436" s="129"/>
      <c r="I436" s="130"/>
      <c r="J436" s="248" t="s">
        <v>92</v>
      </c>
      <c r="K436" s="248"/>
      <c r="L436" s="248"/>
      <c r="M436" s="248"/>
      <c r="N436" s="248"/>
      <c r="O436" s="248"/>
    </row>
    <row r="437" spans="1:15" ht="15" customHeight="1" x14ac:dyDescent="0.2">
      <c r="A437" s="125"/>
      <c r="B437" s="131">
        <f>+B408+1</f>
        <v>16</v>
      </c>
      <c r="C437" s="132"/>
      <c r="D437" s="132"/>
      <c r="E437" s="132"/>
      <c r="F437" s="132"/>
      <c r="H437" s="132"/>
      <c r="I437" s="132"/>
      <c r="J437" s="131">
        <f>+B437</f>
        <v>16</v>
      </c>
      <c r="K437" s="130"/>
      <c r="L437" s="132"/>
      <c r="M437" s="132"/>
      <c r="N437" s="132"/>
      <c r="O437" s="132"/>
    </row>
    <row r="438" spans="1:15" ht="18.600000000000001" customHeight="1" x14ac:dyDescent="0.25">
      <c r="A438" s="125"/>
      <c r="B438" s="133" t="s">
        <v>93</v>
      </c>
      <c r="C438" s="134" t="str">
        <f>+C5</f>
        <v>JANEIRIO</v>
      </c>
      <c r="D438" s="135"/>
      <c r="E438" s="135">
        <f>+E5</f>
        <v>2025</v>
      </c>
      <c r="F438" s="133"/>
      <c r="G438" s="136"/>
      <c r="H438" s="136"/>
      <c r="I438" s="136"/>
      <c r="J438" s="133" t="s">
        <v>93</v>
      </c>
      <c r="K438" s="134" t="str">
        <f>+C438</f>
        <v>JANEIRIO</v>
      </c>
      <c r="L438" s="135"/>
      <c r="M438" s="135">
        <f>+E438</f>
        <v>2025</v>
      </c>
      <c r="O438" s="136"/>
    </row>
    <row r="439" spans="1:15" ht="18.600000000000001" customHeight="1" x14ac:dyDescent="0.25">
      <c r="A439" s="125"/>
      <c r="B439" s="133" t="s">
        <v>94</v>
      </c>
      <c r="C439" s="136" t="str">
        <f>+'Folha de salarios'!C25</f>
        <v>PEDRO SEBASTIAO NHAMIRE</v>
      </c>
      <c r="D439" s="136"/>
      <c r="E439" s="136"/>
      <c r="F439" s="136"/>
      <c r="G439" s="135"/>
      <c r="H439" s="135"/>
      <c r="I439" s="135"/>
      <c r="J439" s="133" t="s">
        <v>94</v>
      </c>
      <c r="K439" s="136" t="str">
        <f>C439</f>
        <v>PEDRO SEBASTIAO NHAMIRE</v>
      </c>
      <c r="L439" s="135"/>
      <c r="M439" s="135"/>
      <c r="O439" s="135"/>
    </row>
    <row r="440" spans="1:15" ht="15.75" customHeight="1" x14ac:dyDescent="0.25">
      <c r="A440" s="125"/>
      <c r="B440" s="133" t="s">
        <v>95</v>
      </c>
      <c r="C440" s="135" t="str">
        <f>+'Folha de salarios'!G27</f>
        <v>COZINHEIRA</v>
      </c>
      <c r="D440" s="135"/>
      <c r="E440" s="135"/>
      <c r="F440" s="135"/>
      <c r="G440" s="135"/>
      <c r="H440" s="135"/>
      <c r="I440" s="135"/>
      <c r="J440" s="133" t="s">
        <v>95</v>
      </c>
      <c r="K440" s="135" t="str">
        <f>+C440</f>
        <v>COZINHEIRA</v>
      </c>
      <c r="L440" s="135"/>
      <c r="M440" s="135"/>
      <c r="N440" s="135"/>
      <c r="O440" s="135"/>
    </row>
    <row r="441" spans="1:15" ht="15.75" customHeight="1" x14ac:dyDescent="0.25">
      <c r="A441" s="125"/>
      <c r="B441" s="133"/>
      <c r="C441" s="135"/>
      <c r="D441" s="135"/>
      <c r="E441" s="135"/>
      <c r="F441" s="135"/>
      <c r="G441" s="135"/>
      <c r="H441" s="135"/>
      <c r="I441" s="135"/>
      <c r="J441" s="133"/>
      <c r="K441" s="135"/>
      <c r="L441" s="135"/>
      <c r="M441" s="135"/>
      <c r="N441" s="135"/>
      <c r="O441" s="135"/>
    </row>
    <row r="442" spans="1:15" ht="15.75" customHeight="1" x14ac:dyDescent="0.25">
      <c r="A442" s="125"/>
      <c r="B442" s="133" t="s">
        <v>96</v>
      </c>
      <c r="C442" s="135"/>
      <c r="D442" s="135"/>
      <c r="E442" s="135"/>
      <c r="F442" s="135"/>
      <c r="G442" s="137">
        <f>+'Folha de salarios'!M25</f>
        <v>11445</v>
      </c>
      <c r="H442" s="137"/>
      <c r="I442" s="137"/>
      <c r="J442" s="133" t="s">
        <v>96</v>
      </c>
      <c r="K442" s="133"/>
      <c r="L442" s="135"/>
      <c r="M442" s="135"/>
      <c r="N442" s="135"/>
      <c r="O442" s="137">
        <f>+G442</f>
        <v>11445</v>
      </c>
    </row>
    <row r="443" spans="1:15" ht="15.75" customHeight="1" x14ac:dyDescent="0.25">
      <c r="A443" s="125"/>
      <c r="B443" s="133" t="s">
        <v>97</v>
      </c>
      <c r="C443" s="135"/>
      <c r="D443" s="135"/>
      <c r="E443" s="135"/>
      <c r="F443" s="135"/>
      <c r="G443" s="138">
        <f>0</f>
        <v>0</v>
      </c>
      <c r="H443" s="138"/>
      <c r="I443" s="138"/>
      <c r="J443" s="133" t="s">
        <v>97</v>
      </c>
      <c r="K443" s="133"/>
      <c r="L443" s="135"/>
      <c r="M443" s="135"/>
      <c r="N443" s="135"/>
      <c r="O443" s="138">
        <f>G443</f>
        <v>0</v>
      </c>
    </row>
    <row r="444" spans="1:15" ht="15.75" customHeight="1" x14ac:dyDescent="0.25">
      <c r="A444" s="125"/>
      <c r="B444" s="133" t="s">
        <v>98</v>
      </c>
      <c r="C444" s="135"/>
      <c r="D444" s="135"/>
      <c r="E444" s="135"/>
      <c r="F444" s="135"/>
      <c r="G444" s="138">
        <v>0</v>
      </c>
      <c r="H444" s="138"/>
      <c r="I444" s="138"/>
      <c r="J444" s="133" t="s">
        <v>98</v>
      </c>
      <c r="K444" s="133"/>
      <c r="L444" s="135"/>
      <c r="M444" s="135"/>
      <c r="N444" s="135"/>
      <c r="O444" s="138">
        <f>G444</f>
        <v>0</v>
      </c>
    </row>
    <row r="445" spans="1:15" ht="15.75" customHeight="1" x14ac:dyDescent="0.25">
      <c r="A445" s="125"/>
      <c r="B445" s="133" t="s">
        <v>99</v>
      </c>
      <c r="C445" s="135"/>
      <c r="D445" s="135"/>
      <c r="E445" s="135"/>
      <c r="F445" s="135"/>
      <c r="G445" s="138">
        <v>0</v>
      </c>
      <c r="H445" s="138"/>
      <c r="I445" s="138"/>
      <c r="J445" s="133" t="s">
        <v>99</v>
      </c>
      <c r="K445" s="133"/>
      <c r="L445" s="135"/>
      <c r="M445" s="135"/>
      <c r="N445" s="135"/>
      <c r="O445" s="138">
        <v>0</v>
      </c>
    </row>
    <row r="446" spans="1:15" ht="15.75" customHeight="1" x14ac:dyDescent="0.25">
      <c r="A446" s="125"/>
      <c r="B446" s="135"/>
      <c r="C446" s="135"/>
      <c r="D446" s="135"/>
      <c r="E446" s="133" t="s">
        <v>100</v>
      </c>
      <c r="F446" s="135"/>
      <c r="G446" s="138">
        <f>SUM(G442:G445)</f>
        <v>11445</v>
      </c>
      <c r="H446" s="138"/>
      <c r="I446" s="138"/>
      <c r="J446" s="135"/>
      <c r="K446" s="135"/>
      <c r="L446" s="135"/>
      <c r="M446" s="133" t="s">
        <v>100</v>
      </c>
      <c r="N446" s="135"/>
      <c r="O446" s="138">
        <f>SUM(O442:O445)</f>
        <v>11445</v>
      </c>
    </row>
    <row r="447" spans="1:15" ht="15.75" customHeight="1" x14ac:dyDescent="0.25">
      <c r="A447" s="125"/>
      <c r="B447" s="135"/>
      <c r="C447" s="135"/>
      <c r="D447" s="135"/>
      <c r="E447" s="135"/>
      <c r="F447" s="135"/>
      <c r="G447" s="138"/>
      <c r="H447" s="138"/>
      <c r="I447" s="138"/>
      <c r="J447" s="135"/>
      <c r="K447" s="135"/>
      <c r="L447" s="135"/>
      <c r="M447" s="135"/>
      <c r="N447" s="135"/>
      <c r="O447" s="138"/>
    </row>
    <row r="448" spans="1:15" ht="15.75" customHeight="1" x14ac:dyDescent="0.25">
      <c r="A448" s="125"/>
      <c r="B448" s="135"/>
      <c r="C448" s="133" t="s">
        <v>101</v>
      </c>
      <c r="D448" s="135"/>
      <c r="E448" s="135"/>
      <c r="F448" s="135"/>
      <c r="G448" s="138"/>
      <c r="H448" s="138"/>
      <c r="I448" s="138"/>
      <c r="J448" s="135"/>
      <c r="K448" s="133" t="s">
        <v>101</v>
      </c>
      <c r="L448" s="135"/>
      <c r="N448" s="135"/>
      <c r="O448" s="138"/>
    </row>
    <row r="449" spans="1:15" ht="15.75" customHeight="1" x14ac:dyDescent="0.25">
      <c r="A449" s="125"/>
      <c r="B449" s="135"/>
      <c r="C449" s="135"/>
      <c r="D449" s="133" t="s">
        <v>102</v>
      </c>
      <c r="E449" s="135"/>
      <c r="F449" s="135"/>
      <c r="G449" s="138">
        <f>+'Folha de salarios'!Z407</f>
        <v>0</v>
      </c>
      <c r="H449" s="138"/>
      <c r="I449" s="138"/>
      <c r="J449" s="135"/>
      <c r="K449" s="135"/>
      <c r="L449" s="133" t="s">
        <v>102</v>
      </c>
      <c r="N449" s="135"/>
      <c r="O449" s="138">
        <f>+G449</f>
        <v>0</v>
      </c>
    </row>
    <row r="450" spans="1:15" ht="15.75" customHeight="1" x14ac:dyDescent="0.25">
      <c r="A450" s="125"/>
      <c r="B450" s="135"/>
      <c r="C450" s="135"/>
      <c r="D450" s="133" t="s">
        <v>86</v>
      </c>
      <c r="E450" s="135"/>
      <c r="F450" s="135"/>
      <c r="G450" s="138">
        <f>+G446*0.03</f>
        <v>343.34999999999997</v>
      </c>
      <c r="H450" s="138"/>
      <c r="I450" s="138"/>
      <c r="J450" s="135"/>
      <c r="K450" s="135"/>
      <c r="L450" s="133" t="s">
        <v>86</v>
      </c>
      <c r="N450" s="135"/>
      <c r="O450" s="138">
        <f>+G450</f>
        <v>343.34999999999997</v>
      </c>
    </row>
    <row r="451" spans="1:15" ht="15.75" customHeight="1" x14ac:dyDescent="0.25">
      <c r="A451" s="125"/>
      <c r="B451" s="135"/>
      <c r="C451" s="135"/>
      <c r="D451" s="133" t="s">
        <v>103</v>
      </c>
      <c r="E451" s="135"/>
      <c r="F451" s="135"/>
      <c r="G451" s="138">
        <f>+G446*0.01</f>
        <v>114.45</v>
      </c>
      <c r="H451" s="138"/>
      <c r="I451" s="138"/>
      <c r="J451" s="135"/>
      <c r="K451" s="135"/>
      <c r="L451" s="133" t="s">
        <v>103</v>
      </c>
      <c r="N451" s="135"/>
      <c r="O451" s="138">
        <f>+G451</f>
        <v>114.45</v>
      </c>
    </row>
    <row r="452" spans="1:15" ht="15.75" customHeight="1" x14ac:dyDescent="0.25">
      <c r="A452" s="125"/>
      <c r="B452" s="135"/>
      <c r="C452" s="135"/>
      <c r="D452" s="133" t="s">
        <v>104</v>
      </c>
      <c r="E452" s="135"/>
      <c r="F452" s="135"/>
      <c r="G452" s="138"/>
      <c r="H452" s="138"/>
      <c r="I452" s="138"/>
      <c r="J452" s="135"/>
      <c r="K452" s="135"/>
      <c r="L452" s="133" t="s">
        <v>104</v>
      </c>
      <c r="N452" s="135"/>
      <c r="O452" s="138">
        <f>G452</f>
        <v>0</v>
      </c>
    </row>
    <row r="453" spans="1:15" ht="15.75" customHeight="1" x14ac:dyDescent="0.25">
      <c r="A453" s="125"/>
      <c r="B453" s="135"/>
      <c r="C453" s="135"/>
      <c r="D453" s="133" t="s">
        <v>105</v>
      </c>
      <c r="E453" s="135"/>
      <c r="F453" s="135"/>
      <c r="G453" s="138"/>
      <c r="H453" s="138"/>
      <c r="I453" s="138"/>
      <c r="J453" s="135"/>
      <c r="K453" s="135"/>
      <c r="L453" s="133" t="s">
        <v>105</v>
      </c>
      <c r="N453" s="135"/>
      <c r="O453" s="138">
        <f>G453</f>
        <v>0</v>
      </c>
    </row>
    <row r="454" spans="1:15" ht="15.75" customHeight="1" x14ac:dyDescent="0.25">
      <c r="A454" s="125"/>
      <c r="B454" s="135"/>
      <c r="C454" s="135"/>
      <c r="D454" s="133" t="s">
        <v>106</v>
      </c>
      <c r="E454" s="135"/>
      <c r="F454" s="135"/>
      <c r="G454" s="138"/>
      <c r="H454" s="138"/>
      <c r="I454" s="138"/>
      <c r="J454" s="135"/>
      <c r="K454" s="135"/>
      <c r="L454" s="133" t="s">
        <v>106</v>
      </c>
      <c r="N454" s="135"/>
      <c r="O454" s="138">
        <f>G454</f>
        <v>0</v>
      </c>
    </row>
    <row r="455" spans="1:15" ht="15.75" customHeight="1" x14ac:dyDescent="0.25">
      <c r="A455" s="125"/>
      <c r="B455" s="135"/>
      <c r="C455" s="135"/>
      <c r="D455" s="133" t="s">
        <v>112</v>
      </c>
      <c r="E455" s="135"/>
      <c r="F455" s="135"/>
      <c r="G455" s="138">
        <f>+'Folha de salarios'!Y25</f>
        <v>0</v>
      </c>
      <c r="H455" s="138"/>
      <c r="I455" s="138"/>
      <c r="J455" s="135"/>
      <c r="K455" s="135"/>
      <c r="L455" s="133" t="str">
        <f>+D455</f>
        <v>Pagament Antecipado</v>
      </c>
      <c r="N455" s="135"/>
      <c r="O455" s="138">
        <f>G455</f>
        <v>0</v>
      </c>
    </row>
    <row r="456" spans="1:15" ht="15.75" customHeight="1" x14ac:dyDescent="0.25">
      <c r="A456" s="125"/>
      <c r="B456" s="135"/>
      <c r="C456" s="135"/>
      <c r="D456" s="135"/>
      <c r="E456" s="133" t="s">
        <v>100</v>
      </c>
      <c r="F456" s="135"/>
      <c r="G456" s="138">
        <f>SUM(G449:G455)</f>
        <v>457.79999999999995</v>
      </c>
      <c r="H456" s="138"/>
      <c r="I456" s="138"/>
      <c r="J456" s="135"/>
      <c r="K456" s="135"/>
      <c r="L456" s="135"/>
      <c r="M456" s="133" t="s">
        <v>100</v>
      </c>
      <c r="N456" s="135"/>
      <c r="O456" s="138">
        <f>G456</f>
        <v>457.79999999999995</v>
      </c>
    </row>
    <row r="457" spans="1:15" ht="15.75" customHeight="1" x14ac:dyDescent="0.25">
      <c r="A457" s="125"/>
      <c r="B457" s="135"/>
      <c r="C457" s="135"/>
      <c r="D457" s="135"/>
      <c r="E457" s="135"/>
      <c r="F457" s="135"/>
      <c r="G457" s="138"/>
      <c r="H457" s="138"/>
      <c r="I457" s="138"/>
      <c r="J457" s="135"/>
      <c r="K457" s="135"/>
      <c r="L457" s="135"/>
      <c r="M457" s="135"/>
      <c r="N457" s="135"/>
      <c r="O457" s="138"/>
    </row>
    <row r="458" spans="1:15" ht="15.75" customHeight="1" x14ac:dyDescent="0.25">
      <c r="A458" s="125"/>
      <c r="B458" s="135"/>
      <c r="C458" s="133" t="s">
        <v>109</v>
      </c>
      <c r="D458" s="135"/>
      <c r="E458" s="135"/>
      <c r="F458" s="135"/>
      <c r="G458" s="139">
        <f>G446-G456</f>
        <v>10987.2</v>
      </c>
      <c r="H458" s="138"/>
      <c r="I458" s="138"/>
      <c r="J458" s="135"/>
      <c r="K458" s="135"/>
      <c r="L458" s="133" t="s">
        <v>109</v>
      </c>
      <c r="M458" s="135"/>
      <c r="N458" s="135"/>
      <c r="O458" s="139">
        <f>O446-O456</f>
        <v>10987.2</v>
      </c>
    </row>
    <row r="459" spans="1:15" ht="15.75" customHeight="1" x14ac:dyDescent="0.25">
      <c r="A459" s="125"/>
      <c r="B459" s="135"/>
      <c r="C459" s="133"/>
      <c r="D459" s="135"/>
      <c r="E459" s="135"/>
      <c r="F459" s="135"/>
      <c r="G459" s="138"/>
      <c r="H459" s="138"/>
      <c r="I459" s="138"/>
      <c r="J459" s="135"/>
      <c r="K459" s="135"/>
      <c r="L459" s="133"/>
      <c r="M459" s="135"/>
      <c r="N459" s="135"/>
      <c r="O459" s="138"/>
    </row>
    <row r="460" spans="1:15" ht="15.75" customHeight="1" x14ac:dyDescent="0.25">
      <c r="A460" s="125"/>
      <c r="B460" s="135"/>
      <c r="C460" s="135"/>
      <c r="D460" s="135"/>
      <c r="E460" s="135"/>
      <c r="F460" s="135"/>
      <c r="G460" s="138"/>
      <c r="H460" s="138"/>
      <c r="I460" s="138"/>
      <c r="J460" s="135"/>
      <c r="K460" s="135"/>
      <c r="L460" s="135"/>
      <c r="M460" s="135"/>
      <c r="N460" s="135"/>
      <c r="O460" s="138"/>
    </row>
    <row r="461" spans="1:15" ht="15.75" customHeight="1" x14ac:dyDescent="0.25">
      <c r="A461" s="125"/>
      <c r="B461" s="135"/>
      <c r="C461" s="135"/>
      <c r="D461" s="135"/>
      <c r="E461" s="133" t="s">
        <v>110</v>
      </c>
      <c r="F461" s="135"/>
      <c r="G461" s="138"/>
      <c r="H461" s="138"/>
      <c r="I461" s="138"/>
      <c r="J461" s="135"/>
      <c r="K461" s="135"/>
      <c r="L461" s="135"/>
      <c r="M461" s="133" t="s">
        <v>110</v>
      </c>
      <c r="N461" s="135"/>
      <c r="O461" s="138"/>
    </row>
    <row r="462" spans="1:15" ht="38.1" customHeight="1" x14ac:dyDescent="0.2">
      <c r="A462" s="125"/>
      <c r="B462" s="247" t="s">
        <v>91</v>
      </c>
      <c r="C462" s="247"/>
      <c r="D462" s="247"/>
      <c r="E462" s="247"/>
      <c r="F462" s="247"/>
      <c r="G462" s="247"/>
      <c r="H462" s="127"/>
      <c r="I462" s="127"/>
      <c r="J462" s="247" t="s">
        <v>91</v>
      </c>
      <c r="K462" s="247"/>
      <c r="L462" s="247"/>
      <c r="M462" s="247"/>
      <c r="N462" s="247"/>
      <c r="O462" s="247"/>
    </row>
    <row r="463" spans="1:15" ht="15" customHeight="1" x14ac:dyDescent="0.2">
      <c r="A463" s="125"/>
      <c r="B463" s="126"/>
      <c r="C463" s="128"/>
      <c r="D463" s="128"/>
      <c r="E463" s="128"/>
      <c r="F463" s="128"/>
      <c r="G463" s="128"/>
      <c r="H463" s="127"/>
      <c r="I463" s="127"/>
      <c r="J463" s="126"/>
      <c r="K463" s="128"/>
      <c r="L463" s="128"/>
      <c r="M463" s="128"/>
      <c r="N463" s="128"/>
      <c r="O463" s="128"/>
    </row>
    <row r="464" spans="1:15" ht="18.600000000000001" customHeight="1" x14ac:dyDescent="0.3">
      <c r="A464" s="125"/>
      <c r="B464" s="248" t="s">
        <v>92</v>
      </c>
      <c r="C464" s="248"/>
      <c r="D464" s="248"/>
      <c r="E464" s="248"/>
      <c r="F464" s="248"/>
      <c r="G464" s="248"/>
      <c r="H464" s="129"/>
      <c r="I464" s="130"/>
      <c r="J464" s="248" t="s">
        <v>92</v>
      </c>
      <c r="K464" s="248"/>
      <c r="L464" s="248"/>
      <c r="M464" s="248"/>
      <c r="N464" s="248"/>
      <c r="O464" s="248"/>
    </row>
    <row r="465" spans="1:15" ht="15" customHeight="1" x14ac:dyDescent="0.2">
      <c r="A465" s="125"/>
      <c r="B465" s="131">
        <f>+B437+1</f>
        <v>17</v>
      </c>
      <c r="C465" s="132"/>
      <c r="D465" s="132"/>
      <c r="E465" s="132"/>
      <c r="F465" s="132"/>
      <c r="H465" s="132"/>
      <c r="I465" s="132"/>
      <c r="J465" s="131">
        <f>+B465</f>
        <v>17</v>
      </c>
      <c r="K465" s="130"/>
      <c r="L465" s="132"/>
      <c r="M465" s="132"/>
      <c r="N465" s="132"/>
      <c r="O465" s="132"/>
    </row>
    <row r="466" spans="1:15" ht="18.600000000000001" customHeight="1" x14ac:dyDescent="0.25">
      <c r="A466" s="125"/>
      <c r="B466" s="133" t="s">
        <v>93</v>
      </c>
      <c r="C466" s="134" t="str">
        <f>+C5</f>
        <v>JANEIRIO</v>
      </c>
      <c r="D466" s="135"/>
      <c r="E466" s="135">
        <f>+E5</f>
        <v>2025</v>
      </c>
      <c r="F466" s="133"/>
      <c r="G466" s="136"/>
      <c r="H466" s="136"/>
      <c r="I466" s="136"/>
      <c r="J466" s="133" t="s">
        <v>93</v>
      </c>
      <c r="K466" s="134" t="str">
        <f>+C466</f>
        <v>JANEIRIO</v>
      </c>
      <c r="L466" s="135"/>
      <c r="M466" s="135">
        <f>+E466</f>
        <v>2025</v>
      </c>
      <c r="O466" s="136"/>
    </row>
    <row r="467" spans="1:15" ht="18.600000000000001" customHeight="1" x14ac:dyDescent="0.25">
      <c r="A467" s="125"/>
      <c r="B467" s="133" t="s">
        <v>94</v>
      </c>
      <c r="C467" s="136" t="str">
        <f>+'Folha de salarios'!C26</f>
        <v>ROCINA CAHIWANE TIMBE</v>
      </c>
      <c r="D467" s="136"/>
      <c r="E467" s="136"/>
      <c r="F467" s="136"/>
      <c r="G467" s="135"/>
      <c r="H467" s="135"/>
      <c r="I467" s="135"/>
      <c r="J467" s="133" t="s">
        <v>94</v>
      </c>
      <c r="K467" s="136" t="str">
        <f>C467</f>
        <v>ROCINA CAHIWANE TIMBE</v>
      </c>
      <c r="L467" s="135"/>
      <c r="M467" s="135"/>
      <c r="O467" s="135"/>
    </row>
    <row r="468" spans="1:15" ht="15.75" customHeight="1" x14ac:dyDescent="0.25">
      <c r="A468" s="125"/>
      <c r="B468" s="133" t="s">
        <v>95</v>
      </c>
      <c r="C468" s="135" t="str">
        <f>+'Folha de salarios'!G26</f>
        <v>EMPREGADA</v>
      </c>
      <c r="D468" s="135"/>
      <c r="E468" s="135"/>
      <c r="F468" s="135"/>
      <c r="G468" s="135"/>
      <c r="H468" s="135"/>
      <c r="I468" s="135"/>
      <c r="J468" s="133" t="s">
        <v>95</v>
      </c>
      <c r="K468" s="135" t="str">
        <f>+C468</f>
        <v>EMPREGADA</v>
      </c>
      <c r="L468" s="135"/>
      <c r="M468" s="135"/>
      <c r="N468" s="135"/>
      <c r="O468" s="135"/>
    </row>
    <row r="469" spans="1:15" ht="15.75" customHeight="1" x14ac:dyDescent="0.25">
      <c r="A469" s="125"/>
      <c r="B469" s="133"/>
      <c r="C469" s="135"/>
      <c r="D469" s="135"/>
      <c r="E469" s="135"/>
      <c r="F469" s="135"/>
      <c r="G469" s="135"/>
      <c r="H469" s="135"/>
      <c r="I469" s="135"/>
      <c r="J469" s="133"/>
      <c r="K469" s="135"/>
      <c r="L469" s="135"/>
      <c r="M469" s="135"/>
      <c r="N469" s="135"/>
      <c r="O469" s="135"/>
    </row>
    <row r="470" spans="1:15" ht="15.75" customHeight="1" x14ac:dyDescent="0.25">
      <c r="A470" s="125"/>
      <c r="B470" s="133" t="s">
        <v>96</v>
      </c>
      <c r="C470" s="135"/>
      <c r="D470" s="135"/>
      <c r="E470" s="135"/>
      <c r="F470" s="135"/>
      <c r="G470" s="137">
        <f>+'Folha de salarios'!M26</f>
        <v>10955</v>
      </c>
      <c r="H470" s="137"/>
      <c r="I470" s="137"/>
      <c r="J470" s="133" t="s">
        <v>96</v>
      </c>
      <c r="K470" s="133"/>
      <c r="L470" s="135"/>
      <c r="M470" s="135"/>
      <c r="N470" s="135"/>
      <c r="O470" s="137">
        <f>+G470</f>
        <v>10955</v>
      </c>
    </row>
    <row r="471" spans="1:15" ht="15.75" customHeight="1" x14ac:dyDescent="0.25">
      <c r="A471" s="125"/>
      <c r="B471" s="133" t="s">
        <v>97</v>
      </c>
      <c r="C471" s="135"/>
      <c r="D471" s="135"/>
      <c r="E471" s="135"/>
      <c r="F471" s="135"/>
      <c r="G471" s="138">
        <f>+'Folha de salarios'!S26</f>
        <v>0</v>
      </c>
      <c r="H471" s="138"/>
      <c r="I471" s="138"/>
      <c r="J471" s="133" t="s">
        <v>97</v>
      </c>
      <c r="K471" s="133"/>
      <c r="L471" s="135"/>
      <c r="M471" s="135"/>
      <c r="N471" s="135"/>
      <c r="O471" s="138">
        <f>G471</f>
        <v>0</v>
      </c>
    </row>
    <row r="472" spans="1:15" ht="15.75" customHeight="1" x14ac:dyDescent="0.25">
      <c r="A472" s="125"/>
      <c r="B472" s="133" t="s">
        <v>98</v>
      </c>
      <c r="C472" s="135"/>
      <c r="D472" s="135"/>
      <c r="E472" s="135"/>
      <c r="F472" s="135"/>
      <c r="G472" s="138">
        <v>0</v>
      </c>
      <c r="H472" s="138"/>
      <c r="I472" s="138"/>
      <c r="J472" s="133" t="s">
        <v>98</v>
      </c>
      <c r="K472" s="133"/>
      <c r="L472" s="135"/>
      <c r="M472" s="135"/>
      <c r="N472" s="135"/>
      <c r="O472" s="138">
        <f>G472</f>
        <v>0</v>
      </c>
    </row>
    <row r="473" spans="1:15" ht="15.75" customHeight="1" x14ac:dyDescent="0.25">
      <c r="A473" s="125"/>
      <c r="B473" s="133" t="s">
        <v>99</v>
      </c>
      <c r="C473" s="135"/>
      <c r="D473" s="135"/>
      <c r="E473" s="135"/>
      <c r="F473" s="135"/>
      <c r="G473" s="138">
        <v>0</v>
      </c>
      <c r="H473" s="138"/>
      <c r="I473" s="138"/>
      <c r="J473" s="133" t="s">
        <v>99</v>
      </c>
      <c r="K473" s="133"/>
      <c r="L473" s="135"/>
      <c r="M473" s="135"/>
      <c r="N473" s="135"/>
      <c r="O473" s="138">
        <v>0</v>
      </c>
    </row>
    <row r="474" spans="1:15" ht="15.75" customHeight="1" x14ac:dyDescent="0.25">
      <c r="A474" s="125"/>
      <c r="B474" s="135"/>
      <c r="C474" s="135"/>
      <c r="D474" s="135"/>
      <c r="E474" s="133" t="s">
        <v>100</v>
      </c>
      <c r="F474" s="135"/>
      <c r="G474" s="138">
        <f>SUM(G470:G473)</f>
        <v>10955</v>
      </c>
      <c r="H474" s="138"/>
      <c r="I474" s="138"/>
      <c r="J474" s="135"/>
      <c r="K474" s="135"/>
      <c r="L474" s="135"/>
      <c r="M474" s="133" t="s">
        <v>100</v>
      </c>
      <c r="N474" s="135"/>
      <c r="O474" s="138">
        <f>SUM(O470:O473)</f>
        <v>10955</v>
      </c>
    </row>
    <row r="475" spans="1:15" ht="15.75" customHeight="1" x14ac:dyDescent="0.25">
      <c r="A475" s="125"/>
      <c r="B475" s="135"/>
      <c r="C475" s="135"/>
      <c r="D475" s="135"/>
      <c r="E475" s="135"/>
      <c r="F475" s="135"/>
      <c r="G475" s="138"/>
      <c r="H475" s="138"/>
      <c r="I475" s="138"/>
      <c r="J475" s="135"/>
      <c r="K475" s="135"/>
      <c r="L475" s="135"/>
      <c r="M475" s="135"/>
      <c r="N475" s="135"/>
      <c r="O475" s="138"/>
    </row>
    <row r="476" spans="1:15" ht="15.75" customHeight="1" x14ac:dyDescent="0.25">
      <c r="A476" s="125"/>
      <c r="B476" s="135"/>
      <c r="C476" s="133" t="s">
        <v>101</v>
      </c>
      <c r="D476" s="135"/>
      <c r="E476" s="135"/>
      <c r="F476" s="135"/>
      <c r="G476" s="138"/>
      <c r="H476" s="138"/>
      <c r="I476" s="138"/>
      <c r="J476" s="135"/>
      <c r="K476" s="133" t="s">
        <v>101</v>
      </c>
      <c r="L476" s="135"/>
      <c r="M476" s="135"/>
      <c r="O476" s="138"/>
    </row>
    <row r="477" spans="1:15" ht="15.75" customHeight="1" x14ac:dyDescent="0.25">
      <c r="A477" s="125"/>
      <c r="B477" s="135"/>
      <c r="C477" s="135"/>
      <c r="D477" s="133" t="s">
        <v>102</v>
      </c>
      <c r="E477" s="135"/>
      <c r="F477" s="135"/>
      <c r="G477" s="138">
        <f>+'Folha de salarios'!Z436</f>
        <v>0</v>
      </c>
      <c r="H477" s="138"/>
      <c r="I477" s="138"/>
      <c r="J477" s="135"/>
      <c r="K477" s="135"/>
      <c r="L477" s="133" t="s">
        <v>102</v>
      </c>
      <c r="M477" s="135"/>
      <c r="O477" s="138">
        <f>+G477</f>
        <v>0</v>
      </c>
    </row>
    <row r="478" spans="1:15" ht="15.75" customHeight="1" x14ac:dyDescent="0.25">
      <c r="A478" s="125"/>
      <c r="B478" s="135"/>
      <c r="C478" s="135"/>
      <c r="D478" s="133" t="s">
        <v>86</v>
      </c>
      <c r="E478" s="135"/>
      <c r="F478" s="135"/>
      <c r="G478" s="138">
        <f>+G474*0.03</f>
        <v>328.65</v>
      </c>
      <c r="H478" s="138"/>
      <c r="I478" s="138"/>
      <c r="J478" s="135"/>
      <c r="K478" s="135"/>
      <c r="L478" s="133" t="s">
        <v>86</v>
      </c>
      <c r="M478" s="135"/>
      <c r="O478" s="138">
        <f>+G478</f>
        <v>328.65</v>
      </c>
    </row>
    <row r="479" spans="1:15" ht="15.75" customHeight="1" x14ac:dyDescent="0.25">
      <c r="A479" s="125"/>
      <c r="B479" s="135"/>
      <c r="C479" s="135"/>
      <c r="D479" s="133" t="s">
        <v>103</v>
      </c>
      <c r="E479" s="135"/>
      <c r="F479" s="135"/>
      <c r="G479" s="138">
        <f>+G474*0.01</f>
        <v>109.55</v>
      </c>
      <c r="H479" s="138"/>
      <c r="I479" s="138"/>
      <c r="J479" s="135"/>
      <c r="K479" s="135"/>
      <c r="L479" s="133" t="s">
        <v>103</v>
      </c>
      <c r="M479" s="135"/>
      <c r="O479" s="138">
        <f>+G479</f>
        <v>109.55</v>
      </c>
    </row>
    <row r="480" spans="1:15" ht="15.75" customHeight="1" x14ac:dyDescent="0.25">
      <c r="A480" s="125"/>
      <c r="B480" s="135"/>
      <c r="C480" s="135"/>
      <c r="D480" s="133" t="s">
        <v>104</v>
      </c>
      <c r="E480" s="135"/>
      <c r="F480" s="135"/>
      <c r="G480" s="138"/>
      <c r="H480" s="138"/>
      <c r="I480" s="138"/>
      <c r="J480" s="135"/>
      <c r="K480" s="135"/>
      <c r="L480" s="133" t="s">
        <v>104</v>
      </c>
      <c r="M480" s="135"/>
      <c r="O480" s="138">
        <f>G480</f>
        <v>0</v>
      </c>
    </row>
    <row r="481" spans="1:15" ht="15.75" customHeight="1" x14ac:dyDescent="0.25">
      <c r="A481" s="125"/>
      <c r="B481" s="135"/>
      <c r="C481" s="135"/>
      <c r="D481" s="133" t="s">
        <v>105</v>
      </c>
      <c r="E481" s="135"/>
      <c r="F481" s="135"/>
      <c r="G481" s="138"/>
      <c r="H481" s="138"/>
      <c r="I481" s="138"/>
      <c r="J481" s="135"/>
      <c r="K481" s="135"/>
      <c r="L481" s="133" t="s">
        <v>105</v>
      </c>
      <c r="M481" s="135"/>
      <c r="O481" s="138">
        <f>G481</f>
        <v>0</v>
      </c>
    </row>
    <row r="482" spans="1:15" ht="15.75" customHeight="1" x14ac:dyDescent="0.25">
      <c r="A482" s="125"/>
      <c r="B482" s="135"/>
      <c r="C482" s="135"/>
      <c r="D482" s="133" t="s">
        <v>106</v>
      </c>
      <c r="E482" s="135"/>
      <c r="F482" s="135"/>
      <c r="G482" s="138"/>
      <c r="H482" s="138"/>
      <c r="I482" s="138"/>
      <c r="J482" s="135"/>
      <c r="K482" s="135"/>
      <c r="L482" s="133" t="s">
        <v>106</v>
      </c>
      <c r="M482" s="135"/>
      <c r="O482" s="138">
        <f>G482</f>
        <v>0</v>
      </c>
    </row>
    <row r="483" spans="1:15" ht="15.75" customHeight="1" x14ac:dyDescent="0.25">
      <c r="A483" s="125"/>
      <c r="B483" s="135"/>
      <c r="C483" s="135"/>
      <c r="D483" s="133" t="s">
        <v>112</v>
      </c>
      <c r="E483" s="135"/>
      <c r="F483" s="135"/>
      <c r="G483" s="138">
        <f>+'Folha de salarios'!Y26</f>
        <v>0</v>
      </c>
      <c r="H483" s="138"/>
      <c r="I483" s="138"/>
      <c r="J483" s="135"/>
      <c r="K483" s="135"/>
      <c r="L483" s="133" t="str">
        <f>+D483</f>
        <v>Pagament Antecipado</v>
      </c>
      <c r="N483" s="135"/>
      <c r="O483" s="138">
        <f>G483</f>
        <v>0</v>
      </c>
    </row>
    <row r="484" spans="1:15" ht="15.75" customHeight="1" x14ac:dyDescent="0.25">
      <c r="A484" s="125"/>
      <c r="B484" s="135"/>
      <c r="C484" s="135"/>
      <c r="D484" s="133" t="s">
        <v>108</v>
      </c>
      <c r="E484" s="135"/>
      <c r="F484" s="135"/>
      <c r="G484" s="138"/>
      <c r="H484" s="138"/>
      <c r="I484" s="138"/>
      <c r="J484" s="135"/>
      <c r="K484" s="135"/>
      <c r="L484" s="133" t="str">
        <f>+D484</f>
        <v>Arredondamento</v>
      </c>
      <c r="N484" s="135"/>
      <c r="O484" s="138">
        <f>+G484</f>
        <v>0</v>
      </c>
    </row>
    <row r="485" spans="1:15" ht="15.75" customHeight="1" x14ac:dyDescent="0.25">
      <c r="A485" s="125"/>
      <c r="B485" s="135"/>
      <c r="C485" s="135"/>
      <c r="D485" s="135"/>
      <c r="E485" s="133" t="s">
        <v>100</v>
      </c>
      <c r="F485" s="135"/>
      <c r="G485" s="138">
        <f>SUM(G477:G484)</f>
        <v>438.2</v>
      </c>
      <c r="H485" s="138"/>
      <c r="I485" s="138"/>
      <c r="J485" s="135"/>
      <c r="K485" s="135"/>
      <c r="L485" s="135"/>
      <c r="M485" s="133" t="s">
        <v>100</v>
      </c>
      <c r="N485" s="135"/>
      <c r="O485" s="138">
        <f>G485</f>
        <v>438.2</v>
      </c>
    </row>
    <row r="486" spans="1:15" ht="15.75" customHeight="1" x14ac:dyDescent="0.25">
      <c r="A486" s="125"/>
      <c r="B486" s="135"/>
      <c r="C486" s="135"/>
      <c r="D486" s="135"/>
      <c r="E486" s="135"/>
      <c r="F486" s="135"/>
      <c r="G486" s="138"/>
      <c r="H486" s="138"/>
      <c r="I486" s="138"/>
      <c r="J486" s="135"/>
      <c r="K486" s="135"/>
      <c r="L486" s="135"/>
      <c r="M486" s="135"/>
      <c r="N486" s="135"/>
      <c r="O486" s="138"/>
    </row>
    <row r="487" spans="1:15" ht="15.75" customHeight="1" x14ac:dyDescent="0.25">
      <c r="A487" s="125"/>
      <c r="B487" s="135"/>
      <c r="C487" s="133" t="s">
        <v>109</v>
      </c>
      <c r="D487" s="135"/>
      <c r="E487" s="135"/>
      <c r="F487" s="135"/>
      <c r="G487" s="139">
        <f>G474-G485</f>
        <v>10516.8</v>
      </c>
      <c r="H487" s="138"/>
      <c r="I487" s="138"/>
      <c r="J487" s="135"/>
      <c r="K487" s="135"/>
      <c r="L487" s="133" t="s">
        <v>109</v>
      </c>
      <c r="M487" s="135"/>
      <c r="N487" s="135"/>
      <c r="O487" s="139">
        <f>O474-O485</f>
        <v>10516.8</v>
      </c>
    </row>
    <row r="488" spans="1:15" ht="15.75" customHeight="1" x14ac:dyDescent="0.25">
      <c r="A488" s="125"/>
      <c r="B488" s="135"/>
      <c r="C488" s="133"/>
      <c r="D488" s="135"/>
      <c r="E488" s="135"/>
      <c r="F488" s="135"/>
      <c r="G488" s="138"/>
      <c r="H488" s="138"/>
      <c r="I488" s="138"/>
      <c r="J488" s="135"/>
      <c r="K488" s="135"/>
      <c r="L488" s="133"/>
      <c r="M488" s="135"/>
      <c r="N488" s="135"/>
      <c r="O488" s="138"/>
    </row>
    <row r="489" spans="1:15" ht="15.75" customHeight="1" x14ac:dyDescent="0.25">
      <c r="A489" s="125"/>
      <c r="B489" s="135"/>
      <c r="C489" s="135"/>
      <c r="D489" s="135"/>
      <c r="E489" s="135"/>
      <c r="F489" s="135"/>
      <c r="G489" s="138"/>
      <c r="H489" s="138"/>
      <c r="I489" s="138"/>
      <c r="J489" s="135"/>
      <c r="K489" s="135"/>
      <c r="L489" s="135"/>
      <c r="M489" s="135"/>
      <c r="N489" s="135"/>
      <c r="O489" s="138"/>
    </row>
    <row r="490" spans="1:15" ht="15.75" customHeight="1" x14ac:dyDescent="0.25">
      <c r="A490" s="125"/>
      <c r="B490" s="135"/>
      <c r="C490" s="135"/>
      <c r="D490" s="135"/>
      <c r="E490" s="133" t="s">
        <v>110</v>
      </c>
      <c r="F490" s="135"/>
      <c r="G490" s="138"/>
      <c r="H490" s="138"/>
      <c r="I490" s="138"/>
      <c r="J490" s="135"/>
      <c r="K490" s="135"/>
      <c r="L490" s="135"/>
      <c r="M490" s="133" t="s">
        <v>110</v>
      </c>
      <c r="N490" s="135"/>
      <c r="O490" s="138"/>
    </row>
    <row r="491" spans="1:15" ht="38.1" customHeight="1" x14ac:dyDescent="0.2">
      <c r="A491" s="125"/>
      <c r="B491" s="247" t="s">
        <v>91</v>
      </c>
      <c r="C491" s="247"/>
      <c r="D491" s="247"/>
      <c r="E491" s="247"/>
      <c r="F491" s="247"/>
      <c r="G491" s="247"/>
      <c r="H491" s="127"/>
      <c r="I491" s="127"/>
      <c r="J491" s="247" t="s">
        <v>91</v>
      </c>
      <c r="K491" s="247"/>
      <c r="L491" s="247"/>
      <c r="M491" s="247"/>
      <c r="N491" s="247"/>
      <c r="O491" s="247"/>
    </row>
    <row r="492" spans="1:15" ht="15" customHeight="1" x14ac:dyDescent="0.2">
      <c r="A492" s="125"/>
      <c r="B492" s="126"/>
      <c r="C492" s="128"/>
      <c r="D492" s="128"/>
      <c r="E492" s="128"/>
      <c r="F492" s="128"/>
      <c r="G492" s="128"/>
      <c r="H492" s="127"/>
      <c r="I492" s="127"/>
      <c r="J492" s="126"/>
      <c r="K492" s="128"/>
      <c r="L492" s="128"/>
      <c r="M492" s="128"/>
      <c r="N492" s="128"/>
      <c r="O492" s="128"/>
    </row>
    <row r="493" spans="1:15" ht="18.600000000000001" customHeight="1" x14ac:dyDescent="0.3">
      <c r="A493" s="125"/>
      <c r="B493" s="248" t="s">
        <v>92</v>
      </c>
      <c r="C493" s="248"/>
      <c r="D493" s="248"/>
      <c r="E493" s="248"/>
      <c r="F493" s="248"/>
      <c r="G493" s="248"/>
      <c r="H493" s="129"/>
      <c r="I493" s="130"/>
      <c r="J493" s="248" t="s">
        <v>92</v>
      </c>
      <c r="K493" s="248"/>
      <c r="L493" s="248"/>
      <c r="M493" s="248"/>
      <c r="N493" s="248"/>
      <c r="O493" s="248"/>
    </row>
    <row r="494" spans="1:15" ht="15" customHeight="1" x14ac:dyDescent="0.2">
      <c r="A494" s="125"/>
      <c r="B494" s="131">
        <f>+B465+1</f>
        <v>18</v>
      </c>
      <c r="C494" s="132"/>
      <c r="D494" s="132"/>
      <c r="E494" s="132"/>
      <c r="F494" s="132"/>
      <c r="G494" s="132"/>
      <c r="H494" s="132"/>
      <c r="I494" s="132"/>
      <c r="J494" s="131">
        <f>+B494</f>
        <v>18</v>
      </c>
      <c r="K494" s="130"/>
      <c r="L494" s="132"/>
      <c r="M494" s="132"/>
      <c r="N494" s="132"/>
      <c r="O494" s="132"/>
    </row>
    <row r="495" spans="1:15" ht="18.600000000000001" customHeight="1" x14ac:dyDescent="0.25">
      <c r="A495" s="125"/>
      <c r="B495" s="133" t="s">
        <v>93</v>
      </c>
      <c r="C495" s="134" t="str">
        <f>+C466</f>
        <v>JANEIRIO</v>
      </c>
      <c r="D495" s="135"/>
      <c r="E495" s="135">
        <f>+E466</f>
        <v>2025</v>
      </c>
      <c r="F495" s="133"/>
      <c r="G495" s="136"/>
      <c r="H495" s="136"/>
      <c r="I495" s="136"/>
      <c r="J495" s="133" t="s">
        <v>93</v>
      </c>
      <c r="K495" s="134" t="str">
        <f>+C495</f>
        <v>JANEIRIO</v>
      </c>
      <c r="L495" s="135"/>
      <c r="M495" s="135">
        <f>+E495</f>
        <v>2025</v>
      </c>
      <c r="O495" s="136"/>
    </row>
    <row r="496" spans="1:15" ht="18.600000000000001" customHeight="1" x14ac:dyDescent="0.25">
      <c r="A496" s="125"/>
      <c r="B496" s="133" t="s">
        <v>94</v>
      </c>
      <c r="C496" s="136" t="str">
        <f>+'Folha de salarios'!C27</f>
        <v>ALEXANDRE LUCAS MASSUANGANHE</v>
      </c>
      <c r="D496" s="136"/>
      <c r="E496" s="136"/>
      <c r="F496" s="136"/>
      <c r="G496" s="135"/>
      <c r="H496" s="135"/>
      <c r="I496" s="135"/>
      <c r="J496" s="133" t="s">
        <v>94</v>
      </c>
      <c r="K496" s="136" t="str">
        <f>+C496</f>
        <v>ALEXANDRE LUCAS MASSUANGANHE</v>
      </c>
      <c r="L496" s="135"/>
      <c r="M496" s="135"/>
      <c r="O496" s="135"/>
    </row>
    <row r="497" spans="1:15" ht="15.75" customHeight="1" x14ac:dyDescent="0.25">
      <c r="A497" s="125"/>
      <c r="B497" s="133" t="s">
        <v>95</v>
      </c>
      <c r="C497" s="135" t="str">
        <f>+'Folha de salarios'!G27</f>
        <v>COZINHEIRA</v>
      </c>
      <c r="D497" s="135"/>
      <c r="E497" s="135"/>
      <c r="F497" s="135"/>
      <c r="G497" s="135"/>
      <c r="H497" s="135"/>
      <c r="I497" s="135"/>
      <c r="J497" s="133" t="s">
        <v>95</v>
      </c>
      <c r="K497" s="135" t="str">
        <f>+C497</f>
        <v>COZINHEIRA</v>
      </c>
      <c r="L497" s="135"/>
      <c r="M497" s="135"/>
      <c r="N497" s="135"/>
      <c r="O497" s="135"/>
    </row>
    <row r="498" spans="1:15" ht="15.75" customHeight="1" x14ac:dyDescent="0.25">
      <c r="A498" s="125"/>
      <c r="B498" s="133"/>
      <c r="C498" s="135"/>
      <c r="D498" s="135"/>
      <c r="E498" s="135"/>
      <c r="F498" s="135"/>
      <c r="G498" s="135"/>
      <c r="H498" s="135"/>
      <c r="I498" s="135"/>
      <c r="J498" s="133"/>
      <c r="K498" s="135"/>
      <c r="L498" s="135"/>
      <c r="M498" s="135"/>
      <c r="N498" s="135"/>
      <c r="O498" s="135"/>
    </row>
    <row r="499" spans="1:15" ht="15.75" customHeight="1" x14ac:dyDescent="0.25">
      <c r="A499" s="125"/>
      <c r="B499" s="133" t="s">
        <v>96</v>
      </c>
      <c r="C499" s="135"/>
      <c r="D499" s="135"/>
      <c r="E499" s="135"/>
      <c r="F499" s="135"/>
      <c r="G499" s="137">
        <f>+'Folha de salarios'!M27</f>
        <v>14225.000000000002</v>
      </c>
      <c r="H499" s="137"/>
      <c r="I499" s="137"/>
      <c r="J499" s="133" t="s">
        <v>96</v>
      </c>
      <c r="K499" s="133"/>
      <c r="L499" s="135"/>
      <c r="M499" s="135"/>
      <c r="N499" s="135"/>
      <c r="O499" s="137">
        <f>+G499</f>
        <v>14225.000000000002</v>
      </c>
    </row>
    <row r="500" spans="1:15" ht="15.75" customHeight="1" x14ac:dyDescent="0.25">
      <c r="A500" s="125"/>
      <c r="B500" s="133" t="s">
        <v>97</v>
      </c>
      <c r="C500" s="135"/>
      <c r="D500" s="135"/>
      <c r="E500" s="135"/>
      <c r="F500" s="135"/>
      <c r="G500" s="138">
        <f>+'Folha de salarios'!S27</f>
        <v>0</v>
      </c>
      <c r="H500" s="138"/>
      <c r="I500" s="138"/>
      <c r="J500" s="133" t="s">
        <v>97</v>
      </c>
      <c r="K500" s="133"/>
      <c r="L500" s="135"/>
      <c r="M500" s="135"/>
      <c r="N500" s="135"/>
      <c r="O500" s="138">
        <f>G500</f>
        <v>0</v>
      </c>
    </row>
    <row r="501" spans="1:15" ht="15.75" customHeight="1" x14ac:dyDescent="0.25">
      <c r="A501" s="125"/>
      <c r="B501" s="133" t="s">
        <v>98</v>
      </c>
      <c r="C501" s="135"/>
      <c r="D501" s="135"/>
      <c r="E501" s="135"/>
      <c r="F501" s="135"/>
      <c r="G501" s="138">
        <v>0</v>
      </c>
      <c r="H501" s="138"/>
      <c r="I501" s="138"/>
      <c r="J501" s="133" t="s">
        <v>98</v>
      </c>
      <c r="K501" s="133"/>
      <c r="L501" s="135"/>
      <c r="M501" s="135"/>
      <c r="N501" s="135"/>
      <c r="O501" s="138">
        <f>G501</f>
        <v>0</v>
      </c>
    </row>
    <row r="502" spans="1:15" ht="15.75" customHeight="1" x14ac:dyDescent="0.25">
      <c r="A502" s="125"/>
      <c r="B502" s="133" t="s">
        <v>99</v>
      </c>
      <c r="C502" s="135"/>
      <c r="D502" s="135"/>
      <c r="E502" s="135"/>
      <c r="F502" s="135"/>
      <c r="G502" s="138">
        <f>+'Folha de salarios'!O437</f>
        <v>0</v>
      </c>
      <c r="H502" s="138"/>
      <c r="I502" s="138"/>
      <c r="J502" s="133" t="s">
        <v>99</v>
      </c>
      <c r="K502" s="133"/>
      <c r="L502" s="135"/>
      <c r="M502" s="135"/>
      <c r="N502" s="135"/>
      <c r="O502" s="138">
        <v>0</v>
      </c>
    </row>
    <row r="503" spans="1:15" ht="15.75" customHeight="1" x14ac:dyDescent="0.25">
      <c r="A503" s="125"/>
      <c r="B503" s="135"/>
      <c r="C503" s="135"/>
      <c r="D503" s="135"/>
      <c r="E503" s="133" t="s">
        <v>100</v>
      </c>
      <c r="F503" s="135"/>
      <c r="G503" s="138">
        <f>SUM(G499:G502)</f>
        <v>14225.000000000002</v>
      </c>
      <c r="H503" s="138"/>
      <c r="I503" s="138"/>
      <c r="J503" s="135"/>
      <c r="K503" s="135"/>
      <c r="L503" s="135"/>
      <c r="M503" s="133" t="s">
        <v>100</v>
      </c>
      <c r="N503" s="135"/>
      <c r="O503" s="138">
        <f>SUM(O499:O502)</f>
        <v>14225.000000000002</v>
      </c>
    </row>
    <row r="504" spans="1:15" ht="15.75" customHeight="1" x14ac:dyDescent="0.25">
      <c r="A504" s="125"/>
      <c r="B504" s="135"/>
      <c r="C504" s="135"/>
      <c r="D504" s="135"/>
      <c r="E504" s="135"/>
      <c r="F504" s="135"/>
      <c r="G504" s="138"/>
      <c r="H504" s="138"/>
      <c r="I504" s="138"/>
      <c r="J504" s="135"/>
      <c r="K504" s="135"/>
      <c r="L504" s="135"/>
      <c r="M504" s="135"/>
      <c r="N504" s="135"/>
      <c r="O504" s="138"/>
    </row>
    <row r="505" spans="1:15" ht="15.75" customHeight="1" x14ac:dyDescent="0.25">
      <c r="A505" s="125"/>
      <c r="B505" s="135"/>
      <c r="C505" s="133" t="s">
        <v>101</v>
      </c>
      <c r="D505" s="135"/>
      <c r="E505" s="135"/>
      <c r="F505" s="135"/>
      <c r="G505" s="138"/>
      <c r="H505" s="138"/>
      <c r="I505" s="138"/>
      <c r="J505" s="135"/>
      <c r="K505" s="133" t="s">
        <v>101</v>
      </c>
      <c r="L505" s="135"/>
      <c r="M505" s="135"/>
      <c r="O505" s="138"/>
    </row>
    <row r="506" spans="1:15" ht="15.75" customHeight="1" x14ac:dyDescent="0.25">
      <c r="A506" s="125"/>
      <c r="B506" s="135"/>
      <c r="C506" s="135"/>
      <c r="D506" s="133" t="s">
        <v>102</v>
      </c>
      <c r="E506" s="135"/>
      <c r="F506" s="135"/>
      <c r="G506" s="138">
        <f>+'Folha de salarios'!Z465</f>
        <v>0</v>
      </c>
      <c r="H506" s="138"/>
      <c r="I506" s="138"/>
      <c r="J506" s="135"/>
      <c r="K506" s="135"/>
      <c r="L506" s="133" t="s">
        <v>102</v>
      </c>
      <c r="M506" s="135"/>
      <c r="O506" s="138">
        <f>+G506</f>
        <v>0</v>
      </c>
    </row>
    <row r="507" spans="1:15" ht="15.75" customHeight="1" x14ac:dyDescent="0.25">
      <c r="A507" s="125"/>
      <c r="B507" s="135"/>
      <c r="C507" s="135"/>
      <c r="D507" s="133" t="s">
        <v>86</v>
      </c>
      <c r="E507" s="135"/>
      <c r="F507" s="135"/>
      <c r="G507" s="138">
        <f>+G503*0.03</f>
        <v>426.75000000000006</v>
      </c>
      <c r="H507" s="138"/>
      <c r="I507" s="138"/>
      <c r="J507" s="135"/>
      <c r="K507" s="135"/>
      <c r="L507" s="133" t="s">
        <v>86</v>
      </c>
      <c r="M507" s="135"/>
      <c r="O507" s="138">
        <f>+G507</f>
        <v>426.75000000000006</v>
      </c>
    </row>
    <row r="508" spans="1:15" ht="15.75" customHeight="1" x14ac:dyDescent="0.25">
      <c r="A508" s="125"/>
      <c r="B508" s="135"/>
      <c r="C508" s="135"/>
      <c r="D508" s="133" t="s">
        <v>103</v>
      </c>
      <c r="E508" s="135"/>
      <c r="F508" s="135"/>
      <c r="G508" s="138">
        <f>+G503*0.01</f>
        <v>142.25000000000003</v>
      </c>
      <c r="H508" s="138"/>
      <c r="I508" s="138"/>
      <c r="J508" s="135"/>
      <c r="K508" s="135"/>
      <c r="L508" s="133" t="s">
        <v>103</v>
      </c>
      <c r="M508" s="135"/>
      <c r="O508" s="138">
        <f>+G508</f>
        <v>142.25000000000003</v>
      </c>
    </row>
    <row r="509" spans="1:15" ht="15.75" customHeight="1" x14ac:dyDescent="0.25">
      <c r="A509" s="125"/>
      <c r="B509" s="135"/>
      <c r="C509" s="135"/>
      <c r="D509" s="133" t="s">
        <v>104</v>
      </c>
      <c r="E509" s="135"/>
      <c r="F509" s="135"/>
      <c r="G509" s="138"/>
      <c r="H509" s="138"/>
      <c r="I509" s="138"/>
      <c r="J509" s="135"/>
      <c r="K509" s="135"/>
      <c r="L509" s="133" t="s">
        <v>104</v>
      </c>
      <c r="M509" s="135"/>
      <c r="O509" s="138">
        <f>G509</f>
        <v>0</v>
      </c>
    </row>
    <row r="510" spans="1:15" ht="15.75" customHeight="1" x14ac:dyDescent="0.25">
      <c r="A510" s="125"/>
      <c r="B510" s="135"/>
      <c r="C510" s="135"/>
      <c r="D510" s="133" t="s">
        <v>105</v>
      </c>
      <c r="E510" s="135"/>
      <c r="F510" s="135"/>
      <c r="G510" s="138"/>
      <c r="H510" s="138"/>
      <c r="I510" s="138"/>
      <c r="J510" s="135"/>
      <c r="K510" s="135"/>
      <c r="L510" s="133" t="s">
        <v>105</v>
      </c>
      <c r="M510" s="135"/>
      <c r="O510" s="138">
        <f>G510</f>
        <v>0</v>
      </c>
    </row>
    <row r="511" spans="1:15" ht="15.75" customHeight="1" x14ac:dyDescent="0.25">
      <c r="A511" s="125"/>
      <c r="B511" s="135"/>
      <c r="C511" s="135"/>
      <c r="D511" s="133" t="s">
        <v>106</v>
      </c>
      <c r="E511" s="135"/>
      <c r="F511" s="135"/>
      <c r="G511" s="138"/>
      <c r="H511" s="138"/>
      <c r="I511" s="138"/>
      <c r="J511" s="135"/>
      <c r="K511" s="135"/>
      <c r="L511" s="133" t="s">
        <v>106</v>
      </c>
      <c r="M511" s="135"/>
      <c r="O511" s="138">
        <f>G511</f>
        <v>0</v>
      </c>
    </row>
    <row r="512" spans="1:15" ht="15.75" customHeight="1" x14ac:dyDescent="0.25">
      <c r="A512" s="125"/>
      <c r="B512" s="135"/>
      <c r="C512" s="135"/>
      <c r="D512" s="133" t="s">
        <v>112</v>
      </c>
      <c r="E512" s="135"/>
      <c r="F512" s="135"/>
      <c r="G512" s="138">
        <f>+'Folha de salarios'!Y27</f>
        <v>0</v>
      </c>
      <c r="H512" s="138"/>
      <c r="I512" s="138"/>
      <c r="J512" s="135"/>
      <c r="K512" s="135"/>
      <c r="L512" s="133" t="str">
        <f>+D512</f>
        <v>Pagament Antecipado</v>
      </c>
      <c r="N512" s="135"/>
      <c r="O512" s="138">
        <f>G512</f>
        <v>0</v>
      </c>
    </row>
    <row r="513" spans="1:15" ht="15.75" customHeight="1" x14ac:dyDescent="0.25">
      <c r="A513" s="125"/>
      <c r="B513" s="135"/>
      <c r="C513" s="135"/>
      <c r="D513" s="133" t="s">
        <v>108</v>
      </c>
      <c r="E513" s="135"/>
      <c r="F513" s="135"/>
      <c r="G513" s="138"/>
      <c r="H513" s="138"/>
      <c r="I513" s="138"/>
      <c r="J513" s="135"/>
      <c r="K513" s="135"/>
      <c r="L513" s="133" t="str">
        <f>+D513</f>
        <v>Arredondamento</v>
      </c>
      <c r="N513" s="135"/>
      <c r="O513" s="138">
        <f>+G513</f>
        <v>0</v>
      </c>
    </row>
    <row r="514" spans="1:15" ht="15.75" customHeight="1" x14ac:dyDescent="0.25">
      <c r="A514" s="125"/>
      <c r="B514" s="135"/>
      <c r="C514" s="135"/>
      <c r="D514" s="135"/>
      <c r="E514" s="133" t="s">
        <v>100</v>
      </c>
      <c r="F514" s="135"/>
      <c r="G514" s="138">
        <f>SUM(G506:G513)</f>
        <v>569.00000000000011</v>
      </c>
      <c r="H514" s="138"/>
      <c r="I514" s="138"/>
      <c r="J514" s="135"/>
      <c r="K514" s="135"/>
      <c r="L514" s="135"/>
      <c r="M514" s="133" t="s">
        <v>100</v>
      </c>
      <c r="N514" s="135"/>
      <c r="O514" s="138">
        <f>G514</f>
        <v>569.00000000000011</v>
      </c>
    </row>
    <row r="515" spans="1:15" ht="15.75" customHeight="1" x14ac:dyDescent="0.25">
      <c r="A515" s="125"/>
      <c r="B515" s="135"/>
      <c r="C515" s="135"/>
      <c r="D515" s="135"/>
      <c r="E515" s="135"/>
      <c r="F515" s="135"/>
      <c r="G515" s="138"/>
      <c r="H515" s="138"/>
      <c r="I515" s="138"/>
      <c r="J515" s="135"/>
      <c r="K515" s="135"/>
      <c r="L515" s="135"/>
      <c r="M515" s="135"/>
      <c r="N515" s="135"/>
      <c r="O515" s="138"/>
    </row>
    <row r="516" spans="1:15" ht="15.75" customHeight="1" x14ac:dyDescent="0.25">
      <c r="A516" s="125"/>
      <c r="B516" s="135"/>
      <c r="C516" s="133" t="s">
        <v>109</v>
      </c>
      <c r="D516" s="135"/>
      <c r="E516" s="135"/>
      <c r="F516" s="135"/>
      <c r="G516" s="139">
        <f>G503-G514</f>
        <v>13656.000000000002</v>
      </c>
      <c r="H516" s="138"/>
      <c r="I516" s="138"/>
      <c r="J516" s="135"/>
      <c r="K516" s="135"/>
      <c r="L516" s="133" t="s">
        <v>109</v>
      </c>
      <c r="M516" s="135"/>
      <c r="N516" s="135"/>
      <c r="O516" s="139">
        <f>O503-O514</f>
        <v>13656.000000000002</v>
      </c>
    </row>
    <row r="517" spans="1:15" ht="15.75" customHeight="1" x14ac:dyDescent="0.25">
      <c r="A517" s="125"/>
      <c r="B517" s="135"/>
      <c r="C517" s="133"/>
      <c r="D517" s="135"/>
      <c r="E517" s="135"/>
      <c r="F517" s="135"/>
      <c r="G517" s="138"/>
      <c r="H517" s="138"/>
      <c r="I517" s="138"/>
      <c r="J517" s="135"/>
      <c r="K517" s="135"/>
      <c r="L517" s="133"/>
      <c r="M517" s="135"/>
      <c r="N517" s="135"/>
      <c r="O517" s="138"/>
    </row>
    <row r="518" spans="1:15" ht="15.75" customHeight="1" x14ac:dyDescent="0.25">
      <c r="A518" s="125"/>
      <c r="B518" s="135"/>
      <c r="C518" s="135"/>
      <c r="D518" s="135"/>
      <c r="E518" s="135"/>
      <c r="F518" s="135"/>
      <c r="G518" s="138"/>
      <c r="H518" s="138"/>
      <c r="I518" s="138"/>
      <c r="J518" s="135"/>
      <c r="K518" s="135"/>
      <c r="L518" s="135"/>
      <c r="M518" s="135"/>
      <c r="N518" s="135"/>
      <c r="O518" s="138"/>
    </row>
    <row r="519" spans="1:15" ht="15.75" customHeight="1" x14ac:dyDescent="0.25">
      <c r="A519" s="125"/>
      <c r="B519" s="135"/>
      <c r="C519" s="135"/>
      <c r="D519" s="135"/>
      <c r="E519" s="133" t="s">
        <v>110</v>
      </c>
      <c r="F519" s="135"/>
      <c r="G519" s="138"/>
      <c r="H519" s="138"/>
      <c r="I519" s="138"/>
      <c r="J519" s="135"/>
      <c r="K519" s="135"/>
      <c r="L519" s="135"/>
      <c r="M519" s="133" t="s">
        <v>110</v>
      </c>
      <c r="N519" s="135"/>
      <c r="O519" s="138"/>
    </row>
    <row r="520" spans="1:15" ht="38.1" customHeight="1" x14ac:dyDescent="0.2">
      <c r="A520" s="125"/>
      <c r="B520" s="247" t="s">
        <v>91</v>
      </c>
      <c r="C520" s="247"/>
      <c r="D520" s="247"/>
      <c r="E520" s="247"/>
      <c r="F520" s="247"/>
      <c r="G520" s="247"/>
      <c r="H520" s="127"/>
      <c r="I520" s="127"/>
      <c r="J520" s="247" t="s">
        <v>91</v>
      </c>
      <c r="K520" s="247"/>
      <c r="L520" s="247"/>
      <c r="M520" s="247"/>
      <c r="N520" s="247"/>
      <c r="O520" s="247"/>
    </row>
    <row r="521" spans="1:15" ht="15" customHeight="1" x14ac:dyDescent="0.2">
      <c r="A521" s="125"/>
      <c r="B521" s="126"/>
      <c r="C521" s="128"/>
      <c r="D521" s="128"/>
      <c r="E521" s="128"/>
      <c r="F521" s="128"/>
      <c r="G521" s="128"/>
      <c r="H521" s="127"/>
      <c r="I521" s="127"/>
      <c r="J521" s="126"/>
      <c r="K521" s="128"/>
      <c r="L521" s="128"/>
      <c r="M521" s="128"/>
      <c r="N521" s="128"/>
      <c r="O521" s="128"/>
    </row>
    <row r="522" spans="1:15" ht="18.600000000000001" customHeight="1" x14ac:dyDescent="0.3">
      <c r="A522" s="125"/>
      <c r="B522" s="248" t="s">
        <v>92</v>
      </c>
      <c r="C522" s="248"/>
      <c r="D522" s="248"/>
      <c r="E522" s="248"/>
      <c r="F522" s="248"/>
      <c r="G522" s="248"/>
      <c r="H522" s="129"/>
      <c r="I522" s="130"/>
      <c r="J522" s="248" t="s">
        <v>92</v>
      </c>
      <c r="K522" s="248"/>
      <c r="L522" s="248"/>
      <c r="M522" s="248"/>
      <c r="N522" s="248"/>
      <c r="O522" s="248"/>
    </row>
    <row r="523" spans="1:15" ht="15" customHeight="1" x14ac:dyDescent="0.2">
      <c r="A523" s="125"/>
      <c r="B523" s="131">
        <f>+'Folha de salarios'!A28</f>
        <v>19</v>
      </c>
      <c r="C523" s="132"/>
      <c r="D523" s="132"/>
      <c r="E523" s="132"/>
      <c r="F523" s="132"/>
      <c r="H523" s="132"/>
      <c r="I523" s="132"/>
      <c r="J523" s="131">
        <f>+B523</f>
        <v>19</v>
      </c>
      <c r="K523" s="130"/>
      <c r="L523" s="132"/>
      <c r="M523" s="132"/>
      <c r="N523" s="132"/>
      <c r="O523" s="132"/>
    </row>
    <row r="524" spans="1:15" ht="18.600000000000001" customHeight="1" x14ac:dyDescent="0.25">
      <c r="A524" s="125"/>
      <c r="B524" s="133" t="s">
        <v>93</v>
      </c>
      <c r="C524" s="134" t="str">
        <f>+C5</f>
        <v>JANEIRIO</v>
      </c>
      <c r="D524" s="135"/>
      <c r="E524" s="135">
        <f>+E5</f>
        <v>2025</v>
      </c>
      <c r="F524" s="133"/>
      <c r="G524" s="136"/>
      <c r="H524" s="136"/>
      <c r="I524" s="136"/>
      <c r="J524" s="133" t="s">
        <v>93</v>
      </c>
      <c r="K524" s="134" t="str">
        <f>+C524</f>
        <v>JANEIRIO</v>
      </c>
      <c r="L524" s="135"/>
      <c r="M524" s="135">
        <f>+E524</f>
        <v>2025</v>
      </c>
      <c r="O524" s="136"/>
    </row>
    <row r="525" spans="1:15" ht="18.600000000000001" customHeight="1" x14ac:dyDescent="0.25">
      <c r="A525" s="125"/>
      <c r="B525" s="133" t="s">
        <v>94</v>
      </c>
      <c r="C525" s="136" t="str">
        <f>+'Folha de salarios'!C28</f>
        <v>JELSON QUALDADE ZIVANE</v>
      </c>
      <c r="D525" s="136"/>
      <c r="E525" s="136"/>
      <c r="F525" s="136"/>
      <c r="G525" s="135"/>
      <c r="H525" s="135"/>
      <c r="I525" s="135"/>
      <c r="J525" s="133" t="s">
        <v>94</v>
      </c>
      <c r="K525" s="136" t="str">
        <f>C525</f>
        <v>JELSON QUALDADE ZIVANE</v>
      </c>
      <c r="L525" s="135"/>
      <c r="M525" s="135"/>
      <c r="O525" s="135"/>
    </row>
    <row r="526" spans="1:15" ht="15.75" customHeight="1" x14ac:dyDescent="0.25">
      <c r="A526" s="125"/>
      <c r="B526" s="133" t="s">
        <v>95</v>
      </c>
      <c r="C526" s="135" t="str">
        <f>+'Folha de salarios'!G28</f>
        <v>JARDINERO/COZINHA</v>
      </c>
      <c r="D526" s="135"/>
      <c r="E526" s="135"/>
      <c r="F526" s="135"/>
      <c r="G526" s="135"/>
      <c r="H526" s="135"/>
      <c r="I526" s="135"/>
      <c r="J526" s="133" t="s">
        <v>95</v>
      </c>
      <c r="K526" s="135" t="str">
        <f>+C526</f>
        <v>JARDINERO/COZINHA</v>
      </c>
      <c r="L526" s="135"/>
      <c r="M526" s="135"/>
      <c r="N526" s="135"/>
      <c r="O526" s="135"/>
    </row>
    <row r="527" spans="1:15" ht="15.75" customHeight="1" x14ac:dyDescent="0.25">
      <c r="A527" s="125"/>
      <c r="B527" s="133"/>
      <c r="C527" s="135"/>
      <c r="D527" s="135"/>
      <c r="E527" s="135"/>
      <c r="F527" s="135"/>
      <c r="G527" s="135"/>
      <c r="H527" s="135"/>
      <c r="I527" s="135"/>
      <c r="J527" s="133"/>
      <c r="K527" s="135"/>
      <c r="L527" s="135"/>
      <c r="M527" s="135"/>
      <c r="N527" s="135"/>
      <c r="O527" s="135"/>
    </row>
    <row r="528" spans="1:15" ht="15.75" customHeight="1" x14ac:dyDescent="0.25">
      <c r="A528" s="125"/>
      <c r="B528" s="133" t="s">
        <v>96</v>
      </c>
      <c r="C528" s="135"/>
      <c r="D528" s="135"/>
      <c r="E528" s="135"/>
      <c r="F528" s="135"/>
      <c r="G528" s="137">
        <f>+'Folha de salarios'!M28</f>
        <v>11445</v>
      </c>
      <c r="H528" s="137"/>
      <c r="I528" s="137"/>
      <c r="J528" s="133" t="s">
        <v>96</v>
      </c>
      <c r="K528" s="133"/>
      <c r="L528" s="135"/>
      <c r="M528" s="135"/>
      <c r="N528" s="135"/>
      <c r="O528" s="137">
        <f>+G528</f>
        <v>11445</v>
      </c>
    </row>
    <row r="529" spans="1:15" ht="15.75" customHeight="1" x14ac:dyDescent="0.25">
      <c r="A529" s="125"/>
      <c r="B529" s="133" t="s">
        <v>97</v>
      </c>
      <c r="C529" s="135"/>
      <c r="D529" s="135"/>
      <c r="E529" s="135"/>
      <c r="F529" s="135"/>
      <c r="G529" s="138">
        <f>+'Folha de salarios'!S28</f>
        <v>0</v>
      </c>
      <c r="H529" s="138"/>
      <c r="I529" s="138"/>
      <c r="J529" s="133" t="s">
        <v>97</v>
      </c>
      <c r="K529" s="133"/>
      <c r="L529" s="135"/>
      <c r="M529" s="135"/>
      <c r="N529" s="135"/>
      <c r="O529" s="138">
        <f>G529</f>
        <v>0</v>
      </c>
    </row>
    <row r="530" spans="1:15" ht="15.75" customHeight="1" x14ac:dyDescent="0.25">
      <c r="A530" s="125"/>
      <c r="B530" s="133" t="s">
        <v>98</v>
      </c>
      <c r="C530" s="135"/>
      <c r="D530" s="135"/>
      <c r="E530" s="135"/>
      <c r="F530" s="135"/>
      <c r="G530" s="138">
        <v>0</v>
      </c>
      <c r="H530" s="138"/>
      <c r="I530" s="138"/>
      <c r="J530" s="133" t="s">
        <v>98</v>
      </c>
      <c r="K530" s="133"/>
      <c r="L530" s="135"/>
      <c r="M530" s="135"/>
      <c r="N530" s="135"/>
      <c r="O530" s="138">
        <f>G530</f>
        <v>0</v>
      </c>
    </row>
    <row r="531" spans="1:15" ht="15.75" customHeight="1" x14ac:dyDescent="0.25">
      <c r="A531" s="125"/>
      <c r="B531" s="133" t="s">
        <v>99</v>
      </c>
      <c r="C531" s="135"/>
      <c r="D531" s="135"/>
      <c r="E531" s="135"/>
      <c r="F531" s="135"/>
      <c r="G531" s="138">
        <v>0</v>
      </c>
      <c r="H531" s="138"/>
      <c r="I531" s="138"/>
      <c r="J531" s="133" t="s">
        <v>99</v>
      </c>
      <c r="K531" s="133"/>
      <c r="L531" s="135"/>
      <c r="M531" s="135"/>
      <c r="N531" s="135"/>
      <c r="O531" s="138">
        <v>0</v>
      </c>
    </row>
    <row r="532" spans="1:15" ht="15.75" customHeight="1" x14ac:dyDescent="0.25">
      <c r="A532" s="125"/>
      <c r="B532" s="135"/>
      <c r="C532" s="135"/>
      <c r="D532" s="135"/>
      <c r="E532" s="133" t="s">
        <v>100</v>
      </c>
      <c r="F532" s="135"/>
      <c r="G532" s="138">
        <f>SUM(G528:G531)</f>
        <v>11445</v>
      </c>
      <c r="H532" s="138"/>
      <c r="I532" s="138"/>
      <c r="J532" s="135"/>
      <c r="K532" s="135"/>
      <c r="L532" s="135"/>
      <c r="M532" s="133" t="s">
        <v>100</v>
      </c>
      <c r="N532" s="135"/>
      <c r="O532" s="138">
        <f>SUM(O528:O531)</f>
        <v>11445</v>
      </c>
    </row>
    <row r="533" spans="1:15" ht="15.75" customHeight="1" x14ac:dyDescent="0.25">
      <c r="A533" s="125"/>
      <c r="B533" s="135"/>
      <c r="C533" s="135"/>
      <c r="D533" s="135"/>
      <c r="E533" s="135"/>
      <c r="F533" s="135"/>
      <c r="G533" s="138"/>
      <c r="H533" s="138"/>
      <c r="I533" s="138"/>
      <c r="J533" s="135"/>
      <c r="K533" s="135"/>
      <c r="L533" s="135"/>
      <c r="M533" s="135"/>
      <c r="N533" s="135"/>
      <c r="O533" s="138"/>
    </row>
    <row r="534" spans="1:15" ht="15.75" customHeight="1" x14ac:dyDescent="0.25">
      <c r="A534" s="125"/>
      <c r="B534" s="135"/>
      <c r="C534" s="133" t="s">
        <v>101</v>
      </c>
      <c r="D534" s="135"/>
      <c r="E534" s="135"/>
      <c r="F534" s="135"/>
      <c r="G534" s="138"/>
      <c r="H534" s="138"/>
      <c r="I534" s="138"/>
      <c r="J534" s="135"/>
      <c r="K534" s="133" t="s">
        <v>101</v>
      </c>
      <c r="L534" s="135"/>
      <c r="N534" s="135"/>
      <c r="O534" s="138"/>
    </row>
    <row r="535" spans="1:15" ht="15.75" customHeight="1" x14ac:dyDescent="0.25">
      <c r="A535" s="125"/>
      <c r="B535" s="135"/>
      <c r="C535" s="135"/>
      <c r="D535" s="133" t="s">
        <v>102</v>
      </c>
      <c r="E535" s="135"/>
      <c r="F535" s="135"/>
      <c r="G535" s="138">
        <f>+'Folha de salarios'!Z552</f>
        <v>0</v>
      </c>
      <c r="H535" s="138"/>
      <c r="I535" s="138"/>
      <c r="J535" s="135"/>
      <c r="K535" s="135"/>
      <c r="L535" s="133" t="s">
        <v>102</v>
      </c>
      <c r="N535" s="135"/>
      <c r="O535" s="138">
        <f>+G535</f>
        <v>0</v>
      </c>
    </row>
    <row r="536" spans="1:15" ht="15.75" customHeight="1" x14ac:dyDescent="0.25">
      <c r="A536" s="125"/>
      <c r="B536" s="135"/>
      <c r="C536" s="135"/>
      <c r="D536" s="133" t="s">
        <v>86</v>
      </c>
      <c r="E536" s="135"/>
      <c r="F536" s="135"/>
      <c r="G536" s="138">
        <f>+G532*0.03</f>
        <v>343.34999999999997</v>
      </c>
      <c r="H536" s="138"/>
      <c r="I536" s="138"/>
      <c r="J536" s="135"/>
      <c r="K536" s="135"/>
      <c r="L536" s="133" t="s">
        <v>86</v>
      </c>
      <c r="N536" s="135"/>
      <c r="O536" s="138">
        <f>+G536</f>
        <v>343.34999999999997</v>
      </c>
    </row>
    <row r="537" spans="1:15" ht="15.75" customHeight="1" x14ac:dyDescent="0.25">
      <c r="A537" s="125"/>
      <c r="B537" s="135"/>
      <c r="C537" s="135"/>
      <c r="D537" s="133" t="s">
        <v>103</v>
      </c>
      <c r="E537" s="135"/>
      <c r="F537" s="135"/>
      <c r="G537" s="138">
        <f>+G532*0.01</f>
        <v>114.45</v>
      </c>
      <c r="H537" s="138"/>
      <c r="I537" s="138"/>
      <c r="J537" s="135"/>
      <c r="K537" s="135"/>
      <c r="L537" s="133" t="s">
        <v>103</v>
      </c>
      <c r="N537" s="135"/>
      <c r="O537" s="138">
        <f>+G537</f>
        <v>114.45</v>
      </c>
    </row>
    <row r="538" spans="1:15" ht="15.75" customHeight="1" x14ac:dyDescent="0.25">
      <c r="A538" s="125"/>
      <c r="B538" s="135"/>
      <c r="C538" s="135"/>
      <c r="D538" s="133" t="s">
        <v>104</v>
      </c>
      <c r="E538" s="135"/>
      <c r="F538" s="135"/>
      <c r="G538" s="138"/>
      <c r="H538" s="138"/>
      <c r="I538" s="138"/>
      <c r="J538" s="135"/>
      <c r="K538" s="135"/>
      <c r="L538" s="133" t="s">
        <v>104</v>
      </c>
      <c r="N538" s="135"/>
      <c r="O538" s="138">
        <f>G538</f>
        <v>0</v>
      </c>
    </row>
    <row r="539" spans="1:15" ht="15.75" customHeight="1" x14ac:dyDescent="0.25">
      <c r="A539" s="125"/>
      <c r="B539" s="135"/>
      <c r="C539" s="135"/>
      <c r="D539" s="133" t="s">
        <v>105</v>
      </c>
      <c r="E539" s="135"/>
      <c r="F539" s="135"/>
      <c r="G539" s="138"/>
      <c r="H539" s="138"/>
      <c r="I539" s="138"/>
      <c r="J539" s="135"/>
      <c r="K539" s="135"/>
      <c r="L539" s="133" t="s">
        <v>105</v>
      </c>
      <c r="N539" s="135"/>
      <c r="O539" s="138">
        <f>G539</f>
        <v>0</v>
      </c>
    </row>
    <row r="540" spans="1:15" ht="15.75" customHeight="1" x14ac:dyDescent="0.25">
      <c r="A540" s="125"/>
      <c r="B540" s="135"/>
      <c r="C540" s="135"/>
      <c r="D540" s="133" t="s">
        <v>106</v>
      </c>
      <c r="E540" s="135"/>
      <c r="F540" s="135"/>
      <c r="G540" s="138"/>
      <c r="H540" s="138"/>
      <c r="I540" s="138"/>
      <c r="J540" s="135"/>
      <c r="K540" s="135"/>
      <c r="L540" s="133" t="s">
        <v>106</v>
      </c>
      <c r="N540" s="135"/>
      <c r="O540" s="138">
        <f>G540</f>
        <v>0</v>
      </c>
    </row>
    <row r="541" spans="1:15" ht="15.75" customHeight="1" x14ac:dyDescent="0.25">
      <c r="A541" s="125"/>
      <c r="B541" s="135"/>
      <c r="C541" s="135"/>
      <c r="D541" s="133" t="s">
        <v>112</v>
      </c>
      <c r="E541" s="135"/>
      <c r="F541" s="135"/>
      <c r="G541" s="138">
        <f>+'Folha de salarios'!Y28</f>
        <v>1500</v>
      </c>
      <c r="H541" s="138"/>
      <c r="I541" s="138"/>
      <c r="J541" s="135"/>
      <c r="K541" s="135"/>
      <c r="L541" s="133" t="str">
        <f>+D541</f>
        <v>Pagament Antecipado</v>
      </c>
      <c r="N541" s="135"/>
      <c r="O541" s="138">
        <f>G541</f>
        <v>1500</v>
      </c>
    </row>
    <row r="542" spans="1:15" ht="15.75" customHeight="1" x14ac:dyDescent="0.25">
      <c r="A542" s="125"/>
      <c r="B542" s="135"/>
      <c r="C542" s="135"/>
      <c r="D542" s="133" t="s">
        <v>108</v>
      </c>
      <c r="E542" s="135"/>
      <c r="F542" s="135"/>
      <c r="G542" s="138">
        <v>0</v>
      </c>
      <c r="H542" s="138"/>
      <c r="I542" s="138"/>
      <c r="J542" s="135"/>
      <c r="K542" s="135"/>
      <c r="L542" s="133" t="str">
        <f>+D542</f>
        <v>Arredondamento</v>
      </c>
      <c r="N542" s="135"/>
      <c r="O542" s="138">
        <f>+G542</f>
        <v>0</v>
      </c>
    </row>
    <row r="543" spans="1:15" ht="15.75" customHeight="1" x14ac:dyDescent="0.25">
      <c r="A543" s="125"/>
      <c r="B543" s="135"/>
      <c r="C543" s="135"/>
      <c r="D543" s="135"/>
      <c r="E543" s="133" t="s">
        <v>100</v>
      </c>
      <c r="F543" s="135"/>
      <c r="G543" s="138">
        <f>SUM(G535:G542)</f>
        <v>1957.8</v>
      </c>
      <c r="H543" s="138"/>
      <c r="I543" s="138"/>
      <c r="J543" s="135"/>
      <c r="K543" s="135"/>
      <c r="L543" s="135"/>
      <c r="M543" s="133" t="s">
        <v>100</v>
      </c>
      <c r="N543" s="135"/>
      <c r="O543" s="138">
        <f>G543</f>
        <v>1957.8</v>
      </c>
    </row>
    <row r="544" spans="1:15" ht="15.75" customHeight="1" x14ac:dyDescent="0.25">
      <c r="A544" s="125"/>
      <c r="B544" s="135"/>
      <c r="C544" s="135"/>
      <c r="D544" s="135"/>
      <c r="E544" s="135"/>
      <c r="F544" s="135"/>
      <c r="G544" s="138"/>
      <c r="H544" s="138"/>
      <c r="I544" s="138"/>
      <c r="J544" s="135"/>
      <c r="K544" s="135"/>
      <c r="L544" s="135"/>
      <c r="M544" s="135"/>
      <c r="N544" s="135"/>
      <c r="O544" s="138"/>
    </row>
    <row r="545" spans="1:15" ht="15.75" customHeight="1" x14ac:dyDescent="0.25">
      <c r="A545" s="125"/>
      <c r="B545" s="135"/>
      <c r="C545" s="133" t="s">
        <v>109</v>
      </c>
      <c r="D545" s="135"/>
      <c r="E545" s="135"/>
      <c r="F545" s="135"/>
      <c r="G545" s="139">
        <f>G532-G543</f>
        <v>9487.2000000000007</v>
      </c>
      <c r="H545" s="138"/>
      <c r="I545" s="138"/>
      <c r="J545" s="135"/>
      <c r="K545" s="135"/>
      <c r="L545" s="133" t="s">
        <v>109</v>
      </c>
      <c r="M545" s="135"/>
      <c r="N545" s="135"/>
      <c r="O545" s="139">
        <f>O532-O543</f>
        <v>9487.2000000000007</v>
      </c>
    </row>
    <row r="546" spans="1:15" ht="15.75" customHeight="1" x14ac:dyDescent="0.25">
      <c r="A546" s="125"/>
      <c r="B546" s="135"/>
      <c r="C546" s="133"/>
      <c r="D546" s="135"/>
      <c r="E546" s="135"/>
      <c r="F546" s="135"/>
      <c r="G546" s="138"/>
      <c r="H546" s="138"/>
      <c r="I546" s="138"/>
      <c r="J546" s="135"/>
      <c r="K546" s="135"/>
      <c r="L546" s="133"/>
      <c r="M546" s="135"/>
      <c r="N546" s="135"/>
      <c r="O546" s="138"/>
    </row>
    <row r="547" spans="1:15" ht="15.75" customHeight="1" x14ac:dyDescent="0.25">
      <c r="A547" s="125"/>
      <c r="B547" s="135"/>
      <c r="C547" s="135"/>
      <c r="D547" s="135"/>
      <c r="E547" s="135"/>
      <c r="F547" s="135"/>
      <c r="G547" s="138"/>
      <c r="H547" s="138"/>
      <c r="I547" s="138"/>
      <c r="J547" s="135"/>
      <c r="K547" s="135"/>
      <c r="L547" s="135"/>
      <c r="M547" s="135"/>
      <c r="N547" s="135"/>
      <c r="O547" s="138"/>
    </row>
    <row r="548" spans="1:15" ht="15.75" customHeight="1" x14ac:dyDescent="0.25">
      <c r="A548" s="125"/>
      <c r="B548" s="135"/>
      <c r="C548" s="135"/>
      <c r="D548" s="135"/>
      <c r="E548" s="133" t="s">
        <v>110</v>
      </c>
      <c r="F548" s="135"/>
      <c r="G548" s="138"/>
      <c r="H548" s="138"/>
      <c r="I548" s="138"/>
      <c r="J548" s="135"/>
      <c r="K548" s="135"/>
      <c r="L548" s="135"/>
      <c r="M548" s="133" t="s">
        <v>110</v>
      </c>
      <c r="N548" s="135"/>
      <c r="O548" s="138"/>
    </row>
    <row r="549" spans="1:15" ht="38.1" customHeight="1" x14ac:dyDescent="0.2">
      <c r="A549" s="125"/>
      <c r="B549" s="247" t="s">
        <v>91</v>
      </c>
      <c r="C549" s="247"/>
      <c r="D549" s="247"/>
      <c r="E549" s="247"/>
      <c r="F549" s="247"/>
      <c r="G549" s="247"/>
      <c r="H549" s="127"/>
      <c r="I549" s="127"/>
      <c r="J549" s="247" t="s">
        <v>91</v>
      </c>
      <c r="K549" s="247"/>
      <c r="L549" s="247"/>
      <c r="M549" s="247"/>
      <c r="N549" s="247"/>
      <c r="O549" s="247"/>
    </row>
    <row r="550" spans="1:15" ht="15" customHeight="1" x14ac:dyDescent="0.2">
      <c r="A550" s="125"/>
      <c r="B550" s="126"/>
      <c r="C550" s="128"/>
      <c r="D550" s="128"/>
      <c r="E550" s="128"/>
      <c r="F550" s="128"/>
      <c r="G550" s="128"/>
      <c r="H550" s="127"/>
      <c r="I550" s="127"/>
      <c r="J550" s="126"/>
      <c r="K550" s="128"/>
      <c r="L550" s="128"/>
      <c r="M550" s="128"/>
      <c r="N550" s="128"/>
      <c r="O550" s="128"/>
    </row>
    <row r="551" spans="1:15" ht="18.600000000000001" customHeight="1" x14ac:dyDescent="0.3">
      <c r="A551" s="125"/>
      <c r="B551" s="248" t="s">
        <v>92</v>
      </c>
      <c r="C551" s="248"/>
      <c r="D551" s="248"/>
      <c r="E551" s="248"/>
      <c r="F551" s="248"/>
      <c r="G551" s="248"/>
      <c r="H551" s="129"/>
      <c r="I551" s="130"/>
      <c r="J551" s="248" t="s">
        <v>92</v>
      </c>
      <c r="K551" s="248"/>
      <c r="L551" s="248"/>
      <c r="M551" s="248"/>
      <c r="N551" s="248"/>
      <c r="O551" s="248"/>
    </row>
    <row r="552" spans="1:15" ht="15" customHeight="1" x14ac:dyDescent="0.2">
      <c r="A552" s="125"/>
      <c r="B552" s="131">
        <f>+B523+1</f>
        <v>20</v>
      </c>
      <c r="C552" s="132"/>
      <c r="D552" s="132"/>
      <c r="E552" s="132"/>
      <c r="F552" s="132"/>
      <c r="H552" s="132"/>
      <c r="I552" s="132"/>
      <c r="J552" s="131">
        <f>+B552</f>
        <v>20</v>
      </c>
      <c r="K552" s="130"/>
      <c r="L552" s="132"/>
      <c r="M552" s="132"/>
      <c r="N552" s="132"/>
      <c r="O552" s="132"/>
    </row>
    <row r="553" spans="1:15" ht="18.600000000000001" customHeight="1" x14ac:dyDescent="0.25">
      <c r="A553" s="125"/>
      <c r="B553" s="133" t="s">
        <v>93</v>
      </c>
      <c r="C553" s="134" t="str">
        <f>+C5</f>
        <v>JANEIRIO</v>
      </c>
      <c r="D553" s="135"/>
      <c r="E553" s="135">
        <f>+E5</f>
        <v>2025</v>
      </c>
      <c r="F553" s="133"/>
      <c r="G553" s="136"/>
      <c r="H553" s="136"/>
      <c r="I553" s="136"/>
      <c r="J553" s="133" t="s">
        <v>93</v>
      </c>
      <c r="K553" s="134" t="str">
        <f>+C553</f>
        <v>JANEIRIO</v>
      </c>
      <c r="L553" s="135"/>
      <c r="M553" s="135">
        <f>+E553</f>
        <v>2025</v>
      </c>
      <c r="O553" s="136"/>
    </row>
    <row r="554" spans="1:15" ht="18.600000000000001" customHeight="1" x14ac:dyDescent="0.25">
      <c r="A554" s="125"/>
      <c r="B554" s="133" t="s">
        <v>94</v>
      </c>
      <c r="C554" s="136" t="str">
        <f>+'Folha de salarios'!C29</f>
        <v>MONIS TSANZIUANE CHIVALE</v>
      </c>
      <c r="D554" s="136"/>
      <c r="E554" s="136"/>
      <c r="F554" s="136"/>
      <c r="G554" s="135"/>
      <c r="H554" s="135"/>
      <c r="I554" s="135"/>
      <c r="J554" s="133" t="s">
        <v>94</v>
      </c>
      <c r="K554" s="136" t="str">
        <f>C554</f>
        <v>MONIS TSANZIUANE CHIVALE</v>
      </c>
      <c r="L554" s="135"/>
      <c r="M554" s="135"/>
      <c r="O554" s="135"/>
    </row>
    <row r="555" spans="1:15" ht="15.75" customHeight="1" x14ac:dyDescent="0.25">
      <c r="A555" s="125"/>
      <c r="B555" s="133" t="s">
        <v>95</v>
      </c>
      <c r="C555" s="135" t="str">
        <f>+'Folha de salarios'!G29</f>
        <v>COZINHEIRA</v>
      </c>
      <c r="D555" s="135"/>
      <c r="E555" s="135"/>
      <c r="F555" s="135"/>
      <c r="G555" s="135"/>
      <c r="H555" s="135"/>
      <c r="I555" s="135"/>
      <c r="J555" s="133" t="s">
        <v>95</v>
      </c>
      <c r="K555" s="135" t="str">
        <f>+C555</f>
        <v>COZINHEIRA</v>
      </c>
      <c r="L555" s="135"/>
      <c r="M555" s="135"/>
      <c r="N555" s="135"/>
      <c r="O555" s="135"/>
    </row>
    <row r="556" spans="1:15" ht="15.75" customHeight="1" x14ac:dyDescent="0.25">
      <c r="A556" s="125"/>
      <c r="B556" s="133"/>
      <c r="C556" s="135"/>
      <c r="D556" s="135"/>
      <c r="E556" s="135"/>
      <c r="F556" s="135"/>
      <c r="G556" s="135"/>
      <c r="H556" s="135"/>
      <c r="I556" s="135"/>
      <c r="J556" s="133"/>
      <c r="K556" s="135"/>
      <c r="L556" s="135"/>
      <c r="M556" s="135"/>
      <c r="N556" s="135"/>
      <c r="O556" s="135"/>
    </row>
    <row r="557" spans="1:15" ht="15.75" customHeight="1" x14ac:dyDescent="0.25">
      <c r="A557" s="125"/>
      <c r="B557" s="133" t="s">
        <v>96</v>
      </c>
      <c r="C557" s="135"/>
      <c r="D557" s="135"/>
      <c r="E557" s="135"/>
      <c r="F557" s="135"/>
      <c r="G557" s="137">
        <f>+'Folha de salarios'!M29</f>
        <v>14225.000000000002</v>
      </c>
      <c r="H557" s="137"/>
      <c r="I557" s="137"/>
      <c r="J557" s="133" t="s">
        <v>96</v>
      </c>
      <c r="K557" s="133"/>
      <c r="L557" s="135"/>
      <c r="M557" s="135"/>
      <c r="N557" s="135"/>
      <c r="O557" s="137">
        <f>+G557</f>
        <v>14225.000000000002</v>
      </c>
    </row>
    <row r="558" spans="1:15" ht="15.75" customHeight="1" x14ac:dyDescent="0.25">
      <c r="A558" s="125"/>
      <c r="B558" s="133" t="s">
        <v>97</v>
      </c>
      <c r="C558" s="135"/>
      <c r="D558" s="135"/>
      <c r="E558" s="135"/>
      <c r="F558" s="135"/>
      <c r="G558" s="138">
        <f>+'Folha de salarios'!S29</f>
        <v>0</v>
      </c>
      <c r="H558" s="138"/>
      <c r="I558" s="138"/>
      <c r="J558" s="133" t="s">
        <v>97</v>
      </c>
      <c r="K558" s="133"/>
      <c r="L558" s="135"/>
      <c r="M558" s="135"/>
      <c r="N558" s="135"/>
      <c r="O558" s="138">
        <f>G558</f>
        <v>0</v>
      </c>
    </row>
    <row r="559" spans="1:15" ht="15.75" customHeight="1" x14ac:dyDescent="0.25">
      <c r="A559" s="125"/>
      <c r="B559" s="133" t="s">
        <v>98</v>
      </c>
      <c r="C559" s="135"/>
      <c r="D559" s="135"/>
      <c r="E559" s="135"/>
      <c r="F559" s="135"/>
      <c r="G559" s="138">
        <v>0</v>
      </c>
      <c r="H559" s="138"/>
      <c r="I559" s="138"/>
      <c r="J559" s="133" t="s">
        <v>98</v>
      </c>
      <c r="K559" s="133"/>
      <c r="L559" s="135"/>
      <c r="M559" s="135"/>
      <c r="N559" s="135"/>
      <c r="O559" s="138">
        <f>G559</f>
        <v>0</v>
      </c>
    </row>
    <row r="560" spans="1:15" ht="15.75" customHeight="1" x14ac:dyDescent="0.25">
      <c r="A560" s="125"/>
      <c r="B560" s="133" t="s">
        <v>99</v>
      </c>
      <c r="C560" s="135"/>
      <c r="D560" s="135"/>
      <c r="E560" s="135"/>
      <c r="F560" s="135"/>
      <c r="G560" s="138">
        <v>0</v>
      </c>
      <c r="H560" s="138"/>
      <c r="I560" s="138"/>
      <c r="J560" s="133" t="s">
        <v>99</v>
      </c>
      <c r="K560" s="133"/>
      <c r="L560" s="135"/>
      <c r="M560" s="135"/>
      <c r="N560" s="135"/>
      <c r="O560" s="138">
        <v>0</v>
      </c>
    </row>
    <row r="561" spans="1:15" ht="15.75" customHeight="1" x14ac:dyDescent="0.25">
      <c r="A561" s="125"/>
      <c r="B561" s="135"/>
      <c r="C561" s="135"/>
      <c r="D561" s="135"/>
      <c r="E561" s="133" t="s">
        <v>100</v>
      </c>
      <c r="F561" s="135"/>
      <c r="G561" s="138">
        <f>SUM(G557:G560)</f>
        <v>14225.000000000002</v>
      </c>
      <c r="H561" s="138"/>
      <c r="I561" s="138"/>
      <c r="J561" s="135"/>
      <c r="K561" s="135"/>
      <c r="L561" s="135"/>
      <c r="M561" s="133" t="s">
        <v>100</v>
      </c>
      <c r="N561" s="135"/>
      <c r="O561" s="138">
        <f>SUM(O557:O560)</f>
        <v>14225.000000000002</v>
      </c>
    </row>
    <row r="562" spans="1:15" ht="15.75" customHeight="1" x14ac:dyDescent="0.25">
      <c r="A562" s="125"/>
      <c r="B562" s="135"/>
      <c r="C562" s="135"/>
      <c r="D562" s="135"/>
      <c r="E562" s="135"/>
      <c r="F562" s="135"/>
      <c r="G562" s="138"/>
      <c r="H562" s="138"/>
      <c r="I562" s="138"/>
      <c r="J562" s="135"/>
      <c r="K562" s="135"/>
      <c r="L562" s="135"/>
      <c r="M562" s="135"/>
      <c r="N562" s="135"/>
      <c r="O562" s="138"/>
    </row>
    <row r="563" spans="1:15" ht="15.75" customHeight="1" x14ac:dyDescent="0.25">
      <c r="A563" s="125"/>
      <c r="B563" s="135"/>
      <c r="C563" s="133" t="s">
        <v>101</v>
      </c>
      <c r="D563" s="135"/>
      <c r="E563" s="135"/>
      <c r="F563" s="135"/>
      <c r="G563" s="138"/>
      <c r="H563" s="138"/>
      <c r="I563" s="138"/>
      <c r="J563" s="135"/>
      <c r="K563" s="133" t="s">
        <v>101</v>
      </c>
      <c r="L563" s="135"/>
      <c r="N563" s="135"/>
      <c r="O563" s="138"/>
    </row>
    <row r="564" spans="1:15" ht="15.75" customHeight="1" x14ac:dyDescent="0.25">
      <c r="A564" s="125"/>
      <c r="B564" s="135"/>
      <c r="C564" s="135"/>
      <c r="D564" s="133" t="s">
        <v>102</v>
      </c>
      <c r="E564" s="135"/>
      <c r="F564" s="135"/>
      <c r="G564" s="138">
        <f>+'Folha de salarios'!Z581</f>
        <v>0</v>
      </c>
      <c r="H564" s="138"/>
      <c r="I564" s="138"/>
      <c r="J564" s="135"/>
      <c r="K564" s="135"/>
      <c r="L564" s="133" t="s">
        <v>102</v>
      </c>
      <c r="N564" s="135"/>
      <c r="O564" s="138">
        <f>+G564</f>
        <v>0</v>
      </c>
    </row>
    <row r="565" spans="1:15" ht="15.75" customHeight="1" x14ac:dyDescent="0.25">
      <c r="A565" s="125"/>
      <c r="B565" s="135"/>
      <c r="C565" s="135"/>
      <c r="D565" s="133" t="s">
        <v>86</v>
      </c>
      <c r="E565" s="135"/>
      <c r="F565" s="135"/>
      <c r="G565" s="138">
        <f>+G561*0.03</f>
        <v>426.75000000000006</v>
      </c>
      <c r="H565" s="138"/>
      <c r="I565" s="138"/>
      <c r="J565" s="135"/>
      <c r="K565" s="135"/>
      <c r="L565" s="133" t="s">
        <v>86</v>
      </c>
      <c r="N565" s="135"/>
      <c r="O565" s="138">
        <f>+G565</f>
        <v>426.75000000000006</v>
      </c>
    </row>
    <row r="566" spans="1:15" ht="15.75" customHeight="1" x14ac:dyDescent="0.25">
      <c r="A566" s="125"/>
      <c r="B566" s="135"/>
      <c r="C566" s="135"/>
      <c r="D566" s="133" t="s">
        <v>103</v>
      </c>
      <c r="E566" s="135"/>
      <c r="F566" s="135"/>
      <c r="G566" s="138">
        <f>+G561*0.01</f>
        <v>142.25000000000003</v>
      </c>
      <c r="H566" s="138"/>
      <c r="I566" s="138"/>
      <c r="J566" s="135"/>
      <c r="K566" s="135"/>
      <c r="L566" s="133" t="s">
        <v>103</v>
      </c>
      <c r="N566" s="135"/>
      <c r="O566" s="138">
        <f>+G566</f>
        <v>142.25000000000003</v>
      </c>
    </row>
    <row r="567" spans="1:15" ht="15.75" customHeight="1" x14ac:dyDescent="0.25">
      <c r="A567" s="125"/>
      <c r="B567" s="135"/>
      <c r="C567" s="135"/>
      <c r="D567" s="133" t="s">
        <v>104</v>
      </c>
      <c r="E567" s="135"/>
      <c r="F567" s="135"/>
      <c r="G567" s="138"/>
      <c r="H567" s="138"/>
      <c r="I567" s="138"/>
      <c r="J567" s="135"/>
      <c r="K567" s="135"/>
      <c r="L567" s="133" t="s">
        <v>104</v>
      </c>
      <c r="N567" s="135"/>
      <c r="O567" s="138">
        <f>G567</f>
        <v>0</v>
      </c>
    </row>
    <row r="568" spans="1:15" ht="15.75" customHeight="1" x14ac:dyDescent="0.25">
      <c r="A568" s="125"/>
      <c r="B568" s="135"/>
      <c r="C568" s="135"/>
      <c r="D568" s="133" t="s">
        <v>105</v>
      </c>
      <c r="E568" s="135"/>
      <c r="F568" s="135"/>
      <c r="G568" s="138"/>
      <c r="H568" s="138"/>
      <c r="I568" s="138"/>
      <c r="J568" s="135"/>
      <c r="K568" s="135"/>
      <c r="L568" s="133" t="s">
        <v>105</v>
      </c>
      <c r="N568" s="135"/>
      <c r="O568" s="138">
        <f>G568</f>
        <v>0</v>
      </c>
    </row>
    <row r="569" spans="1:15" ht="15.75" customHeight="1" x14ac:dyDescent="0.25">
      <c r="A569" s="125"/>
      <c r="B569" s="135"/>
      <c r="C569" s="135"/>
      <c r="D569" s="133" t="s">
        <v>106</v>
      </c>
      <c r="E569" s="135"/>
      <c r="F569" s="135"/>
      <c r="G569" s="138"/>
      <c r="H569" s="138"/>
      <c r="I569" s="138"/>
      <c r="J569" s="135"/>
      <c r="K569" s="135"/>
      <c r="L569" s="133" t="s">
        <v>106</v>
      </c>
      <c r="N569" s="135"/>
      <c r="O569" s="138">
        <f>G569</f>
        <v>0</v>
      </c>
    </row>
    <row r="570" spans="1:15" ht="15.75" customHeight="1" x14ac:dyDescent="0.25">
      <c r="A570" s="125"/>
      <c r="B570" s="135"/>
      <c r="C570" s="135"/>
      <c r="D570" s="133" t="s">
        <v>112</v>
      </c>
      <c r="E570" s="135"/>
      <c r="F570" s="135"/>
      <c r="G570" s="138">
        <f>+'Folha de salarios'!Y29</f>
        <v>0</v>
      </c>
      <c r="H570" s="138"/>
      <c r="I570" s="138"/>
      <c r="J570" s="135"/>
      <c r="K570" s="135"/>
      <c r="L570" s="133" t="str">
        <f>+D570</f>
        <v>Pagament Antecipado</v>
      </c>
      <c r="N570" s="135"/>
      <c r="O570" s="138">
        <f>G570</f>
        <v>0</v>
      </c>
    </row>
    <row r="571" spans="1:15" ht="15.75" customHeight="1" x14ac:dyDescent="0.25">
      <c r="A571" s="125"/>
      <c r="B571" s="135"/>
      <c r="C571" s="135"/>
      <c r="D571" s="133" t="s">
        <v>108</v>
      </c>
      <c r="E571" s="135"/>
      <c r="F571" s="135"/>
      <c r="G571" s="138">
        <v>0</v>
      </c>
      <c r="H571" s="138"/>
      <c r="I571" s="138"/>
      <c r="J571" s="135"/>
      <c r="K571" s="135"/>
      <c r="L571" s="133" t="str">
        <f>+D571</f>
        <v>Arredondamento</v>
      </c>
      <c r="N571" s="135"/>
      <c r="O571" s="138">
        <f>+G571</f>
        <v>0</v>
      </c>
    </row>
    <row r="572" spans="1:15" ht="15.75" customHeight="1" x14ac:dyDescent="0.25">
      <c r="A572" s="125"/>
      <c r="B572" s="135"/>
      <c r="C572" s="135"/>
      <c r="D572" s="135"/>
      <c r="E572" s="133" t="s">
        <v>100</v>
      </c>
      <c r="F572" s="135"/>
      <c r="G572" s="138">
        <f>SUM(G564:G571)</f>
        <v>569.00000000000011</v>
      </c>
      <c r="H572" s="138"/>
      <c r="I572" s="138"/>
      <c r="J572" s="135"/>
      <c r="K572" s="135"/>
      <c r="L572" s="135"/>
      <c r="M572" s="133" t="s">
        <v>100</v>
      </c>
      <c r="N572" s="135"/>
      <c r="O572" s="138">
        <f>G572</f>
        <v>569.00000000000011</v>
      </c>
    </row>
    <row r="573" spans="1:15" ht="15.75" customHeight="1" x14ac:dyDescent="0.25">
      <c r="A573" s="125"/>
      <c r="B573" s="135"/>
      <c r="C573" s="135"/>
      <c r="D573" s="135"/>
      <c r="E573" s="135"/>
      <c r="F573" s="135"/>
      <c r="G573" s="138"/>
      <c r="H573" s="138"/>
      <c r="I573" s="138"/>
      <c r="J573" s="135"/>
      <c r="K573" s="135"/>
      <c r="L573" s="135"/>
      <c r="M573" s="135"/>
      <c r="N573" s="135"/>
      <c r="O573" s="138"/>
    </row>
    <row r="574" spans="1:15" ht="15.75" customHeight="1" x14ac:dyDescent="0.25">
      <c r="A574" s="125"/>
      <c r="B574" s="135"/>
      <c r="C574" s="133" t="s">
        <v>109</v>
      </c>
      <c r="D574" s="135"/>
      <c r="E574" s="135"/>
      <c r="F574" s="135"/>
      <c r="G574" s="139">
        <f>G561-G572</f>
        <v>13656.000000000002</v>
      </c>
      <c r="H574" s="138"/>
      <c r="I574" s="138"/>
      <c r="J574" s="135"/>
      <c r="K574" s="135"/>
      <c r="L574" s="133" t="s">
        <v>109</v>
      </c>
      <c r="M574" s="135"/>
      <c r="N574" s="135"/>
      <c r="O574" s="139">
        <f>O561-O572</f>
        <v>13656.000000000002</v>
      </c>
    </row>
    <row r="575" spans="1:15" ht="15.75" customHeight="1" x14ac:dyDescent="0.25">
      <c r="A575" s="125"/>
      <c r="B575" s="135"/>
      <c r="C575" s="133"/>
      <c r="D575" s="135"/>
      <c r="E575" s="135"/>
      <c r="F575" s="135"/>
      <c r="G575" s="138"/>
      <c r="H575" s="138"/>
      <c r="I575" s="138"/>
      <c r="J575" s="135"/>
      <c r="K575" s="135"/>
      <c r="L575" s="133"/>
      <c r="M575" s="135"/>
      <c r="N575" s="135"/>
      <c r="O575" s="138"/>
    </row>
    <row r="576" spans="1:15" ht="15.75" customHeight="1" x14ac:dyDescent="0.25">
      <c r="A576" s="125"/>
      <c r="B576" s="135"/>
      <c r="C576" s="135"/>
      <c r="D576" s="135"/>
      <c r="E576" s="135"/>
      <c r="F576" s="135"/>
      <c r="G576" s="138"/>
      <c r="H576" s="138"/>
      <c r="I576" s="138"/>
      <c r="J576" s="135"/>
      <c r="K576" s="135"/>
      <c r="L576" s="135"/>
      <c r="M576" s="135"/>
      <c r="N576" s="135"/>
      <c r="O576" s="138"/>
    </row>
    <row r="577" spans="1:15" ht="15.75" customHeight="1" x14ac:dyDescent="0.25">
      <c r="A577" s="125"/>
      <c r="B577" s="135"/>
      <c r="C577" s="135"/>
      <c r="D577" s="135"/>
      <c r="E577" s="133" t="s">
        <v>110</v>
      </c>
      <c r="F577" s="135"/>
      <c r="G577" s="138"/>
      <c r="H577" s="138"/>
      <c r="I577" s="138"/>
      <c r="J577" s="135"/>
      <c r="K577" s="135"/>
      <c r="L577" s="135"/>
      <c r="M577" s="133" t="s">
        <v>110</v>
      </c>
      <c r="N577" s="135"/>
      <c r="O577" s="138"/>
    </row>
    <row r="578" spans="1:15" ht="38.1" customHeight="1" x14ac:dyDescent="0.2">
      <c r="A578" s="125"/>
      <c r="B578" s="247" t="s">
        <v>91</v>
      </c>
      <c r="C578" s="247"/>
      <c r="D578" s="247"/>
      <c r="E578" s="247"/>
      <c r="F578" s="247"/>
      <c r="G578" s="247"/>
      <c r="H578" s="127"/>
      <c r="I578" s="127"/>
      <c r="J578" s="247" t="s">
        <v>91</v>
      </c>
      <c r="K578" s="247"/>
      <c r="L578" s="247"/>
      <c r="M578" s="247"/>
      <c r="N578" s="247"/>
      <c r="O578" s="247"/>
    </row>
    <row r="579" spans="1:15" ht="15" customHeight="1" x14ac:dyDescent="0.2">
      <c r="A579" s="125"/>
      <c r="B579" s="126"/>
      <c r="C579" s="128"/>
      <c r="D579" s="128"/>
      <c r="E579" s="128"/>
      <c r="F579" s="128"/>
      <c r="G579" s="128"/>
      <c r="H579" s="127"/>
      <c r="I579" s="127"/>
      <c r="J579" s="126"/>
      <c r="K579" s="128"/>
      <c r="L579" s="128"/>
      <c r="M579" s="128"/>
      <c r="N579" s="128"/>
      <c r="O579" s="128"/>
    </row>
    <row r="580" spans="1:15" ht="18.600000000000001" customHeight="1" x14ac:dyDescent="0.3">
      <c r="A580" s="125"/>
      <c r="B580" s="248" t="s">
        <v>92</v>
      </c>
      <c r="C580" s="248"/>
      <c r="D580" s="248"/>
      <c r="E580" s="248"/>
      <c r="F580" s="248"/>
      <c r="G580" s="248"/>
      <c r="H580" s="129"/>
      <c r="I580" s="130"/>
      <c r="J580" s="248" t="s">
        <v>92</v>
      </c>
      <c r="K580" s="248"/>
      <c r="L580" s="248"/>
      <c r="M580" s="248"/>
      <c r="N580" s="248"/>
      <c r="O580" s="248"/>
    </row>
    <row r="581" spans="1:15" ht="15" customHeight="1" x14ac:dyDescent="0.2">
      <c r="A581" s="125"/>
      <c r="B581" s="131">
        <f>+B552+1</f>
        <v>21</v>
      </c>
      <c r="C581" s="132"/>
      <c r="D581" s="132"/>
      <c r="E581" s="132"/>
      <c r="F581" s="132"/>
      <c r="H581" s="132"/>
      <c r="I581" s="132"/>
      <c r="J581" s="131">
        <f>+B581</f>
        <v>21</v>
      </c>
      <c r="K581" s="130"/>
      <c r="L581" s="132"/>
      <c r="M581" s="132"/>
      <c r="N581" s="132"/>
      <c r="O581" s="132"/>
    </row>
    <row r="582" spans="1:15" ht="18.600000000000001" customHeight="1" x14ac:dyDescent="0.25">
      <c r="A582" s="125"/>
      <c r="B582" s="133" t="s">
        <v>93</v>
      </c>
      <c r="C582" s="134" t="str">
        <f>+C34</f>
        <v>JANEIRIO</v>
      </c>
      <c r="D582" s="135"/>
      <c r="E582" s="135">
        <f>+E34</f>
        <v>2025</v>
      </c>
      <c r="F582" s="133"/>
      <c r="G582" s="136"/>
      <c r="H582" s="136"/>
      <c r="I582" s="136"/>
      <c r="J582" s="133" t="s">
        <v>93</v>
      </c>
      <c r="K582" s="134" t="str">
        <f>+C582</f>
        <v>JANEIRIO</v>
      </c>
      <c r="L582" s="135"/>
      <c r="M582" s="135">
        <f>+E582</f>
        <v>2025</v>
      </c>
      <c r="O582" s="136"/>
    </row>
    <row r="583" spans="1:15" ht="18.600000000000001" customHeight="1" x14ac:dyDescent="0.25">
      <c r="A583" s="125"/>
      <c r="B583" s="133" t="s">
        <v>94</v>
      </c>
      <c r="C583" s="136" t="str">
        <f>+'Folha de salarios'!C30</f>
        <v>EVELIN NELSON BERNARDO</v>
      </c>
      <c r="D583" s="136"/>
      <c r="E583" s="136"/>
      <c r="F583" s="136"/>
      <c r="G583" s="135"/>
      <c r="H583" s="135"/>
      <c r="I583" s="135"/>
      <c r="J583" s="133" t="s">
        <v>94</v>
      </c>
      <c r="K583" s="136" t="str">
        <f>C583</f>
        <v>EVELIN NELSON BERNARDO</v>
      </c>
      <c r="L583" s="135"/>
      <c r="M583" s="135"/>
      <c r="O583" s="135"/>
    </row>
    <row r="584" spans="1:15" ht="15.75" customHeight="1" x14ac:dyDescent="0.25">
      <c r="A584" s="125"/>
      <c r="B584" s="133" t="s">
        <v>95</v>
      </c>
      <c r="C584" s="135" t="str">
        <f>+'Folha de salarios'!G30</f>
        <v>EMPREGADA</v>
      </c>
      <c r="D584" s="135"/>
      <c r="E584" s="135"/>
      <c r="F584" s="135"/>
      <c r="G584" s="135"/>
      <c r="H584" s="135"/>
      <c r="I584" s="135"/>
      <c r="J584" s="133" t="s">
        <v>95</v>
      </c>
      <c r="K584" s="135" t="str">
        <f>+C584</f>
        <v>EMPREGADA</v>
      </c>
      <c r="L584" s="135"/>
      <c r="M584" s="135"/>
      <c r="N584" s="135"/>
      <c r="O584" s="135"/>
    </row>
    <row r="585" spans="1:15" ht="15.75" customHeight="1" x14ac:dyDescent="0.25">
      <c r="A585" s="125"/>
      <c r="B585" s="133"/>
      <c r="C585" s="135"/>
      <c r="D585" s="135"/>
      <c r="E585" s="135"/>
      <c r="F585" s="135"/>
      <c r="G585" s="135"/>
      <c r="H585" s="135"/>
      <c r="I585" s="135"/>
      <c r="J585" s="133"/>
      <c r="K585" s="135"/>
      <c r="L585" s="135"/>
      <c r="M585" s="135"/>
      <c r="N585" s="135"/>
      <c r="O585" s="135"/>
    </row>
    <row r="586" spans="1:15" ht="15.75" customHeight="1" x14ac:dyDescent="0.25">
      <c r="A586" s="125"/>
      <c r="B586" s="133" t="s">
        <v>96</v>
      </c>
      <c r="C586" s="135"/>
      <c r="D586" s="135"/>
      <c r="E586" s="135"/>
      <c r="F586" s="135"/>
      <c r="G586" s="137">
        <f>+'Folha de salarios'!M30</f>
        <v>10955</v>
      </c>
      <c r="H586" s="137"/>
      <c r="I586" s="137"/>
      <c r="J586" s="133" t="s">
        <v>96</v>
      </c>
      <c r="K586" s="133"/>
      <c r="L586" s="135"/>
      <c r="M586" s="135"/>
      <c r="N586" s="135"/>
      <c r="O586" s="137">
        <f>+G586</f>
        <v>10955</v>
      </c>
    </row>
    <row r="587" spans="1:15" ht="15.75" customHeight="1" x14ac:dyDescent="0.25">
      <c r="A587" s="125"/>
      <c r="B587" s="133" t="s">
        <v>97</v>
      </c>
      <c r="C587" s="135"/>
      <c r="D587" s="135"/>
      <c r="E587" s="135"/>
      <c r="F587" s="135"/>
      <c r="G587" s="138">
        <f>+'Folha de salarios'!Q30+'Folha de salarios'!S30</f>
        <v>0</v>
      </c>
      <c r="H587" s="138"/>
      <c r="I587" s="138"/>
      <c r="J587" s="133" t="s">
        <v>97</v>
      </c>
      <c r="K587" s="133"/>
      <c r="L587" s="135"/>
      <c r="M587" s="135"/>
      <c r="N587" s="135"/>
      <c r="O587" s="138">
        <f>G587</f>
        <v>0</v>
      </c>
    </row>
    <row r="588" spans="1:15" ht="15.75" customHeight="1" x14ac:dyDescent="0.25">
      <c r="A588" s="125"/>
      <c r="B588" s="133" t="s">
        <v>98</v>
      </c>
      <c r="C588" s="135"/>
      <c r="D588" s="135"/>
      <c r="E588" s="135"/>
      <c r="F588" s="135"/>
      <c r="G588" s="138">
        <v>0</v>
      </c>
      <c r="H588" s="138"/>
      <c r="I588" s="138"/>
      <c r="J588" s="133" t="s">
        <v>98</v>
      </c>
      <c r="K588" s="133"/>
      <c r="L588" s="135"/>
      <c r="M588" s="135"/>
      <c r="N588" s="135"/>
      <c r="O588" s="138">
        <f>G588</f>
        <v>0</v>
      </c>
    </row>
    <row r="589" spans="1:15" ht="15.75" customHeight="1" x14ac:dyDescent="0.25">
      <c r="A589" s="125"/>
      <c r="B589" s="133" t="s">
        <v>99</v>
      </c>
      <c r="C589" s="135"/>
      <c r="D589" s="135"/>
      <c r="E589" s="135"/>
      <c r="F589" s="135"/>
      <c r="G589" s="138">
        <v>0</v>
      </c>
      <c r="H589" s="138"/>
      <c r="I589" s="138"/>
      <c r="J589" s="133" t="s">
        <v>99</v>
      </c>
      <c r="K589" s="133"/>
      <c r="L589" s="135"/>
      <c r="M589" s="135"/>
      <c r="N589" s="135"/>
      <c r="O589" s="138">
        <v>0</v>
      </c>
    </row>
    <row r="590" spans="1:15" ht="15.75" customHeight="1" x14ac:dyDescent="0.25">
      <c r="A590" s="125"/>
      <c r="B590" s="135"/>
      <c r="C590" s="135"/>
      <c r="D590" s="135"/>
      <c r="E590" s="133" t="s">
        <v>100</v>
      </c>
      <c r="F590" s="135"/>
      <c r="G590" s="138">
        <f>SUM(G586:G589)</f>
        <v>10955</v>
      </c>
      <c r="H590" s="138"/>
      <c r="I590" s="138"/>
      <c r="J590" s="135"/>
      <c r="K590" s="135"/>
      <c r="L590" s="135"/>
      <c r="M590" s="133" t="s">
        <v>100</v>
      </c>
      <c r="N590" s="135"/>
      <c r="O590" s="138">
        <f>SUM(O586:O589)</f>
        <v>10955</v>
      </c>
    </row>
    <row r="591" spans="1:15" ht="15.75" customHeight="1" x14ac:dyDescent="0.25">
      <c r="A591" s="125"/>
      <c r="B591" s="135"/>
      <c r="C591" s="135"/>
      <c r="D591" s="135"/>
      <c r="E591" s="135"/>
      <c r="F591" s="135"/>
      <c r="G591" s="138"/>
      <c r="H591" s="138"/>
      <c r="I591" s="138"/>
      <c r="J591" s="135"/>
      <c r="K591" s="135"/>
      <c r="L591" s="135"/>
      <c r="M591" s="135"/>
      <c r="N591" s="135"/>
      <c r="O591" s="138"/>
    </row>
    <row r="592" spans="1:15" ht="15.75" customHeight="1" x14ac:dyDescent="0.25">
      <c r="A592" s="125"/>
      <c r="B592" s="135"/>
      <c r="C592" s="133" t="s">
        <v>101</v>
      </c>
      <c r="D592" s="135"/>
      <c r="E592" s="135"/>
      <c r="F592" s="135"/>
      <c r="G592" s="138"/>
      <c r="H592" s="138"/>
      <c r="I592" s="138"/>
      <c r="J592" s="135"/>
      <c r="K592" s="133" t="s">
        <v>101</v>
      </c>
      <c r="L592" s="135"/>
      <c r="N592" s="135"/>
      <c r="O592" s="138"/>
    </row>
    <row r="593" spans="1:15" ht="15.75" customHeight="1" x14ac:dyDescent="0.25">
      <c r="A593" s="125"/>
      <c r="B593" s="135"/>
      <c r="C593" s="135"/>
      <c r="D593" s="133" t="s">
        <v>102</v>
      </c>
      <c r="E593" s="135"/>
      <c r="F593" s="135"/>
      <c r="G593" s="138">
        <f>+'Folha de salarios'!Z610</f>
        <v>0</v>
      </c>
      <c r="H593" s="138"/>
      <c r="I593" s="138"/>
      <c r="J593" s="135"/>
      <c r="K593" s="135"/>
      <c r="L593" s="133" t="s">
        <v>102</v>
      </c>
      <c r="N593" s="135"/>
      <c r="O593" s="138">
        <f>+G593</f>
        <v>0</v>
      </c>
    </row>
    <row r="594" spans="1:15" ht="15.75" customHeight="1" x14ac:dyDescent="0.25">
      <c r="A594" s="125"/>
      <c r="B594" s="135"/>
      <c r="C594" s="135"/>
      <c r="D594" s="133" t="s">
        <v>86</v>
      </c>
      <c r="E594" s="135"/>
      <c r="F594" s="135"/>
      <c r="G594" s="138">
        <f>+G590*0.03</f>
        <v>328.65</v>
      </c>
      <c r="H594" s="138"/>
      <c r="I594" s="138"/>
      <c r="J594" s="135"/>
      <c r="K594" s="135"/>
      <c r="L594" s="133" t="s">
        <v>86</v>
      </c>
      <c r="N594" s="135"/>
      <c r="O594" s="138">
        <f>+G594</f>
        <v>328.65</v>
      </c>
    </row>
    <row r="595" spans="1:15" ht="15.75" customHeight="1" x14ac:dyDescent="0.25">
      <c r="A595" s="125"/>
      <c r="B595" s="135"/>
      <c r="C595" s="135"/>
      <c r="D595" s="133" t="s">
        <v>103</v>
      </c>
      <c r="E595" s="135"/>
      <c r="F595" s="135"/>
      <c r="G595" s="138">
        <f>+G590*0.01</f>
        <v>109.55</v>
      </c>
      <c r="H595" s="138"/>
      <c r="I595" s="138"/>
      <c r="J595" s="135"/>
      <c r="K595" s="135"/>
      <c r="L595" s="133" t="s">
        <v>103</v>
      </c>
      <c r="N595" s="135"/>
      <c r="O595" s="138">
        <f>+G595</f>
        <v>109.55</v>
      </c>
    </row>
    <row r="596" spans="1:15" ht="15.75" customHeight="1" x14ac:dyDescent="0.25">
      <c r="A596" s="125"/>
      <c r="B596" s="135"/>
      <c r="C596" s="135"/>
      <c r="D596" s="133" t="s">
        <v>104</v>
      </c>
      <c r="E596" s="135"/>
      <c r="F596" s="135"/>
      <c r="G596" s="138"/>
      <c r="H596" s="138"/>
      <c r="I596" s="138"/>
      <c r="J596" s="135"/>
      <c r="K596" s="135"/>
      <c r="L596" s="133" t="s">
        <v>104</v>
      </c>
      <c r="N596" s="135"/>
      <c r="O596" s="138">
        <f>G596</f>
        <v>0</v>
      </c>
    </row>
    <row r="597" spans="1:15" ht="15.75" customHeight="1" x14ac:dyDescent="0.25">
      <c r="A597" s="125"/>
      <c r="B597" s="135"/>
      <c r="C597" s="135"/>
      <c r="D597" s="133" t="s">
        <v>105</v>
      </c>
      <c r="E597" s="135"/>
      <c r="F597" s="135"/>
      <c r="G597" s="138"/>
      <c r="H597" s="138"/>
      <c r="I597" s="138"/>
      <c r="J597" s="135"/>
      <c r="K597" s="135"/>
      <c r="L597" s="133" t="s">
        <v>105</v>
      </c>
      <c r="N597" s="135"/>
      <c r="O597" s="138">
        <f>G597</f>
        <v>0</v>
      </c>
    </row>
    <row r="598" spans="1:15" ht="15.75" customHeight="1" x14ac:dyDescent="0.25">
      <c r="A598" s="125"/>
      <c r="B598" s="135"/>
      <c r="C598" s="135"/>
      <c r="D598" s="133" t="s">
        <v>106</v>
      </c>
      <c r="E598" s="135"/>
      <c r="F598" s="135"/>
      <c r="G598" s="138"/>
      <c r="H598" s="138"/>
      <c r="I598" s="138"/>
      <c r="J598" s="135"/>
      <c r="K598" s="135"/>
      <c r="L598" s="133" t="s">
        <v>106</v>
      </c>
      <c r="N598" s="135"/>
      <c r="O598" s="138">
        <f>G598</f>
        <v>0</v>
      </c>
    </row>
    <row r="599" spans="1:15" ht="15.75" customHeight="1" x14ac:dyDescent="0.25">
      <c r="A599" s="125"/>
      <c r="B599" s="135"/>
      <c r="C599" s="135"/>
      <c r="D599" s="133" t="s">
        <v>112</v>
      </c>
      <c r="E599" s="135"/>
      <c r="F599" s="135"/>
      <c r="G599" s="138">
        <f>+'Folha de salarios'!Y58</f>
        <v>0</v>
      </c>
      <c r="H599" s="138"/>
      <c r="I599" s="138"/>
      <c r="J599" s="135"/>
      <c r="K599" s="135"/>
      <c r="L599" s="133" t="str">
        <f>+D599</f>
        <v>Pagament Antecipado</v>
      </c>
      <c r="N599" s="135"/>
      <c r="O599" s="138">
        <f>G599</f>
        <v>0</v>
      </c>
    </row>
    <row r="600" spans="1:15" ht="15.75" customHeight="1" x14ac:dyDescent="0.25">
      <c r="A600" s="125"/>
      <c r="B600" s="135"/>
      <c r="C600" s="135"/>
      <c r="D600" s="133" t="s">
        <v>108</v>
      </c>
      <c r="E600" s="135"/>
      <c r="F600" s="135"/>
      <c r="G600" s="138">
        <v>0</v>
      </c>
      <c r="H600" s="138"/>
      <c r="I600" s="138"/>
      <c r="J600" s="135"/>
      <c r="K600" s="135"/>
      <c r="L600" s="133" t="str">
        <f>+D600</f>
        <v>Arredondamento</v>
      </c>
      <c r="N600" s="135"/>
      <c r="O600" s="138">
        <f>+G600</f>
        <v>0</v>
      </c>
    </row>
    <row r="601" spans="1:15" ht="15.75" customHeight="1" x14ac:dyDescent="0.25">
      <c r="A601" s="125"/>
      <c r="B601" s="135"/>
      <c r="C601" s="135"/>
      <c r="D601" s="135"/>
      <c r="E601" s="133" t="s">
        <v>100</v>
      </c>
      <c r="F601" s="135"/>
      <c r="G601" s="138">
        <f>SUM(G593:G600)</f>
        <v>438.2</v>
      </c>
      <c r="H601" s="138"/>
      <c r="I601" s="138"/>
      <c r="J601" s="135"/>
      <c r="K601" s="135"/>
      <c r="L601" s="135"/>
      <c r="M601" s="133" t="s">
        <v>100</v>
      </c>
      <c r="N601" s="135"/>
      <c r="O601" s="138">
        <f>G601</f>
        <v>438.2</v>
      </c>
    </row>
    <row r="602" spans="1:15" ht="15.75" customHeight="1" x14ac:dyDescent="0.25">
      <c r="A602" s="125"/>
      <c r="B602" s="135"/>
      <c r="C602" s="135"/>
      <c r="D602" s="135"/>
      <c r="E602" s="135"/>
      <c r="F602" s="135"/>
      <c r="G602" s="138"/>
      <c r="H602" s="138"/>
      <c r="I602" s="138"/>
      <c r="J602" s="135"/>
      <c r="K602" s="135"/>
      <c r="L602" s="135"/>
      <c r="M602" s="135"/>
      <c r="N602" s="135"/>
      <c r="O602" s="138"/>
    </row>
    <row r="603" spans="1:15" ht="15.75" customHeight="1" thickBot="1" x14ac:dyDescent="0.3">
      <c r="A603" s="125"/>
      <c r="B603" s="135"/>
      <c r="C603" s="133" t="s">
        <v>109</v>
      </c>
      <c r="D603" s="135"/>
      <c r="E603" s="135"/>
      <c r="F603" s="135"/>
      <c r="G603" s="139">
        <f>G590-G601</f>
        <v>10516.8</v>
      </c>
      <c r="H603" s="138"/>
      <c r="I603" s="138"/>
      <c r="J603" s="135"/>
      <c r="K603" s="135"/>
      <c r="L603" s="133" t="s">
        <v>109</v>
      </c>
      <c r="M603" s="135"/>
      <c r="N603" s="135"/>
      <c r="O603" s="139">
        <f>O590-O601</f>
        <v>10516.8</v>
      </c>
    </row>
    <row r="604" spans="1:15" ht="15.75" customHeight="1" thickTop="1" x14ac:dyDescent="0.25">
      <c r="A604" s="125"/>
      <c r="B604" s="135"/>
      <c r="C604" s="133"/>
      <c r="D604" s="135"/>
      <c r="E604" s="135"/>
      <c r="F604" s="135"/>
      <c r="G604" s="138"/>
      <c r="H604" s="138"/>
      <c r="I604" s="138"/>
      <c r="J604" s="135"/>
      <c r="K604" s="135"/>
      <c r="L604" s="133"/>
      <c r="M604" s="135"/>
      <c r="N604" s="135"/>
      <c r="O604" s="138"/>
    </row>
    <row r="605" spans="1:15" ht="15.75" customHeight="1" x14ac:dyDescent="0.25">
      <c r="A605" s="125"/>
      <c r="B605" s="135"/>
      <c r="C605" s="135"/>
      <c r="D605" s="135"/>
      <c r="E605" s="135"/>
      <c r="F605" s="135"/>
      <c r="G605" s="138"/>
      <c r="H605" s="138"/>
      <c r="I605" s="138"/>
      <c r="J605" s="135"/>
      <c r="K605" s="135"/>
      <c r="L605" s="135"/>
      <c r="M605" s="135"/>
      <c r="N605" s="135"/>
      <c r="O605" s="138"/>
    </row>
    <row r="606" spans="1:15" ht="15.75" customHeight="1" x14ac:dyDescent="0.25">
      <c r="A606" s="125"/>
      <c r="B606" s="135"/>
      <c r="C606" s="135"/>
      <c r="D606" s="135"/>
      <c r="E606" s="133" t="s">
        <v>110</v>
      </c>
      <c r="F606" s="135"/>
      <c r="G606" s="138"/>
      <c r="H606" s="138"/>
      <c r="I606" s="138"/>
      <c r="J606" s="135"/>
      <c r="K606" s="135"/>
      <c r="L606" s="135"/>
      <c r="M606" s="133" t="s">
        <v>110</v>
      </c>
      <c r="N606" s="135"/>
      <c r="O606" s="138"/>
    </row>
    <row r="607" spans="1:15" ht="38.1" customHeight="1" x14ac:dyDescent="0.2">
      <c r="A607" s="125"/>
      <c r="B607" s="247" t="s">
        <v>91</v>
      </c>
      <c r="C607" s="247"/>
      <c r="D607" s="247"/>
      <c r="E607" s="247"/>
      <c r="F607" s="247"/>
      <c r="G607" s="247"/>
      <c r="H607" s="127"/>
      <c r="I607" s="127"/>
      <c r="J607" s="247" t="s">
        <v>91</v>
      </c>
      <c r="K607" s="247"/>
      <c r="L607" s="247"/>
      <c r="M607" s="247"/>
      <c r="N607" s="247"/>
      <c r="O607" s="247"/>
    </row>
    <row r="608" spans="1:15" ht="15" customHeight="1" x14ac:dyDescent="0.2">
      <c r="A608" s="125"/>
      <c r="B608" s="126"/>
      <c r="C608" s="128"/>
      <c r="D608" s="128"/>
      <c r="E608" s="128"/>
      <c r="F608" s="128"/>
      <c r="G608" s="128"/>
      <c r="H608" s="127"/>
      <c r="I608" s="127"/>
      <c r="J608" s="126"/>
      <c r="K608" s="128"/>
      <c r="L608" s="128"/>
      <c r="M608" s="128"/>
      <c r="N608" s="128"/>
      <c r="O608" s="128"/>
    </row>
    <row r="609" spans="1:15" ht="18.600000000000001" customHeight="1" x14ac:dyDescent="0.3">
      <c r="A609" s="125"/>
      <c r="B609" s="248" t="s">
        <v>92</v>
      </c>
      <c r="C609" s="248"/>
      <c r="D609" s="248"/>
      <c r="E609" s="248"/>
      <c r="F609" s="248"/>
      <c r="G609" s="248"/>
      <c r="H609" s="129"/>
      <c r="I609" s="130"/>
      <c r="J609" s="248" t="s">
        <v>92</v>
      </c>
      <c r="K609" s="248"/>
      <c r="L609" s="248"/>
      <c r="M609" s="248"/>
      <c r="N609" s="248"/>
      <c r="O609" s="248"/>
    </row>
    <row r="610" spans="1:15" ht="15" customHeight="1" x14ac:dyDescent="0.2">
      <c r="A610" s="125"/>
      <c r="B610" s="131">
        <f>+B581+1</f>
        <v>22</v>
      </c>
      <c r="C610" s="132"/>
      <c r="D610" s="132"/>
      <c r="E610" s="132"/>
      <c r="F610" s="132"/>
      <c r="H610" s="132"/>
      <c r="I610" s="132"/>
      <c r="J610" s="131">
        <f>+B610</f>
        <v>22</v>
      </c>
      <c r="K610" s="130"/>
      <c r="L610" s="132"/>
      <c r="M610" s="132"/>
      <c r="N610" s="132"/>
      <c r="O610" s="132"/>
    </row>
    <row r="611" spans="1:15" ht="18.600000000000001" customHeight="1" x14ac:dyDescent="0.25">
      <c r="A611" s="125"/>
      <c r="B611" s="133" t="s">
        <v>93</v>
      </c>
      <c r="C611" s="134" t="str">
        <f>+C63</f>
        <v>JANEIRIO</v>
      </c>
      <c r="D611" s="135"/>
      <c r="E611" s="135">
        <f>+E63</f>
        <v>2025</v>
      </c>
      <c r="F611" s="133"/>
      <c r="G611" s="136"/>
      <c r="H611" s="136"/>
      <c r="I611" s="136"/>
      <c r="J611" s="133" t="s">
        <v>93</v>
      </c>
      <c r="K611" s="134" t="str">
        <f>+C611</f>
        <v>JANEIRIO</v>
      </c>
      <c r="L611" s="135"/>
      <c r="M611" s="135">
        <f>+E611</f>
        <v>2025</v>
      </c>
      <c r="O611" s="136"/>
    </row>
    <row r="612" spans="1:15" ht="18.600000000000001" customHeight="1" x14ac:dyDescent="0.25">
      <c r="A612" s="125"/>
      <c r="B612" s="133" t="s">
        <v>94</v>
      </c>
      <c r="C612" s="136" t="e">
        <f>+'Folha de salarios'!#REF!</f>
        <v>#REF!</v>
      </c>
      <c r="D612" s="136"/>
      <c r="E612" s="136"/>
      <c r="F612" s="136"/>
      <c r="G612" s="135"/>
      <c r="H612" s="135"/>
      <c r="I612" s="135"/>
      <c r="J612" s="133" t="s">
        <v>94</v>
      </c>
      <c r="K612" s="136" t="e">
        <f>C612</f>
        <v>#REF!</v>
      </c>
      <c r="L612" s="135"/>
      <c r="M612" s="135"/>
      <c r="O612" s="135"/>
    </row>
    <row r="613" spans="1:15" ht="15.75" customHeight="1" x14ac:dyDescent="0.25">
      <c r="A613" s="125"/>
      <c r="B613" s="133" t="s">
        <v>95</v>
      </c>
      <c r="C613" s="135" t="e">
        <f>+'Folha de salarios'!#REF!</f>
        <v>#REF!</v>
      </c>
      <c r="D613" s="135"/>
      <c r="E613" s="135"/>
      <c r="F613" s="135"/>
      <c r="G613" s="135"/>
      <c r="H613" s="135"/>
      <c r="I613" s="135"/>
      <c r="J613" s="133" t="s">
        <v>95</v>
      </c>
      <c r="K613" s="135" t="e">
        <f>+C613</f>
        <v>#REF!</v>
      </c>
      <c r="L613" s="135"/>
      <c r="M613" s="135"/>
      <c r="N613" s="135"/>
      <c r="O613" s="135"/>
    </row>
    <row r="614" spans="1:15" ht="15.75" customHeight="1" x14ac:dyDescent="0.25">
      <c r="A614" s="125"/>
      <c r="B614" s="133"/>
      <c r="C614" s="135"/>
      <c r="D614" s="135"/>
      <c r="E614" s="135"/>
      <c r="F614" s="135"/>
      <c r="G614" s="135"/>
      <c r="H614" s="135"/>
      <c r="I614" s="135"/>
      <c r="J614" s="133"/>
      <c r="K614" s="135"/>
      <c r="L614" s="135"/>
      <c r="M614" s="135"/>
      <c r="N614" s="135"/>
      <c r="O614" s="135"/>
    </row>
    <row r="615" spans="1:15" ht="15.75" customHeight="1" x14ac:dyDescent="0.25">
      <c r="A615" s="125"/>
      <c r="B615" s="133" t="s">
        <v>96</v>
      </c>
      <c r="C615" s="135"/>
      <c r="D615" s="135"/>
      <c r="E615" s="135"/>
      <c r="F615" s="135"/>
      <c r="G615" s="137" t="e">
        <f>+'Folha de salarios'!#REF!</f>
        <v>#REF!</v>
      </c>
      <c r="H615" s="137"/>
      <c r="I615" s="137"/>
      <c r="J615" s="133" t="s">
        <v>96</v>
      </c>
      <c r="K615" s="133"/>
      <c r="L615" s="135"/>
      <c r="M615" s="135"/>
      <c r="N615" s="135"/>
      <c r="O615" s="137" t="e">
        <f>+G615</f>
        <v>#REF!</v>
      </c>
    </row>
    <row r="616" spans="1:15" ht="15.75" customHeight="1" x14ac:dyDescent="0.25">
      <c r="A616" s="125"/>
      <c r="B616" s="133" t="s">
        <v>97</v>
      </c>
      <c r="C616" s="135"/>
      <c r="D616" s="135"/>
      <c r="E616" s="135"/>
      <c r="F616" s="135"/>
      <c r="G616" s="138">
        <f>0</f>
        <v>0</v>
      </c>
      <c r="H616" s="138"/>
      <c r="I616" s="138"/>
      <c r="J616" s="133" t="s">
        <v>97</v>
      </c>
      <c r="K616" s="133"/>
      <c r="L616" s="135"/>
      <c r="M616" s="135"/>
      <c r="N616" s="135"/>
      <c r="O616" s="138">
        <f>G616</f>
        <v>0</v>
      </c>
    </row>
    <row r="617" spans="1:15" ht="15.75" customHeight="1" x14ac:dyDescent="0.25">
      <c r="A617" s="125"/>
      <c r="B617" s="133" t="s">
        <v>98</v>
      </c>
      <c r="C617" s="135"/>
      <c r="D617" s="135"/>
      <c r="E617" s="135"/>
      <c r="F617" s="135"/>
      <c r="G617" s="138" t="e">
        <f>+'Folha de salarios'!#REF!</f>
        <v>#REF!</v>
      </c>
      <c r="H617" s="138"/>
      <c r="I617" s="138"/>
      <c r="J617" s="133" t="s">
        <v>98</v>
      </c>
      <c r="K617" s="133"/>
      <c r="L617" s="135"/>
      <c r="M617" s="135"/>
      <c r="N617" s="135"/>
      <c r="O617" s="138" t="e">
        <f>G617</f>
        <v>#REF!</v>
      </c>
    </row>
    <row r="618" spans="1:15" ht="15.75" customHeight="1" x14ac:dyDescent="0.25">
      <c r="A618" s="125"/>
      <c r="B618" s="133" t="s">
        <v>99</v>
      </c>
      <c r="C618" s="135"/>
      <c r="D618" s="135"/>
      <c r="E618" s="135"/>
      <c r="F618" s="135"/>
      <c r="G618" s="138" t="e">
        <f>+'Folha de salarios'!#REF!</f>
        <v>#REF!</v>
      </c>
      <c r="H618" s="138"/>
      <c r="I618" s="138"/>
      <c r="J618" s="133" t="s">
        <v>99</v>
      </c>
      <c r="K618" s="133"/>
      <c r="L618" s="135"/>
      <c r="M618" s="135"/>
      <c r="N618" s="135"/>
      <c r="O618" s="138" t="e">
        <f>+G618</f>
        <v>#REF!</v>
      </c>
    </row>
    <row r="619" spans="1:15" ht="15.75" customHeight="1" x14ac:dyDescent="0.25">
      <c r="A619" s="125"/>
      <c r="B619" s="135"/>
      <c r="C619" s="135"/>
      <c r="D619" s="135"/>
      <c r="E619" s="133" t="s">
        <v>100</v>
      </c>
      <c r="F619" s="135"/>
      <c r="G619" s="138" t="e">
        <f>SUM(G615:G618)</f>
        <v>#REF!</v>
      </c>
      <c r="H619" s="138"/>
      <c r="I619" s="138"/>
      <c r="J619" s="135"/>
      <c r="K619" s="135"/>
      <c r="L619" s="135"/>
      <c r="M619" s="133" t="s">
        <v>100</v>
      </c>
      <c r="N619" s="135"/>
      <c r="O619" s="138" t="e">
        <f>SUM(O615:O618)</f>
        <v>#REF!</v>
      </c>
    </row>
    <row r="620" spans="1:15" ht="15.75" customHeight="1" x14ac:dyDescent="0.25">
      <c r="A620" s="125"/>
      <c r="B620" s="135"/>
      <c r="C620" s="135"/>
      <c r="D620" s="135"/>
      <c r="E620" s="135"/>
      <c r="F620" s="135"/>
      <c r="G620" s="138"/>
      <c r="H620" s="138"/>
      <c r="I620" s="138"/>
      <c r="J620" s="135"/>
      <c r="K620" s="135"/>
      <c r="L620" s="135"/>
      <c r="M620" s="135"/>
      <c r="N620" s="135"/>
      <c r="O620" s="138"/>
    </row>
    <row r="621" spans="1:15" ht="15.75" customHeight="1" x14ac:dyDescent="0.25">
      <c r="A621" s="125"/>
      <c r="B621" s="135"/>
      <c r="C621" s="133" t="s">
        <v>101</v>
      </c>
      <c r="D621" s="135"/>
      <c r="E621" s="135"/>
      <c r="F621" s="135"/>
      <c r="G621" s="138"/>
      <c r="H621" s="138"/>
      <c r="I621" s="138"/>
      <c r="J621" s="135"/>
      <c r="K621" s="133" t="s">
        <v>101</v>
      </c>
      <c r="L621" s="135"/>
      <c r="N621" s="135"/>
      <c r="O621" s="138"/>
    </row>
    <row r="622" spans="1:15" ht="15.75" customHeight="1" x14ac:dyDescent="0.25">
      <c r="A622" s="125"/>
      <c r="B622" s="135"/>
      <c r="C622" s="135"/>
      <c r="D622" s="133" t="s">
        <v>102</v>
      </c>
      <c r="E622" s="135"/>
      <c r="F622" s="135"/>
      <c r="G622" s="138">
        <f>+'Folha de salarios'!Z639</f>
        <v>0</v>
      </c>
      <c r="H622" s="138"/>
      <c r="I622" s="138"/>
      <c r="J622" s="135"/>
      <c r="K622" s="135"/>
      <c r="L622" s="133" t="s">
        <v>102</v>
      </c>
      <c r="N622" s="135"/>
      <c r="O622" s="138">
        <f>+G622</f>
        <v>0</v>
      </c>
    </row>
    <row r="623" spans="1:15" ht="15.75" customHeight="1" x14ac:dyDescent="0.25">
      <c r="A623" s="125"/>
      <c r="B623" s="135"/>
      <c r="C623" s="135"/>
      <c r="D623" s="133" t="s">
        <v>86</v>
      </c>
      <c r="E623" s="135"/>
      <c r="F623" s="135"/>
      <c r="G623" s="138" t="e">
        <f>+G619*0.03</f>
        <v>#REF!</v>
      </c>
      <c r="H623" s="138"/>
      <c r="I623" s="138"/>
      <c r="J623" s="135"/>
      <c r="K623" s="135"/>
      <c r="L623" s="133" t="s">
        <v>86</v>
      </c>
      <c r="N623" s="135"/>
      <c r="O623" s="138" t="e">
        <f>+G623</f>
        <v>#REF!</v>
      </c>
    </row>
    <row r="624" spans="1:15" ht="15.75" customHeight="1" x14ac:dyDescent="0.25">
      <c r="A624" s="125"/>
      <c r="B624" s="135"/>
      <c r="C624" s="135"/>
      <c r="D624" s="133" t="s">
        <v>103</v>
      </c>
      <c r="E624" s="135"/>
      <c r="F624" s="135"/>
      <c r="G624" s="138" t="e">
        <f>+G619*0.01</f>
        <v>#REF!</v>
      </c>
      <c r="H624" s="138"/>
      <c r="I624" s="138"/>
      <c r="J624" s="135"/>
      <c r="K624" s="135"/>
      <c r="L624" s="133" t="s">
        <v>103</v>
      </c>
      <c r="N624" s="135"/>
      <c r="O624" s="138" t="e">
        <f>+G624</f>
        <v>#REF!</v>
      </c>
    </row>
    <row r="625" spans="1:15" ht="15.75" customHeight="1" x14ac:dyDescent="0.25">
      <c r="A625" s="125"/>
      <c r="B625" s="135"/>
      <c r="C625" s="135"/>
      <c r="D625" s="133" t="s">
        <v>104</v>
      </c>
      <c r="E625" s="135"/>
      <c r="F625" s="135"/>
      <c r="G625" s="138"/>
      <c r="H625" s="138"/>
      <c r="I625" s="138"/>
      <c r="J625" s="135"/>
      <c r="K625" s="135"/>
      <c r="L625" s="133" t="s">
        <v>104</v>
      </c>
      <c r="N625" s="135"/>
      <c r="O625" s="138">
        <f>G625</f>
        <v>0</v>
      </c>
    </row>
    <row r="626" spans="1:15" ht="15.75" customHeight="1" x14ac:dyDescent="0.25">
      <c r="A626" s="125"/>
      <c r="B626" s="135"/>
      <c r="C626" s="135"/>
      <c r="D626" s="133" t="s">
        <v>105</v>
      </c>
      <c r="E626" s="135"/>
      <c r="F626" s="135"/>
      <c r="G626" s="138">
        <v>0</v>
      </c>
      <c r="H626" s="138"/>
      <c r="I626" s="138"/>
      <c r="J626" s="135"/>
      <c r="K626" s="135"/>
      <c r="L626" s="133" t="s">
        <v>105</v>
      </c>
      <c r="N626" s="135"/>
      <c r="O626" s="138">
        <f>G626</f>
        <v>0</v>
      </c>
    </row>
    <row r="627" spans="1:15" ht="15.75" customHeight="1" x14ac:dyDescent="0.25">
      <c r="A627" s="125"/>
      <c r="B627" s="135"/>
      <c r="C627" s="135"/>
      <c r="D627" s="133" t="s">
        <v>106</v>
      </c>
      <c r="E627" s="135"/>
      <c r="F627" s="135"/>
      <c r="G627" s="138"/>
      <c r="H627" s="138"/>
      <c r="I627" s="138"/>
      <c r="J627" s="135"/>
      <c r="K627" s="135"/>
      <c r="L627" s="133" t="s">
        <v>106</v>
      </c>
      <c r="N627" s="135"/>
      <c r="O627" s="138">
        <f>G627</f>
        <v>0</v>
      </c>
    </row>
    <row r="628" spans="1:15" ht="15.75" customHeight="1" x14ac:dyDescent="0.25">
      <c r="A628" s="125"/>
      <c r="B628" s="135"/>
      <c r="C628" s="135"/>
      <c r="D628" s="133" t="s">
        <v>112</v>
      </c>
      <c r="E628" s="135"/>
      <c r="F628" s="135"/>
      <c r="G628" s="138">
        <f>+'Folha de salarios'!Y87</f>
        <v>0</v>
      </c>
      <c r="H628" s="138"/>
      <c r="I628" s="138"/>
      <c r="J628" s="135"/>
      <c r="K628" s="135"/>
      <c r="L628" s="133" t="str">
        <f>+D628</f>
        <v>Pagament Antecipado</v>
      </c>
      <c r="N628" s="135"/>
      <c r="O628" s="138">
        <f>G628</f>
        <v>0</v>
      </c>
    </row>
    <row r="629" spans="1:15" ht="15.75" customHeight="1" x14ac:dyDescent="0.25">
      <c r="A629" s="125"/>
      <c r="B629" s="135"/>
      <c r="C629" s="135"/>
      <c r="D629" s="133" t="s">
        <v>108</v>
      </c>
      <c r="E629" s="135"/>
      <c r="F629" s="135"/>
      <c r="G629" s="138">
        <v>0</v>
      </c>
      <c r="H629" s="138"/>
      <c r="I629" s="138"/>
      <c r="J629" s="135"/>
      <c r="K629" s="135"/>
      <c r="L629" s="133" t="str">
        <f>+D629</f>
        <v>Arredondamento</v>
      </c>
      <c r="N629" s="135"/>
      <c r="O629" s="138">
        <f>+G629</f>
        <v>0</v>
      </c>
    </row>
    <row r="630" spans="1:15" ht="15.75" customHeight="1" x14ac:dyDescent="0.25">
      <c r="A630" s="125"/>
      <c r="B630" s="135"/>
      <c r="C630" s="135"/>
      <c r="D630" s="135"/>
      <c r="E630" s="133" t="s">
        <v>100</v>
      </c>
      <c r="F630" s="135"/>
      <c r="G630" s="138" t="e">
        <f>SUM(G622:G629)</f>
        <v>#REF!</v>
      </c>
      <c r="H630" s="138"/>
      <c r="I630" s="138"/>
      <c r="J630" s="135"/>
      <c r="K630" s="135"/>
      <c r="L630" s="135"/>
      <c r="M630" s="133" t="s">
        <v>100</v>
      </c>
      <c r="N630" s="135"/>
      <c r="O630" s="138" t="e">
        <f>G630</f>
        <v>#REF!</v>
      </c>
    </row>
    <row r="631" spans="1:15" ht="15.75" customHeight="1" x14ac:dyDescent="0.25">
      <c r="A631" s="125"/>
      <c r="B631" s="135"/>
      <c r="C631" s="135"/>
      <c r="D631" s="135"/>
      <c r="E631" s="135"/>
      <c r="F631" s="135"/>
      <c r="G631" s="138"/>
      <c r="H631" s="138"/>
      <c r="I631" s="138"/>
      <c r="J631" s="135"/>
      <c r="K631" s="135"/>
      <c r="L631" s="135"/>
      <c r="M631" s="135"/>
      <c r="N631" s="135"/>
      <c r="O631" s="138"/>
    </row>
    <row r="632" spans="1:15" ht="15.75" customHeight="1" thickBot="1" x14ac:dyDescent="0.3">
      <c r="A632" s="125"/>
      <c r="B632" s="135"/>
      <c r="C632" s="133" t="s">
        <v>109</v>
      </c>
      <c r="D632" s="135"/>
      <c r="E632" s="135"/>
      <c r="F632" s="135"/>
      <c r="G632" s="139" t="e">
        <f>G619-G630</f>
        <v>#REF!</v>
      </c>
      <c r="H632" s="138"/>
      <c r="I632" s="138"/>
      <c r="J632" s="135"/>
      <c r="K632" s="135"/>
      <c r="L632" s="133" t="s">
        <v>109</v>
      </c>
      <c r="M632" s="135"/>
      <c r="N632" s="135"/>
      <c r="O632" s="139" t="e">
        <f>O619-O630</f>
        <v>#REF!</v>
      </c>
    </row>
    <row r="633" spans="1:15" ht="15.75" customHeight="1" thickTop="1" x14ac:dyDescent="0.25">
      <c r="A633" s="125"/>
      <c r="B633" s="135"/>
      <c r="C633" s="133"/>
      <c r="D633" s="135"/>
      <c r="E633" s="135"/>
      <c r="F633" s="135"/>
      <c r="G633" s="138"/>
      <c r="H633" s="138"/>
      <c r="I633" s="138"/>
      <c r="J633" s="135"/>
      <c r="K633" s="135"/>
      <c r="L633" s="133"/>
      <c r="M633" s="135"/>
      <c r="N633" s="135"/>
      <c r="O633" s="138"/>
    </row>
    <row r="634" spans="1:15" ht="15.75" customHeight="1" x14ac:dyDescent="0.25">
      <c r="A634" s="125"/>
      <c r="B634" s="135"/>
      <c r="C634" s="135"/>
      <c r="D634" s="135"/>
      <c r="E634" s="135"/>
      <c r="F634" s="135"/>
      <c r="G634" s="138"/>
      <c r="H634" s="138"/>
      <c r="I634" s="138"/>
      <c r="J634" s="135"/>
      <c r="K634" s="135"/>
      <c r="L634" s="135"/>
      <c r="M634" s="135"/>
      <c r="N634" s="135"/>
      <c r="O634" s="138"/>
    </row>
    <row r="635" spans="1:15" ht="15.75" customHeight="1" x14ac:dyDescent="0.25">
      <c r="A635" s="125"/>
      <c r="B635" s="135"/>
      <c r="C635" s="135"/>
      <c r="D635" s="135"/>
      <c r="E635" s="133" t="s">
        <v>110</v>
      </c>
      <c r="F635" s="135"/>
      <c r="G635" s="138"/>
      <c r="H635" s="138"/>
      <c r="I635" s="138"/>
      <c r="J635" s="135"/>
      <c r="K635" s="135"/>
      <c r="L635" s="135"/>
      <c r="M635" s="133" t="s">
        <v>110</v>
      </c>
      <c r="N635" s="135"/>
      <c r="O635" s="138"/>
    </row>
    <row r="636" spans="1:15" ht="38.1" customHeight="1" x14ac:dyDescent="0.2">
      <c r="A636" s="125"/>
      <c r="B636" s="247" t="s">
        <v>91</v>
      </c>
      <c r="C636" s="247"/>
      <c r="D636" s="247"/>
      <c r="E636" s="247"/>
      <c r="F636" s="247"/>
      <c r="G636" s="247"/>
      <c r="H636" s="127"/>
      <c r="I636" s="127"/>
      <c r="J636" s="247" t="s">
        <v>91</v>
      </c>
      <c r="K636" s="247"/>
      <c r="L636" s="247"/>
      <c r="M636" s="247"/>
      <c r="N636" s="247"/>
      <c r="O636" s="247"/>
    </row>
    <row r="637" spans="1:15" ht="15" customHeight="1" x14ac:dyDescent="0.2">
      <c r="A637" s="125"/>
      <c r="B637" s="126"/>
      <c r="C637" s="128"/>
      <c r="D637" s="128"/>
      <c r="E637" s="128"/>
      <c r="F637" s="128"/>
      <c r="G637" s="128"/>
      <c r="H637" s="127"/>
      <c r="I637" s="127"/>
      <c r="J637" s="126"/>
      <c r="K637" s="128"/>
      <c r="L637" s="128"/>
      <c r="M637" s="128"/>
      <c r="N637" s="128"/>
      <c r="O637" s="128"/>
    </row>
    <row r="638" spans="1:15" ht="18.600000000000001" customHeight="1" x14ac:dyDescent="0.3">
      <c r="A638" s="125"/>
      <c r="B638" s="248" t="s">
        <v>92</v>
      </c>
      <c r="C638" s="248"/>
      <c r="D638" s="248"/>
      <c r="E638" s="248"/>
      <c r="F638" s="248"/>
      <c r="G638" s="248"/>
      <c r="H638" s="129"/>
      <c r="I638" s="130"/>
      <c r="J638" s="248" t="s">
        <v>92</v>
      </c>
      <c r="K638" s="248"/>
      <c r="L638" s="248"/>
      <c r="M638" s="248"/>
      <c r="N638" s="248"/>
      <c r="O638" s="248"/>
    </row>
    <row r="639" spans="1:15" ht="15" customHeight="1" x14ac:dyDescent="0.2">
      <c r="A639" s="125"/>
      <c r="B639" s="131">
        <f>+B610+1</f>
        <v>23</v>
      </c>
      <c r="C639" s="132"/>
      <c r="D639" s="132"/>
      <c r="E639" s="132"/>
      <c r="F639" s="132"/>
      <c r="H639" s="132"/>
      <c r="I639" s="132"/>
      <c r="J639" s="131">
        <f>+B639</f>
        <v>23</v>
      </c>
      <c r="K639" s="130"/>
      <c r="L639" s="132"/>
      <c r="M639" s="132"/>
      <c r="N639" s="132"/>
      <c r="O639" s="132"/>
    </row>
    <row r="640" spans="1:15" ht="18.600000000000001" customHeight="1" x14ac:dyDescent="0.25">
      <c r="A640" s="125"/>
      <c r="B640" s="133" t="s">
        <v>93</v>
      </c>
      <c r="C640" s="134" t="str">
        <f>+C92</f>
        <v>JANEIRIO</v>
      </c>
      <c r="D640" s="135"/>
      <c r="E640" s="135">
        <f>+E92</f>
        <v>2025</v>
      </c>
      <c r="F640" s="133"/>
      <c r="G640" s="136"/>
      <c r="H640" s="136"/>
      <c r="I640" s="136"/>
      <c r="J640" s="133" t="s">
        <v>93</v>
      </c>
      <c r="K640" s="134" t="str">
        <f>+C640</f>
        <v>JANEIRIO</v>
      </c>
      <c r="L640" s="135"/>
      <c r="M640" s="135">
        <f>+E640</f>
        <v>2025</v>
      </c>
      <c r="O640" s="136"/>
    </row>
    <row r="641" spans="1:15" ht="18.600000000000001" customHeight="1" x14ac:dyDescent="0.25">
      <c r="A641" s="125"/>
      <c r="B641" s="133" t="s">
        <v>94</v>
      </c>
      <c r="C641" s="136" t="e">
        <f>+'Folha de salarios'!#REF!</f>
        <v>#REF!</v>
      </c>
      <c r="D641" s="136"/>
      <c r="E641" s="136"/>
      <c r="F641" s="136"/>
      <c r="G641" s="135"/>
      <c r="H641" s="135"/>
      <c r="I641" s="135"/>
      <c r="J641" s="133" t="s">
        <v>94</v>
      </c>
      <c r="K641" s="136" t="e">
        <f>C641</f>
        <v>#REF!</v>
      </c>
      <c r="L641" s="135"/>
      <c r="M641" s="135"/>
      <c r="O641" s="135"/>
    </row>
    <row r="642" spans="1:15" ht="15.75" customHeight="1" x14ac:dyDescent="0.25">
      <c r="A642" s="125"/>
      <c r="B642" s="133" t="s">
        <v>95</v>
      </c>
      <c r="C642" s="135" t="e">
        <f>+'Folha de salarios'!#REF!</f>
        <v>#REF!</v>
      </c>
      <c r="D642" s="135"/>
      <c r="E642" s="135"/>
      <c r="F642" s="135"/>
      <c r="G642" s="135"/>
      <c r="H642" s="135"/>
      <c r="I642" s="135"/>
      <c r="J642" s="133" t="s">
        <v>95</v>
      </c>
      <c r="K642" s="135" t="e">
        <f>+C642</f>
        <v>#REF!</v>
      </c>
      <c r="L642" s="135"/>
      <c r="M642" s="135"/>
      <c r="N642" s="135"/>
      <c r="O642" s="135"/>
    </row>
    <row r="643" spans="1:15" ht="15.75" customHeight="1" x14ac:dyDescent="0.25">
      <c r="A643" s="125"/>
      <c r="B643" s="133"/>
      <c r="C643" s="135"/>
      <c r="D643" s="135"/>
      <c r="E643" s="135"/>
      <c r="F643" s="135"/>
      <c r="G643" s="135"/>
      <c r="H643" s="135"/>
      <c r="I643" s="135"/>
      <c r="J643" s="133"/>
      <c r="K643" s="135"/>
      <c r="L643" s="135"/>
      <c r="M643" s="135"/>
      <c r="N643" s="135"/>
      <c r="O643" s="135"/>
    </row>
    <row r="644" spans="1:15" ht="15.75" customHeight="1" x14ac:dyDescent="0.25">
      <c r="A644" s="125"/>
      <c r="B644" s="133" t="s">
        <v>96</v>
      </c>
      <c r="C644" s="135"/>
      <c r="D644" s="135"/>
      <c r="E644" s="135"/>
      <c r="F644" s="135"/>
      <c r="G644" s="137" t="e">
        <f>+'Folha de salarios'!#REF!</f>
        <v>#REF!</v>
      </c>
      <c r="H644" s="137"/>
      <c r="I644" s="137"/>
      <c r="J644" s="133" t="s">
        <v>96</v>
      </c>
      <c r="K644" s="133"/>
      <c r="L644" s="135"/>
      <c r="M644" s="135"/>
      <c r="N644" s="135"/>
      <c r="O644" s="137" t="e">
        <f>+G644</f>
        <v>#REF!</v>
      </c>
    </row>
    <row r="645" spans="1:15" ht="15.75" customHeight="1" x14ac:dyDescent="0.25">
      <c r="A645" s="125"/>
      <c r="B645" s="133" t="s">
        <v>97</v>
      </c>
      <c r="C645" s="135"/>
      <c r="D645" s="135"/>
      <c r="E645" s="135"/>
      <c r="F645" s="135"/>
      <c r="G645" s="138" t="e">
        <f>+'Folha de salarios'!#REF!</f>
        <v>#REF!</v>
      </c>
      <c r="H645" s="138"/>
      <c r="I645" s="138"/>
      <c r="J645" s="133" t="s">
        <v>97</v>
      </c>
      <c r="K645" s="133"/>
      <c r="L645" s="135"/>
      <c r="M645" s="135"/>
      <c r="N645" s="135"/>
      <c r="O645" s="138" t="e">
        <f>G645</f>
        <v>#REF!</v>
      </c>
    </row>
    <row r="646" spans="1:15" ht="15.75" customHeight="1" x14ac:dyDescent="0.25">
      <c r="A646" s="125"/>
      <c r="B646" s="133" t="s">
        <v>98</v>
      </c>
      <c r="C646" s="135"/>
      <c r="D646" s="135"/>
      <c r="E646" s="135"/>
      <c r="F646" s="135"/>
      <c r="G646" s="138" t="e">
        <f>+'Folha de salarios'!#REF!</f>
        <v>#REF!</v>
      </c>
      <c r="H646" s="138"/>
      <c r="I646" s="138"/>
      <c r="J646" s="133" t="s">
        <v>98</v>
      </c>
      <c r="K646" s="133"/>
      <c r="L646" s="135"/>
      <c r="M646" s="135"/>
      <c r="N646" s="135"/>
      <c r="O646" s="138" t="e">
        <f>G646</f>
        <v>#REF!</v>
      </c>
    </row>
    <row r="647" spans="1:15" ht="15.75" customHeight="1" x14ac:dyDescent="0.25">
      <c r="A647" s="125"/>
      <c r="B647" s="133" t="s">
        <v>99</v>
      </c>
      <c r="C647" s="135"/>
      <c r="D647" s="135"/>
      <c r="E647" s="135"/>
      <c r="F647" s="135"/>
      <c r="G647" s="138" t="e">
        <f>+'Folha de salarios'!#REF!</f>
        <v>#REF!</v>
      </c>
      <c r="H647" s="138"/>
      <c r="I647" s="138"/>
      <c r="J647" s="133" t="s">
        <v>99</v>
      </c>
      <c r="K647" s="133"/>
      <c r="L647" s="135"/>
      <c r="M647" s="135"/>
      <c r="N647" s="135"/>
      <c r="O647" s="138" t="e">
        <f>+G647</f>
        <v>#REF!</v>
      </c>
    </row>
    <row r="648" spans="1:15" ht="15.75" customHeight="1" x14ac:dyDescent="0.25">
      <c r="A648" s="125"/>
      <c r="B648" s="135"/>
      <c r="C648" s="135"/>
      <c r="D648" s="135"/>
      <c r="E648" s="133" t="s">
        <v>100</v>
      </c>
      <c r="F648" s="135"/>
      <c r="G648" s="138" t="e">
        <f>SUM(G644:G647)</f>
        <v>#REF!</v>
      </c>
      <c r="H648" s="138"/>
      <c r="I648" s="138"/>
      <c r="J648" s="135"/>
      <c r="K648" s="135"/>
      <c r="L648" s="135"/>
      <c r="M648" s="133" t="s">
        <v>100</v>
      </c>
      <c r="N648" s="135"/>
      <c r="O648" s="138" t="e">
        <f>SUM(O644:O647)</f>
        <v>#REF!</v>
      </c>
    </row>
    <row r="649" spans="1:15" ht="15.75" customHeight="1" x14ac:dyDescent="0.25">
      <c r="A649" s="125"/>
      <c r="B649" s="135"/>
      <c r="C649" s="135"/>
      <c r="D649" s="135"/>
      <c r="E649" s="135"/>
      <c r="F649" s="135"/>
      <c r="G649" s="138"/>
      <c r="H649" s="138"/>
      <c r="I649" s="138"/>
      <c r="J649" s="135"/>
      <c r="K649" s="135"/>
      <c r="L649" s="135"/>
      <c r="M649" s="135"/>
      <c r="N649" s="135"/>
      <c r="O649" s="138"/>
    </row>
    <row r="650" spans="1:15" ht="15.75" customHeight="1" x14ac:dyDescent="0.25">
      <c r="A650" s="125"/>
      <c r="B650" s="135"/>
      <c r="C650" s="133" t="s">
        <v>101</v>
      </c>
      <c r="D650" s="135"/>
      <c r="E650" s="135"/>
      <c r="F650" s="135"/>
      <c r="G650" s="138"/>
      <c r="H650" s="138"/>
      <c r="I650" s="138"/>
      <c r="J650" s="135"/>
      <c r="K650" s="133" t="s">
        <v>101</v>
      </c>
      <c r="L650" s="135"/>
      <c r="N650" s="135"/>
      <c r="O650" s="138"/>
    </row>
    <row r="651" spans="1:15" ht="15.75" customHeight="1" x14ac:dyDescent="0.25">
      <c r="A651" s="125"/>
      <c r="B651" s="135"/>
      <c r="C651" s="135"/>
      <c r="D651" s="133" t="s">
        <v>102</v>
      </c>
      <c r="E651" s="135"/>
      <c r="F651" s="135"/>
      <c r="G651" s="138">
        <f>+'Folha de salarios'!Z668</f>
        <v>0</v>
      </c>
      <c r="H651" s="138"/>
      <c r="I651" s="138"/>
      <c r="J651" s="135"/>
      <c r="K651" s="135"/>
      <c r="L651" s="133" t="s">
        <v>102</v>
      </c>
      <c r="N651" s="135"/>
      <c r="O651" s="138">
        <f>+G651</f>
        <v>0</v>
      </c>
    </row>
    <row r="652" spans="1:15" ht="15.75" customHeight="1" x14ac:dyDescent="0.25">
      <c r="A652" s="125"/>
      <c r="B652" s="135"/>
      <c r="C652" s="135"/>
      <c r="D652" s="133" t="s">
        <v>86</v>
      </c>
      <c r="E652" s="135"/>
      <c r="F652" s="135"/>
      <c r="G652" s="138" t="e">
        <f>+G648*0.03</f>
        <v>#REF!</v>
      </c>
      <c r="H652" s="138"/>
      <c r="I652" s="138"/>
      <c r="J652" s="135"/>
      <c r="K652" s="135"/>
      <c r="L652" s="133" t="s">
        <v>86</v>
      </c>
      <c r="N652" s="135"/>
      <c r="O652" s="138" t="e">
        <f>+G652</f>
        <v>#REF!</v>
      </c>
    </row>
    <row r="653" spans="1:15" ht="15.75" customHeight="1" x14ac:dyDescent="0.25">
      <c r="A653" s="125"/>
      <c r="B653" s="135"/>
      <c r="C653" s="135"/>
      <c r="D653" s="133" t="s">
        <v>103</v>
      </c>
      <c r="E653" s="135"/>
      <c r="F653" s="135"/>
      <c r="G653" s="138" t="e">
        <f>+G648*0.01</f>
        <v>#REF!</v>
      </c>
      <c r="H653" s="138"/>
      <c r="I653" s="138"/>
      <c r="J653" s="135"/>
      <c r="K653" s="135"/>
      <c r="L653" s="133" t="s">
        <v>103</v>
      </c>
      <c r="N653" s="135"/>
      <c r="O653" s="138" t="e">
        <f>+G653</f>
        <v>#REF!</v>
      </c>
    </row>
    <row r="654" spans="1:15" ht="15.75" customHeight="1" x14ac:dyDescent="0.25">
      <c r="A654" s="125"/>
      <c r="B654" s="135"/>
      <c r="C654" s="135"/>
      <c r="D654" s="133" t="s">
        <v>104</v>
      </c>
      <c r="E654" s="135"/>
      <c r="F654" s="135"/>
      <c r="G654" s="138"/>
      <c r="H654" s="138"/>
      <c r="I654" s="138"/>
      <c r="J654" s="135"/>
      <c r="K654" s="135"/>
      <c r="L654" s="133" t="s">
        <v>104</v>
      </c>
      <c r="N654" s="135"/>
      <c r="O654" s="138">
        <f>G654</f>
        <v>0</v>
      </c>
    </row>
    <row r="655" spans="1:15" ht="15.75" customHeight="1" x14ac:dyDescent="0.25">
      <c r="A655" s="125"/>
      <c r="B655" s="135"/>
      <c r="C655" s="135"/>
      <c r="D655" s="133" t="s">
        <v>105</v>
      </c>
      <c r="E655" s="135"/>
      <c r="F655" s="135"/>
      <c r="G655" s="138"/>
      <c r="H655" s="138"/>
      <c r="I655" s="138"/>
      <c r="J655" s="135"/>
      <c r="K655" s="135"/>
      <c r="L655" s="133" t="s">
        <v>105</v>
      </c>
      <c r="N655" s="135"/>
      <c r="O655" s="138">
        <f>G655</f>
        <v>0</v>
      </c>
    </row>
    <row r="656" spans="1:15" ht="15.75" customHeight="1" x14ac:dyDescent="0.25">
      <c r="A656" s="125"/>
      <c r="B656" s="135"/>
      <c r="C656" s="135"/>
      <c r="D656" s="133" t="s">
        <v>106</v>
      </c>
      <c r="E656" s="135"/>
      <c r="F656" s="135"/>
      <c r="G656" s="138"/>
      <c r="H656" s="138"/>
      <c r="I656" s="138"/>
      <c r="J656" s="135"/>
      <c r="K656" s="135"/>
      <c r="L656" s="133" t="s">
        <v>106</v>
      </c>
      <c r="N656" s="135"/>
      <c r="O656" s="138">
        <f>G656</f>
        <v>0</v>
      </c>
    </row>
    <row r="657" spans="1:15" ht="15.75" customHeight="1" x14ac:dyDescent="0.25">
      <c r="A657" s="125"/>
      <c r="B657" s="135"/>
      <c r="C657" s="135"/>
      <c r="D657" s="133" t="s">
        <v>112</v>
      </c>
      <c r="E657" s="135"/>
      <c r="F657" s="135"/>
      <c r="G657" s="138">
        <f>+'Folha de salarios'!Y116</f>
        <v>0</v>
      </c>
      <c r="H657" s="138"/>
      <c r="I657" s="138"/>
      <c r="J657" s="135"/>
      <c r="K657" s="135"/>
      <c r="L657" s="133" t="str">
        <f>+D657</f>
        <v>Pagament Antecipado</v>
      </c>
      <c r="N657" s="135"/>
      <c r="O657" s="138">
        <f>G657</f>
        <v>0</v>
      </c>
    </row>
    <row r="658" spans="1:15" ht="15.75" customHeight="1" x14ac:dyDescent="0.25">
      <c r="A658" s="125"/>
      <c r="B658" s="135"/>
      <c r="C658" s="135"/>
      <c r="D658" s="133" t="s">
        <v>108</v>
      </c>
      <c r="E658" s="135"/>
      <c r="F658" s="135"/>
      <c r="G658" s="138">
        <v>0</v>
      </c>
      <c r="H658" s="138"/>
      <c r="I658" s="138"/>
      <c r="J658" s="135"/>
      <c r="K658" s="135"/>
      <c r="L658" s="133" t="str">
        <f>+D658</f>
        <v>Arredondamento</v>
      </c>
      <c r="N658" s="135"/>
      <c r="O658" s="138">
        <f>+G658</f>
        <v>0</v>
      </c>
    </row>
    <row r="659" spans="1:15" ht="15.75" customHeight="1" x14ac:dyDescent="0.25">
      <c r="A659" s="125"/>
      <c r="B659" s="135"/>
      <c r="C659" s="135"/>
      <c r="D659" s="135"/>
      <c r="E659" s="133" t="s">
        <v>100</v>
      </c>
      <c r="F659" s="135"/>
      <c r="G659" s="138" t="e">
        <f>SUM(G651:G658)</f>
        <v>#REF!</v>
      </c>
      <c r="H659" s="138"/>
      <c r="I659" s="138"/>
      <c r="J659" s="135"/>
      <c r="K659" s="135"/>
      <c r="L659" s="135"/>
      <c r="M659" s="133" t="s">
        <v>100</v>
      </c>
      <c r="N659" s="135"/>
      <c r="O659" s="138" t="e">
        <f>G659</f>
        <v>#REF!</v>
      </c>
    </row>
    <row r="660" spans="1:15" ht="15.75" customHeight="1" x14ac:dyDescent="0.25">
      <c r="A660" s="125"/>
      <c r="B660" s="135"/>
      <c r="C660" s="135"/>
      <c r="D660" s="135"/>
      <c r="E660" s="135"/>
      <c r="F660" s="135"/>
      <c r="G660" s="138"/>
      <c r="H660" s="138"/>
      <c r="I660" s="138"/>
      <c r="J660" s="135"/>
      <c r="K660" s="135"/>
      <c r="L660" s="135"/>
      <c r="M660" s="135"/>
      <c r="N660" s="135"/>
      <c r="O660" s="138"/>
    </row>
    <row r="661" spans="1:15" ht="15.75" customHeight="1" thickBot="1" x14ac:dyDescent="0.3">
      <c r="A661" s="125"/>
      <c r="B661" s="135"/>
      <c r="C661" s="133" t="s">
        <v>109</v>
      </c>
      <c r="D661" s="135"/>
      <c r="E661" s="135"/>
      <c r="F661" s="135"/>
      <c r="G661" s="139" t="e">
        <f>G648-G659</f>
        <v>#REF!</v>
      </c>
      <c r="H661" s="138"/>
      <c r="I661" s="138"/>
      <c r="J661" s="135"/>
      <c r="K661" s="135"/>
      <c r="L661" s="133" t="s">
        <v>109</v>
      </c>
      <c r="M661" s="135"/>
      <c r="N661" s="135"/>
      <c r="O661" s="139" t="e">
        <f>O648-O659</f>
        <v>#REF!</v>
      </c>
    </row>
    <row r="662" spans="1:15" ht="15.75" customHeight="1" thickTop="1" x14ac:dyDescent="0.25">
      <c r="A662" s="125"/>
      <c r="B662" s="135"/>
      <c r="C662" s="133"/>
      <c r="D662" s="135"/>
      <c r="E662" s="135"/>
      <c r="F662" s="135"/>
      <c r="G662" s="138"/>
      <c r="H662" s="138"/>
      <c r="I662" s="138"/>
      <c r="J662" s="135"/>
      <c r="K662" s="135"/>
      <c r="L662" s="133"/>
      <c r="M662" s="135"/>
      <c r="N662" s="135"/>
      <c r="O662" s="138"/>
    </row>
    <row r="663" spans="1:15" ht="15.75" customHeight="1" x14ac:dyDescent="0.25">
      <c r="A663" s="125"/>
      <c r="B663" s="135"/>
      <c r="C663" s="135"/>
      <c r="D663" s="135"/>
      <c r="E663" s="135"/>
      <c r="F663" s="135"/>
      <c r="G663" s="138"/>
      <c r="H663" s="138"/>
      <c r="I663" s="138"/>
      <c r="J663" s="135"/>
      <c r="K663" s="135"/>
      <c r="L663" s="135"/>
      <c r="M663" s="135"/>
      <c r="N663" s="135"/>
      <c r="O663" s="138"/>
    </row>
    <row r="664" spans="1:15" ht="15.75" customHeight="1" x14ac:dyDescent="0.25">
      <c r="A664" s="125"/>
      <c r="B664" s="135"/>
      <c r="C664" s="135"/>
      <c r="D664" s="135"/>
      <c r="E664" s="133" t="s">
        <v>110</v>
      </c>
      <c r="F664" s="135"/>
      <c r="G664" s="138"/>
      <c r="H664" s="138"/>
      <c r="I664" s="138"/>
      <c r="J664" s="135"/>
      <c r="K664" s="135"/>
      <c r="L664" s="135"/>
      <c r="M664" s="133" t="s">
        <v>110</v>
      </c>
      <c r="N664" s="135"/>
      <c r="O664" s="138"/>
    </row>
    <row r="665" spans="1:15" ht="38.1" customHeight="1" x14ac:dyDescent="0.2">
      <c r="A665" s="125"/>
      <c r="B665" s="247" t="s">
        <v>91</v>
      </c>
      <c r="C665" s="247"/>
      <c r="D665" s="247"/>
      <c r="E665" s="247"/>
      <c r="F665" s="247"/>
      <c r="G665" s="247"/>
      <c r="H665" s="127"/>
      <c r="I665" s="127"/>
      <c r="J665" s="247" t="s">
        <v>91</v>
      </c>
      <c r="K665" s="247"/>
      <c r="L665" s="247"/>
      <c r="M665" s="247"/>
      <c r="N665" s="247"/>
      <c r="O665" s="247"/>
    </row>
    <row r="666" spans="1:15" ht="15" customHeight="1" x14ac:dyDescent="0.2">
      <c r="A666" s="125"/>
      <c r="B666" s="126"/>
      <c r="C666" s="128"/>
      <c r="D666" s="128"/>
      <c r="E666" s="128"/>
      <c r="F666" s="128"/>
      <c r="G666" s="128"/>
      <c r="H666" s="127"/>
      <c r="I666" s="127"/>
      <c r="J666" s="126"/>
      <c r="K666" s="128"/>
      <c r="L666" s="128"/>
      <c r="M666" s="128"/>
      <c r="N666" s="128"/>
      <c r="O666" s="128"/>
    </row>
    <row r="667" spans="1:15" ht="18.600000000000001" customHeight="1" x14ac:dyDescent="0.3">
      <c r="A667" s="125"/>
      <c r="B667" s="248" t="s">
        <v>92</v>
      </c>
      <c r="C667" s="248"/>
      <c r="D667" s="248"/>
      <c r="E667" s="248"/>
      <c r="F667" s="248"/>
      <c r="G667" s="248"/>
      <c r="H667" s="129"/>
      <c r="I667" s="130"/>
      <c r="J667" s="248" t="s">
        <v>92</v>
      </c>
      <c r="K667" s="248"/>
      <c r="L667" s="248"/>
      <c r="M667" s="248"/>
      <c r="N667" s="248"/>
      <c r="O667" s="248"/>
    </row>
    <row r="668" spans="1:15" ht="15" customHeight="1" x14ac:dyDescent="0.2">
      <c r="A668" s="125"/>
      <c r="B668" s="131">
        <f>+B639+1</f>
        <v>24</v>
      </c>
      <c r="C668" s="132"/>
      <c r="D668" s="132"/>
      <c r="E668" s="132"/>
      <c r="F668" s="132"/>
      <c r="H668" s="132"/>
      <c r="I668" s="132"/>
      <c r="J668" s="131">
        <f>+B668</f>
        <v>24</v>
      </c>
      <c r="K668" s="130"/>
      <c r="L668" s="132"/>
      <c r="M668" s="132"/>
      <c r="N668" s="132"/>
      <c r="O668" s="132"/>
    </row>
    <row r="669" spans="1:15" ht="18.600000000000001" customHeight="1" x14ac:dyDescent="0.25">
      <c r="A669" s="125"/>
      <c r="B669" s="133" t="s">
        <v>93</v>
      </c>
      <c r="C669" s="134" t="str">
        <f>+C640</f>
        <v>JANEIRIO</v>
      </c>
      <c r="D669" s="135"/>
      <c r="E669" s="135">
        <f>+E640</f>
        <v>2025</v>
      </c>
      <c r="F669" s="133"/>
      <c r="G669" s="136"/>
      <c r="H669" s="136"/>
      <c r="I669" s="136"/>
      <c r="J669" s="133" t="s">
        <v>93</v>
      </c>
      <c r="K669" s="134" t="str">
        <f>+C669</f>
        <v>JANEIRIO</v>
      </c>
      <c r="L669" s="135"/>
      <c r="M669" s="135">
        <f>+E669</f>
        <v>2025</v>
      </c>
      <c r="O669" s="136"/>
    </row>
    <row r="670" spans="1:15" ht="18.600000000000001" customHeight="1" x14ac:dyDescent="0.25">
      <c r="A670" s="125"/>
      <c r="B670" s="133" t="s">
        <v>94</v>
      </c>
      <c r="C670" s="136" t="e">
        <f>+'Folha de salarios'!#REF!</f>
        <v>#REF!</v>
      </c>
      <c r="D670" s="136"/>
      <c r="E670" s="136"/>
      <c r="F670" s="136"/>
      <c r="G670" s="135"/>
      <c r="H670" s="135"/>
      <c r="I670" s="135"/>
      <c r="J670" s="133" t="s">
        <v>94</v>
      </c>
      <c r="K670" s="136" t="e">
        <f>C670</f>
        <v>#REF!</v>
      </c>
      <c r="L670" s="135"/>
      <c r="M670" s="135"/>
      <c r="O670" s="135"/>
    </row>
    <row r="671" spans="1:15" ht="15.75" customHeight="1" x14ac:dyDescent="0.25">
      <c r="A671" s="125"/>
      <c r="B671" s="133" t="s">
        <v>95</v>
      </c>
      <c r="C671" s="135" t="e">
        <f>+'Folha de salarios'!#REF!</f>
        <v>#REF!</v>
      </c>
      <c r="D671" s="135"/>
      <c r="E671" s="135"/>
      <c r="F671" s="135"/>
      <c r="G671" s="135"/>
      <c r="H671" s="135"/>
      <c r="I671" s="135"/>
      <c r="J671" s="133" t="s">
        <v>95</v>
      </c>
      <c r="K671" s="135" t="e">
        <f>+C671</f>
        <v>#REF!</v>
      </c>
      <c r="L671" s="135"/>
      <c r="M671" s="135"/>
      <c r="N671" s="135"/>
      <c r="O671" s="135"/>
    </row>
    <row r="672" spans="1:15" ht="15.75" customHeight="1" x14ac:dyDescent="0.25">
      <c r="A672" s="125"/>
      <c r="B672" s="133"/>
      <c r="C672" s="135"/>
      <c r="D672" s="135"/>
      <c r="E672" s="135"/>
      <c r="F672" s="135"/>
      <c r="G672" s="135"/>
      <c r="H672" s="135"/>
      <c r="I672" s="135"/>
      <c r="J672" s="133"/>
      <c r="K672" s="135"/>
      <c r="L672" s="135"/>
      <c r="M672" s="135"/>
      <c r="N672" s="135"/>
      <c r="O672" s="135"/>
    </row>
    <row r="673" spans="1:15" ht="15.75" customHeight="1" x14ac:dyDescent="0.25">
      <c r="A673" s="125"/>
      <c r="B673" s="133" t="s">
        <v>96</v>
      </c>
      <c r="C673" s="135"/>
      <c r="D673" s="135"/>
      <c r="E673" s="135"/>
      <c r="F673" s="135"/>
      <c r="G673" s="137" t="e">
        <f>+'Folha de salarios'!#REF!</f>
        <v>#REF!</v>
      </c>
      <c r="H673" s="137"/>
      <c r="I673" s="137"/>
      <c r="J673" s="133" t="s">
        <v>96</v>
      </c>
      <c r="K673" s="133"/>
      <c r="L673" s="135"/>
      <c r="M673" s="135"/>
      <c r="N673" s="135"/>
      <c r="O673" s="137" t="e">
        <f>+G673</f>
        <v>#REF!</v>
      </c>
    </row>
    <row r="674" spans="1:15" ht="15.75" customHeight="1" x14ac:dyDescent="0.25">
      <c r="A674" s="125"/>
      <c r="B674" s="133" t="s">
        <v>97</v>
      </c>
      <c r="C674" s="135"/>
      <c r="D674" s="135"/>
      <c r="E674" s="135"/>
      <c r="F674" s="135"/>
      <c r="G674" s="138">
        <f>0</f>
        <v>0</v>
      </c>
      <c r="H674" s="138"/>
      <c r="I674" s="138"/>
      <c r="J674" s="133" t="s">
        <v>97</v>
      </c>
      <c r="K674" s="133"/>
      <c r="L674" s="135"/>
      <c r="M674" s="135"/>
      <c r="N674" s="135"/>
      <c r="O674" s="138">
        <f>G674</f>
        <v>0</v>
      </c>
    </row>
    <row r="675" spans="1:15" ht="15.75" customHeight="1" x14ac:dyDescent="0.25">
      <c r="A675" s="125"/>
      <c r="B675" s="133" t="s">
        <v>98</v>
      </c>
      <c r="C675" s="135"/>
      <c r="D675" s="135"/>
      <c r="E675" s="135"/>
      <c r="F675" s="135"/>
      <c r="G675" s="138" t="e">
        <f>+'Folha de salarios'!#REF!</f>
        <v>#REF!</v>
      </c>
      <c r="H675" s="138"/>
      <c r="I675" s="138"/>
      <c r="J675" s="133" t="s">
        <v>98</v>
      </c>
      <c r="K675" s="133"/>
      <c r="L675" s="135"/>
      <c r="M675" s="135"/>
      <c r="N675" s="135"/>
      <c r="O675" s="138" t="e">
        <f>G675</f>
        <v>#REF!</v>
      </c>
    </row>
    <row r="676" spans="1:15" ht="15.75" customHeight="1" x14ac:dyDescent="0.25">
      <c r="A676" s="125"/>
      <c r="B676" s="133" t="s">
        <v>99</v>
      </c>
      <c r="C676" s="135"/>
      <c r="D676" s="135"/>
      <c r="E676" s="135"/>
      <c r="F676" s="135"/>
      <c r="G676" s="138" t="e">
        <f>+'Folha de salarios'!#REF!</f>
        <v>#REF!</v>
      </c>
      <c r="H676" s="138"/>
      <c r="I676" s="138"/>
      <c r="J676" s="133" t="s">
        <v>99</v>
      </c>
      <c r="K676" s="133"/>
      <c r="L676" s="135"/>
      <c r="M676" s="135"/>
      <c r="N676" s="135"/>
      <c r="O676" s="138" t="e">
        <f>+G676</f>
        <v>#REF!</v>
      </c>
    </row>
    <row r="677" spans="1:15" ht="15.75" customHeight="1" x14ac:dyDescent="0.25">
      <c r="A677" s="125"/>
      <c r="B677" s="135"/>
      <c r="C677" s="135"/>
      <c r="D677" s="135"/>
      <c r="E677" s="133" t="s">
        <v>100</v>
      </c>
      <c r="F677" s="135"/>
      <c r="G677" s="138" t="e">
        <f>SUM(G673:G676)</f>
        <v>#REF!</v>
      </c>
      <c r="H677" s="138"/>
      <c r="I677" s="138"/>
      <c r="J677" s="135"/>
      <c r="K677" s="135"/>
      <c r="L677" s="135"/>
      <c r="M677" s="133" t="s">
        <v>100</v>
      </c>
      <c r="N677" s="135"/>
      <c r="O677" s="138" t="e">
        <f>SUM(O673:O676)</f>
        <v>#REF!</v>
      </c>
    </row>
    <row r="678" spans="1:15" ht="15.75" customHeight="1" x14ac:dyDescent="0.25">
      <c r="A678" s="125"/>
      <c r="B678" s="135"/>
      <c r="C678" s="135"/>
      <c r="D678" s="135"/>
      <c r="E678" s="135"/>
      <c r="F678" s="135"/>
      <c r="G678" s="138"/>
      <c r="H678" s="138"/>
      <c r="I678" s="138"/>
      <c r="J678" s="135"/>
      <c r="K678" s="135"/>
      <c r="L678" s="135"/>
      <c r="M678" s="135"/>
      <c r="N678" s="135"/>
      <c r="O678" s="138"/>
    </row>
    <row r="679" spans="1:15" ht="15.75" customHeight="1" x14ac:dyDescent="0.25">
      <c r="A679" s="125"/>
      <c r="B679" s="135"/>
      <c r="C679" s="133" t="s">
        <v>101</v>
      </c>
      <c r="D679" s="135"/>
      <c r="E679" s="135"/>
      <c r="F679" s="135"/>
      <c r="G679" s="138"/>
      <c r="H679" s="138"/>
      <c r="I679" s="138"/>
      <c r="J679" s="135"/>
      <c r="K679" s="133" t="s">
        <v>101</v>
      </c>
      <c r="L679" s="135"/>
      <c r="N679" s="135"/>
      <c r="O679" s="138"/>
    </row>
    <row r="680" spans="1:15" ht="15.75" customHeight="1" x14ac:dyDescent="0.25">
      <c r="A680" s="125"/>
      <c r="B680" s="135"/>
      <c r="C680" s="135"/>
      <c r="D680" s="133" t="s">
        <v>102</v>
      </c>
      <c r="E680" s="135"/>
      <c r="F680" s="135"/>
      <c r="G680" s="138">
        <f>+'Folha de salarios'!Z697</f>
        <v>0</v>
      </c>
      <c r="H680" s="138"/>
      <c r="I680" s="138"/>
      <c r="J680" s="135"/>
      <c r="K680" s="135"/>
      <c r="L680" s="133" t="s">
        <v>102</v>
      </c>
      <c r="N680" s="135"/>
      <c r="O680" s="138">
        <f>+G680</f>
        <v>0</v>
      </c>
    </row>
    <row r="681" spans="1:15" ht="15.75" customHeight="1" x14ac:dyDescent="0.25">
      <c r="A681" s="125"/>
      <c r="B681" s="135"/>
      <c r="C681" s="135"/>
      <c r="D681" s="133" t="s">
        <v>86</v>
      </c>
      <c r="E681" s="135"/>
      <c r="F681" s="135"/>
      <c r="G681" s="138" t="e">
        <f>+G677*0.03</f>
        <v>#REF!</v>
      </c>
      <c r="H681" s="138"/>
      <c r="I681" s="138"/>
      <c r="J681" s="135"/>
      <c r="K681" s="135"/>
      <c r="L681" s="133" t="s">
        <v>86</v>
      </c>
      <c r="N681" s="135"/>
      <c r="O681" s="138" t="e">
        <f>+G681</f>
        <v>#REF!</v>
      </c>
    </row>
    <row r="682" spans="1:15" ht="15.75" customHeight="1" x14ac:dyDescent="0.25">
      <c r="A682" s="125"/>
      <c r="B682" s="135"/>
      <c r="C682" s="135"/>
      <c r="D682" s="133" t="s">
        <v>103</v>
      </c>
      <c r="E682" s="135"/>
      <c r="F682" s="135"/>
      <c r="G682" s="138" t="e">
        <f>+G677*0.01</f>
        <v>#REF!</v>
      </c>
      <c r="H682" s="138"/>
      <c r="I682" s="138"/>
      <c r="J682" s="135"/>
      <c r="K682" s="135"/>
      <c r="L682" s="133" t="s">
        <v>103</v>
      </c>
      <c r="N682" s="135"/>
      <c r="O682" s="138" t="e">
        <f>+G682</f>
        <v>#REF!</v>
      </c>
    </row>
    <row r="683" spans="1:15" ht="15.75" customHeight="1" x14ac:dyDescent="0.25">
      <c r="A683" s="125"/>
      <c r="B683" s="135"/>
      <c r="C683" s="135"/>
      <c r="D683" s="133" t="s">
        <v>104</v>
      </c>
      <c r="E683" s="135"/>
      <c r="F683" s="135"/>
      <c r="G683" s="138"/>
      <c r="H683" s="138"/>
      <c r="I683" s="138"/>
      <c r="J683" s="135"/>
      <c r="K683" s="135"/>
      <c r="L683" s="133" t="s">
        <v>104</v>
      </c>
      <c r="N683" s="135"/>
      <c r="O683" s="138">
        <f>G683</f>
        <v>0</v>
      </c>
    </row>
    <row r="684" spans="1:15" ht="15.75" customHeight="1" x14ac:dyDescent="0.25">
      <c r="A684" s="125"/>
      <c r="B684" s="135"/>
      <c r="C684" s="135"/>
      <c r="D684" s="133" t="s">
        <v>105</v>
      </c>
      <c r="E684" s="135"/>
      <c r="F684" s="135"/>
      <c r="G684" s="138"/>
      <c r="H684" s="138"/>
      <c r="I684" s="138"/>
      <c r="J684" s="135"/>
      <c r="K684" s="135"/>
      <c r="L684" s="133" t="s">
        <v>105</v>
      </c>
      <c r="N684" s="135"/>
      <c r="O684" s="138">
        <f>G684</f>
        <v>0</v>
      </c>
    </row>
    <row r="685" spans="1:15" ht="15.75" customHeight="1" x14ac:dyDescent="0.25">
      <c r="A685" s="125"/>
      <c r="B685" s="135"/>
      <c r="C685" s="135"/>
      <c r="D685" s="133" t="s">
        <v>106</v>
      </c>
      <c r="E685" s="135"/>
      <c r="F685" s="135"/>
      <c r="G685" s="138"/>
      <c r="H685" s="138"/>
      <c r="I685" s="138"/>
      <c r="J685" s="135"/>
      <c r="K685" s="135"/>
      <c r="L685" s="133" t="s">
        <v>106</v>
      </c>
      <c r="N685" s="135"/>
      <c r="O685" s="138">
        <f>G685</f>
        <v>0</v>
      </c>
    </row>
    <row r="686" spans="1:15" ht="15.75" customHeight="1" x14ac:dyDescent="0.25">
      <c r="A686" s="125"/>
      <c r="B686" s="135"/>
      <c r="C686" s="135"/>
      <c r="D686" s="133" t="s">
        <v>112</v>
      </c>
      <c r="E686" s="135"/>
      <c r="F686" s="135"/>
      <c r="G686" s="138">
        <f>+'Folha de salarios'!Y145</f>
        <v>0</v>
      </c>
      <c r="H686" s="138"/>
      <c r="I686" s="138"/>
      <c r="J686" s="135"/>
      <c r="K686" s="135"/>
      <c r="L686" s="133" t="str">
        <f>+D686</f>
        <v>Pagament Antecipado</v>
      </c>
      <c r="N686" s="135"/>
      <c r="O686" s="138">
        <f>G686</f>
        <v>0</v>
      </c>
    </row>
    <row r="687" spans="1:15" ht="15.75" customHeight="1" x14ac:dyDescent="0.25">
      <c r="A687" s="125"/>
      <c r="B687" s="135"/>
      <c r="C687" s="135"/>
      <c r="D687" s="133" t="s">
        <v>108</v>
      </c>
      <c r="E687" s="135"/>
      <c r="F687" s="135"/>
      <c r="G687" s="138">
        <v>0</v>
      </c>
      <c r="H687" s="138"/>
      <c r="I687" s="138"/>
      <c r="J687" s="135"/>
      <c r="K687" s="135"/>
      <c r="L687" s="133" t="str">
        <f>+D687</f>
        <v>Arredondamento</v>
      </c>
      <c r="N687" s="135"/>
      <c r="O687" s="138">
        <f>+G687</f>
        <v>0</v>
      </c>
    </row>
    <row r="688" spans="1:15" ht="15.75" customHeight="1" x14ac:dyDescent="0.25">
      <c r="A688" s="125"/>
      <c r="B688" s="135"/>
      <c r="C688" s="135"/>
      <c r="D688" s="135"/>
      <c r="E688" s="133" t="s">
        <v>100</v>
      </c>
      <c r="F688" s="135"/>
      <c r="G688" s="138" t="e">
        <f>SUM(G680:G687)</f>
        <v>#REF!</v>
      </c>
      <c r="H688" s="138"/>
      <c r="I688" s="138"/>
      <c r="J688" s="135"/>
      <c r="K688" s="135"/>
      <c r="L688" s="135"/>
      <c r="M688" s="133" t="s">
        <v>100</v>
      </c>
      <c r="N688" s="135"/>
      <c r="O688" s="138" t="e">
        <f>G688</f>
        <v>#REF!</v>
      </c>
    </row>
    <row r="689" spans="1:15" ht="15.75" customHeight="1" x14ac:dyDescent="0.25">
      <c r="A689" s="125"/>
      <c r="B689" s="135"/>
      <c r="C689" s="135"/>
      <c r="D689" s="135"/>
      <c r="E689" s="135"/>
      <c r="F689" s="135"/>
      <c r="G689" s="138"/>
      <c r="H689" s="138"/>
      <c r="I689" s="138"/>
      <c r="J689" s="135"/>
      <c r="K689" s="135"/>
      <c r="L689" s="135"/>
      <c r="M689" s="135"/>
      <c r="N689" s="135"/>
      <c r="O689" s="138"/>
    </row>
    <row r="690" spans="1:15" ht="15.75" customHeight="1" thickBot="1" x14ac:dyDescent="0.3">
      <c r="A690" s="125"/>
      <c r="B690" s="135"/>
      <c r="C690" s="133" t="s">
        <v>109</v>
      </c>
      <c r="D690" s="135"/>
      <c r="E690" s="135"/>
      <c r="F690" s="135"/>
      <c r="G690" s="139" t="e">
        <f>G677-G688</f>
        <v>#REF!</v>
      </c>
      <c r="H690" s="138"/>
      <c r="I690" s="138"/>
      <c r="J690" s="135"/>
      <c r="K690" s="135"/>
      <c r="L690" s="133" t="s">
        <v>109</v>
      </c>
      <c r="M690" s="135"/>
      <c r="N690" s="135"/>
      <c r="O690" s="139" t="e">
        <f>O677-O688</f>
        <v>#REF!</v>
      </c>
    </row>
    <row r="691" spans="1:15" ht="15.75" customHeight="1" thickTop="1" x14ac:dyDescent="0.25">
      <c r="A691" s="125"/>
      <c r="B691" s="135"/>
      <c r="C691" s="133"/>
      <c r="D691" s="135"/>
      <c r="E691" s="135"/>
      <c r="F691" s="135"/>
      <c r="G691" s="138"/>
      <c r="H691" s="138"/>
      <c r="I691" s="138"/>
      <c r="J691" s="135"/>
      <c r="K691" s="135"/>
      <c r="L691" s="133"/>
      <c r="M691" s="135"/>
      <c r="N691" s="135"/>
      <c r="O691" s="138"/>
    </row>
    <row r="692" spans="1:15" ht="15.75" customHeight="1" x14ac:dyDescent="0.25">
      <c r="A692" s="125"/>
      <c r="B692" s="135"/>
      <c r="C692" s="135"/>
      <c r="D692" s="135"/>
      <c r="E692" s="135"/>
      <c r="F692" s="135"/>
      <c r="G692" s="138"/>
      <c r="H692" s="138"/>
      <c r="I692" s="138"/>
      <c r="J692" s="135"/>
      <c r="K692" s="135"/>
      <c r="L692" s="135"/>
      <c r="M692" s="135"/>
      <c r="N692" s="135"/>
      <c r="O692" s="138"/>
    </row>
    <row r="693" spans="1:15" ht="15.75" customHeight="1" x14ac:dyDescent="0.25">
      <c r="A693" s="125"/>
      <c r="B693" s="135"/>
      <c r="C693" s="135"/>
      <c r="D693" s="135"/>
      <c r="E693" s="133" t="s">
        <v>110</v>
      </c>
      <c r="F693" s="135"/>
      <c r="G693" s="138"/>
      <c r="H693" s="138"/>
      <c r="I693" s="138"/>
      <c r="J693" s="135"/>
      <c r="K693" s="135"/>
      <c r="L693" s="135"/>
      <c r="M693" s="133" t="s">
        <v>110</v>
      </c>
      <c r="N693" s="135"/>
      <c r="O693" s="138"/>
    </row>
    <row r="694" spans="1:15" ht="38.1" customHeight="1" x14ac:dyDescent="0.2">
      <c r="A694" s="125"/>
      <c r="B694" s="247" t="s">
        <v>91</v>
      </c>
      <c r="C694" s="247"/>
      <c r="D694" s="247"/>
      <c r="E694" s="247"/>
      <c r="F694" s="247"/>
      <c r="G694" s="247"/>
      <c r="H694" s="127"/>
      <c r="I694" s="127"/>
      <c r="J694" s="247" t="s">
        <v>91</v>
      </c>
      <c r="K694" s="247"/>
      <c r="L694" s="247"/>
      <c r="M694" s="247"/>
      <c r="N694" s="247"/>
      <c r="O694" s="247"/>
    </row>
    <row r="695" spans="1:15" ht="15" customHeight="1" x14ac:dyDescent="0.2">
      <c r="A695" s="125"/>
      <c r="B695" s="126"/>
      <c r="C695" s="128"/>
      <c r="D695" s="128"/>
      <c r="E695" s="128"/>
      <c r="F695" s="128"/>
      <c r="G695" s="128"/>
      <c r="H695" s="127"/>
      <c r="I695" s="127"/>
      <c r="J695" s="126"/>
      <c r="K695" s="128"/>
      <c r="L695" s="128"/>
      <c r="M695" s="128"/>
      <c r="N695" s="128"/>
      <c r="O695" s="128"/>
    </row>
    <row r="696" spans="1:15" ht="18.600000000000001" customHeight="1" x14ac:dyDescent="0.3">
      <c r="A696" s="125"/>
      <c r="B696" s="248" t="s">
        <v>92</v>
      </c>
      <c r="C696" s="248"/>
      <c r="D696" s="248"/>
      <c r="E696" s="248"/>
      <c r="F696" s="248"/>
      <c r="G696" s="248"/>
      <c r="H696" s="129"/>
      <c r="I696" s="130"/>
      <c r="J696" s="248" t="s">
        <v>92</v>
      </c>
      <c r="K696" s="248"/>
      <c r="L696" s="248"/>
      <c r="M696" s="248"/>
      <c r="N696" s="248"/>
      <c r="O696" s="248"/>
    </row>
    <row r="697" spans="1:15" ht="15" customHeight="1" x14ac:dyDescent="0.2">
      <c r="A697" s="125"/>
      <c r="B697" s="131">
        <f>+B668+1</f>
        <v>25</v>
      </c>
      <c r="C697" s="132"/>
      <c r="D697" s="132"/>
      <c r="E697" s="132"/>
      <c r="F697" s="132"/>
      <c r="H697" s="132"/>
      <c r="I697" s="132"/>
      <c r="J697" s="131">
        <f>+B697</f>
        <v>25</v>
      </c>
      <c r="K697" s="130"/>
      <c r="L697" s="132"/>
      <c r="M697" s="132"/>
      <c r="N697" s="132"/>
      <c r="O697" s="132"/>
    </row>
    <row r="698" spans="1:15" ht="18.600000000000001" customHeight="1" x14ac:dyDescent="0.25">
      <c r="A698" s="125"/>
      <c r="B698" s="133" t="s">
        <v>93</v>
      </c>
      <c r="C698" s="134" t="str">
        <f>+C669</f>
        <v>JANEIRIO</v>
      </c>
      <c r="D698" s="135"/>
      <c r="E698" s="135">
        <f>+E669</f>
        <v>2025</v>
      </c>
      <c r="F698" s="133"/>
      <c r="G698" s="136"/>
      <c r="H698" s="136"/>
      <c r="I698" s="136"/>
      <c r="J698" s="133" t="s">
        <v>93</v>
      </c>
      <c r="K698" s="134" t="str">
        <f>+C698</f>
        <v>JANEIRIO</v>
      </c>
      <c r="L698" s="135"/>
      <c r="M698" s="135">
        <f>+E698</f>
        <v>2025</v>
      </c>
      <c r="O698" s="136"/>
    </row>
    <row r="699" spans="1:15" ht="18.600000000000001" customHeight="1" x14ac:dyDescent="0.25">
      <c r="A699" s="125"/>
      <c r="B699" s="133" t="s">
        <v>94</v>
      </c>
      <c r="C699" s="136" t="e">
        <f>+'Folha de salarios'!#REF!</f>
        <v>#REF!</v>
      </c>
      <c r="D699" s="136"/>
      <c r="E699" s="136"/>
      <c r="F699" s="136"/>
      <c r="G699" s="135"/>
      <c r="H699" s="135"/>
      <c r="I699" s="135"/>
      <c r="J699" s="133" t="s">
        <v>94</v>
      </c>
      <c r="K699" s="136" t="e">
        <f>C699</f>
        <v>#REF!</v>
      </c>
      <c r="L699" s="135"/>
      <c r="M699" s="135"/>
      <c r="O699" s="135"/>
    </row>
    <row r="700" spans="1:15" ht="15.75" customHeight="1" x14ac:dyDescent="0.25">
      <c r="A700" s="125"/>
      <c r="B700" s="133" t="s">
        <v>95</v>
      </c>
      <c r="C700" s="135" t="e">
        <f>+'Folha de salarios'!#REF!</f>
        <v>#REF!</v>
      </c>
      <c r="D700" s="135"/>
      <c r="E700" s="135"/>
      <c r="F700" s="135"/>
      <c r="G700" s="135"/>
      <c r="H700" s="135"/>
      <c r="I700" s="135"/>
      <c r="J700" s="133" t="s">
        <v>95</v>
      </c>
      <c r="K700" s="135" t="e">
        <f>+C700</f>
        <v>#REF!</v>
      </c>
      <c r="L700" s="135"/>
      <c r="M700" s="135"/>
      <c r="N700" s="135"/>
      <c r="O700" s="135"/>
    </row>
    <row r="701" spans="1:15" ht="15.75" customHeight="1" x14ac:dyDescent="0.25">
      <c r="A701" s="125"/>
      <c r="B701" s="133"/>
      <c r="C701" s="135"/>
      <c r="D701" s="135"/>
      <c r="E701" s="135"/>
      <c r="F701" s="135"/>
      <c r="G701" s="135"/>
      <c r="H701" s="135"/>
      <c r="I701" s="135"/>
      <c r="J701" s="133"/>
      <c r="K701" s="135"/>
      <c r="L701" s="135"/>
      <c r="M701" s="135"/>
      <c r="N701" s="135"/>
      <c r="O701" s="135"/>
    </row>
    <row r="702" spans="1:15" ht="15.75" customHeight="1" x14ac:dyDescent="0.25">
      <c r="A702" s="125"/>
      <c r="B702" s="133" t="s">
        <v>96</v>
      </c>
      <c r="C702" s="135"/>
      <c r="D702" s="135"/>
      <c r="E702" s="135"/>
      <c r="F702" s="135"/>
      <c r="G702" s="137" t="e">
        <f>+'Folha de salarios'!#REF!</f>
        <v>#REF!</v>
      </c>
      <c r="H702" s="137"/>
      <c r="I702" s="137"/>
      <c r="J702" s="133" t="s">
        <v>96</v>
      </c>
      <c r="K702" s="133"/>
      <c r="L702" s="135"/>
      <c r="M702" s="135"/>
      <c r="N702" s="135"/>
      <c r="O702" s="137" t="e">
        <f>+G702</f>
        <v>#REF!</v>
      </c>
    </row>
    <row r="703" spans="1:15" ht="15.75" customHeight="1" x14ac:dyDescent="0.25">
      <c r="A703" s="125"/>
      <c r="B703" s="133" t="s">
        <v>97</v>
      </c>
      <c r="C703" s="135"/>
      <c r="D703" s="135"/>
      <c r="E703" s="135"/>
      <c r="F703" s="135"/>
      <c r="G703" s="138">
        <f>0</f>
        <v>0</v>
      </c>
      <c r="H703" s="138"/>
      <c r="I703" s="138"/>
      <c r="J703" s="133" t="s">
        <v>97</v>
      </c>
      <c r="K703" s="133"/>
      <c r="L703" s="135"/>
      <c r="M703" s="135"/>
      <c r="N703" s="135"/>
      <c r="O703" s="138">
        <f>G703</f>
        <v>0</v>
      </c>
    </row>
    <row r="704" spans="1:15" ht="15.75" customHeight="1" x14ac:dyDescent="0.25">
      <c r="A704" s="125"/>
      <c r="B704" s="133" t="s">
        <v>98</v>
      </c>
      <c r="C704" s="135"/>
      <c r="D704" s="135"/>
      <c r="E704" s="135"/>
      <c r="F704" s="135"/>
      <c r="G704" s="138" t="e">
        <f>+'Folha de salarios'!#REF!</f>
        <v>#REF!</v>
      </c>
      <c r="H704" s="138"/>
      <c r="I704" s="138"/>
      <c r="J704" s="133" t="s">
        <v>98</v>
      </c>
      <c r="K704" s="133"/>
      <c r="L704" s="135"/>
      <c r="M704" s="135"/>
      <c r="N704" s="135"/>
      <c r="O704" s="138" t="e">
        <f>G704</f>
        <v>#REF!</v>
      </c>
    </row>
    <row r="705" spans="1:15" ht="15.75" customHeight="1" x14ac:dyDescent="0.25">
      <c r="A705" s="125"/>
      <c r="B705" s="133" t="s">
        <v>99</v>
      </c>
      <c r="C705" s="135"/>
      <c r="D705" s="135"/>
      <c r="E705" s="135"/>
      <c r="F705" s="135"/>
      <c r="G705" s="138" t="e">
        <f>+'Folha de salarios'!#REF!</f>
        <v>#REF!</v>
      </c>
      <c r="H705" s="138"/>
      <c r="I705" s="138"/>
      <c r="J705" s="133" t="s">
        <v>99</v>
      </c>
      <c r="K705" s="133"/>
      <c r="L705" s="135"/>
      <c r="M705" s="135"/>
      <c r="N705" s="135"/>
      <c r="O705" s="138" t="e">
        <f>+G705</f>
        <v>#REF!</v>
      </c>
    </row>
    <row r="706" spans="1:15" ht="15.75" customHeight="1" x14ac:dyDescent="0.25">
      <c r="A706" s="125"/>
      <c r="B706" s="135"/>
      <c r="C706" s="135"/>
      <c r="D706" s="135"/>
      <c r="E706" s="133" t="s">
        <v>100</v>
      </c>
      <c r="F706" s="135"/>
      <c r="G706" s="138" t="e">
        <f>SUM(G702:G705)</f>
        <v>#REF!</v>
      </c>
      <c r="H706" s="138"/>
      <c r="I706" s="138"/>
      <c r="J706" s="135"/>
      <c r="K706" s="135"/>
      <c r="L706" s="135"/>
      <c r="M706" s="133" t="s">
        <v>100</v>
      </c>
      <c r="N706" s="135"/>
      <c r="O706" s="138" t="e">
        <f>SUM(O702:O705)</f>
        <v>#REF!</v>
      </c>
    </row>
    <row r="707" spans="1:15" ht="15.75" customHeight="1" x14ac:dyDescent="0.25">
      <c r="A707" s="125"/>
      <c r="B707" s="135"/>
      <c r="C707" s="135"/>
      <c r="D707" s="135"/>
      <c r="E707" s="135"/>
      <c r="F707" s="135"/>
      <c r="G707" s="138"/>
      <c r="H707" s="138"/>
      <c r="I707" s="138"/>
      <c r="J707" s="135"/>
      <c r="K707" s="135"/>
      <c r="L707" s="135"/>
      <c r="M707" s="135"/>
      <c r="N707" s="135"/>
      <c r="O707" s="138"/>
    </row>
    <row r="708" spans="1:15" ht="15.75" customHeight="1" x14ac:dyDescent="0.25">
      <c r="A708" s="125"/>
      <c r="B708" s="135"/>
      <c r="C708" s="133" t="s">
        <v>101</v>
      </c>
      <c r="D708" s="135"/>
      <c r="E708" s="135"/>
      <c r="F708" s="135"/>
      <c r="G708" s="138"/>
      <c r="H708" s="138"/>
      <c r="I708" s="138"/>
      <c r="J708" s="135"/>
      <c r="K708" s="133" t="s">
        <v>101</v>
      </c>
      <c r="L708" s="135"/>
      <c r="N708" s="135"/>
      <c r="O708" s="138"/>
    </row>
    <row r="709" spans="1:15" ht="15.75" customHeight="1" x14ac:dyDescent="0.25">
      <c r="A709" s="125"/>
      <c r="B709" s="135"/>
      <c r="C709" s="135"/>
      <c r="D709" s="133" t="s">
        <v>102</v>
      </c>
      <c r="E709" s="135"/>
      <c r="F709" s="135"/>
      <c r="G709" s="138">
        <f>+'Folha de salarios'!Z726</f>
        <v>0</v>
      </c>
      <c r="H709" s="138"/>
      <c r="I709" s="138"/>
      <c r="J709" s="135"/>
      <c r="K709" s="135"/>
      <c r="L709" s="133" t="s">
        <v>102</v>
      </c>
      <c r="N709" s="135"/>
      <c r="O709" s="138">
        <f>+G709</f>
        <v>0</v>
      </c>
    </row>
    <row r="710" spans="1:15" ht="15.75" customHeight="1" x14ac:dyDescent="0.25">
      <c r="A710" s="125"/>
      <c r="B710" s="135"/>
      <c r="C710" s="135"/>
      <c r="D710" s="133" t="s">
        <v>86</v>
      </c>
      <c r="E710" s="135"/>
      <c r="F710" s="135"/>
      <c r="G710" s="138" t="e">
        <f>+G706*0.03</f>
        <v>#REF!</v>
      </c>
      <c r="H710" s="138"/>
      <c r="I710" s="138"/>
      <c r="J710" s="135"/>
      <c r="K710" s="135"/>
      <c r="L710" s="133" t="s">
        <v>86</v>
      </c>
      <c r="N710" s="135"/>
      <c r="O710" s="138" t="e">
        <f>+G710</f>
        <v>#REF!</v>
      </c>
    </row>
    <row r="711" spans="1:15" ht="15.75" customHeight="1" x14ac:dyDescent="0.25">
      <c r="A711" s="125"/>
      <c r="B711" s="135"/>
      <c r="C711" s="135"/>
      <c r="D711" s="133" t="s">
        <v>103</v>
      </c>
      <c r="E711" s="135"/>
      <c r="F711" s="135"/>
      <c r="G711" s="138" t="e">
        <f>+G706*0.01</f>
        <v>#REF!</v>
      </c>
      <c r="H711" s="138"/>
      <c r="I711" s="138"/>
      <c r="J711" s="135"/>
      <c r="K711" s="135"/>
      <c r="L711" s="133" t="s">
        <v>103</v>
      </c>
      <c r="N711" s="135"/>
      <c r="O711" s="138" t="e">
        <f>+G711</f>
        <v>#REF!</v>
      </c>
    </row>
    <row r="712" spans="1:15" ht="15.75" customHeight="1" x14ac:dyDescent="0.25">
      <c r="A712" s="125"/>
      <c r="B712" s="135"/>
      <c r="C712" s="135"/>
      <c r="D712" s="133" t="s">
        <v>104</v>
      </c>
      <c r="E712" s="135"/>
      <c r="F712" s="135"/>
      <c r="G712" s="138"/>
      <c r="H712" s="138"/>
      <c r="I712" s="138"/>
      <c r="J712" s="135"/>
      <c r="K712" s="135"/>
      <c r="L712" s="133" t="s">
        <v>104</v>
      </c>
      <c r="N712" s="135"/>
      <c r="O712" s="138">
        <f>G712</f>
        <v>0</v>
      </c>
    </row>
    <row r="713" spans="1:15" ht="15.75" customHeight="1" x14ac:dyDescent="0.25">
      <c r="A713" s="125"/>
      <c r="B713" s="135"/>
      <c r="C713" s="135"/>
      <c r="D713" s="133" t="s">
        <v>105</v>
      </c>
      <c r="E713" s="135"/>
      <c r="F713" s="135"/>
      <c r="G713" s="138"/>
      <c r="H713" s="138"/>
      <c r="I713" s="138"/>
      <c r="J713" s="135"/>
      <c r="K713" s="135"/>
      <c r="L713" s="133" t="s">
        <v>105</v>
      </c>
      <c r="N713" s="135"/>
      <c r="O713" s="138">
        <f>G713</f>
        <v>0</v>
      </c>
    </row>
    <row r="714" spans="1:15" ht="15.75" customHeight="1" x14ac:dyDescent="0.25">
      <c r="A714" s="125"/>
      <c r="B714" s="135"/>
      <c r="C714" s="135"/>
      <c r="D714" s="133" t="s">
        <v>106</v>
      </c>
      <c r="E714" s="135"/>
      <c r="F714" s="135"/>
      <c r="G714" s="138"/>
      <c r="H714" s="138"/>
      <c r="I714" s="138"/>
      <c r="J714" s="135"/>
      <c r="K714" s="135"/>
      <c r="L714" s="133" t="s">
        <v>106</v>
      </c>
      <c r="N714" s="135"/>
      <c r="O714" s="138">
        <f>G714</f>
        <v>0</v>
      </c>
    </row>
    <row r="715" spans="1:15" ht="15.75" customHeight="1" x14ac:dyDescent="0.25">
      <c r="A715" s="125"/>
      <c r="B715" s="135"/>
      <c r="C715" s="135"/>
      <c r="D715" s="133" t="s">
        <v>112</v>
      </c>
      <c r="E715" s="135"/>
      <c r="F715" s="135"/>
      <c r="G715" s="138">
        <f>+'Folha de salarios'!Y174</f>
        <v>0</v>
      </c>
      <c r="H715" s="138"/>
      <c r="I715" s="138"/>
      <c r="J715" s="135"/>
      <c r="K715" s="135"/>
      <c r="L715" s="133" t="str">
        <f>+D715</f>
        <v>Pagament Antecipado</v>
      </c>
      <c r="N715" s="135"/>
      <c r="O715" s="138">
        <f>G715</f>
        <v>0</v>
      </c>
    </row>
    <row r="716" spans="1:15" ht="15.75" customHeight="1" x14ac:dyDescent="0.25">
      <c r="A716" s="125"/>
      <c r="B716" s="135"/>
      <c r="C716" s="135"/>
      <c r="D716" s="133" t="s">
        <v>108</v>
      </c>
      <c r="E716" s="135"/>
      <c r="F716" s="135"/>
      <c r="G716" s="138">
        <v>0</v>
      </c>
      <c r="H716" s="138"/>
      <c r="I716" s="138"/>
      <c r="J716" s="135"/>
      <c r="K716" s="135"/>
      <c r="L716" s="133" t="str">
        <f>+D716</f>
        <v>Arredondamento</v>
      </c>
      <c r="N716" s="135"/>
      <c r="O716" s="138">
        <f>+G716</f>
        <v>0</v>
      </c>
    </row>
    <row r="717" spans="1:15" ht="15.75" customHeight="1" x14ac:dyDescent="0.25">
      <c r="A717" s="125"/>
      <c r="B717" s="135"/>
      <c r="C717" s="135"/>
      <c r="D717" s="135"/>
      <c r="E717" s="133" t="s">
        <v>100</v>
      </c>
      <c r="F717" s="135"/>
      <c r="G717" s="138" t="e">
        <f>SUM(G709:G716)</f>
        <v>#REF!</v>
      </c>
      <c r="H717" s="138"/>
      <c r="I717" s="138"/>
      <c r="J717" s="135"/>
      <c r="K717" s="135"/>
      <c r="L717" s="135"/>
      <c r="M717" s="133" t="s">
        <v>100</v>
      </c>
      <c r="N717" s="135"/>
      <c r="O717" s="138" t="e">
        <f>G717</f>
        <v>#REF!</v>
      </c>
    </row>
    <row r="718" spans="1:15" ht="15.75" customHeight="1" x14ac:dyDescent="0.25">
      <c r="A718" s="125"/>
      <c r="B718" s="135"/>
      <c r="C718" s="135"/>
      <c r="D718" s="135"/>
      <c r="E718" s="135"/>
      <c r="F718" s="135"/>
      <c r="G718" s="138"/>
      <c r="H718" s="138"/>
      <c r="I718" s="138"/>
      <c r="J718" s="135"/>
      <c r="K718" s="135"/>
      <c r="L718" s="135"/>
      <c r="M718" s="135"/>
      <c r="N718" s="135"/>
      <c r="O718" s="138"/>
    </row>
    <row r="719" spans="1:15" ht="15.75" customHeight="1" thickBot="1" x14ac:dyDescent="0.3">
      <c r="A719" s="125"/>
      <c r="B719" s="135"/>
      <c r="C719" s="133" t="s">
        <v>109</v>
      </c>
      <c r="D719" s="135"/>
      <c r="E719" s="135"/>
      <c r="F719" s="135"/>
      <c r="G719" s="139" t="e">
        <f>G706-G717</f>
        <v>#REF!</v>
      </c>
      <c r="H719" s="138"/>
      <c r="I719" s="138"/>
      <c r="J719" s="135"/>
      <c r="K719" s="135"/>
      <c r="L719" s="133" t="s">
        <v>109</v>
      </c>
      <c r="M719" s="135"/>
      <c r="N719" s="135"/>
      <c r="O719" s="139" t="e">
        <f>O706-O717</f>
        <v>#REF!</v>
      </c>
    </row>
    <row r="720" spans="1:15" ht="15.75" customHeight="1" thickTop="1" x14ac:dyDescent="0.25">
      <c r="A720" s="125"/>
      <c r="B720" s="135"/>
      <c r="C720" s="133"/>
      <c r="D720" s="135"/>
      <c r="E720" s="135"/>
      <c r="F720" s="135"/>
      <c r="G720" s="138"/>
      <c r="H720" s="138"/>
      <c r="I720" s="138"/>
      <c r="J720" s="135"/>
      <c r="K720" s="135"/>
      <c r="L720" s="133"/>
      <c r="M720" s="135"/>
      <c r="N720" s="135"/>
      <c r="O720" s="138"/>
    </row>
    <row r="721" spans="1:15" ht="15.75" customHeight="1" x14ac:dyDescent="0.25">
      <c r="A721" s="125"/>
      <c r="B721" s="135"/>
      <c r="C721" s="135"/>
      <c r="D721" s="135"/>
      <c r="E721" s="135"/>
      <c r="F721" s="135"/>
      <c r="G721" s="138"/>
      <c r="H721" s="138"/>
      <c r="I721" s="138"/>
      <c r="J721" s="135"/>
      <c r="K721" s="135"/>
      <c r="L721" s="135"/>
      <c r="M721" s="135"/>
      <c r="N721" s="135"/>
      <c r="O721" s="138"/>
    </row>
    <row r="722" spans="1:15" ht="15.75" customHeight="1" x14ac:dyDescent="0.25">
      <c r="A722" s="125"/>
      <c r="B722" s="135"/>
      <c r="C722" s="135"/>
      <c r="D722" s="135"/>
      <c r="E722" s="133" t="s">
        <v>110</v>
      </c>
      <c r="F722" s="135"/>
      <c r="G722" s="138"/>
      <c r="H722" s="138"/>
      <c r="I722" s="138"/>
      <c r="J722" s="135"/>
      <c r="K722" s="135"/>
      <c r="L722" s="135"/>
      <c r="M722" s="133" t="s">
        <v>110</v>
      </c>
      <c r="N722" s="135"/>
      <c r="O722" s="138"/>
    </row>
  </sheetData>
  <mergeCells count="100">
    <mergeCell ref="B694:G694"/>
    <mergeCell ref="J694:O694"/>
    <mergeCell ref="B696:G696"/>
    <mergeCell ref="J696:O696"/>
    <mergeCell ref="B638:G638"/>
    <mergeCell ref="J638:O638"/>
    <mergeCell ref="B665:G665"/>
    <mergeCell ref="J665:O665"/>
    <mergeCell ref="B667:G667"/>
    <mergeCell ref="J667:O667"/>
    <mergeCell ref="B607:G607"/>
    <mergeCell ref="J607:O607"/>
    <mergeCell ref="B609:G609"/>
    <mergeCell ref="J609:O609"/>
    <mergeCell ref="B636:G636"/>
    <mergeCell ref="J636:O636"/>
    <mergeCell ref="B522:G522"/>
    <mergeCell ref="J522:O522"/>
    <mergeCell ref="B549:G549"/>
    <mergeCell ref="J549:O549"/>
    <mergeCell ref="B551:G551"/>
    <mergeCell ref="J551:O551"/>
    <mergeCell ref="B520:G520"/>
    <mergeCell ref="J520:O520"/>
    <mergeCell ref="B493:G493"/>
    <mergeCell ref="J493:O493"/>
    <mergeCell ref="B462:G462"/>
    <mergeCell ref="J462:O462"/>
    <mergeCell ref="B464:G464"/>
    <mergeCell ref="J464:O464"/>
    <mergeCell ref="B491:G491"/>
    <mergeCell ref="J491:O491"/>
    <mergeCell ref="B434:G434"/>
    <mergeCell ref="J434:O434"/>
    <mergeCell ref="B436:G436"/>
    <mergeCell ref="J436:O436"/>
    <mergeCell ref="B376:G376"/>
    <mergeCell ref="J376:O376"/>
    <mergeCell ref="B378:G378"/>
    <mergeCell ref="J378:O378"/>
    <mergeCell ref="B405:G405"/>
    <mergeCell ref="J405:O405"/>
    <mergeCell ref="B407:G407"/>
    <mergeCell ref="J407:O407"/>
    <mergeCell ref="B320:G320"/>
    <mergeCell ref="J320:O320"/>
    <mergeCell ref="B347:G347"/>
    <mergeCell ref="J347:O347"/>
    <mergeCell ref="B349:G349"/>
    <mergeCell ref="J349:O349"/>
    <mergeCell ref="B289:G289"/>
    <mergeCell ref="J289:O289"/>
    <mergeCell ref="B291:G291"/>
    <mergeCell ref="J291:O291"/>
    <mergeCell ref="B318:G318"/>
    <mergeCell ref="J318:O318"/>
    <mergeCell ref="B233:G233"/>
    <mergeCell ref="J233:O233"/>
    <mergeCell ref="B260:G260"/>
    <mergeCell ref="J260:O260"/>
    <mergeCell ref="B262:G262"/>
    <mergeCell ref="J262:O262"/>
    <mergeCell ref="B173:G173"/>
    <mergeCell ref="J173:O173"/>
    <mergeCell ref="B175:G175"/>
    <mergeCell ref="J175:O175"/>
    <mergeCell ref="B231:G231"/>
    <mergeCell ref="J231:O231"/>
    <mergeCell ref="B202:G202"/>
    <mergeCell ref="J202:O202"/>
    <mergeCell ref="B204:G204"/>
    <mergeCell ref="J204:O204"/>
    <mergeCell ref="B118:G118"/>
    <mergeCell ref="J118:O118"/>
    <mergeCell ref="B145:G145"/>
    <mergeCell ref="J145:O145"/>
    <mergeCell ref="B147:G147"/>
    <mergeCell ref="J147:O147"/>
    <mergeCell ref="B88:G88"/>
    <mergeCell ref="J88:O88"/>
    <mergeCell ref="B90:G90"/>
    <mergeCell ref="J90:O90"/>
    <mergeCell ref="B116:G116"/>
    <mergeCell ref="J116:O116"/>
    <mergeCell ref="B578:G578"/>
    <mergeCell ref="J578:O578"/>
    <mergeCell ref="B580:G580"/>
    <mergeCell ref="J580:O580"/>
    <mergeCell ref="B1:G1"/>
    <mergeCell ref="J1:O1"/>
    <mergeCell ref="B3:G3"/>
    <mergeCell ref="J3:O3"/>
    <mergeCell ref="B30:G30"/>
    <mergeCell ref="J30:O30"/>
    <mergeCell ref="B32:G32"/>
    <mergeCell ref="J32:O32"/>
    <mergeCell ref="B59:G59"/>
    <mergeCell ref="J59:O59"/>
    <mergeCell ref="B61:G61"/>
    <mergeCell ref="J61:O61"/>
  </mergeCells>
  <pageMargins left="0.25" right="0.25" top="0.75" bottom="0.75" header="0.3" footer="0.3"/>
  <pageSetup paperSize="9" orientation="landscape" horizontalDpi="300" verticalDpi="300" r:id="rId1"/>
  <rowBreaks count="1" manualBreakCount="1">
    <brk id="1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Folha de salarios</vt:lpstr>
      <vt:lpstr>Sindicate</vt:lpstr>
      <vt:lpstr>PaySlip</vt:lpstr>
      <vt:lpstr>'Folha de salarios'!Print_Area</vt:lpstr>
      <vt:lpstr>Sindicate!Print_Area</vt:lpstr>
      <vt:lpstr>'Folha de salarios'!Print_Titles</vt:lpstr>
      <vt:lpstr>Sindicate!Print_Titles</vt:lpstr>
      <vt:lpstr>'Folha de salarios'!Z_689895ED_8DF8_466C_90EE_5C2362D49AE1__wvu_PrintArea</vt:lpstr>
      <vt:lpstr>Sindicate!Z_689895ED_8DF8_466C_90EE_5C2362D49AE1__wvu_PrintArea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Chris Schnell</cp:lastModifiedBy>
  <cp:revision>1</cp:revision>
  <cp:lastPrinted>2026-01-23T07:26:21Z</cp:lastPrinted>
  <dcterms:created xsi:type="dcterms:W3CDTF">2002-04-09T20:32:28Z</dcterms:created>
  <dcterms:modified xsi:type="dcterms:W3CDTF">2026-05-04T08:30:42Z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TC300049391033</vt:lpwstr>
  </property>
</Properties>
</file>